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Universe'!$A$1:$J$416</definedName>
    <definedName name="_xlnm._FilterDatabase" localSheetId="3" hidden="1">'Confluence Overlap'!$A$1:$K$98</definedName>
    <definedName name="_xlnm._FilterDatabase" localSheetId="4" hidden="1">'Monit Non Financial'!$A$1:$CE$375</definedName>
    <definedName name="_xlnm._FilterDatabase" localSheetId="5" hidden="1">'Monit Banks NBFC'!$A$1:$CA$42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12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1" customWidth="1" min="3" max="3"/>
    <col width="38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588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83</v>
      </c>
      <c r="G6" s="19" t="n">
        <v>48455.7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15</v>
      </c>
      <c r="L6" s="16" t="n">
        <v>8</v>
      </c>
      <c r="M6" s="20" t="inlineStr">
        <is>
          <t>87.5%</t>
        </is>
      </c>
    </row>
    <row r="7">
      <c r="A7" s="16" t="n">
        <v>2</v>
      </c>
      <c r="B7" s="17" t="n">
        <v>480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65</v>
      </c>
      <c r="G7" s="19" t="n">
        <v>2886.06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59</v>
      </c>
      <c r="L7" s="16" t="n">
        <v>35</v>
      </c>
      <c r="M7" s="20" t="inlineStr">
        <is>
          <t>68.6%</t>
        </is>
      </c>
    </row>
    <row r="8">
      <c r="A8" s="16" t="n">
        <v>3</v>
      </c>
      <c r="B8" s="17" t="n">
        <v>474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64</v>
      </c>
      <c r="G8" s="19" t="n">
        <v>100378.37</v>
      </c>
      <c r="H8" s="18" t="inlineStr">
        <is>
          <t>Potential Leader</t>
        </is>
      </c>
      <c r="J8" s="18" t="inlineStr">
        <is>
          <t>industrials</t>
        </is>
      </c>
      <c r="K8" s="16" t="n">
        <v>286</v>
      </c>
      <c r="L8" s="16" t="n">
        <v>213</v>
      </c>
      <c r="M8" s="20" t="inlineStr">
        <is>
          <t>34.3%</t>
        </is>
      </c>
    </row>
    <row r="9">
      <c r="A9" s="16" t="n">
        <v>4</v>
      </c>
      <c r="B9" s="17" t="n">
        <v>408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53</v>
      </c>
      <c r="G9" s="19" t="n">
        <v>5192.27</v>
      </c>
      <c r="H9" s="18" t="inlineStr">
        <is>
          <t>Potential Leader</t>
        </is>
      </c>
      <c r="J9" s="18" t="inlineStr">
        <is>
          <t>chemicals</t>
        </is>
      </c>
      <c r="K9" s="16" t="n">
        <v>170</v>
      </c>
      <c r="L9" s="16" t="n">
        <v>128</v>
      </c>
      <c r="M9" s="20" t="inlineStr">
        <is>
          <t>32.8%</t>
        </is>
      </c>
    </row>
    <row r="10">
      <c r="A10" s="16" t="n">
        <v>5</v>
      </c>
      <c r="B10" s="17" t="n">
        <v>402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52</v>
      </c>
      <c r="G10" s="19" t="n">
        <v>37200.04</v>
      </c>
      <c r="H10" s="18" t="inlineStr">
        <is>
          <t>Potential Leader</t>
        </is>
      </c>
      <c r="J10" s="18" t="inlineStr">
        <is>
          <t>miscellaneous</t>
        </is>
      </c>
      <c r="K10" s="16" t="n">
        <v>64</v>
      </c>
      <c r="L10" s="16" t="n">
        <v>51</v>
      </c>
      <c r="M10" s="20" t="inlineStr">
        <is>
          <t>25.5%</t>
        </is>
      </c>
    </row>
    <row r="11">
      <c r="A11" s="16" t="n">
        <v>6</v>
      </c>
      <c r="B11" s="17" t="n">
        <v>342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42</v>
      </c>
      <c r="G11" s="19" t="n">
        <v>5290.96</v>
      </c>
      <c r="H11" s="18" t="inlineStr">
        <is>
          <t>Potential Leader</t>
        </is>
      </c>
      <c r="J11" s="18" t="inlineStr">
        <is>
          <t>building materials</t>
        </is>
      </c>
      <c r="K11" s="16" t="n">
        <v>74</v>
      </c>
      <c r="L11" s="16" t="n">
        <v>60</v>
      </c>
      <c r="M11" s="20" t="inlineStr">
        <is>
          <t>23.3%</t>
        </is>
      </c>
    </row>
    <row r="12">
      <c r="A12" s="16" t="n">
        <v>7</v>
      </c>
      <c r="B12" s="17" t="n">
        <v>336</v>
      </c>
      <c r="C12" s="17" t="inlineStr">
        <is>
          <t>FEDERALBNK</t>
        </is>
      </c>
      <c r="D12" s="18" t="inlineStr">
        <is>
          <t>The Federal Bank  Limited</t>
        </is>
      </c>
      <c r="E12" s="18" t="inlineStr">
        <is>
          <t>bank</t>
        </is>
      </c>
      <c r="F12" s="16" t="n">
        <v>41</v>
      </c>
      <c r="G12" s="19" t="n">
        <v>87504.32000000001</v>
      </c>
      <c r="H12" s="18" t="inlineStr">
        <is>
          <t>Potential Leader</t>
        </is>
      </c>
      <c r="J12" s="18" t="inlineStr">
        <is>
          <t>healthcare</t>
        </is>
      </c>
      <c r="K12" s="16" t="n">
        <v>237</v>
      </c>
      <c r="L12" s="16" t="n">
        <v>196</v>
      </c>
      <c r="M12" s="20" t="inlineStr">
        <is>
          <t>20.9%</t>
        </is>
      </c>
    </row>
    <row r="13">
      <c r="A13" s="16" t="n">
        <v>8</v>
      </c>
      <c r="B13" s="17" t="n">
        <v>324</v>
      </c>
      <c r="C13" s="17" t="inlineStr">
        <is>
          <t>HITECHCORP</t>
        </is>
      </c>
      <c r="D13" s="18" t="inlineStr">
        <is>
          <t>Hitech Corporation</t>
        </is>
      </c>
      <c r="E13" s="18" t="inlineStr">
        <is>
          <t>industrials</t>
        </is>
      </c>
      <c r="F13" s="16" t="n">
        <v>39</v>
      </c>
      <c r="G13" s="19" t="n">
        <v>555.03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113</v>
      </c>
      <c r="L13" s="16" t="n">
        <v>95</v>
      </c>
      <c r="M13" s="20" t="inlineStr">
        <is>
          <t>18.9%</t>
        </is>
      </c>
    </row>
    <row r="14">
      <c r="A14" s="16" t="n">
        <v>9</v>
      </c>
      <c r="B14" s="17" t="n">
        <v>294</v>
      </c>
      <c r="C14" s="17" t="inlineStr">
        <is>
          <t>SSWL</t>
        </is>
      </c>
      <c r="D14" s="18" t="inlineStr">
        <is>
          <t>Steel Strips Wheels Limited</t>
        </is>
      </c>
      <c r="E14" s="18" t="inlineStr">
        <is>
          <t>auto</t>
        </is>
      </c>
      <c r="F14" s="16" t="n">
        <v>34</v>
      </c>
      <c r="G14" s="19" t="n">
        <v>4988.91</v>
      </c>
      <c r="H14" s="18" t="inlineStr">
        <is>
          <t>Potential Leader</t>
        </is>
      </c>
      <c r="J14" s="18" t="inlineStr">
        <is>
          <t>fmcg</t>
        </is>
      </c>
      <c r="K14" s="16" t="n">
        <v>125</v>
      </c>
      <c r="L14" s="16" t="n">
        <v>107</v>
      </c>
      <c r="M14" s="20" t="inlineStr">
        <is>
          <t>16.8%</t>
        </is>
      </c>
    </row>
    <row r="15">
      <c r="A15" s="16" t="n">
        <v>10</v>
      </c>
      <c r="B15" s="17" t="n">
        <v>276</v>
      </c>
      <c r="C15" s="17" t="inlineStr">
        <is>
          <t>ADOR</t>
        </is>
      </c>
      <c r="D15" s="18" t="inlineStr">
        <is>
          <t>Ador Welding Ltd</t>
        </is>
      </c>
      <c r="E15" s="18" t="inlineStr">
        <is>
          <t>industrials</t>
        </is>
      </c>
      <c r="F15" s="16" t="n">
        <v>31</v>
      </c>
      <c r="G15" s="19" t="n">
        <v>2620.17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152</v>
      </c>
      <c r="L15" s="16" t="n">
        <v>132</v>
      </c>
      <c r="M15" s="20" t="inlineStr">
        <is>
          <t>15.2%</t>
        </is>
      </c>
    </row>
    <row r="16">
      <c r="A16" s="16" t="n">
        <v>11</v>
      </c>
      <c r="B16" s="17" t="n">
        <v>276</v>
      </c>
      <c r="C16" s="17" t="inlineStr">
        <is>
          <t>CENTENKA</t>
        </is>
      </c>
      <c r="D16" s="18" t="inlineStr">
        <is>
          <t>Century Enka Limited</t>
        </is>
      </c>
      <c r="E16" s="18" t="inlineStr">
        <is>
          <t>textiles</t>
        </is>
      </c>
      <c r="F16" s="16" t="n">
        <v>31</v>
      </c>
      <c r="G16" s="19" t="n">
        <v>1319.99</v>
      </c>
      <c r="H16" s="18" t="inlineStr">
        <is>
          <t>Potential Leader</t>
        </is>
      </c>
      <c r="J16" s="18" t="inlineStr">
        <is>
          <t>realty</t>
        </is>
      </c>
      <c r="K16" s="16" t="n">
        <v>63</v>
      </c>
      <c r="L16" s="16" t="n">
        <v>55</v>
      </c>
      <c r="M16" s="20" t="inlineStr">
        <is>
          <t>14.5%</t>
        </is>
      </c>
    </row>
    <row r="17">
      <c r="A17" s="16" t="n">
        <v>12</v>
      </c>
      <c r="B17" s="17" t="n">
        <v>276</v>
      </c>
      <c r="C17" s="17" t="inlineStr">
        <is>
          <t>CYIENTDLM</t>
        </is>
      </c>
      <c r="D17" s="18" t="inlineStr">
        <is>
          <t>Cyient DLM Ltd</t>
        </is>
      </c>
      <c r="E17" s="18" t="inlineStr">
        <is>
          <t>consumer discretionary</t>
        </is>
      </c>
      <c r="F17" s="16" t="n">
        <v>31</v>
      </c>
      <c r="G17" s="19" t="n">
        <v>5628.28</v>
      </c>
      <c r="H17" s="18" t="inlineStr">
        <is>
          <t>Potential Leader</t>
        </is>
      </c>
      <c r="J17" s="18" t="inlineStr">
        <is>
          <t>energy</t>
        </is>
      </c>
      <c r="K17" s="16" t="n">
        <v>56</v>
      </c>
      <c r="L17" s="16" t="n">
        <v>52</v>
      </c>
      <c r="M17" s="20" t="inlineStr">
        <is>
          <t>7.7%</t>
        </is>
      </c>
    </row>
    <row r="18">
      <c r="A18" s="16" t="n">
        <v>13</v>
      </c>
      <c r="B18" s="17" t="n">
        <v>276</v>
      </c>
      <c r="C18" s="17" t="inlineStr">
        <is>
          <t>IRISDOREME</t>
        </is>
      </c>
      <c r="D18" s="18" t="inlineStr">
        <is>
          <t>Iris Clothings Ltd</t>
        </is>
      </c>
      <c r="E18" s="18" t="inlineStr">
        <is>
          <t>consumer discretionary</t>
        </is>
      </c>
      <c r="F18" s="16" t="n">
        <v>31</v>
      </c>
      <c r="G18" s="19" t="n">
        <v>1071.95</v>
      </c>
      <c r="H18" s="18" t="inlineStr">
        <is>
          <t>Potential Leader</t>
        </is>
      </c>
      <c r="J18" s="18" t="inlineStr">
        <is>
          <t>auto</t>
        </is>
      </c>
      <c r="K18" s="16" t="n">
        <v>222</v>
      </c>
      <c r="L18" s="16" t="n">
        <v>210</v>
      </c>
      <c r="M18" s="20" t="inlineStr">
        <is>
          <t>5.7%</t>
        </is>
      </c>
    </row>
    <row r="19">
      <c r="A19" s="16" t="n">
        <v>14</v>
      </c>
      <c r="B19" s="17" t="n">
        <v>276</v>
      </c>
      <c r="C19" s="17" t="inlineStr">
        <is>
          <t>RADICO</t>
        </is>
      </c>
      <c r="D19" s="18" t="inlineStr">
        <is>
          <t>Radico Khaitan Limited</t>
        </is>
      </c>
      <c r="E19" s="18" t="inlineStr">
        <is>
          <t>fmcg</t>
        </is>
      </c>
      <c r="F19" s="16" t="n">
        <v>31</v>
      </c>
      <c r="G19" s="19" t="n">
        <v>60871.8</v>
      </c>
      <c r="H19" s="18" t="inlineStr">
        <is>
          <t>Potential Leader</t>
        </is>
      </c>
      <c r="J19" s="18" t="inlineStr">
        <is>
          <t>bank</t>
        </is>
      </c>
      <c r="K19" s="16" t="n">
        <v>74</v>
      </c>
      <c r="L19" s="16" t="n">
        <v>70</v>
      </c>
      <c r="M19" s="20" t="inlineStr">
        <is>
          <t>5.7%</t>
        </is>
      </c>
    </row>
    <row r="20">
      <c r="A20" s="16" t="n">
        <v>15</v>
      </c>
      <c r="B20" s="17" t="n">
        <v>276</v>
      </c>
      <c r="C20" s="17" t="inlineStr">
        <is>
          <t>RPTECH</t>
        </is>
      </c>
      <c r="D20" s="18" t="inlineStr">
        <is>
          <t>Rashi Peripherals Ltd</t>
        </is>
      </c>
      <c r="E20" s="18" t="inlineStr">
        <is>
          <t>services</t>
        </is>
      </c>
      <c r="F20" s="16" t="n">
        <v>31</v>
      </c>
      <c r="G20" s="19" t="n">
        <v>5850.57</v>
      </c>
      <c r="H20" s="18" t="inlineStr">
        <is>
          <t>Potential Leader</t>
        </is>
      </c>
      <c r="J20" s="18" t="inlineStr">
        <is>
          <t>transportation</t>
        </is>
      </c>
      <c r="K20" s="16" t="n">
        <v>46</v>
      </c>
      <c r="L20" s="16" t="n">
        <v>44</v>
      </c>
      <c r="M20" s="20" t="inlineStr">
        <is>
          <t>4.5%</t>
        </is>
      </c>
    </row>
    <row r="21">
      <c r="A21" s="16" t="n">
        <v>16</v>
      </c>
      <c r="B21" s="17" t="n">
        <v>270</v>
      </c>
      <c r="C21" s="17" t="inlineStr">
        <is>
          <t>GABRIEL</t>
        </is>
      </c>
      <c r="D21" s="18" t="inlineStr">
        <is>
          <t>Gabriel India Limited</t>
        </is>
      </c>
      <c r="E21" s="18" t="inlineStr">
        <is>
          <t>auto</t>
        </is>
      </c>
      <c r="F21" s="16" t="n">
        <v>30</v>
      </c>
      <c r="G21" s="19" t="n">
        <v>26609.32</v>
      </c>
      <c r="H21" s="18" t="inlineStr">
        <is>
          <t>Potential Leader</t>
        </is>
      </c>
    </row>
    <row r="22">
      <c r="A22" s="16" t="n">
        <v>17</v>
      </c>
      <c r="B22" s="17" t="n">
        <v>270</v>
      </c>
      <c r="C22" s="17" t="inlineStr">
        <is>
          <t>KAPSTON</t>
        </is>
      </c>
      <c r="D22" s="18" t="inlineStr">
        <is>
          <t>Kapston Services Ltd</t>
        </is>
      </c>
      <c r="E22" s="18" t="inlineStr">
        <is>
          <t>miscellaneous</t>
        </is>
      </c>
      <c r="F22" s="16" t="n">
        <v>30</v>
      </c>
      <c r="G22" s="19" t="n">
        <v>1714.55</v>
      </c>
      <c r="H22" s="18" t="inlineStr">
        <is>
          <t>Potential Leader</t>
        </is>
      </c>
    </row>
    <row r="23">
      <c r="A23" s="16" t="n">
        <v>18</v>
      </c>
      <c r="B23" s="17" t="n">
        <v>270</v>
      </c>
      <c r="C23" s="17" t="inlineStr">
        <is>
          <t>SETL</t>
        </is>
      </c>
      <c r="D23" s="18" t="inlineStr">
        <is>
          <t>Standard Enginnering Technology Ltd</t>
        </is>
      </c>
      <c r="E23" s="18" t="inlineStr">
        <is>
          <t>industrials</t>
        </is>
      </c>
      <c r="F23" s="16" t="n">
        <v>30</v>
      </c>
      <c r="G23" s="19" t="n">
        <v>5930.89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HAPPYFORGE</t>
        </is>
      </c>
      <c r="D24" s="18" t="inlineStr">
        <is>
          <t>Happy Forgings Ltd</t>
        </is>
      </c>
      <c r="E24" s="18" t="inlineStr">
        <is>
          <t>industrials</t>
        </is>
      </c>
      <c r="F24" s="16" t="n">
        <v>28</v>
      </c>
      <c r="G24" s="19" t="n">
        <v>18005.57</v>
      </c>
      <c r="H24" s="18" t="inlineStr">
        <is>
          <t>Potential Leader</t>
        </is>
      </c>
    </row>
    <row r="25">
      <c r="A25" s="16" t="n">
        <v>20</v>
      </c>
      <c r="B25" s="17" t="n">
        <v>243</v>
      </c>
      <c r="C25" s="17" t="inlineStr">
        <is>
          <t>AETHER</t>
        </is>
      </c>
      <c r="D25" s="18" t="inlineStr">
        <is>
          <t>Aether Industries Ltd</t>
        </is>
      </c>
      <c r="E25" s="18" t="inlineStr">
        <is>
          <t>chemicals</t>
        </is>
      </c>
      <c r="F25" s="16" t="n">
        <v>26</v>
      </c>
      <c r="G25" s="19" t="n">
        <v>21687.89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PERSISTENT</t>
        </is>
      </c>
      <c r="B30" s="18" t="inlineStr">
        <is>
          <t>Persistent Systems Limited</t>
        </is>
      </c>
      <c r="C30" s="18" t="inlineStr">
        <is>
          <t>i.t</t>
        </is>
      </c>
      <c r="D30" s="16" t="n">
        <v>10</v>
      </c>
      <c r="E30" s="16" t="n">
        <v>2</v>
      </c>
      <c r="F30" s="19" t="n">
        <v>87330.39999999999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646.49</v>
      </c>
      <c r="N30" s="16" t="n">
        <v>26</v>
      </c>
    </row>
    <row r="31">
      <c r="A31" s="17" t="inlineStr">
        <is>
          <t>PFIZER</t>
        </is>
      </c>
      <c r="B31" s="18" t="inlineStr">
        <is>
          <t>Pfizer Limited</t>
        </is>
      </c>
      <c r="C31" s="18" t="inlineStr">
        <is>
          <t>healthcare</t>
        </is>
      </c>
      <c r="D31" s="16" t="n">
        <v>10</v>
      </c>
      <c r="E31" s="16" t="n">
        <v>1</v>
      </c>
      <c r="F31" s="19" t="n">
        <v>22409.53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2878.57</v>
      </c>
      <c r="N31" s="16" t="n">
        <v>18</v>
      </c>
    </row>
    <row r="32">
      <c r="A32" s="17" t="inlineStr">
        <is>
          <t>ETERNAL</t>
        </is>
      </c>
      <c r="B32" s="18" t="inlineStr">
        <is>
          <t>Eternal Ltd</t>
        </is>
      </c>
      <c r="C32" s="18" t="inlineStr">
        <is>
          <t>i.t</t>
        </is>
      </c>
      <c r="D32" s="16" t="n">
        <v>10</v>
      </c>
      <c r="E32" s="16" t="n">
        <v>2</v>
      </c>
      <c r="F32" s="19" t="n">
        <v>306881.15</v>
      </c>
      <c r="J32" s="17" t="inlineStr">
        <is>
          <t>SANGHVIMOV</t>
        </is>
      </c>
      <c r="K32" s="18" t="inlineStr">
        <is>
          <t>miscellaneous</t>
        </is>
      </c>
      <c r="L32" s="19" t="n">
        <v>295</v>
      </c>
      <c r="M32" s="19" t="n">
        <v>4475.55</v>
      </c>
      <c r="N32" s="16" t="n">
        <v>22</v>
      </c>
    </row>
    <row r="33">
      <c r="A33" s="17" t="inlineStr">
        <is>
          <t>KILITCH</t>
        </is>
      </c>
      <c r="B33" s="18" t="inlineStr">
        <is>
          <t>Kilitch Drugs (india) Limited</t>
        </is>
      </c>
      <c r="C33" s="18" t="inlineStr">
        <is>
          <t>healthcare</t>
        </is>
      </c>
      <c r="D33" s="16" t="n">
        <v>10</v>
      </c>
      <c r="E33" s="16" t="n">
        <v>1</v>
      </c>
      <c r="F33" s="19" t="n">
        <v>669.37</v>
      </c>
      <c r="J33" s="17" t="inlineStr">
        <is>
          <t>BIRLACABLE</t>
        </is>
      </c>
      <c r="K33" s="18" t="inlineStr">
        <is>
          <t>industrials</t>
        </is>
      </c>
      <c r="L33" s="19" t="n">
        <v>293</v>
      </c>
      <c r="M33" s="19" t="n">
        <v>840.78</v>
      </c>
      <c r="N33" s="16" t="n">
        <v>19</v>
      </c>
    </row>
    <row r="34">
      <c r="A34" s="17" t="inlineStr">
        <is>
          <t>SMLMAH</t>
        </is>
      </c>
      <c r="B34" s="18" t="inlineStr">
        <is>
          <t>SML Mahindra Ltd</t>
        </is>
      </c>
      <c r="C34" s="18" t="inlineStr">
        <is>
          <t>auto</t>
        </is>
      </c>
      <c r="D34" s="16" t="n">
        <v>10</v>
      </c>
      <c r="E34" s="16" t="n">
        <v>0</v>
      </c>
      <c r="F34" s="19" t="n">
        <v>7537.56</v>
      </c>
      <c r="J34" s="17" t="inlineStr">
        <is>
          <t>BLUSPRING</t>
        </is>
      </c>
      <c r="K34" s="18" t="inlineStr">
        <is>
          <t>miscellaneous</t>
        </is>
      </c>
      <c r="L34" s="19" t="n">
        <v>293</v>
      </c>
      <c r="M34" s="19" t="n">
        <v>1761.16</v>
      </c>
      <c r="N34" s="16" t="n">
        <v>18</v>
      </c>
    </row>
    <row r="35">
      <c r="A35" s="17" t="inlineStr">
        <is>
          <t>VRLLOG</t>
        </is>
      </c>
      <c r="B35" s="18" t="inlineStr">
        <is>
          <t>Vrl Logistics Limited</t>
        </is>
      </c>
      <c r="C35" s="18" t="inlineStr">
        <is>
          <t>transportation</t>
        </is>
      </c>
      <c r="D35" s="16" t="n">
        <v>10</v>
      </c>
      <c r="E35" s="16" t="n">
        <v>2</v>
      </c>
      <c r="F35" s="19" t="n">
        <v>5339.95</v>
      </c>
      <c r="J35" s="17" t="inlineStr">
        <is>
          <t>PIXTRANS</t>
        </is>
      </c>
      <c r="K35" s="18" t="inlineStr">
        <is>
          <t>fmcg</t>
        </is>
      </c>
      <c r="L35" s="19" t="n">
        <v>292</v>
      </c>
      <c r="M35" s="19" t="n">
        <v>2701.88</v>
      </c>
      <c r="N35" s="16" t="n">
        <v>18</v>
      </c>
    </row>
    <row r="36">
      <c r="A36" s="17" t="inlineStr">
        <is>
          <t>BALKRISIND</t>
        </is>
      </c>
      <c r="B36" s="18" t="inlineStr">
        <is>
          <t>Balkrishna Industries Limited</t>
        </is>
      </c>
      <c r="C36" s="18" t="inlineStr">
        <is>
          <t>auto</t>
        </is>
      </c>
      <c r="D36" s="16" t="n">
        <v>10</v>
      </c>
      <c r="E36" s="16" t="n">
        <v>0</v>
      </c>
      <c r="F36" s="19" t="n">
        <v>48308.03</v>
      </c>
      <c r="J36" s="17" t="inlineStr">
        <is>
          <t>RPTECH</t>
        </is>
      </c>
      <c r="K36" s="18" t="inlineStr">
        <is>
          <t>services</t>
        </is>
      </c>
      <c r="L36" s="19" t="n">
        <v>290</v>
      </c>
      <c r="M36" s="19" t="n">
        <v>5850.57</v>
      </c>
      <c r="N36" s="16" t="n">
        <v>30</v>
      </c>
    </row>
    <row r="37">
      <c r="A37" s="17" t="inlineStr">
        <is>
          <t>INDIGOPNTS</t>
        </is>
      </c>
      <c r="B37" s="18" t="inlineStr">
        <is>
          <t>Indigo Paints Ltd</t>
        </is>
      </c>
      <c r="C37" s="18" t="inlineStr">
        <is>
          <t>building materials</t>
        </is>
      </c>
      <c r="D37" s="16" t="n">
        <v>10</v>
      </c>
      <c r="E37" s="16" t="n">
        <v>1</v>
      </c>
      <c r="F37" s="19" t="n">
        <v>5365.9</v>
      </c>
      <c r="J37" s="17" t="inlineStr">
        <is>
          <t>MENONBE</t>
        </is>
      </c>
      <c r="K37" s="18" t="inlineStr">
        <is>
          <t>auto</t>
        </is>
      </c>
      <c r="L37" s="19" t="n">
        <v>290</v>
      </c>
      <c r="M37" s="19" t="n">
        <v>1329.38</v>
      </c>
      <c r="N37" s="16" t="n">
        <v>26</v>
      </c>
    </row>
    <row r="38">
      <c r="A38" s="17" t="inlineStr">
        <is>
          <t>COFORGE</t>
        </is>
      </c>
      <c r="B38" s="18" t="inlineStr">
        <is>
          <t>Coforge (Niit Tech) Ltd</t>
        </is>
      </c>
      <c r="C38" s="18" t="inlineStr">
        <is>
          <t>i.t</t>
        </is>
      </c>
      <c r="D38" s="16" t="n">
        <v>10</v>
      </c>
      <c r="E38" s="16" t="n">
        <v>1</v>
      </c>
      <c r="F38" s="19" t="n">
        <v>80525.46000000001</v>
      </c>
      <c r="J38" s="17" t="inlineStr">
        <is>
          <t>RANEHOLDIN</t>
        </is>
      </c>
      <c r="K38" s="18" t="inlineStr">
        <is>
          <t>financials</t>
        </is>
      </c>
      <c r="L38" s="19" t="n">
        <v>290</v>
      </c>
      <c r="M38" s="19" t="n">
        <v>2536.02</v>
      </c>
      <c r="N38" s="16" t="n">
        <v>27</v>
      </c>
    </row>
    <row r="39">
      <c r="A39" s="17" t="inlineStr">
        <is>
          <t>GLAXO</t>
        </is>
      </c>
      <c r="B39" s="18" t="inlineStr">
        <is>
          <t>Glaxosmithkline Pharmaceuticals Limited</t>
        </is>
      </c>
      <c r="C39" s="18" t="inlineStr">
        <is>
          <t>healthcare</t>
        </is>
      </c>
      <c r="D39" s="16" t="n">
        <v>10</v>
      </c>
      <c r="E39" s="16" t="n">
        <v>1</v>
      </c>
      <c r="F39" s="19" t="n">
        <v>44077.76</v>
      </c>
      <c r="J39" s="17" t="inlineStr">
        <is>
          <t>FCL</t>
        </is>
      </c>
      <c r="K39" s="18" t="inlineStr">
        <is>
          <t>chemicals</t>
        </is>
      </c>
      <c r="L39" s="19" t="n">
        <v>288</v>
      </c>
      <c r="M39" s="19" t="n">
        <v>5006.19</v>
      </c>
      <c r="N39" s="16" t="n">
        <v>17</v>
      </c>
    </row>
    <row r="40">
      <c r="A40" s="17" t="inlineStr">
        <is>
          <t>APLAPOLLO</t>
        </is>
      </c>
      <c r="B40" s="18" t="inlineStr">
        <is>
          <t>Apl Apollo Tubes Limited</t>
        </is>
      </c>
      <c r="C40" s="18" t="inlineStr">
        <is>
          <t>industrials</t>
        </is>
      </c>
      <c r="D40" s="16" t="n">
        <v>9</v>
      </c>
      <c r="E40" s="16" t="n">
        <v>0</v>
      </c>
      <c r="F40" s="19" t="n">
        <v>55884.31</v>
      </c>
      <c r="J40" s="17" t="inlineStr">
        <is>
          <t>INDOBORAX</t>
        </is>
      </c>
      <c r="K40" s="18" t="inlineStr">
        <is>
          <t>chemicals</t>
        </is>
      </c>
      <c r="L40" s="19" t="n">
        <v>288</v>
      </c>
      <c r="M40" s="19" t="n">
        <v>1390.78</v>
      </c>
      <c r="N40" s="16" t="n">
        <v>17</v>
      </c>
    </row>
    <row r="41">
      <c r="A41" s="17" t="inlineStr">
        <is>
          <t>ANTHEM</t>
        </is>
      </c>
      <c r="B41" s="18" t="inlineStr">
        <is>
          <t>Anthem Biosciences Ltd</t>
        </is>
      </c>
      <c r="C41" s="18" t="inlineStr">
        <is>
          <t>healthcare</t>
        </is>
      </c>
      <c r="D41" s="16" t="n">
        <v>9</v>
      </c>
      <c r="E41" s="16" t="n">
        <v>1</v>
      </c>
      <c r="F41" s="19" t="n">
        <v>50234.2</v>
      </c>
      <c r="J41" s="17" t="inlineStr">
        <is>
          <t>CHEMBONDCH</t>
        </is>
      </c>
      <c r="K41" s="18" t="inlineStr">
        <is>
          <t>chemicals</t>
        </is>
      </c>
      <c r="L41" s="19" t="n">
        <v>288</v>
      </c>
      <c r="M41" s="19" t="n">
        <v>704.02</v>
      </c>
      <c r="N41" s="16" t="n">
        <v>3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120.06</v>
      </c>
      <c r="D47" s="27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2419.11</v>
      </c>
    </row>
    <row r="48">
      <c r="A48" s="16" t="n">
        <v>2</v>
      </c>
      <c r="B48" s="26" t="n">
        <v>99</v>
      </c>
      <c r="C48" s="27" t="n">
        <v>96.58</v>
      </c>
      <c r="D48" s="27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37200.04</v>
      </c>
    </row>
    <row r="49">
      <c r="A49" s="16" t="n">
        <v>3</v>
      </c>
      <c r="B49" s="26" t="n">
        <v>99</v>
      </c>
      <c r="C49" s="27" t="n">
        <v>93.22</v>
      </c>
      <c r="D49" s="27" t="n">
        <v>270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31861.56</v>
      </c>
    </row>
    <row r="50">
      <c r="A50" s="16" t="n">
        <v>4</v>
      </c>
      <c r="B50" s="26" t="n">
        <v>98</v>
      </c>
      <c r="C50" s="27" t="n">
        <v>74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13292.21</v>
      </c>
    </row>
    <row r="51">
      <c r="A51" s="16" t="n">
        <v>5</v>
      </c>
      <c r="B51" s="26" t="n">
        <v>98</v>
      </c>
      <c r="C51" s="27" t="n">
        <v>59.84</v>
      </c>
      <c r="D51" s="27" t="n">
        <v>260</v>
      </c>
      <c r="E51" s="17" t="inlineStr">
        <is>
          <t>YASHO</t>
        </is>
      </c>
      <c r="F51" s="18" t="inlineStr">
        <is>
          <t>Yasho Industries Ltd</t>
        </is>
      </c>
      <c r="G51" s="18" t="inlineStr">
        <is>
          <t>chemicals</t>
        </is>
      </c>
      <c r="H51" s="19" t="n">
        <v>5192.27</v>
      </c>
    </row>
    <row r="52">
      <c r="A52" s="16" t="n">
        <v>6</v>
      </c>
      <c r="B52" s="26" t="n">
        <v>98</v>
      </c>
      <c r="C52" s="27" t="n">
        <v>59.37</v>
      </c>
      <c r="D52" s="27" t="n">
        <v>283</v>
      </c>
      <c r="E52" s="17" t="inlineStr">
        <is>
          <t>ATHERENERG</t>
        </is>
      </c>
      <c r="F52" s="18" t="inlineStr">
        <is>
          <t>Ather Energy Ltd</t>
        </is>
      </c>
      <c r="G52" s="18" t="inlineStr">
        <is>
          <t>auto</t>
        </is>
      </c>
      <c r="H52" s="19" t="n">
        <v>60119.87</v>
      </c>
    </row>
    <row r="53">
      <c r="A53" s="16" t="n">
        <v>7</v>
      </c>
      <c r="B53" s="26" t="n">
        <v>98</v>
      </c>
      <c r="C53" s="27" t="n">
        <v>57.44</v>
      </c>
      <c r="D53" s="27" t="n">
        <v>285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32791.63</v>
      </c>
    </row>
    <row r="54">
      <c r="A54" s="16" t="n">
        <v>8</v>
      </c>
      <c r="B54" s="26" t="n">
        <v>97</v>
      </c>
      <c r="C54" s="27" t="n">
        <v>56.36</v>
      </c>
      <c r="D54" s="27" t="n">
        <v>268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3170.1</v>
      </c>
    </row>
    <row r="55">
      <c r="A55" s="16" t="n">
        <v>9</v>
      </c>
      <c r="B55" s="26" t="n">
        <v>97</v>
      </c>
      <c r="C55" s="27" t="n">
        <v>55.99</v>
      </c>
      <c r="D55" s="27" t="n">
        <v>277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2475.62</v>
      </c>
    </row>
    <row r="56">
      <c r="A56" s="16" t="n">
        <v>10</v>
      </c>
      <c r="B56" s="26" t="n">
        <v>97</v>
      </c>
      <c r="C56" s="27" t="n">
        <v>52.04</v>
      </c>
      <c r="D56" s="27" t="n">
        <v>253</v>
      </c>
      <c r="E56" s="17" t="inlineStr">
        <is>
          <t>DIACABS</t>
        </is>
      </c>
      <c r="F56" s="18" t="inlineStr">
        <is>
          <t>Diamond Power Infrastructure Ltd</t>
        </is>
      </c>
      <c r="G56" s="18" t="inlineStr">
        <is>
          <t>industrials</t>
        </is>
      </c>
      <c r="H56" s="19" t="n">
        <v>19076.35</v>
      </c>
    </row>
    <row r="57">
      <c r="A57" s="16" t="n">
        <v>11</v>
      </c>
      <c r="B57" s="26" t="n">
        <v>97</v>
      </c>
      <c r="C57" s="27" t="n">
        <v>50.55</v>
      </c>
      <c r="D57" s="27" t="n">
        <v>280</v>
      </c>
      <c r="E57" s="17" t="inlineStr">
        <is>
          <t>E2E</t>
        </is>
      </c>
      <c r="F57" s="18" t="inlineStr">
        <is>
          <t>E2E Networks Ltd</t>
        </is>
      </c>
      <c r="G57" s="18" t="inlineStr">
        <is>
          <t>i.t</t>
        </is>
      </c>
      <c r="H57" s="19" t="n">
        <v>12897.14</v>
      </c>
    </row>
    <row r="58">
      <c r="A58" s="16" t="n">
        <v>12</v>
      </c>
      <c r="B58" s="26" t="n">
        <v>97</v>
      </c>
      <c r="C58" s="27" t="n">
        <v>49.27</v>
      </c>
      <c r="D58" s="27" t="n">
        <v>273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555.03</v>
      </c>
    </row>
    <row r="59">
      <c r="A59" s="16" t="n">
        <v>13</v>
      </c>
      <c r="B59" s="26" t="n">
        <v>96</v>
      </c>
      <c r="C59" s="27" t="n">
        <v>49.05</v>
      </c>
      <c r="D59" s="27" t="n">
        <v>277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3443.6</v>
      </c>
    </row>
    <row r="60">
      <c r="A60" s="16" t="n">
        <v>14</v>
      </c>
      <c r="B60" s="26" t="n">
        <v>96</v>
      </c>
      <c r="C60" s="27" t="n">
        <v>47.96</v>
      </c>
      <c r="D60" s="27" t="n">
        <v>260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647.59</v>
      </c>
    </row>
    <row r="61">
      <c r="A61" s="16" t="n">
        <v>15</v>
      </c>
      <c r="B61" s="26" t="n">
        <v>96</v>
      </c>
      <c r="C61" s="27" t="n">
        <v>46.24</v>
      </c>
      <c r="D61" s="27" t="n">
        <v>280</v>
      </c>
      <c r="E61" s="17" t="inlineStr">
        <is>
          <t>UNIVCABLES</t>
        </is>
      </c>
      <c r="F61" s="18" t="inlineStr">
        <is>
          <t>Universal Cables Limited</t>
        </is>
      </c>
      <c r="G61" s="18" t="inlineStr">
        <is>
          <t>industrials</t>
        </is>
      </c>
      <c r="H61" s="19" t="n">
        <v>5792.05</v>
      </c>
    </row>
    <row r="62">
      <c r="A62" s="16" t="n">
        <v>16</v>
      </c>
      <c r="B62" s="26" t="n">
        <v>96</v>
      </c>
      <c r="C62" s="27" t="n">
        <v>45.51</v>
      </c>
      <c r="D62" s="27" t="n">
        <v>255</v>
      </c>
      <c r="E62" s="17" t="inlineStr">
        <is>
          <t>SKYGOLD</t>
        </is>
      </c>
      <c r="F62" s="18" t="inlineStr">
        <is>
          <t>Sky Gold Ltd</t>
        </is>
      </c>
      <c r="G62" s="18" t="inlineStr">
        <is>
          <t>consumer discretionary</t>
        </is>
      </c>
      <c r="H62" s="19" t="n">
        <v>12235.81</v>
      </c>
    </row>
    <row r="63">
      <c r="A63" s="16" t="n">
        <v>17</v>
      </c>
      <c r="B63" s="26" t="n">
        <v>96</v>
      </c>
      <c r="C63" s="27" t="n">
        <v>45.19</v>
      </c>
      <c r="D63" s="27" t="n">
        <v>273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5930.89</v>
      </c>
    </row>
    <row r="64">
      <c r="A64" s="16" t="n">
        <v>18</v>
      </c>
      <c r="B64" s="26" t="n">
        <v>95</v>
      </c>
      <c r="C64" s="27" t="n">
        <v>44.73</v>
      </c>
      <c r="D64" s="27" t="n">
        <v>278</v>
      </c>
      <c r="E64" s="17" t="inlineStr">
        <is>
          <t>CPPLUS</t>
        </is>
      </c>
      <c r="F64" s="18" t="inlineStr">
        <is>
          <t>Aditya Infotech Ltd</t>
        </is>
      </c>
      <c r="G64" s="18" t="inlineStr">
        <is>
          <t>consumer discretionary</t>
        </is>
      </c>
      <c r="H64" s="19" t="n">
        <v>44848</v>
      </c>
    </row>
    <row r="65">
      <c r="A65" s="16" t="n">
        <v>19</v>
      </c>
      <c r="B65" s="26" t="n">
        <v>95</v>
      </c>
      <c r="C65" s="27" t="n">
        <v>43.57</v>
      </c>
      <c r="D65" s="27" t="n">
        <v>310</v>
      </c>
      <c r="E65" s="17" t="inlineStr">
        <is>
          <t>SCPL</t>
        </is>
      </c>
      <c r="F65" s="18" t="inlineStr">
        <is>
          <t>Sheetal Cool Products Ltd</t>
        </is>
      </c>
      <c r="G65" s="18" t="inlineStr">
        <is>
          <t>fmcg</t>
        </is>
      </c>
      <c r="H65" s="19" t="n">
        <v>646.49</v>
      </c>
    </row>
    <row r="66">
      <c r="A66" s="16" t="n">
        <v>20</v>
      </c>
      <c r="B66" s="26" t="n">
        <v>95</v>
      </c>
      <c r="C66" s="27" t="n">
        <v>41.59</v>
      </c>
      <c r="D66" s="27" t="n">
        <v>273</v>
      </c>
      <c r="E66" s="17" t="inlineStr">
        <is>
          <t>MTARTECH</t>
        </is>
      </c>
      <c r="F66" s="18" t="inlineStr">
        <is>
          <t>MTAR Technologies Ltd</t>
        </is>
      </c>
      <c r="G66" s="18" t="inlineStr">
        <is>
          <t>aerospace &amp; defence</t>
        </is>
      </c>
      <c r="H66" s="19" t="n">
        <v>21202.59</v>
      </c>
    </row>
    <row r="67">
      <c r="A67" s="16" t="n">
        <v>21</v>
      </c>
      <c r="B67" s="26" t="n">
        <v>95</v>
      </c>
      <c r="C67" s="27" t="n">
        <v>41.07</v>
      </c>
      <c r="D67" s="27" t="n">
        <v>278</v>
      </c>
      <c r="E67" s="17" t="inlineStr">
        <is>
          <t>NRL</t>
        </is>
      </c>
      <c r="F67" s="18" t="inlineStr">
        <is>
          <t>Nupur Recyclers Ltd</t>
        </is>
      </c>
      <c r="G67" s="18" t="inlineStr">
        <is>
          <t>services</t>
        </is>
      </c>
      <c r="H67" s="19" t="n">
        <v>810.3200000000001</v>
      </c>
    </row>
    <row r="68">
      <c r="A68" s="16" t="n">
        <v>22</v>
      </c>
      <c r="B68" s="28" t="n">
        <v>94</v>
      </c>
      <c r="C68" s="27" t="n">
        <v>40.63</v>
      </c>
      <c r="D68" s="27" t="n">
        <v>290</v>
      </c>
      <c r="E68" s="17" t="inlineStr">
        <is>
          <t>RPTECH</t>
        </is>
      </c>
      <c r="F68" s="18" t="inlineStr">
        <is>
          <t>Rashi Peripherals Ltd</t>
        </is>
      </c>
      <c r="G68" s="18" t="inlineStr">
        <is>
          <t>services</t>
        </is>
      </c>
      <c r="H68" s="19" t="n">
        <v>5850.57</v>
      </c>
    </row>
    <row r="69">
      <c r="A69" s="16" t="n">
        <v>23</v>
      </c>
      <c r="B69" s="28" t="n">
        <v>94</v>
      </c>
      <c r="C69" s="27" t="n">
        <v>40.31</v>
      </c>
      <c r="D69" s="27" t="n">
        <v>223</v>
      </c>
      <c r="E69" s="17" t="inlineStr">
        <is>
          <t>SALSTEEL</t>
        </is>
      </c>
      <c r="F69" s="18" t="inlineStr">
        <is>
          <t>SAL Steel</t>
        </is>
      </c>
      <c r="G69" s="18" t="inlineStr">
        <is>
          <t>metals &amp; mining</t>
        </is>
      </c>
      <c r="H69" s="19" t="n">
        <v>852.53</v>
      </c>
    </row>
    <row r="70">
      <c r="A70" s="16" t="n">
        <v>24</v>
      </c>
      <c r="B70" s="28" t="n">
        <v>94</v>
      </c>
      <c r="C70" s="27" t="n">
        <v>40.18</v>
      </c>
      <c r="D70" s="27" t="n">
        <v>273</v>
      </c>
      <c r="E70" s="17" t="inlineStr">
        <is>
          <t>UNIVASTU</t>
        </is>
      </c>
      <c r="F70" s="18" t="inlineStr">
        <is>
          <t>Univastu India Ltd</t>
        </is>
      </c>
      <c r="G70" s="18" t="inlineStr">
        <is>
          <t>realty</t>
        </is>
      </c>
      <c r="H70" s="19" t="n">
        <v>524.6</v>
      </c>
    </row>
    <row r="71">
      <c r="A71" s="16" t="n">
        <v>25</v>
      </c>
      <c r="B71" s="28" t="n">
        <v>94</v>
      </c>
      <c r="C71" s="27" t="n">
        <v>39.16</v>
      </c>
      <c r="D71" s="27" t="n">
        <v>255</v>
      </c>
      <c r="E71" s="17" t="inlineStr">
        <is>
          <t>KABRAEXTRU</t>
        </is>
      </c>
      <c r="F71" s="18" t="inlineStr">
        <is>
          <t>Kabra Extrusion Technik Limited</t>
        </is>
      </c>
      <c r="G71" s="18" t="inlineStr">
        <is>
          <t>industrials</t>
        </is>
      </c>
      <c r="H71" s="19" t="n">
        <v>1779.07</v>
      </c>
    </row>
    <row r="72">
      <c r="A72" s="16" t="n">
        <v>26</v>
      </c>
      <c r="B72" s="28" t="n">
        <v>94</v>
      </c>
      <c r="C72" s="27" t="n">
        <v>38.59</v>
      </c>
      <c r="D72" s="27" t="n">
        <v>290</v>
      </c>
      <c r="E72" s="17" t="inlineStr">
        <is>
          <t>MENONBE</t>
        </is>
      </c>
      <c r="F72" s="18" t="inlineStr">
        <is>
          <t>Menon Bearings Limited</t>
        </is>
      </c>
      <c r="G72" s="18" t="inlineStr">
        <is>
          <t>auto</t>
        </is>
      </c>
      <c r="H72" s="19" t="n">
        <v>1329.38</v>
      </c>
    </row>
    <row r="73">
      <c r="A73" s="16" t="n">
        <v>27</v>
      </c>
      <c r="B73" s="28" t="n">
        <v>93</v>
      </c>
      <c r="C73" s="27" t="n">
        <v>38.51</v>
      </c>
      <c r="D73" s="27" t="n">
        <v>270</v>
      </c>
      <c r="E73" s="17" t="inlineStr">
        <is>
          <t>RRKABEL</t>
        </is>
      </c>
      <c r="F73" s="18" t="inlineStr">
        <is>
          <t>R R Kabel Ltd</t>
        </is>
      </c>
      <c r="G73" s="18" t="inlineStr">
        <is>
          <t>industrials</t>
        </is>
      </c>
      <c r="H73" s="19" t="n">
        <v>31814.32</v>
      </c>
    </row>
    <row r="74">
      <c r="A74" s="16" t="n">
        <v>28</v>
      </c>
      <c r="B74" s="28" t="n">
        <v>93</v>
      </c>
      <c r="C74" s="27" t="n">
        <v>38.27</v>
      </c>
      <c r="D74" s="27" t="n">
        <v>298</v>
      </c>
      <c r="E74" s="17" t="inlineStr">
        <is>
          <t>VINDHYATEL</t>
        </is>
      </c>
      <c r="F74" s="18" t="inlineStr">
        <is>
          <t>Vindhya Telelinks Limited</t>
        </is>
      </c>
      <c r="G74" s="18" t="inlineStr">
        <is>
          <t>realty</t>
        </is>
      </c>
      <c r="H74" s="19" t="n">
        <v>2878.57</v>
      </c>
    </row>
    <row r="75">
      <c r="A75" s="16" t="n">
        <v>29</v>
      </c>
      <c r="B75" s="28" t="n">
        <v>93</v>
      </c>
      <c r="C75" s="27" t="n">
        <v>38.06</v>
      </c>
      <c r="D75" s="27" t="n">
        <v>268</v>
      </c>
      <c r="E75" s="17" t="inlineStr">
        <is>
          <t>MODISONLTD</t>
        </is>
      </c>
      <c r="F75" s="18" t="inlineStr">
        <is>
          <t>Modison Ltd</t>
        </is>
      </c>
      <c r="G75" s="18" t="inlineStr">
        <is>
          <t>industrials</t>
        </is>
      </c>
      <c r="H75" s="19" t="n">
        <v>997.6799999999999</v>
      </c>
    </row>
    <row r="76">
      <c r="A76" s="16" t="n">
        <v>30</v>
      </c>
      <c r="B76" s="28" t="n">
        <v>93</v>
      </c>
      <c r="C76" s="27" t="n">
        <v>37.99</v>
      </c>
      <c r="D76" s="27" t="n">
        <v>250</v>
      </c>
      <c r="E76" s="17" t="inlineStr">
        <is>
          <t>KAPSTON</t>
        </is>
      </c>
      <c r="F76" s="18" t="inlineStr">
        <is>
          <t>Kapston Services Ltd</t>
        </is>
      </c>
      <c r="G76" s="18" t="inlineStr">
        <is>
          <t>miscellaneous</t>
        </is>
      </c>
      <c r="H76" s="19" t="n">
        <v>1714.55</v>
      </c>
    </row>
    <row r="77">
      <c r="A77" s="16" t="n">
        <v>31</v>
      </c>
      <c r="B77" s="28" t="n">
        <v>93</v>
      </c>
      <c r="C77" s="27" t="n">
        <v>36.94</v>
      </c>
      <c r="D77" s="27" t="n">
        <v>260</v>
      </c>
      <c r="E77" s="17" t="inlineStr">
        <is>
          <t>SAPL</t>
        </is>
      </c>
      <c r="F77" s="18" t="inlineStr">
        <is>
          <t>Sar Auto Products Limited</t>
        </is>
      </c>
      <c r="G77" s="18" t="inlineStr">
        <is>
          <t>Consumer Cyclical</t>
        </is>
      </c>
      <c r="H77" s="19" t="n">
        <v>1909.95</v>
      </c>
    </row>
    <row r="78">
      <c r="A78" s="16" t="n">
        <v>32</v>
      </c>
      <c r="B78" s="28" t="n">
        <v>92</v>
      </c>
      <c r="C78" s="27" t="n">
        <v>36.53</v>
      </c>
      <c r="D78" s="27" t="n">
        <v>248</v>
      </c>
      <c r="E78" s="17" t="inlineStr">
        <is>
          <t>UEL</t>
        </is>
      </c>
      <c r="F78" s="18" t="inlineStr">
        <is>
          <t>Ujaas Energy Ltd</t>
        </is>
      </c>
      <c r="G78" s="18" t="inlineStr">
        <is>
          <t>power &amp; utilities</t>
        </is>
      </c>
      <c r="H78" s="19" t="n">
        <v>3643.36</v>
      </c>
    </row>
    <row r="79">
      <c r="A79" s="16" t="n">
        <v>33</v>
      </c>
      <c r="B79" s="28" t="n">
        <v>92</v>
      </c>
      <c r="C79" s="27" t="n">
        <v>36.52</v>
      </c>
      <c r="D79" s="27" t="n">
        <v>277</v>
      </c>
      <c r="E79" s="17" t="inlineStr">
        <is>
          <t>CNL</t>
        </is>
      </c>
      <c r="F79" s="18" t="inlineStr">
        <is>
          <t>Creative Newtech Limited</t>
        </is>
      </c>
      <c r="G79" s="18" t="inlineStr">
        <is>
          <t>Technology</t>
        </is>
      </c>
      <c r="H79" s="19" t="n">
        <v>1812.89</v>
      </c>
    </row>
    <row r="80">
      <c r="A80" s="16" t="n">
        <v>34</v>
      </c>
      <c r="B80" s="28" t="n">
        <v>92</v>
      </c>
      <c r="C80" s="27" t="n">
        <v>36.11</v>
      </c>
      <c r="D80" s="27" t="n">
        <v>268</v>
      </c>
      <c r="E80" s="17" t="inlineStr">
        <is>
          <t>SANSERA</t>
        </is>
      </c>
      <c r="F80" s="18" t="inlineStr">
        <is>
          <t>Sansera Engineering Ltd</t>
        </is>
      </c>
      <c r="G80" s="18" t="inlineStr">
        <is>
          <t>auto</t>
        </is>
      </c>
      <c r="H80" s="19" t="n">
        <v>22996.34</v>
      </c>
    </row>
    <row r="81">
      <c r="A81" s="16" t="n">
        <v>35</v>
      </c>
      <c r="B81" s="28" t="n">
        <v>92</v>
      </c>
      <c r="C81" s="27" t="n">
        <v>35</v>
      </c>
      <c r="D81" s="27" t="n">
        <v>273</v>
      </c>
      <c r="E81" s="17" t="inlineStr">
        <is>
          <t>FILATEX</t>
        </is>
      </c>
      <c r="F81" s="18" t="inlineStr">
        <is>
          <t>Filatex India Limited</t>
        </is>
      </c>
      <c r="G81" s="18" t="inlineStr">
        <is>
          <t>textiles</t>
        </is>
      </c>
      <c r="H81" s="19" t="n">
        <v>3691.01</v>
      </c>
    </row>
    <row r="82">
      <c r="A82" s="16" t="n">
        <v>36</v>
      </c>
      <c r="B82" s="28" t="n">
        <v>91</v>
      </c>
      <c r="C82" s="27" t="n">
        <v>34.91</v>
      </c>
      <c r="D82" s="27" t="n">
        <v>293</v>
      </c>
      <c r="E82" s="17" t="inlineStr">
        <is>
          <t>BIRLACABLE</t>
        </is>
      </c>
      <c r="F82" s="18" t="inlineStr">
        <is>
          <t>Birla Cable Limited</t>
        </is>
      </c>
      <c r="G82" s="18" t="inlineStr">
        <is>
          <t>industrials</t>
        </is>
      </c>
      <c r="H82" s="19" t="n">
        <v>840.78</v>
      </c>
    </row>
    <row r="83">
      <c r="A83" s="16" t="n">
        <v>37</v>
      </c>
      <c r="B83" s="28" t="n">
        <v>91</v>
      </c>
      <c r="C83" s="27" t="n">
        <v>34.58</v>
      </c>
      <c r="D83" s="27" t="n">
        <v>245</v>
      </c>
      <c r="E83" s="17" t="inlineStr">
        <is>
          <t>SOTL</t>
        </is>
      </c>
      <c r="F83" s="18" t="inlineStr">
        <is>
          <t>Savita Oil Technologies Limited</t>
        </is>
      </c>
      <c r="G83" s="18" t="inlineStr">
        <is>
          <t>energy</t>
        </is>
      </c>
      <c r="H83" s="19" t="n">
        <v>4799.57</v>
      </c>
    </row>
    <row r="84">
      <c r="A84" s="16" t="n">
        <v>38</v>
      </c>
      <c r="B84" s="28" t="n">
        <v>91</v>
      </c>
      <c r="C84" s="27" t="n">
        <v>33.8</v>
      </c>
      <c r="D84" s="27" t="n">
        <v>260</v>
      </c>
      <c r="E84" s="17" t="inlineStr">
        <is>
          <t>BLUESTONE</t>
        </is>
      </c>
      <c r="F84" s="18" t="inlineStr">
        <is>
          <t>BLUESTONE</t>
        </is>
      </c>
      <c r="G84" s="18" t="inlineStr">
        <is>
          <t>Consumer Cyclical</t>
        </is>
      </c>
      <c r="H84" s="19" t="n">
        <v>13663.43</v>
      </c>
    </row>
    <row r="85">
      <c r="A85" s="16" t="n">
        <v>39</v>
      </c>
      <c r="B85" s="28" t="n">
        <v>91</v>
      </c>
      <c r="C85" s="27" t="n">
        <v>33.7</v>
      </c>
      <c r="D85" s="27" t="n">
        <v>278</v>
      </c>
      <c r="E85" s="17" t="inlineStr">
        <is>
          <t>BHARATSE</t>
        </is>
      </c>
      <c r="F85" s="18" t="inlineStr">
        <is>
          <t>Bharat Seats Ltd</t>
        </is>
      </c>
      <c r="G85" s="18" t="inlineStr">
        <is>
          <t>auto</t>
        </is>
      </c>
      <c r="H85" s="19" t="n">
        <v>1454.32</v>
      </c>
    </row>
    <row r="86">
      <c r="A86" s="16" t="n">
        <v>40</v>
      </c>
      <c r="B86" s="28" t="n">
        <v>91</v>
      </c>
      <c r="C86" s="27" t="n">
        <v>33.28</v>
      </c>
      <c r="D86" s="27" t="n">
        <v>263</v>
      </c>
      <c r="E86" s="17" t="inlineStr">
        <is>
          <t>KMEW</t>
        </is>
      </c>
      <c r="F86" s="18" t="inlineStr">
        <is>
          <t>Knowledge Marine &amp; Engineering Works Ltd</t>
        </is>
      </c>
      <c r="G86" s="18" t="inlineStr">
        <is>
          <t>transportation</t>
        </is>
      </c>
      <c r="H86" s="19" t="n">
        <v>6407.05</v>
      </c>
    </row>
    <row r="87">
      <c r="A87" s="16" t="n">
        <v>41</v>
      </c>
      <c r="B87" s="28" t="n">
        <v>90</v>
      </c>
      <c r="C87" s="27" t="n">
        <v>33.07</v>
      </c>
      <c r="D87" s="27" t="n">
        <v>250</v>
      </c>
      <c r="E87" s="17" t="inlineStr">
        <is>
          <t>COMSYN</t>
        </is>
      </c>
      <c r="F87" s="18" t="inlineStr">
        <is>
          <t>Commercial Syn Bags Ltd</t>
        </is>
      </c>
      <c r="G87" s="18" t="inlineStr">
        <is>
          <t>industrials</t>
        </is>
      </c>
      <c r="H87" s="19" t="n">
        <v>1079.28</v>
      </c>
    </row>
    <row r="88">
      <c r="A88" s="16" t="n">
        <v>42</v>
      </c>
      <c r="B88" s="28" t="n">
        <v>90</v>
      </c>
      <c r="C88" s="27" t="n">
        <v>32.97</v>
      </c>
      <c r="D88" s="27" t="n">
        <v>288</v>
      </c>
      <c r="E88" s="17" t="inlineStr">
        <is>
          <t>INDOBORAX</t>
        </is>
      </c>
      <c r="F88" s="18" t="inlineStr">
        <is>
          <t>Indo Borax &amp; Chemicals Ltd</t>
        </is>
      </c>
      <c r="G88" s="18" t="inlineStr">
        <is>
          <t>chemicals</t>
        </is>
      </c>
      <c r="H88" s="19" t="n">
        <v>1390.78</v>
      </c>
    </row>
    <row r="89">
      <c r="A89" s="16" t="n">
        <v>43</v>
      </c>
      <c r="B89" s="28" t="n">
        <v>90</v>
      </c>
      <c r="C89" s="27" t="n">
        <v>32.67</v>
      </c>
      <c r="D89" s="27" t="n">
        <v>262</v>
      </c>
      <c r="E89" s="17" t="inlineStr">
        <is>
          <t>SBCL</t>
        </is>
      </c>
      <c r="F89" s="18" t="inlineStr">
        <is>
          <t>Shivalik Bimetal Controls Ltd</t>
        </is>
      </c>
      <c r="G89" s="18" t="inlineStr">
        <is>
          <t>metals &amp; mining</t>
        </is>
      </c>
      <c r="H89" s="19" t="n">
        <v>5986.23</v>
      </c>
    </row>
    <row r="90">
      <c r="A90" s="16" t="n">
        <v>44</v>
      </c>
      <c r="B90" s="28" t="n">
        <v>90</v>
      </c>
      <c r="C90" s="27" t="n">
        <v>32.23</v>
      </c>
      <c r="D90" s="27" t="n">
        <v>248</v>
      </c>
      <c r="E90" s="17" t="inlineStr">
        <is>
          <t>MARINE</t>
        </is>
      </c>
      <c r="F90" s="18" t="inlineStr">
        <is>
          <t>Marine Electricals (India) Ltd</t>
        </is>
      </c>
      <c r="G90" s="18" t="inlineStr">
        <is>
          <t>industrials</t>
        </is>
      </c>
      <c r="H90" s="19" t="n">
        <v>4893.86</v>
      </c>
    </row>
    <row r="91">
      <c r="A91" s="16" t="n">
        <v>45</v>
      </c>
      <c r="B91" s="28" t="n">
        <v>90</v>
      </c>
      <c r="C91" s="27" t="n">
        <v>31.8</v>
      </c>
      <c r="D91" s="27" t="n">
        <v>282</v>
      </c>
      <c r="E91" s="17" t="inlineStr">
        <is>
          <t>SAKAR</t>
        </is>
      </c>
      <c r="F91" s="18" t="inlineStr">
        <is>
          <t>Sakar Healthcare Ltd</t>
        </is>
      </c>
      <c r="G91" s="18" t="inlineStr">
        <is>
          <t>healthcare</t>
        </is>
      </c>
      <c r="H91" s="19" t="n">
        <v>2122.09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TCPLPACK</t>
        </is>
      </c>
      <c r="B2" s="30" t="inlineStr">
        <is>
          <t>TCPL Packaging Ltd</t>
        </is>
      </c>
      <c r="C2" s="30" t="inlineStr">
        <is>
          <t>industrials</t>
        </is>
      </c>
      <c r="D2" s="30" t="inlineStr">
        <is>
          <t>packaging</t>
        </is>
      </c>
      <c r="E2" s="30" t="inlineStr">
        <is>
          <t>smallcap</t>
        </is>
      </c>
      <c r="F2" s="30" t="n">
        <v>3344.98</v>
      </c>
      <c r="G2" s="30" t="n">
        <v>4394.9</v>
      </c>
      <c r="H2" s="30" t="n">
        <v>19.56</v>
      </c>
      <c r="I2" s="30" t="n">
        <v>481743</v>
      </c>
      <c r="J2" s="30" t="inlineStr">
        <is>
          <t>523301</t>
        </is>
      </c>
    </row>
    <row r="3">
      <c r="A3" s="30" t="inlineStr">
        <is>
          <t>TDPOWERSYS</t>
        </is>
      </c>
      <c r="B3" s="30" t="inlineStr">
        <is>
          <t>Td Power Systems Limited</t>
        </is>
      </c>
      <c r="C3" s="30" t="inlineStr">
        <is>
          <t>industrials</t>
        </is>
      </c>
      <c r="D3" s="30" t="inlineStr">
        <is>
          <t>electric equipment</t>
        </is>
      </c>
      <c r="E3" s="30" t="inlineStr">
        <is>
          <t>midcap</t>
        </is>
      </c>
      <c r="F3" s="30" t="n">
        <v>19928.5</v>
      </c>
      <c r="G3" s="30" t="n">
        <v>1480.1</v>
      </c>
      <c r="H3" s="30" t="n">
        <v>16.03</v>
      </c>
      <c r="I3" s="30" t="n">
        <v>11127581</v>
      </c>
      <c r="J3" s="30" t="inlineStr">
        <is>
          <t>533553</t>
        </is>
      </c>
    </row>
    <row r="4">
      <c r="A4" s="30" t="inlineStr">
        <is>
          <t>DIVGIITTS</t>
        </is>
      </c>
      <c r="B4" s="30" t="inlineStr">
        <is>
          <t>Divgi Torqtransfer Systems Ltd</t>
        </is>
      </c>
      <c r="C4" s="30" t="inlineStr">
        <is>
          <t>auto</t>
        </is>
      </c>
      <c r="D4" s="30" t="inlineStr">
        <is>
          <t>auto ancillaries</t>
        </is>
      </c>
      <c r="E4" s="30" t="inlineStr">
        <is>
          <t>smallcap</t>
        </is>
      </c>
      <c r="F4" s="30" t="n">
        <v>3291.95</v>
      </c>
      <c r="G4" s="30" t="n">
        <v>1231.95</v>
      </c>
      <c r="H4" s="30" t="n">
        <v>14.45</v>
      </c>
      <c r="I4" s="30" t="n">
        <v>2717226</v>
      </c>
      <c r="J4" s="30" t="inlineStr">
        <is>
          <t>543812</t>
        </is>
      </c>
    </row>
    <row r="5">
      <c r="A5" s="30" t="inlineStr">
        <is>
          <t>DOLPHIN</t>
        </is>
      </c>
      <c r="B5" s="30" t="inlineStr">
        <is>
          <t>Dolphin Offshore Enterprises (India) Ltd</t>
        </is>
      </c>
      <c r="C5" s="30" t="inlineStr">
        <is>
          <t>energy</t>
        </is>
      </c>
      <c r="D5" s="30" t="inlineStr">
        <is>
          <t>oil drilling / allied services</t>
        </is>
      </c>
      <c r="E5" s="30" t="inlineStr">
        <is>
          <t>smallcap</t>
        </is>
      </c>
      <c r="F5" s="30" t="n">
        <v>1762.4</v>
      </c>
      <c r="G5" s="30" t="n">
        <v>494.35</v>
      </c>
      <c r="H5" s="30" t="n">
        <v>12.21</v>
      </c>
      <c r="I5" s="30" t="n">
        <v>654932</v>
      </c>
      <c r="J5" s="30" t="inlineStr">
        <is>
          <t>522261</t>
        </is>
      </c>
    </row>
    <row r="6">
      <c r="A6" s="30" t="inlineStr">
        <is>
          <t>MARKSANS</t>
        </is>
      </c>
      <c r="B6" s="30" t="inlineStr">
        <is>
          <t>Marksans Pharma Limited</t>
        </is>
      </c>
      <c r="C6" s="30" t="inlineStr">
        <is>
          <t>healthcare</t>
        </is>
      </c>
      <c r="D6" s="30" t="inlineStr">
        <is>
          <t>pharmaceuticals - indian - formulations</t>
        </is>
      </c>
      <c r="E6" s="30" t="inlineStr">
        <is>
          <t>midcap</t>
        </is>
      </c>
      <c r="F6" s="30" t="n">
        <v>12641</v>
      </c>
      <c r="G6" s="30" t="n">
        <v>312.6</v>
      </c>
      <c r="H6" s="30" t="n">
        <v>12.06</v>
      </c>
      <c r="I6" s="30" t="n">
        <v>47809908</v>
      </c>
      <c r="J6" s="30" t="inlineStr">
        <is>
          <t>524404</t>
        </is>
      </c>
    </row>
    <row r="7">
      <c r="A7" s="30" t="inlineStr">
        <is>
          <t>TIIL</t>
        </is>
      </c>
      <c r="B7" s="30" t="inlineStr">
        <is>
          <t>Technocraft Industries (india) Limited</t>
        </is>
      </c>
      <c r="C7" s="30" t="inlineStr">
        <is>
          <t>metals &amp; mining</t>
        </is>
      </c>
      <c r="D7" s="30" t="inlineStr">
        <is>
          <t>steel - medium / small</t>
        </is>
      </c>
      <c r="E7" s="30" t="inlineStr">
        <is>
          <t>midcap</t>
        </is>
      </c>
      <c r="F7" s="30" t="n">
        <v>5915.11</v>
      </c>
      <c r="G7" s="30" t="n">
        <v>2878.3</v>
      </c>
      <c r="H7" s="30" t="n">
        <v>10.33</v>
      </c>
      <c r="I7" s="30" t="n">
        <v>192964</v>
      </c>
      <c r="J7" s="30" t="inlineStr">
        <is>
          <t>532804</t>
        </is>
      </c>
    </row>
    <row r="8">
      <c r="A8" s="30" t="inlineStr">
        <is>
          <t>SYNCOMF</t>
        </is>
      </c>
      <c r="B8" s="30" t="inlineStr">
        <is>
          <t>Syncom Formulations (India) Ltd</t>
        </is>
      </c>
      <c r="C8" s="30" t="inlineStr">
        <is>
          <t>healthcare</t>
        </is>
      </c>
      <c r="D8" s="30" t="inlineStr">
        <is>
          <t>pharmaceuticals - indian - bulk drugs &amp; formln</t>
        </is>
      </c>
      <c r="E8" s="30" t="inlineStr">
        <is>
          <t>smallcap</t>
        </is>
      </c>
      <c r="F8" s="30" t="n">
        <v>1365.82</v>
      </c>
      <c r="G8" s="30" t="n">
        <v>15.88</v>
      </c>
      <c r="H8" s="30" t="n">
        <v>9.289999999999999</v>
      </c>
      <c r="I8" s="30" t="n">
        <v>58681244</v>
      </c>
      <c r="J8" s="30" t="inlineStr">
        <is>
          <t>524470</t>
        </is>
      </c>
    </row>
    <row r="9">
      <c r="A9" s="30" t="inlineStr">
        <is>
          <t>PITTIENG</t>
        </is>
      </c>
      <c r="B9" s="30" t="inlineStr">
        <is>
          <t>Pitti Engineering Ltd</t>
        </is>
      </c>
      <c r="C9" s="30" t="inlineStr">
        <is>
          <t>industrials</t>
        </is>
      </c>
      <c r="D9" s="30" t="inlineStr">
        <is>
          <t>engineering</t>
        </is>
      </c>
      <c r="E9" s="30" t="inlineStr">
        <is>
          <t>smallcap</t>
        </is>
      </c>
      <c r="F9" s="30" t="n">
        <v>3616.06</v>
      </c>
      <c r="G9" s="30" t="n">
        <v>1044.1</v>
      </c>
      <c r="H9" s="30" t="n">
        <v>8.720000000000001</v>
      </c>
      <c r="I9" s="30" t="n">
        <v>696512</v>
      </c>
      <c r="J9" s="30" t="inlineStr">
        <is>
          <t>513519</t>
        </is>
      </c>
    </row>
    <row r="10">
      <c r="A10" s="30" t="inlineStr">
        <is>
          <t>NATIONALUM</t>
        </is>
      </c>
      <c r="B10" s="30" t="inlineStr">
        <is>
          <t>National Aluminium Company Limited</t>
        </is>
      </c>
      <c r="C10" s="30" t="inlineStr">
        <is>
          <t>metals &amp; mining</t>
        </is>
      </c>
      <c r="D10" s="30" t="inlineStr">
        <is>
          <t>aluminium and aluminium products</t>
        </is>
      </c>
      <c r="E10" s="30" t="inlineStr">
        <is>
          <t>largecap</t>
        </is>
      </c>
      <c r="F10" s="30" t="n">
        <v>71261.31</v>
      </c>
      <c r="G10" s="30" t="n">
        <v>420</v>
      </c>
      <c r="H10" s="30" t="n">
        <v>8.25</v>
      </c>
      <c r="I10" s="30" t="n">
        <v>34388331</v>
      </c>
      <c r="J10" s="30" t="inlineStr">
        <is>
          <t>532234</t>
        </is>
      </c>
    </row>
    <row r="11">
      <c r="A11" s="30" t="inlineStr">
        <is>
          <t>KENNAMET</t>
        </is>
      </c>
      <c r="B11" s="30" t="inlineStr">
        <is>
          <t>Kennametal India Ltd</t>
        </is>
      </c>
      <c r="C11" s="30" t="inlineStr">
        <is>
          <t>industrials</t>
        </is>
      </c>
      <c r="D11" s="30" t="inlineStr">
        <is>
          <t>castings &amp; forgings</t>
        </is>
      </c>
      <c r="E11" s="30" t="inlineStr">
        <is>
          <t>midcap</t>
        </is>
      </c>
      <c r="F11" s="30" t="n">
        <v>7257</v>
      </c>
      <c r="G11" s="30" t="n">
        <v>3572.3</v>
      </c>
      <c r="H11" s="30" t="n">
        <v>8.19</v>
      </c>
      <c r="I11" s="30" t="n">
        <v>197969</v>
      </c>
      <c r="J11" s="30" t="inlineStr">
        <is>
          <t>505890</t>
        </is>
      </c>
    </row>
    <row r="12">
      <c r="A12" s="30" t="inlineStr">
        <is>
          <t>KANPRPLA</t>
        </is>
      </c>
      <c r="B12" s="30" t="inlineStr">
        <is>
          <t>Kanpur Plastipack Ltd</t>
        </is>
      </c>
      <c r="C12" s="30" t="inlineStr">
        <is>
          <t>industrials</t>
        </is>
      </c>
      <c r="D12" s="30" t="inlineStr">
        <is>
          <t>packaging</t>
        </is>
      </c>
      <c r="E12" s="30" t="inlineStr">
        <is>
          <t>smallcap</t>
        </is>
      </c>
      <c r="F12" s="30" t="n">
        <v>528.55</v>
      </c>
      <c r="G12" s="30" t="n">
        <v>232.45</v>
      </c>
      <c r="H12" s="30" t="n">
        <v>7.66</v>
      </c>
      <c r="I12" s="30" t="n">
        <v>101318</v>
      </c>
      <c r="J12" s="30" t="inlineStr">
        <is>
          <t>507779</t>
        </is>
      </c>
    </row>
    <row r="13">
      <c r="A13" s="30" t="inlineStr">
        <is>
          <t>APARINDS</t>
        </is>
      </c>
      <c r="B13" s="30" t="inlineStr">
        <is>
          <t>Apar Industries Limited</t>
        </is>
      </c>
      <c r="C13" s="30" t="inlineStr">
        <is>
          <t>industrials</t>
        </is>
      </c>
      <c r="D13" s="30" t="inlineStr">
        <is>
          <t>electric equipment</t>
        </is>
      </c>
      <c r="E13" s="30" t="inlineStr">
        <is>
          <t>largecap</t>
        </is>
      </c>
      <c r="F13" s="30" t="n">
        <v>67283.81</v>
      </c>
      <c r="G13" s="30" t="n">
        <v>18000</v>
      </c>
      <c r="H13" s="30" t="n">
        <v>7.48</v>
      </c>
      <c r="I13" s="30" t="n">
        <v>378780</v>
      </c>
      <c r="J13" s="30" t="inlineStr">
        <is>
          <t>532259</t>
        </is>
      </c>
    </row>
    <row r="14">
      <c r="A14" s="30" t="inlineStr">
        <is>
          <t>MANINDS</t>
        </is>
      </c>
      <c r="B14" s="30" t="inlineStr">
        <is>
          <t>Man Industries (india) Limited</t>
        </is>
      </c>
      <c r="C14" s="30" t="inlineStr">
        <is>
          <t>metals &amp; mining</t>
        </is>
      </c>
      <c r="D14" s="30" t="inlineStr">
        <is>
          <t>steel - medium / small</t>
        </is>
      </c>
      <c r="E14" s="30" t="inlineStr">
        <is>
          <t>smallcap</t>
        </is>
      </c>
      <c r="F14" s="30" t="n">
        <v>4193.79</v>
      </c>
      <c r="G14" s="30" t="n">
        <v>598.65</v>
      </c>
      <c r="H14" s="30" t="n">
        <v>7.07</v>
      </c>
      <c r="I14" s="30" t="n">
        <v>10838305</v>
      </c>
      <c r="J14" s="30" t="inlineStr">
        <is>
          <t>513269</t>
        </is>
      </c>
    </row>
    <row r="15">
      <c r="A15" s="30" t="inlineStr">
        <is>
          <t>SALSTEEL</t>
        </is>
      </c>
      <c r="B15" s="30" t="inlineStr">
        <is>
          <t>SAL Steel</t>
        </is>
      </c>
      <c r="C15" s="30" t="inlineStr">
        <is>
          <t>metals &amp; mining</t>
        </is>
      </c>
      <c r="D15" s="30" t="inlineStr">
        <is>
          <t>steel - sponge iron</t>
        </is>
      </c>
      <c r="E15" s="30" t="inlineStr">
        <is>
          <t>smallcap</t>
        </is>
      </c>
      <c r="F15" s="30" t="n">
        <v>852.53</v>
      </c>
      <c r="G15" s="30" t="n">
        <v>63.05</v>
      </c>
      <c r="H15" s="30" t="n">
        <v>7.06</v>
      </c>
      <c r="I15" s="30" t="n">
        <v>830005</v>
      </c>
      <c r="J15" s="30" t="inlineStr">
        <is>
          <t>532604</t>
        </is>
      </c>
    </row>
    <row r="16">
      <c r="A16" s="30" t="inlineStr">
        <is>
          <t>ITDC</t>
        </is>
      </c>
      <c r="B16" s="30" t="inlineStr">
        <is>
          <t>India Tourism Development Corporation Ltd</t>
        </is>
      </c>
      <c r="C16" s="30" t="inlineStr">
        <is>
          <t>services</t>
        </is>
      </c>
      <c r="D16" s="30" t="inlineStr">
        <is>
          <t>hotels</t>
        </is>
      </c>
      <c r="E16" s="30" t="inlineStr">
        <is>
          <t>midcap</t>
        </is>
      </c>
      <c r="F16" s="30" t="n">
        <v>5803.59</v>
      </c>
      <c r="G16" s="30" t="n">
        <v>721.05</v>
      </c>
      <c r="H16" s="30" t="n">
        <v>6.56</v>
      </c>
      <c r="I16" s="30" t="n">
        <v>3428743</v>
      </c>
      <c r="J16" s="30" t="inlineStr">
        <is>
          <t>532189</t>
        </is>
      </c>
    </row>
    <row r="17">
      <c r="A17" s="30" t="inlineStr">
        <is>
          <t>VINDHYATEL</t>
        </is>
      </c>
      <c r="B17" s="30" t="inlineStr">
        <is>
          <t>Vindhya Telelinks Limited</t>
        </is>
      </c>
      <c r="C17" s="30" t="inlineStr">
        <is>
          <t>realty</t>
        </is>
      </c>
      <c r="D17" s="30" t="inlineStr">
        <is>
          <t>construction</t>
        </is>
      </c>
      <c r="E17" s="30" t="inlineStr">
        <is>
          <t>smallcap</t>
        </is>
      </c>
      <c r="F17" s="30" t="n">
        <v>2878.57</v>
      </c>
      <c r="G17" s="30" t="n">
        <v>2582.7</v>
      </c>
      <c r="H17" s="30" t="n">
        <v>6.33</v>
      </c>
      <c r="I17" s="30" t="n">
        <v>174110</v>
      </c>
      <c r="J17" s="30" t="inlineStr">
        <is>
          <t>517015</t>
        </is>
      </c>
    </row>
    <row r="18">
      <c r="A18" s="30" t="inlineStr">
        <is>
          <t>PRICOLLTD</t>
        </is>
      </c>
      <c r="B18" s="30" t="inlineStr">
        <is>
          <t>Pricol Ltd.</t>
        </is>
      </c>
      <c r="C18" s="30" t="inlineStr">
        <is>
          <t>auto</t>
        </is>
      </c>
      <c r="D18" s="30" t="inlineStr">
        <is>
          <t>auto ancillaries</t>
        </is>
      </c>
      <c r="E18" s="30" t="inlineStr">
        <is>
          <t>midcap</t>
        </is>
      </c>
      <c r="F18" s="30" t="n">
        <v>8984.49</v>
      </c>
      <c r="G18" s="30" t="n">
        <v>783.25</v>
      </c>
      <c r="H18" s="30" t="n">
        <v>6.25</v>
      </c>
      <c r="I18" s="30" t="n">
        <v>1368057</v>
      </c>
      <c r="J18" s="30" t="inlineStr">
        <is>
          <t>540293</t>
        </is>
      </c>
    </row>
    <row r="19">
      <c r="A19" s="30" t="inlineStr">
        <is>
          <t>HAPPYFORGE</t>
        </is>
      </c>
      <c r="B19" s="30" t="inlineStr">
        <is>
          <t>Happy Forgings Ltd</t>
        </is>
      </c>
      <c r="C19" s="30" t="inlineStr">
        <is>
          <t>industrials</t>
        </is>
      </c>
      <c r="D19" s="30" t="inlineStr">
        <is>
          <t>castings &amp; forgings</t>
        </is>
      </c>
      <c r="E19" s="30" t="inlineStr">
        <is>
          <t>midcap</t>
        </is>
      </c>
      <c r="F19" s="30" t="n">
        <v>18005.57</v>
      </c>
      <c r="G19" s="30" t="n">
        <v>2022.7</v>
      </c>
      <c r="H19" s="30" t="n">
        <v>6.02</v>
      </c>
      <c r="I19" s="30" t="n">
        <v>244242</v>
      </c>
      <c r="J19" s="30" t="inlineStr">
        <is>
          <t>544057</t>
        </is>
      </c>
    </row>
    <row r="20">
      <c r="A20" s="30" t="inlineStr">
        <is>
          <t>FINCABLES</t>
        </is>
      </c>
      <c r="B20" s="30" t="inlineStr">
        <is>
          <t>Finolex Cables Limited</t>
        </is>
      </c>
      <c r="C20" s="30" t="inlineStr">
        <is>
          <t>industrials</t>
        </is>
      </c>
      <c r="D20" s="30" t="inlineStr">
        <is>
          <t>cables - power</t>
        </is>
      </c>
      <c r="E20" s="30" t="inlineStr">
        <is>
          <t>midcap</t>
        </is>
      </c>
      <c r="F20" s="30" t="n">
        <v>18472.78</v>
      </c>
      <c r="G20" s="30" t="n">
        <v>1280.05</v>
      </c>
      <c r="H20" s="30" t="n">
        <v>5.98</v>
      </c>
      <c r="I20" s="30" t="n">
        <v>20153531</v>
      </c>
      <c r="J20" s="30" t="inlineStr">
        <is>
          <t>500144</t>
        </is>
      </c>
    </row>
    <row r="21">
      <c r="A21" s="30" t="inlineStr">
        <is>
          <t>SCPL</t>
        </is>
      </c>
      <c r="B21" s="30" t="inlineStr">
        <is>
          <t>Sheetal Cool Products Ltd</t>
        </is>
      </c>
      <c r="C21" s="30" t="inlineStr">
        <is>
          <t>fmcg</t>
        </is>
      </c>
      <c r="D21" s="30" t="inlineStr">
        <is>
          <t>food - processing - indian</t>
        </is>
      </c>
      <c r="E21" s="30" t="inlineStr">
        <is>
          <t>smallcap</t>
        </is>
      </c>
      <c r="F21" s="30" t="n">
        <v>646.49</v>
      </c>
      <c r="G21" s="30" t="n">
        <v>652.1</v>
      </c>
      <c r="H21" s="30" t="n">
        <v>5.91</v>
      </c>
      <c r="I21" s="30" t="n">
        <v>246811</v>
      </c>
      <c r="J21" s="30" t="inlineStr">
        <is>
          <t>540757</t>
        </is>
      </c>
    </row>
    <row r="22">
      <c r="A22" s="30" t="inlineStr">
        <is>
          <t>VIJAYA</t>
        </is>
      </c>
      <c r="B22" s="30" t="inlineStr">
        <is>
          <t>Vijaya Diagnostic Centre Ltd</t>
        </is>
      </c>
      <c r="C22" s="30" t="inlineStr">
        <is>
          <t>healthcare</t>
        </is>
      </c>
      <c r="D22" s="30" t="inlineStr">
        <is>
          <t>healthcare</t>
        </is>
      </c>
      <c r="E22" s="30" t="inlineStr">
        <is>
          <t>midcap</t>
        </is>
      </c>
      <c r="F22" s="30" t="n">
        <v>14695.71</v>
      </c>
      <c r="G22" s="30" t="n">
        <v>1510.6</v>
      </c>
      <c r="H22" s="30" t="n">
        <v>5.77</v>
      </c>
      <c r="I22" s="30" t="n">
        <v>1399910</v>
      </c>
      <c r="J22" s="30" t="inlineStr">
        <is>
          <t>543350</t>
        </is>
      </c>
    </row>
    <row r="23">
      <c r="A23" s="30" t="inlineStr">
        <is>
          <t>GIPCL</t>
        </is>
      </c>
      <c r="B23" s="30" t="inlineStr">
        <is>
          <t>Gujarat Industries Power Company Limited</t>
        </is>
      </c>
      <c r="C23" s="30" t="inlineStr">
        <is>
          <t>power &amp; utilities</t>
        </is>
      </c>
      <c r="D23" s="30" t="inlineStr">
        <is>
          <t>power generation and supply</t>
        </is>
      </c>
      <c r="E23" s="30" t="inlineStr">
        <is>
          <t>smallcap</t>
        </is>
      </c>
      <c r="F23" s="30" t="n">
        <v>2555.48</v>
      </c>
      <c r="G23" s="30" t="n">
        <v>174.05</v>
      </c>
      <c r="H23" s="30" t="n">
        <v>5.72</v>
      </c>
      <c r="I23" s="30" t="n">
        <v>8115461</v>
      </c>
      <c r="J23" s="30" t="inlineStr">
        <is>
          <t>517300</t>
        </is>
      </c>
    </row>
    <row r="24">
      <c r="A24" s="30" t="inlineStr">
        <is>
          <t>IKIO</t>
        </is>
      </c>
      <c r="B24" s="30" t="inlineStr">
        <is>
          <t>IKIO Lighting Ltd</t>
        </is>
      </c>
      <c r="C24" s="30" t="inlineStr">
        <is>
          <t>consumer discretionary</t>
        </is>
      </c>
      <c r="D24" s="30" t="inlineStr">
        <is>
          <t>electric equipment</t>
        </is>
      </c>
      <c r="E24" s="30" t="inlineStr">
        <is>
          <t>smallcap</t>
        </is>
      </c>
      <c r="F24" s="30" t="n">
        <v>1573.74</v>
      </c>
      <c r="G24" s="30" t="n">
        <v>214.9</v>
      </c>
      <c r="H24" s="30" t="n">
        <v>5.53</v>
      </c>
      <c r="I24" s="30" t="n">
        <v>598092</v>
      </c>
      <c r="J24" s="30" t="inlineStr">
        <is>
          <t>543923</t>
        </is>
      </c>
    </row>
    <row r="25">
      <c r="A25" s="30" t="inlineStr">
        <is>
          <t>SKYGOLD</t>
        </is>
      </c>
      <c r="B25" s="30" t="inlineStr">
        <is>
          <t>Sky Gold Ltd</t>
        </is>
      </c>
      <c r="C25" s="30" t="inlineStr">
        <is>
          <t>consumer discretionary</t>
        </is>
      </c>
      <c r="D25" s="30" t="inlineStr">
        <is>
          <t>diamond cutting / jewellery</t>
        </is>
      </c>
      <c r="E25" s="30" t="inlineStr">
        <is>
          <t>midcap</t>
        </is>
      </c>
      <c r="F25" s="30" t="n">
        <v>12235.81</v>
      </c>
      <c r="G25" s="30" t="n">
        <v>833.1</v>
      </c>
      <c r="H25" s="30" t="n">
        <v>5.45</v>
      </c>
      <c r="I25" s="30" t="n">
        <v>1979236</v>
      </c>
      <c r="J25" s="30" t="inlineStr">
        <is>
          <t>541967</t>
        </is>
      </c>
    </row>
    <row r="26">
      <c r="A26" s="30" t="inlineStr">
        <is>
          <t>RAMRAT</t>
        </is>
      </c>
      <c r="B26" s="30" t="inlineStr">
        <is>
          <t>Ram Ratna Wires Ltd</t>
        </is>
      </c>
      <c r="C26" s="30" t="inlineStr">
        <is>
          <t>metals &amp; mining</t>
        </is>
      </c>
      <c r="D26" s="30" t="inlineStr">
        <is>
          <t>mining / minerals / metals</t>
        </is>
      </c>
      <c r="E26" s="30" t="inlineStr">
        <is>
          <t>smallcap</t>
        </is>
      </c>
      <c r="F26" s="30" t="n">
        <v>4196.04</v>
      </c>
      <c r="G26" s="30" t="n">
        <v>473.95</v>
      </c>
      <c r="H26" s="30" t="n">
        <v>5.44</v>
      </c>
      <c r="I26" s="30" t="n">
        <v>777143</v>
      </c>
      <c r="J26" s="30" t="inlineStr">
        <is>
          <t>522281</t>
        </is>
      </c>
    </row>
    <row r="27">
      <c r="A27" s="30" t="inlineStr">
        <is>
          <t>INDSWFTLAB</t>
        </is>
      </c>
      <c r="B27" s="30" t="inlineStr">
        <is>
          <t>Ind-swift Laboratories Limited</t>
        </is>
      </c>
      <c r="C27" s="30" t="inlineStr">
        <is>
          <t>healthcare</t>
        </is>
      </c>
      <c r="D27" s="30" t="inlineStr">
        <is>
          <t>pharmaceuticals - indian - bulk drugs &amp; formln</t>
        </is>
      </c>
      <c r="E27" s="30" t="inlineStr">
        <is>
          <t>smallcap</t>
        </is>
      </c>
      <c r="F27" s="30" t="n">
        <v>2475.62</v>
      </c>
      <c r="G27" s="30" t="n">
        <v>300</v>
      </c>
      <c r="H27" s="30" t="n">
        <v>5.38</v>
      </c>
      <c r="I27" s="30" t="n">
        <v>8635452</v>
      </c>
      <c r="J27" s="30" t="inlineStr">
        <is>
          <t>532305</t>
        </is>
      </c>
    </row>
    <row r="28">
      <c r="A28" s="30" t="inlineStr">
        <is>
          <t>SANSERA</t>
        </is>
      </c>
      <c r="B28" s="30" t="inlineStr">
        <is>
          <t>Sansera Engineering Ltd</t>
        </is>
      </c>
      <c r="C28" s="30" t="inlineStr">
        <is>
          <t>auto</t>
        </is>
      </c>
      <c r="D28" s="30" t="inlineStr">
        <is>
          <t>auto ancillaries</t>
        </is>
      </c>
      <c r="E28" s="30" t="inlineStr">
        <is>
          <t>largecap</t>
        </is>
      </c>
      <c r="F28" s="30" t="n">
        <v>22996.34</v>
      </c>
      <c r="G28" s="30" t="n">
        <v>3878.3</v>
      </c>
      <c r="H28" s="30" t="n">
        <v>5.24</v>
      </c>
      <c r="I28" s="30" t="n">
        <v>328395</v>
      </c>
      <c r="J28" s="30" t="inlineStr">
        <is>
          <t>543358</t>
        </is>
      </c>
    </row>
    <row r="29">
      <c r="A29" s="30" t="inlineStr">
        <is>
          <t>YUKEN</t>
        </is>
      </c>
      <c r="B29" s="30" t="inlineStr">
        <is>
          <t>Yuken India Ltd</t>
        </is>
      </c>
      <c r="C29" s="30" t="inlineStr">
        <is>
          <t>industrials</t>
        </is>
      </c>
      <c r="D29" s="30" t="inlineStr">
        <is>
          <t>engineering</t>
        </is>
      </c>
      <c r="E29" s="30" t="inlineStr">
        <is>
          <t>smallcap</t>
        </is>
      </c>
      <c r="F29" s="30" t="n">
        <v>1093.78</v>
      </c>
      <c r="G29" s="30" t="n">
        <v>846.2</v>
      </c>
      <c r="H29" s="30" t="n">
        <v>5.09</v>
      </c>
      <c r="I29" s="30" t="n">
        <v>37575</v>
      </c>
      <c r="J29" s="30" t="inlineStr">
        <is>
          <t>522108</t>
        </is>
      </c>
    </row>
    <row r="30">
      <c r="A30" s="30" t="inlineStr">
        <is>
          <t>AARTIIND</t>
        </is>
      </c>
      <c r="B30" s="30" t="inlineStr">
        <is>
          <t>Aarti Industries Limited</t>
        </is>
      </c>
      <c r="C30" s="30" t="inlineStr">
        <is>
          <t>chemicals</t>
        </is>
      </c>
      <c r="D30" s="30" t="inlineStr">
        <is>
          <t>chemicals</t>
        </is>
      </c>
      <c r="E30" s="30" t="inlineStr">
        <is>
          <t>midcap</t>
        </is>
      </c>
      <c r="F30" s="30" t="n">
        <v>18328.58</v>
      </c>
      <c r="G30" s="30" t="n">
        <v>530.9</v>
      </c>
      <c r="H30" s="30" t="n">
        <v>5.07</v>
      </c>
      <c r="I30" s="30" t="n">
        <v>5378998</v>
      </c>
      <c r="J30" s="30" t="inlineStr">
        <is>
          <t>524208</t>
        </is>
      </c>
    </row>
    <row r="31">
      <c r="A31" s="30" t="inlineStr">
        <is>
          <t>STLTECH</t>
        </is>
      </c>
      <c r="B31" s="30" t="inlineStr">
        <is>
          <t>Sterlite Technologies Limited</t>
        </is>
      </c>
      <c r="C31" s="30" t="inlineStr">
        <is>
          <t>industrials</t>
        </is>
      </c>
      <c r="D31" s="30" t="inlineStr">
        <is>
          <t>cables - telephone</t>
        </is>
      </c>
      <c r="E31" s="30" t="inlineStr">
        <is>
          <t>largecap</t>
        </is>
      </c>
      <c r="F31" s="30" t="n">
        <v>31861.56</v>
      </c>
      <c r="G31" s="30" t="n">
        <v>651</v>
      </c>
      <c r="H31" s="30" t="n">
        <v>5</v>
      </c>
      <c r="I31" s="30" t="n">
        <v>2563401</v>
      </c>
      <c r="J31" s="30" t="inlineStr">
        <is>
          <t>532374</t>
        </is>
      </c>
    </row>
    <row r="32">
      <c r="A32" s="30" t="inlineStr">
        <is>
          <t>UNIVASTU</t>
        </is>
      </c>
      <c r="B32" s="30" t="inlineStr">
        <is>
          <t>Univastu India Ltd</t>
        </is>
      </c>
      <c r="C32" s="30" t="inlineStr">
        <is>
          <t>realty</t>
        </is>
      </c>
      <c r="D32" s="30" t="inlineStr">
        <is>
          <t>construction</t>
        </is>
      </c>
      <c r="E32" s="30" t="inlineStr">
        <is>
          <t>smallcap</t>
        </is>
      </c>
      <c r="F32" s="30" t="n">
        <v>524.6</v>
      </c>
      <c r="G32" s="30" t="n">
        <v>145.76</v>
      </c>
      <c r="H32" s="30" t="n">
        <v>5</v>
      </c>
      <c r="I32" s="30" t="n">
        <v>133985</v>
      </c>
      <c r="J32" s="30" t="inlineStr">
        <is>
          <t>538442</t>
        </is>
      </c>
    </row>
    <row r="33">
      <c r="A33" s="30" t="inlineStr">
        <is>
          <t>CHEMBONDCH</t>
        </is>
      </c>
      <c r="B33" s="30" t="inlineStr">
        <is>
          <t>Chembond Chemicals Ltd</t>
        </is>
      </c>
      <c r="C33" s="30" t="inlineStr">
        <is>
          <t>chemicals</t>
        </is>
      </c>
      <c r="D33" s="30" t="inlineStr">
        <is>
          <t>chemicals</t>
        </is>
      </c>
      <c r="E33" s="30" t="inlineStr">
        <is>
          <t>smallcap</t>
        </is>
      </c>
      <c r="F33" s="30" t="n">
        <v>704.02</v>
      </c>
      <c r="G33" s="30" t="n">
        <v>274.82</v>
      </c>
      <c r="H33" s="30" t="n">
        <v>4.99</v>
      </c>
      <c r="I33" s="30" t="n">
        <v>62296</v>
      </c>
      <c r="J33" s="30" t="inlineStr">
        <is>
          <t>544450</t>
        </is>
      </c>
    </row>
    <row r="34">
      <c r="A34" s="30" t="inlineStr">
        <is>
          <t>VALIANTORG</t>
        </is>
      </c>
      <c r="B34" s="30" t="inlineStr">
        <is>
          <t>Valiant Organics Ltd</t>
        </is>
      </c>
      <c r="C34" s="30" t="inlineStr">
        <is>
          <t>chemicals</t>
        </is>
      </c>
      <c r="D34" s="30" t="inlineStr">
        <is>
          <t>chemicals</t>
        </is>
      </c>
      <c r="E34" s="30" t="inlineStr">
        <is>
          <t>smallcap</t>
        </is>
      </c>
      <c r="F34" s="30" t="n">
        <v>868.65</v>
      </c>
      <c r="G34" s="30" t="n">
        <v>325.3</v>
      </c>
      <c r="H34" s="30" t="n">
        <v>4.99</v>
      </c>
      <c r="I34" s="30" t="n">
        <v>165655</v>
      </c>
      <c r="J34" s="30" t="inlineStr">
        <is>
          <t>540145</t>
        </is>
      </c>
    </row>
    <row r="35">
      <c r="A35" s="30" t="inlineStr">
        <is>
          <t>BIRLACABLE</t>
        </is>
      </c>
      <c r="B35" s="30" t="inlineStr">
        <is>
          <t>Birla Cable Limited</t>
        </is>
      </c>
      <c r="C35" s="30" t="inlineStr">
        <is>
          <t>industrials</t>
        </is>
      </c>
      <c r="D35" s="30" t="inlineStr">
        <is>
          <t>cables - telephone</t>
        </is>
      </c>
      <c r="E35" s="30" t="inlineStr">
        <is>
          <t>smallcap</t>
        </is>
      </c>
      <c r="F35" s="30" t="n">
        <v>840.78</v>
      </c>
      <c r="G35" s="30" t="n">
        <v>294.17</v>
      </c>
      <c r="H35" s="30" t="n">
        <v>4.96</v>
      </c>
      <c r="I35" s="30" t="n">
        <v>290541</v>
      </c>
      <c r="J35" s="30" t="inlineStr">
        <is>
          <t>500060</t>
        </is>
      </c>
    </row>
    <row r="36">
      <c r="A36" s="30" t="inlineStr">
        <is>
          <t>EMIL</t>
        </is>
      </c>
      <c r="B36" s="30" t="inlineStr">
        <is>
          <t>Electronics Mart India Ltd</t>
        </is>
      </c>
      <c r="C36" s="30" t="inlineStr">
        <is>
          <t>consumer discretionary</t>
        </is>
      </c>
      <c r="D36" s="30" t="inlineStr">
        <is>
          <t>trading</t>
        </is>
      </c>
      <c r="E36" s="30" t="inlineStr">
        <is>
          <t>midcap</t>
        </is>
      </c>
      <c r="F36" s="30" t="n">
        <v>7108.23</v>
      </c>
      <c r="G36" s="30" t="n">
        <v>193.61</v>
      </c>
      <c r="H36" s="30" t="n">
        <v>4.8</v>
      </c>
      <c r="I36" s="30" t="n">
        <v>31604982</v>
      </c>
      <c r="J36" s="30" t="inlineStr">
        <is>
          <t>543626</t>
        </is>
      </c>
    </row>
    <row r="37">
      <c r="A37" s="30" t="inlineStr">
        <is>
          <t>CUPID</t>
        </is>
      </c>
      <c r="B37" s="30" t="inlineStr">
        <is>
          <t>Cupid Limited</t>
        </is>
      </c>
      <c r="C37" s="30" t="inlineStr">
        <is>
          <t>fmcg</t>
        </is>
      </c>
      <c r="D37" s="30" t="inlineStr">
        <is>
          <t>personal care - indian</t>
        </is>
      </c>
      <c r="E37" s="30" t="inlineStr">
        <is>
          <t>largecap</t>
        </is>
      </c>
      <c r="F37" s="30" t="n">
        <v>37200.04</v>
      </c>
      <c r="G37" s="30" t="n">
        <v>289.87</v>
      </c>
      <c r="H37" s="30" t="n">
        <v>4.78</v>
      </c>
      <c r="I37" s="30" t="n">
        <v>48203967</v>
      </c>
      <c r="J37" s="30" t="inlineStr">
        <is>
          <t>530843</t>
        </is>
      </c>
    </row>
    <row r="38">
      <c r="A38" s="30" t="inlineStr">
        <is>
          <t>GOKULAGRO</t>
        </is>
      </c>
      <c r="B38" s="30" t="inlineStr">
        <is>
          <t>Gokul Agro Resources Limited</t>
        </is>
      </c>
      <c r="C38" s="30" t="inlineStr">
        <is>
          <t>fmcg</t>
        </is>
      </c>
      <c r="D38" s="30" t="inlineStr">
        <is>
          <t>solvent extraction</t>
        </is>
      </c>
      <c r="E38" s="30" t="inlineStr">
        <is>
          <t>midcap</t>
        </is>
      </c>
      <c r="F38" s="30" t="n">
        <v>6669.85</v>
      </c>
      <c r="G38" s="30" t="n">
        <v>236.6</v>
      </c>
      <c r="H38" s="30" t="n">
        <v>4.68</v>
      </c>
      <c r="I38" s="30" t="n">
        <v>845538</v>
      </c>
      <c r="J38" s="30" t="inlineStr">
        <is>
          <t>539725</t>
        </is>
      </c>
    </row>
    <row r="39">
      <c r="A39" s="30" t="inlineStr">
        <is>
          <t>BERGEPAINT</t>
        </is>
      </c>
      <c r="B39" s="30" t="inlineStr">
        <is>
          <t>Berger Paints (i) Limited</t>
        </is>
      </c>
      <c r="C39" s="30" t="inlineStr">
        <is>
          <t>building materials</t>
        </is>
      </c>
      <c r="D39" s="30" t="inlineStr">
        <is>
          <t>paints / varnishes</t>
        </is>
      </c>
      <c r="E39" s="30" t="inlineStr">
        <is>
          <t>largecap</t>
        </is>
      </c>
      <c r="F39" s="30" t="n">
        <v>62375.32</v>
      </c>
      <c r="G39" s="30" t="n">
        <v>559.8</v>
      </c>
      <c r="H39" s="30" t="n">
        <v>4.65</v>
      </c>
      <c r="I39" s="30" t="n">
        <v>1847256</v>
      </c>
      <c r="J39" s="30" t="inlineStr">
        <is>
          <t>509480</t>
        </is>
      </c>
    </row>
    <row r="40">
      <c r="A40" s="30" t="inlineStr">
        <is>
          <t>WSTCSTPAPR</t>
        </is>
      </c>
      <c r="B40" s="30" t="inlineStr">
        <is>
          <t>West Coast Paper Mills Limited</t>
        </is>
      </c>
      <c r="C40" s="30" t="inlineStr">
        <is>
          <t>building materials</t>
        </is>
      </c>
      <c r="D40" s="30" t="inlineStr">
        <is>
          <t>paper</t>
        </is>
      </c>
      <c r="E40" s="30" t="inlineStr">
        <is>
          <t>smallcap</t>
        </is>
      </c>
      <c r="F40" s="30" t="n">
        <v>3943.78</v>
      </c>
      <c r="G40" s="30" t="n">
        <v>624.55</v>
      </c>
      <c r="H40" s="30" t="n">
        <v>4.6</v>
      </c>
      <c r="I40" s="30" t="n">
        <v>2906450</v>
      </c>
      <c r="J40" s="30" t="inlineStr">
        <is>
          <t>500444</t>
        </is>
      </c>
    </row>
    <row r="41">
      <c r="A41" s="30" t="inlineStr">
        <is>
          <t>ARVSMART</t>
        </is>
      </c>
      <c r="B41" s="30" t="inlineStr">
        <is>
          <t>Arvind Smartspaces Limited</t>
        </is>
      </c>
      <c r="C41" s="30" t="inlineStr">
        <is>
          <t>realty</t>
        </is>
      </c>
      <c r="D41" s="30" t="inlineStr">
        <is>
          <t>construction</t>
        </is>
      </c>
      <c r="E41" s="30" t="inlineStr">
        <is>
          <t>smallcap</t>
        </is>
      </c>
      <c r="F41" s="30" t="n">
        <v>2918.97</v>
      </c>
      <c r="G41" s="30" t="n">
        <v>665.55</v>
      </c>
      <c r="H41" s="30" t="n">
        <v>4.58</v>
      </c>
      <c r="I41" s="30" t="n">
        <v>261613</v>
      </c>
      <c r="J41" s="30" t="inlineStr">
        <is>
          <t>539301</t>
        </is>
      </c>
    </row>
    <row r="42">
      <c r="A42" s="30" t="inlineStr">
        <is>
          <t>QPOWER</t>
        </is>
      </c>
      <c r="B42" s="30" t="inlineStr">
        <is>
          <t>Quality Power Electrical Equipments Ltd</t>
        </is>
      </c>
      <c r="C42" s="30" t="inlineStr">
        <is>
          <t>industrials</t>
        </is>
      </c>
      <c r="D42" s="30" t="inlineStr">
        <is>
          <t>electric equipment</t>
        </is>
      </c>
      <c r="E42" s="30" t="inlineStr">
        <is>
          <t>midcap</t>
        </is>
      </c>
      <c r="F42" s="30" t="n">
        <v>9597.65</v>
      </c>
      <c r="G42" s="30" t="n">
        <v>1294.5</v>
      </c>
      <c r="H42" s="30" t="n">
        <v>4.45</v>
      </c>
      <c r="I42" s="30" t="n">
        <v>894885</v>
      </c>
      <c r="J42" s="30" t="inlineStr">
        <is>
          <t>544367</t>
        </is>
      </c>
    </row>
    <row r="43">
      <c r="A43" s="30" t="inlineStr">
        <is>
          <t>PNB</t>
        </is>
      </c>
      <c r="B43" s="30" t="inlineStr">
        <is>
          <t>Punjab National Bank Ltd</t>
        </is>
      </c>
      <c r="C43" s="30" t="inlineStr">
        <is>
          <t>bank</t>
        </is>
      </c>
      <c r="D43" s="30" t="inlineStr">
        <is>
          <t>banks - public sector</t>
        </is>
      </c>
      <c r="E43" s="30" t="inlineStr">
        <is>
          <t>largecap</t>
        </is>
      </c>
      <c r="F43" s="30" t="n">
        <v>131054.03</v>
      </c>
      <c r="G43" s="30" t="n">
        <v>118.98</v>
      </c>
      <c r="H43" s="30" t="n">
        <v>4.34</v>
      </c>
      <c r="I43" s="30" t="n">
        <v>51235935</v>
      </c>
      <c r="J43" s="30" t="inlineStr">
        <is>
          <t>532461</t>
        </is>
      </c>
    </row>
    <row r="44">
      <c r="A44" s="30" t="inlineStr">
        <is>
          <t>SICALLOG</t>
        </is>
      </c>
      <c r="B44" s="30" t="inlineStr">
        <is>
          <t>Sical Logistics Ltd</t>
        </is>
      </c>
      <c r="C44" s="30" t="inlineStr">
        <is>
          <t>transportation</t>
        </is>
      </c>
      <c r="D44" s="30" t="inlineStr">
        <is>
          <t>miscellaneous</t>
        </is>
      </c>
      <c r="E44" s="30" t="inlineStr">
        <is>
          <t>smallcap</t>
        </is>
      </c>
      <c r="F44" s="30" t="n">
        <v>855.05</v>
      </c>
      <c r="G44" s="30" t="n">
        <v>111.81</v>
      </c>
      <c r="H44" s="30" t="n">
        <v>4.33</v>
      </c>
      <c r="I44" s="30" t="n">
        <v>47048</v>
      </c>
      <c r="J44" s="30" t="inlineStr">
        <is>
          <t>520086</t>
        </is>
      </c>
    </row>
    <row r="45">
      <c r="A45" s="30" t="inlineStr">
        <is>
          <t>KINGFA</t>
        </is>
      </c>
      <c r="B45" s="30" t="inlineStr">
        <is>
          <t>Kingfa Science &amp; Technology (india) Limited</t>
        </is>
      </c>
      <c r="C45" s="30" t="inlineStr">
        <is>
          <t>plastic products</t>
        </is>
      </c>
      <c r="D45" s="30" t="inlineStr">
        <is>
          <t>plastics products</t>
        </is>
      </c>
      <c r="E45" s="30" t="inlineStr">
        <is>
          <t>midcap</t>
        </is>
      </c>
      <c r="F45" s="30" t="n">
        <v>7735.13</v>
      </c>
      <c r="G45" s="30" t="n">
        <v>5949.5</v>
      </c>
      <c r="H45" s="30" t="n">
        <v>4.23</v>
      </c>
      <c r="I45" s="30" t="n">
        <v>53262</v>
      </c>
      <c r="J45" s="30" t="inlineStr">
        <is>
          <t>524019</t>
        </is>
      </c>
    </row>
    <row r="46">
      <c r="A46" s="30" t="inlineStr">
        <is>
          <t>BHEL</t>
        </is>
      </c>
      <c r="B46" s="30" t="inlineStr">
        <is>
          <t>Bharat Heavy Electricals Limited</t>
        </is>
      </c>
      <c r="C46" s="30" t="inlineStr">
        <is>
          <t>industrials</t>
        </is>
      </c>
      <c r="D46" s="30" t="inlineStr">
        <is>
          <t>electric equipment</t>
        </is>
      </c>
      <c r="E46" s="30" t="inlineStr">
        <is>
          <t>largecap</t>
        </is>
      </c>
      <c r="F46" s="30" t="n">
        <v>140327.15</v>
      </c>
      <c r="G46" s="30" t="n">
        <v>420</v>
      </c>
      <c r="H46" s="30" t="n">
        <v>4.22</v>
      </c>
      <c r="I46" s="30" t="n">
        <v>14607097</v>
      </c>
      <c r="J46" s="30" t="inlineStr">
        <is>
          <t>500103</t>
        </is>
      </c>
    </row>
    <row r="47">
      <c r="A47" s="30" t="inlineStr">
        <is>
          <t>KRONOX</t>
        </is>
      </c>
      <c r="B47" s="30" t="inlineStr">
        <is>
          <t>Kronox Lab Sciences Ltd</t>
        </is>
      </c>
      <c r="C47" s="30" t="inlineStr">
        <is>
          <t>chemicals</t>
        </is>
      </c>
      <c r="D47" s="30" t="inlineStr">
        <is>
          <t>chemicals</t>
        </is>
      </c>
      <c r="E47" s="30" t="inlineStr">
        <is>
          <t>smallcap</t>
        </is>
      </c>
      <c r="F47" s="30" t="n">
        <v>620.16</v>
      </c>
      <c r="G47" s="30" t="n">
        <v>173.93</v>
      </c>
      <c r="H47" s="30" t="n">
        <v>4.06</v>
      </c>
      <c r="I47" s="30" t="n">
        <v>717477</v>
      </c>
      <c r="J47" s="30" t="inlineStr">
        <is>
          <t>544187</t>
        </is>
      </c>
    </row>
    <row r="48">
      <c r="A48" s="30" t="inlineStr">
        <is>
          <t>DEEPINDS</t>
        </is>
      </c>
      <c r="B48" s="30" t="inlineStr">
        <is>
          <t>Deep Industries Ltd</t>
        </is>
      </c>
      <c r="C48" s="30" t="inlineStr">
        <is>
          <t>energy</t>
        </is>
      </c>
      <c r="D48" s="30" t="inlineStr">
        <is>
          <t>oil drilling / allied services</t>
        </is>
      </c>
      <c r="E48" s="30" t="inlineStr">
        <is>
          <t>smallcap</t>
        </is>
      </c>
      <c r="F48" s="30" t="n">
        <v>4288.32</v>
      </c>
      <c r="G48" s="30" t="n">
        <v>696.1</v>
      </c>
      <c r="H48" s="30" t="n">
        <v>3.89</v>
      </c>
      <c r="I48" s="30" t="n">
        <v>782421</v>
      </c>
      <c r="J48" s="30" t="inlineStr">
        <is>
          <t>543288</t>
        </is>
      </c>
    </row>
    <row r="49">
      <c r="A49" s="30" t="inlineStr">
        <is>
          <t>SREEL</t>
        </is>
      </c>
      <c r="B49" s="30" t="inlineStr">
        <is>
          <t>Sreeleathers Limited</t>
        </is>
      </c>
      <c r="C49" s="30" t="inlineStr">
        <is>
          <t>consumer discretionary</t>
        </is>
      </c>
      <c r="D49" s="30" t="inlineStr">
        <is>
          <t>trading</t>
        </is>
      </c>
      <c r="E49" s="30" t="inlineStr">
        <is>
          <t>smallcap</t>
        </is>
      </c>
      <c r="F49" s="30" t="n">
        <v>534.1900000000001</v>
      </c>
      <c r="G49" s="30" t="n">
        <v>239.12</v>
      </c>
      <c r="H49" s="30" t="n">
        <v>3.65</v>
      </c>
      <c r="I49" s="30" t="n">
        <v>34299</v>
      </c>
      <c r="J49" s="30" t="inlineStr">
        <is>
          <t>535601</t>
        </is>
      </c>
    </row>
    <row r="50">
      <c r="A50" s="30" t="inlineStr">
        <is>
          <t>KPIL</t>
        </is>
      </c>
      <c r="B50" s="30" t="inlineStr">
        <is>
          <t>Kalpataru Projects International Ltd</t>
        </is>
      </c>
      <c r="C50" s="30" t="inlineStr">
        <is>
          <t>realty</t>
        </is>
      </c>
      <c r="D50" s="30" t="inlineStr">
        <is>
          <t>transmisson line towers / equipment</t>
        </is>
      </c>
      <c r="E50" s="30" t="inlineStr">
        <is>
          <t>largecap</t>
        </is>
      </c>
      <c r="F50" s="30" t="n">
        <v>23015.02</v>
      </c>
      <c r="G50" s="30" t="n">
        <v>1396.8</v>
      </c>
      <c r="H50" s="30" t="n">
        <v>3.64</v>
      </c>
      <c r="I50" s="30" t="n">
        <v>3715117</v>
      </c>
      <c r="J50" s="30" t="inlineStr">
        <is>
          <t>522287</t>
        </is>
      </c>
    </row>
    <row r="51">
      <c r="A51" s="30" t="inlineStr">
        <is>
          <t>INDOBORAX</t>
        </is>
      </c>
      <c r="B51" s="30" t="inlineStr">
        <is>
          <t>Indo Borax &amp; Chemicals Ltd</t>
        </is>
      </c>
      <c r="C51" s="30" t="inlineStr">
        <is>
          <t>chemicals</t>
        </is>
      </c>
      <c r="D51" s="30" t="inlineStr">
        <is>
          <t>chemicals</t>
        </is>
      </c>
      <c r="E51" s="30" t="inlineStr">
        <is>
          <t>smallcap</t>
        </is>
      </c>
      <c r="F51" s="30" t="n">
        <v>1390.78</v>
      </c>
      <c r="G51" s="30" t="n">
        <v>449.05</v>
      </c>
      <c r="H51" s="30" t="n">
        <v>3.61</v>
      </c>
      <c r="I51" s="30" t="n">
        <v>505140</v>
      </c>
      <c r="J51" s="30" t="inlineStr">
        <is>
          <t>524342</t>
        </is>
      </c>
    </row>
    <row r="52">
      <c r="A52" s="30" t="inlineStr">
        <is>
          <t>KTKBANK</t>
        </is>
      </c>
      <c r="B52" s="30" t="inlineStr">
        <is>
          <t>The Karnataka Bank Limited</t>
        </is>
      </c>
      <c r="C52" s="30" t="inlineStr">
        <is>
          <t>bank</t>
        </is>
      </c>
      <c r="D52" s="30" t="inlineStr">
        <is>
          <t>banks - private sector</t>
        </is>
      </c>
      <c r="E52" s="30" t="inlineStr">
        <is>
          <t>midcap</t>
        </is>
      </c>
      <c r="F52" s="30" t="n">
        <v>11453.89</v>
      </c>
      <c r="G52" s="30" t="n">
        <v>313.7</v>
      </c>
      <c r="H52" s="30" t="n">
        <v>3.58</v>
      </c>
      <c r="I52" s="30" t="n">
        <v>3017208</v>
      </c>
      <c r="J52" s="30" t="inlineStr">
        <is>
          <t>532652</t>
        </is>
      </c>
    </row>
    <row r="53">
      <c r="A53" s="30" t="inlineStr">
        <is>
          <t>WELSPUNLIV</t>
        </is>
      </c>
      <c r="B53" s="30" t="inlineStr">
        <is>
          <t>Welspun Living Ltd</t>
        </is>
      </c>
      <c r="C53" s="30" t="inlineStr">
        <is>
          <t>textiles</t>
        </is>
      </c>
      <c r="D53" s="30" t="inlineStr">
        <is>
          <t>textiles - products</t>
        </is>
      </c>
      <c r="E53" s="30" t="inlineStr">
        <is>
          <t>midcap</t>
        </is>
      </c>
      <c r="F53" s="30" t="n">
        <v>15083.92</v>
      </c>
      <c r="G53" s="30" t="n">
        <v>165.23</v>
      </c>
      <c r="H53" s="30" t="n">
        <v>3.49</v>
      </c>
      <c r="I53" s="30" t="n">
        <v>2292744</v>
      </c>
      <c r="J53" s="30" t="inlineStr">
        <is>
          <t>514162</t>
        </is>
      </c>
    </row>
    <row r="54">
      <c r="A54" s="30" t="inlineStr">
        <is>
          <t>ESABINDIA</t>
        </is>
      </c>
      <c r="B54" s="30" t="inlineStr">
        <is>
          <t>Esab India Limited</t>
        </is>
      </c>
      <c r="C54" s="30" t="inlineStr">
        <is>
          <t>industrials</t>
        </is>
      </c>
      <c r="D54" s="30" t="inlineStr">
        <is>
          <t>electrodes - welding equipment</t>
        </is>
      </c>
      <c r="E54" s="30" t="inlineStr">
        <is>
          <t>midcap</t>
        </is>
      </c>
      <c r="F54" s="30" t="n">
        <v>8959.51</v>
      </c>
      <c r="G54" s="30" t="n">
        <v>6023</v>
      </c>
      <c r="H54" s="30" t="n">
        <v>3.48</v>
      </c>
      <c r="I54" s="30" t="n">
        <v>66506</v>
      </c>
      <c r="J54" s="30" t="inlineStr">
        <is>
          <t>500133</t>
        </is>
      </c>
    </row>
    <row r="55">
      <c r="A55" s="30" t="inlineStr">
        <is>
          <t>ESAFSFB</t>
        </is>
      </c>
      <c r="B55" s="30" t="inlineStr">
        <is>
          <t>ESAF Small Finance Bank Ltd</t>
        </is>
      </c>
      <c r="C55" s="30" t="inlineStr">
        <is>
          <t>bank</t>
        </is>
      </c>
      <c r="D55" s="30" t="inlineStr">
        <is>
          <t>banks - private sector</t>
        </is>
      </c>
      <c r="E55" s="30" t="inlineStr">
        <is>
          <t>smallcap</t>
        </is>
      </c>
      <c r="F55" s="30" t="n">
        <v>1985.9</v>
      </c>
      <c r="G55" s="30" t="n">
        <v>39.83</v>
      </c>
      <c r="H55" s="30" t="n">
        <v>3.48</v>
      </c>
      <c r="I55" s="30" t="n">
        <v>1687946</v>
      </c>
      <c r="J55" s="30" t="inlineStr">
        <is>
          <t>544020</t>
        </is>
      </c>
    </row>
    <row r="56">
      <c r="A56" s="30" t="inlineStr">
        <is>
          <t>KRN</t>
        </is>
      </c>
      <c r="B56" s="30" t="inlineStr">
        <is>
          <t>KRN Heat Exchanger and Refrigeration Ltd</t>
        </is>
      </c>
      <c r="C56" s="30" t="inlineStr">
        <is>
          <t>industrials</t>
        </is>
      </c>
      <c r="D56" s="30" t="inlineStr">
        <is>
          <t>engineering</t>
        </is>
      </c>
      <c r="E56" s="30" t="inlineStr">
        <is>
          <t>midcap</t>
        </is>
      </c>
      <c r="F56" s="30" t="n">
        <v>8429.09</v>
      </c>
      <c r="G56" s="30" t="n">
        <v>1331.9</v>
      </c>
      <c r="H56" s="30" t="n">
        <v>3.43</v>
      </c>
      <c r="I56" s="30" t="n">
        <v>341240</v>
      </c>
      <c r="J56" s="30" t="inlineStr">
        <is>
          <t>544263</t>
        </is>
      </c>
    </row>
    <row r="57">
      <c r="A57" s="30" t="inlineStr">
        <is>
          <t>KOTHARIPET</t>
        </is>
      </c>
      <c r="B57" s="30" t="inlineStr">
        <is>
          <t>Kothari Petrochemicals Limited</t>
        </is>
      </c>
      <c r="C57" s="30" t="inlineStr">
        <is>
          <t>energy</t>
        </is>
      </c>
      <c r="D57" s="30" t="inlineStr">
        <is>
          <t>petrochemicals</t>
        </is>
      </c>
      <c r="E57" s="30" t="inlineStr">
        <is>
          <t>smallcap</t>
        </is>
      </c>
      <c r="F57" s="30" t="n">
        <v>857.1</v>
      </c>
      <c r="G57" s="30" t="n">
        <v>150.63</v>
      </c>
      <c r="H57" s="30" t="n">
        <v>3.42</v>
      </c>
      <c r="I57" s="30" t="n">
        <v>171773</v>
      </c>
      <c r="J57" s="30" t="inlineStr">
        <is>
          <t>532096</t>
        </is>
      </c>
    </row>
    <row r="58">
      <c r="A58" s="30" t="inlineStr">
        <is>
          <t>HFCL</t>
        </is>
      </c>
      <c r="B58" s="30" t="inlineStr">
        <is>
          <t>HFCL Ltd</t>
        </is>
      </c>
      <c r="C58" s="30" t="inlineStr">
        <is>
          <t>telecom</t>
        </is>
      </c>
      <c r="D58" s="30" t="inlineStr">
        <is>
          <t>cables - telephone</t>
        </is>
      </c>
      <c r="E58" s="30" t="inlineStr">
        <is>
          <t>largecap</t>
        </is>
      </c>
      <c r="F58" s="30" t="n">
        <v>32791.63</v>
      </c>
      <c r="G58" s="30" t="n">
        <v>221.52</v>
      </c>
      <c r="H58" s="30" t="n">
        <v>3.4</v>
      </c>
      <c r="I58" s="30" t="n">
        <v>28062533</v>
      </c>
      <c r="J58" s="30" t="inlineStr">
        <is>
          <t>500183</t>
        </is>
      </c>
    </row>
    <row r="59">
      <c r="A59" s="30" t="inlineStr">
        <is>
          <t>FLUOROCHEM</t>
        </is>
      </c>
      <c r="B59" s="30" t="inlineStr">
        <is>
          <t>Gujarat Fluorochemicals Ltd</t>
        </is>
      </c>
      <c r="C59" s="30" t="inlineStr">
        <is>
          <t>chemicals</t>
        </is>
      </c>
      <c r="D59" s="30" t="inlineStr">
        <is>
          <t>chemicals</t>
        </is>
      </c>
      <c r="E59" s="30" t="inlineStr">
        <is>
          <t>largecap</t>
        </is>
      </c>
      <c r="F59" s="30" t="n">
        <v>48511.96</v>
      </c>
      <c r="G59" s="30" t="n">
        <v>4565.8</v>
      </c>
      <c r="H59" s="30" t="n">
        <v>3.39</v>
      </c>
      <c r="I59" s="30" t="n">
        <v>979035</v>
      </c>
      <c r="J59" s="30" t="inlineStr">
        <is>
          <t>542812</t>
        </is>
      </c>
    </row>
    <row r="60">
      <c r="A60" s="30" t="inlineStr">
        <is>
          <t>EPL</t>
        </is>
      </c>
      <c r="B60" s="30" t="inlineStr">
        <is>
          <t>EPL Ltd</t>
        </is>
      </c>
      <c r="C60" s="30" t="inlineStr">
        <is>
          <t>industrials</t>
        </is>
      </c>
      <c r="D60" s="30" t="inlineStr">
        <is>
          <t>packaging</t>
        </is>
      </c>
      <c r="E60" s="30" t="inlineStr">
        <is>
          <t>midcap</t>
        </is>
      </c>
      <c r="F60" s="30" t="n">
        <v>7551.55</v>
      </c>
      <c r="G60" s="30" t="n">
        <v>243.64</v>
      </c>
      <c r="H60" s="30" t="n">
        <v>3.33</v>
      </c>
      <c r="I60" s="30" t="n">
        <v>15355500</v>
      </c>
      <c r="J60" s="30" t="inlineStr">
        <is>
          <t>500135</t>
        </is>
      </c>
    </row>
    <row r="61">
      <c r="A61" s="30" t="inlineStr">
        <is>
          <t>UJJIVANSFB</t>
        </is>
      </c>
      <c r="B61" s="30" t="inlineStr">
        <is>
          <t>Ujjivan Small Finance Bank Ltd</t>
        </is>
      </c>
      <c r="C61" s="30" t="inlineStr">
        <is>
          <t>bank</t>
        </is>
      </c>
      <c r="D61" s="30" t="inlineStr">
        <is>
          <t>banks - private sector</t>
        </is>
      </c>
      <c r="E61" s="30" t="inlineStr">
        <is>
          <t>midcap</t>
        </is>
      </c>
      <c r="F61" s="30" t="n">
        <v>13644.02</v>
      </c>
      <c r="G61" s="30" t="n">
        <v>72.38</v>
      </c>
      <c r="H61" s="30" t="n">
        <v>3.19</v>
      </c>
      <c r="I61" s="30" t="n">
        <v>18062565</v>
      </c>
      <c r="J61" s="30" t="inlineStr">
        <is>
          <t>542904</t>
        </is>
      </c>
    </row>
    <row r="62">
      <c r="A62" s="30" t="inlineStr">
        <is>
          <t>MTARTECH</t>
        </is>
      </c>
      <c r="B62" s="30" t="inlineStr">
        <is>
          <t>MTAR Technologies Ltd</t>
        </is>
      </c>
      <c r="C62" s="30" t="inlineStr">
        <is>
          <t>aerospace &amp; defence</t>
        </is>
      </c>
      <c r="D62" s="30" t="inlineStr">
        <is>
          <t>engineering</t>
        </is>
      </c>
      <c r="E62" s="30" t="inlineStr">
        <is>
          <t>largecap</t>
        </is>
      </c>
      <c r="F62" s="30" t="n">
        <v>21202.59</v>
      </c>
      <c r="G62" s="30" t="n">
        <v>7111.5</v>
      </c>
      <c r="H62" s="30" t="n">
        <v>3.17</v>
      </c>
      <c r="I62" s="30" t="n">
        <v>217622</v>
      </c>
      <c r="J62" s="30" t="inlineStr">
        <is>
          <t>543270</t>
        </is>
      </c>
    </row>
    <row r="63">
      <c r="A63" s="30" t="inlineStr">
        <is>
          <t>BLUSPRING</t>
        </is>
      </c>
      <c r="B63" s="30" t="inlineStr">
        <is>
          <t>Bluspring Enterprises Ltd</t>
        </is>
      </c>
      <c r="C63" s="30" t="inlineStr">
        <is>
          <t>miscellaneous</t>
        </is>
      </c>
      <c r="D63" s="30" t="inlineStr">
        <is>
          <t>diversified - large</t>
        </is>
      </c>
      <c r="E63" s="30" t="inlineStr">
        <is>
          <t>smallcap</t>
        </is>
      </c>
      <c r="F63" s="30" t="n">
        <v>1761.16</v>
      </c>
      <c r="G63" s="30" t="n">
        <v>121.51</v>
      </c>
      <c r="H63" s="30" t="n">
        <v>3.11</v>
      </c>
      <c r="I63" s="30" t="n">
        <v>906199</v>
      </c>
      <c r="J63" s="30" t="inlineStr">
        <is>
          <t>544414</t>
        </is>
      </c>
    </row>
    <row r="64">
      <c r="A64" s="30" t="inlineStr">
        <is>
          <t>QUESS</t>
        </is>
      </c>
      <c r="B64" s="30" t="inlineStr">
        <is>
          <t>Quess Corp Limited</t>
        </is>
      </c>
      <c r="C64" s="30" t="inlineStr">
        <is>
          <t>miscellaneous</t>
        </is>
      </c>
      <c r="D64" s="30" t="inlineStr">
        <is>
          <t>diversified - large</t>
        </is>
      </c>
      <c r="E64" s="30" t="inlineStr">
        <is>
          <t>smallcap</t>
        </is>
      </c>
      <c r="F64" s="30" t="n">
        <v>4842.25</v>
      </c>
      <c r="G64" s="30" t="n">
        <v>334.2</v>
      </c>
      <c r="H64" s="30" t="n">
        <v>3.08</v>
      </c>
      <c r="I64" s="30" t="n">
        <v>441540</v>
      </c>
      <c r="J64" s="30" t="inlineStr">
        <is>
          <t>539978</t>
        </is>
      </c>
    </row>
    <row r="65">
      <c r="A65" s="30" t="inlineStr">
        <is>
          <t>HNDFDS</t>
        </is>
      </c>
      <c r="B65" s="30" t="inlineStr">
        <is>
          <t>Hindustan Foods Ltd</t>
        </is>
      </c>
      <c r="C65" s="30" t="inlineStr">
        <is>
          <t>fmcg</t>
        </is>
      </c>
      <c r="D65" s="30" t="inlineStr">
        <is>
          <t>diversified - large</t>
        </is>
      </c>
      <c r="E65" s="30" t="inlineStr">
        <is>
          <t>midcap</t>
        </is>
      </c>
      <c r="F65" s="30" t="n">
        <v>7005.63</v>
      </c>
      <c r="G65" s="30" t="n">
        <v>595.25</v>
      </c>
      <c r="H65" s="30" t="n">
        <v>2.95</v>
      </c>
      <c r="I65" s="30" t="n">
        <v>123983</v>
      </c>
      <c r="J65" s="30" t="inlineStr">
        <is>
          <t>519126</t>
        </is>
      </c>
    </row>
    <row r="66">
      <c r="A66" s="30" t="inlineStr">
        <is>
          <t>BELRISE</t>
        </is>
      </c>
      <c r="B66" s="30" t="inlineStr">
        <is>
          <t>Belrise Industries Ltd</t>
        </is>
      </c>
      <c r="C66" s="30" t="inlineStr">
        <is>
          <t>auto</t>
        </is>
      </c>
      <c r="D66" s="30" t="inlineStr">
        <is>
          <t>auto ancillaries</t>
        </is>
      </c>
      <c r="E66" s="30" t="inlineStr">
        <is>
          <t>largecap</t>
        </is>
      </c>
      <c r="F66" s="30" t="n">
        <v>24562.76</v>
      </c>
      <c r="G66" s="30" t="n">
        <v>261.35</v>
      </c>
      <c r="H66" s="30" t="n">
        <v>2.91</v>
      </c>
      <c r="I66" s="30" t="n">
        <v>9422315</v>
      </c>
      <c r="J66" s="30" t="n"/>
    </row>
    <row r="67">
      <c r="A67" s="30" t="inlineStr">
        <is>
          <t>DYCL</t>
        </is>
      </c>
      <c r="B67" s="30" t="inlineStr">
        <is>
          <t>Dynamic Cables Ltd</t>
        </is>
      </c>
      <c r="C67" s="30" t="inlineStr">
        <is>
          <t>industrials</t>
        </is>
      </c>
      <c r="D67" s="30" t="inlineStr">
        <is>
          <t>cables - power</t>
        </is>
      </c>
      <c r="E67" s="30" t="inlineStr">
        <is>
          <t>smallcap</t>
        </is>
      </c>
      <c r="F67" s="30" t="n">
        <v>2138</v>
      </c>
      <c r="G67" s="30" t="n">
        <v>454</v>
      </c>
      <c r="H67" s="30" t="n">
        <v>2.9</v>
      </c>
      <c r="I67" s="30" t="n">
        <v>1716733</v>
      </c>
      <c r="J67" s="30" t="inlineStr">
        <is>
          <t>540795</t>
        </is>
      </c>
    </row>
    <row r="68">
      <c r="A68" s="30" t="inlineStr">
        <is>
          <t>TNPETRO</t>
        </is>
      </c>
      <c r="B68" s="30" t="inlineStr">
        <is>
          <t>Tamilnadu Petroproducts Limited</t>
        </is>
      </c>
      <c r="C68" s="30" t="inlineStr">
        <is>
          <t>energy</t>
        </is>
      </c>
      <c r="D68" s="30" t="inlineStr">
        <is>
          <t>petrochemicals</t>
        </is>
      </c>
      <c r="E68" s="30" t="inlineStr">
        <is>
          <t>smallcap</t>
        </is>
      </c>
      <c r="F68" s="30" t="n">
        <v>933.63</v>
      </c>
      <c r="G68" s="30" t="n">
        <v>106.77</v>
      </c>
      <c r="H68" s="30" t="n">
        <v>2.89</v>
      </c>
      <c r="I68" s="30" t="n">
        <v>5595159</v>
      </c>
      <c r="J68" s="30" t="inlineStr">
        <is>
          <t>500777</t>
        </is>
      </c>
    </row>
    <row r="69">
      <c r="A69" s="30" t="inlineStr">
        <is>
          <t>ATHERENERG</t>
        </is>
      </c>
      <c r="B69" s="30" t="inlineStr">
        <is>
          <t>Ather Energy Ltd</t>
        </is>
      </c>
      <c r="C69" s="30" t="inlineStr">
        <is>
          <t>auto</t>
        </is>
      </c>
      <c r="D69" s="30" t="inlineStr">
        <is>
          <t>automobiles - scooters and 3 - wheelers</t>
        </is>
      </c>
      <c r="E69" s="30" t="inlineStr">
        <is>
          <t>largecap</t>
        </is>
      </c>
      <c r="F69" s="30" t="n">
        <v>60119.87</v>
      </c>
      <c r="G69" s="30" t="n">
        <v>1569.4</v>
      </c>
      <c r="H69" s="30" t="n">
        <v>2.88</v>
      </c>
      <c r="I69" s="30" t="n">
        <v>4521175</v>
      </c>
      <c r="J69" s="30" t="inlineStr">
        <is>
          <t>544397</t>
        </is>
      </c>
    </row>
    <row r="70">
      <c r="A70" s="30" t="inlineStr">
        <is>
          <t>BOSCHLTD</t>
        </is>
      </c>
      <c r="B70" s="30" t="inlineStr">
        <is>
          <t>Bosch Limited</t>
        </is>
      </c>
      <c r="C70" s="30" t="inlineStr">
        <is>
          <t>auto</t>
        </is>
      </c>
      <c r="D70" s="30" t="inlineStr">
        <is>
          <t>auto ancillaries</t>
        </is>
      </c>
      <c r="E70" s="30" t="inlineStr">
        <is>
          <t>largecap</t>
        </is>
      </c>
      <c r="F70" s="30" t="n">
        <v>133278.13</v>
      </c>
      <c r="G70" s="30" t="n">
        <v>46480</v>
      </c>
      <c r="H70" s="30" t="n">
        <v>2.87</v>
      </c>
      <c r="I70" s="30" t="n">
        <v>96508</v>
      </c>
      <c r="J70" s="30" t="inlineStr">
        <is>
          <t>500530</t>
        </is>
      </c>
    </row>
    <row r="71">
      <c r="A71" s="30" t="inlineStr">
        <is>
          <t>GNA</t>
        </is>
      </c>
      <c r="B71" s="30" t="inlineStr">
        <is>
          <t>Gna Axles Limited</t>
        </is>
      </c>
      <c r="C71" s="30" t="inlineStr">
        <is>
          <t>auto</t>
        </is>
      </c>
      <c r="D71" s="30" t="inlineStr">
        <is>
          <t>auto ancillaries</t>
        </is>
      </c>
      <c r="E71" s="30" t="inlineStr">
        <is>
          <t>smallcap</t>
        </is>
      </c>
      <c r="F71" s="30" t="n">
        <v>2306.89</v>
      </c>
      <c r="G71" s="30" t="n">
        <v>552.6</v>
      </c>
      <c r="H71" s="30" t="n">
        <v>2.84</v>
      </c>
      <c r="I71" s="30" t="n">
        <v>341130</v>
      </c>
      <c r="J71" s="30" t="inlineStr">
        <is>
          <t>540124</t>
        </is>
      </c>
    </row>
    <row r="72">
      <c r="A72" s="30" t="inlineStr">
        <is>
          <t>GANDHITUBE</t>
        </is>
      </c>
      <c r="B72" s="30" t="inlineStr">
        <is>
          <t>Gandhi Special Tubes Limited</t>
        </is>
      </c>
      <c r="C72" s="30" t="inlineStr">
        <is>
          <t>metals &amp; mining</t>
        </is>
      </c>
      <c r="D72" s="30" t="inlineStr">
        <is>
          <t>steel - medium / small</t>
        </is>
      </c>
      <c r="E72" s="30" t="inlineStr">
        <is>
          <t>smallcap</t>
        </is>
      </c>
      <c r="F72" s="30" t="n">
        <v>1131.72</v>
      </c>
      <c r="G72" s="30" t="n">
        <v>957.75</v>
      </c>
      <c r="H72" s="30" t="n">
        <v>2.84</v>
      </c>
      <c r="I72" s="30" t="n">
        <v>39709</v>
      </c>
      <c r="J72" s="30" t="inlineStr">
        <is>
          <t>513108</t>
        </is>
      </c>
    </row>
    <row r="73">
      <c r="A73" s="30" t="inlineStr">
        <is>
          <t>MANALIPETC</t>
        </is>
      </c>
      <c r="B73" s="30" t="inlineStr">
        <is>
          <t>Manali Petrochemicals Limited</t>
        </is>
      </c>
      <c r="C73" s="30" t="inlineStr">
        <is>
          <t>energy</t>
        </is>
      </c>
      <c r="D73" s="30" t="inlineStr">
        <is>
          <t>petrochemicals</t>
        </is>
      </c>
      <c r="E73" s="30" t="inlineStr">
        <is>
          <t>smallcap</t>
        </is>
      </c>
      <c r="F73" s="30" t="n">
        <v>1127.11</v>
      </c>
      <c r="G73" s="30" t="n">
        <v>67.39</v>
      </c>
      <c r="H73" s="30" t="n">
        <v>2.84</v>
      </c>
      <c r="I73" s="30" t="n">
        <v>1189183</v>
      </c>
      <c r="J73" s="30" t="inlineStr">
        <is>
          <t>500268</t>
        </is>
      </c>
    </row>
    <row r="74">
      <c r="A74" s="30" t="inlineStr">
        <is>
          <t>FINEORG</t>
        </is>
      </c>
      <c r="B74" s="30" t="inlineStr">
        <is>
          <t>Fine Organic Industries Ltd</t>
        </is>
      </c>
      <c r="C74" s="30" t="inlineStr">
        <is>
          <t>chemicals</t>
        </is>
      </c>
      <c r="D74" s="30" t="inlineStr">
        <is>
          <t>chemicals</t>
        </is>
      </c>
      <c r="E74" s="30" t="inlineStr">
        <is>
          <t>midcap</t>
        </is>
      </c>
      <c r="F74" s="30" t="n">
        <v>15700.05</v>
      </c>
      <c r="G74" s="30" t="n">
        <v>5265.1</v>
      </c>
      <c r="H74" s="30" t="n">
        <v>2.82</v>
      </c>
      <c r="I74" s="30" t="n">
        <v>108822</v>
      </c>
      <c r="J74" s="30" t="inlineStr">
        <is>
          <t>541557</t>
        </is>
      </c>
    </row>
    <row r="75">
      <c r="A75" s="30" t="inlineStr">
        <is>
          <t>HINDALCO</t>
        </is>
      </c>
      <c r="B75" s="30" t="inlineStr">
        <is>
          <t>Hindalco Industries Limited</t>
        </is>
      </c>
      <c r="C75" s="30" t="inlineStr">
        <is>
          <t>metals &amp; mining</t>
        </is>
      </c>
      <c r="D75" s="30" t="inlineStr">
        <is>
          <t>aluminium and aluminium products</t>
        </is>
      </c>
      <c r="E75" s="30" t="inlineStr">
        <is>
          <t>largecap</t>
        </is>
      </c>
      <c r="F75" s="30" t="n">
        <v>235756.53</v>
      </c>
      <c r="G75" s="30" t="n">
        <v>1078.5</v>
      </c>
      <c r="H75" s="30" t="n">
        <v>2.8</v>
      </c>
      <c r="I75" s="30" t="n">
        <v>8786842</v>
      </c>
      <c r="J75" s="30" t="inlineStr">
        <is>
          <t>500440</t>
        </is>
      </c>
    </row>
    <row r="76">
      <c r="A76" s="30" t="inlineStr">
        <is>
          <t>INDNIPPON</t>
        </is>
      </c>
      <c r="B76" s="30" t="inlineStr">
        <is>
          <t>India Nippon Electricals Limited</t>
        </is>
      </c>
      <c r="C76" s="30" t="inlineStr">
        <is>
          <t>auto</t>
        </is>
      </c>
      <c r="D76" s="30" t="inlineStr">
        <is>
          <t>auto ancillaries</t>
        </is>
      </c>
      <c r="E76" s="30" t="inlineStr">
        <is>
          <t>smallcap</t>
        </is>
      </c>
      <c r="F76" s="30" t="n">
        <v>2560.97</v>
      </c>
      <c r="G76" s="30" t="n">
        <v>1163.2</v>
      </c>
      <c r="H76" s="30" t="n">
        <v>2.75</v>
      </c>
      <c r="I76" s="30" t="n">
        <v>29074</v>
      </c>
      <c r="J76" s="30" t="inlineStr">
        <is>
          <t>532240</t>
        </is>
      </c>
    </row>
    <row r="77">
      <c r="A77" s="30" t="inlineStr">
        <is>
          <t>ORIENTBELL</t>
        </is>
      </c>
      <c r="B77" s="30" t="inlineStr">
        <is>
          <t>Orient Bell Limited</t>
        </is>
      </c>
      <c r="C77" s="30" t="inlineStr">
        <is>
          <t>building materials</t>
        </is>
      </c>
      <c r="D77" s="30" t="inlineStr">
        <is>
          <t>ceramics - tiles / sanitaryware</t>
        </is>
      </c>
      <c r="E77" s="30" t="inlineStr">
        <is>
          <t>smallcap</t>
        </is>
      </c>
      <c r="F77" s="30" t="n">
        <v>518.54</v>
      </c>
      <c r="G77" s="30" t="n">
        <v>361.95</v>
      </c>
      <c r="H77" s="30" t="n">
        <v>2.68</v>
      </c>
      <c r="I77" s="30" t="n">
        <v>104366</v>
      </c>
      <c r="J77" s="30" t="inlineStr">
        <is>
          <t>530365</t>
        </is>
      </c>
    </row>
    <row r="78">
      <c r="A78" s="30" t="inlineStr">
        <is>
          <t>KAPSTON</t>
        </is>
      </c>
      <c r="B78" s="30" t="inlineStr">
        <is>
          <t>Kapston Services Ltd</t>
        </is>
      </c>
      <c r="C78" s="30" t="inlineStr">
        <is>
          <t>miscellaneous</t>
        </is>
      </c>
      <c r="D78" s="30" t="inlineStr">
        <is>
          <t>miscellaneous</t>
        </is>
      </c>
      <c r="E78" s="30" t="inlineStr">
        <is>
          <t>smallcap</t>
        </is>
      </c>
      <c r="F78" s="30" t="n">
        <v>1714.55</v>
      </c>
      <c r="G78" s="30" t="n">
        <v>578.2</v>
      </c>
      <c r="H78" s="30" t="n">
        <v>2.63</v>
      </c>
      <c r="I78" s="30" t="n">
        <v>88955</v>
      </c>
      <c r="J78" s="30" t="inlineStr">
        <is>
          <t>535064</t>
        </is>
      </c>
    </row>
    <row r="79">
      <c r="A79" s="30" t="inlineStr">
        <is>
          <t>MCX</t>
        </is>
      </c>
      <c r="B79" s="30" t="inlineStr">
        <is>
          <t>Multi Commodity Exchange Of India Limited</t>
        </is>
      </c>
      <c r="C79" s="30" t="inlineStr">
        <is>
          <t>financials</t>
        </is>
      </c>
      <c r="D79" s="30" t="inlineStr">
        <is>
          <t>miscellaneous</t>
        </is>
      </c>
      <c r="E79" s="30" t="inlineStr">
        <is>
          <t>largecap</t>
        </is>
      </c>
      <c r="F79" s="30" t="n">
        <v>73820.14</v>
      </c>
      <c r="G79" s="30" t="n">
        <v>2970.1</v>
      </c>
      <c r="H79" s="30" t="n">
        <v>2.59</v>
      </c>
      <c r="I79" s="30" t="n">
        <v>6169318</v>
      </c>
      <c r="J79" s="30" t="inlineStr">
        <is>
          <t>534091</t>
        </is>
      </c>
    </row>
    <row r="80">
      <c r="A80" s="30" t="inlineStr">
        <is>
          <t>5PAISA</t>
        </is>
      </c>
      <c r="B80" s="30" t="inlineStr">
        <is>
          <t>5Paisa Capital Ltd</t>
        </is>
      </c>
      <c r="C80" s="30" t="inlineStr">
        <is>
          <t>financials</t>
        </is>
      </c>
      <c r="D80" s="30" t="inlineStr">
        <is>
          <t>finance &amp; investments</t>
        </is>
      </c>
      <c r="E80" s="30" t="inlineStr">
        <is>
          <t>smallcap</t>
        </is>
      </c>
      <c r="F80" s="30" t="n">
        <v>1769.1</v>
      </c>
      <c r="G80" s="30" t="n">
        <v>387.05</v>
      </c>
      <c r="H80" s="30" t="n">
        <v>2.57</v>
      </c>
      <c r="I80" s="30" t="n">
        <v>70773</v>
      </c>
      <c r="J80" s="30" t="inlineStr">
        <is>
          <t>540776</t>
        </is>
      </c>
    </row>
    <row r="81">
      <c r="A81" s="30" t="inlineStr">
        <is>
          <t>PVRINOX</t>
        </is>
      </c>
      <c r="B81" s="30" t="inlineStr">
        <is>
          <t>PVR Inox Ltd</t>
        </is>
      </c>
      <c r="C81" s="30" t="inlineStr">
        <is>
          <t>media</t>
        </is>
      </c>
      <c r="D81" s="30" t="inlineStr">
        <is>
          <t>entertainment / electronic media software</t>
        </is>
      </c>
      <c r="E81" s="30" t="inlineStr">
        <is>
          <t>midcap</t>
        </is>
      </c>
      <c r="F81" s="30" t="n">
        <v>11393.16</v>
      </c>
      <c r="G81" s="30" t="n">
        <v>1189.5</v>
      </c>
      <c r="H81" s="30" t="n">
        <v>2.53</v>
      </c>
      <c r="I81" s="30" t="n">
        <v>346505</v>
      </c>
      <c r="J81" s="30" t="inlineStr">
        <is>
          <t>532689</t>
        </is>
      </c>
    </row>
    <row r="82">
      <c r="A82" s="30" t="inlineStr">
        <is>
          <t>MAHSEAMLES</t>
        </is>
      </c>
      <c r="B82" s="30" t="inlineStr">
        <is>
          <t>Maharashtra Seamless Limited</t>
        </is>
      </c>
      <c r="C82" s="30" t="inlineStr">
        <is>
          <t>industrials</t>
        </is>
      </c>
      <c r="D82" s="30" t="inlineStr">
        <is>
          <t>steel - large</t>
        </is>
      </c>
      <c r="E82" s="30" t="inlineStr">
        <is>
          <t>midcap</t>
        </is>
      </c>
      <c r="F82" s="30" t="n">
        <v>7972.96</v>
      </c>
      <c r="G82" s="30" t="n">
        <v>609.95</v>
      </c>
      <c r="H82" s="30" t="n">
        <v>2.51</v>
      </c>
      <c r="I82" s="30" t="n">
        <v>118552</v>
      </c>
      <c r="J82" s="30" t="inlineStr">
        <is>
          <t>500265</t>
        </is>
      </c>
    </row>
    <row r="83">
      <c r="A83" s="30" t="inlineStr">
        <is>
          <t>UNIONBANK</t>
        </is>
      </c>
      <c r="B83" s="30" t="inlineStr">
        <is>
          <t>Union Bank Of India Ltd</t>
        </is>
      </c>
      <c r="C83" s="30" t="inlineStr">
        <is>
          <t>bank</t>
        </is>
      </c>
      <c r="D83" s="30" t="inlineStr">
        <is>
          <t>banks - public sector</t>
        </is>
      </c>
      <c r="E83" s="30" t="inlineStr">
        <is>
          <t>largecap</t>
        </is>
      </c>
      <c r="F83" s="30" t="n">
        <v>139313.3</v>
      </c>
      <c r="G83" s="30" t="n">
        <v>187</v>
      </c>
      <c r="H83" s="30" t="n">
        <v>2.47</v>
      </c>
      <c r="I83" s="30" t="n">
        <v>22005359</v>
      </c>
      <c r="J83" s="30" t="inlineStr">
        <is>
          <t>532477</t>
        </is>
      </c>
    </row>
    <row r="84">
      <c r="A84" s="30" t="inlineStr">
        <is>
          <t>NAVINFLUOR</t>
        </is>
      </c>
      <c r="B84" s="30" t="inlineStr">
        <is>
          <t>Navin Fluorine International Limited</t>
        </is>
      </c>
      <c r="C84" s="30" t="inlineStr">
        <is>
          <t>chemicals</t>
        </is>
      </c>
      <c r="D84" s="30" t="inlineStr">
        <is>
          <t>chemicals</t>
        </is>
      </c>
      <c r="E84" s="30" t="inlineStr">
        <is>
          <t>largecap</t>
        </is>
      </c>
      <c r="F84" s="30" t="n">
        <v>41833.07</v>
      </c>
      <c r="G84" s="30" t="n">
        <v>8356.5</v>
      </c>
      <c r="H84" s="30" t="n">
        <v>2.46</v>
      </c>
      <c r="I84" s="30" t="n">
        <v>290940</v>
      </c>
      <c r="J84" s="30" t="inlineStr">
        <is>
          <t>532504</t>
        </is>
      </c>
    </row>
    <row r="85">
      <c r="A85" s="30" t="inlineStr">
        <is>
          <t>CPPLUS</t>
        </is>
      </c>
      <c r="B85" s="30" t="inlineStr">
        <is>
          <t>Aditya Infotech Ltd</t>
        </is>
      </c>
      <c r="C85" s="30" t="inlineStr">
        <is>
          <t>consumer discretionary</t>
        </is>
      </c>
      <c r="D85" s="30" t="inlineStr">
        <is>
          <t>trading</t>
        </is>
      </c>
      <c r="E85" s="30" t="inlineStr">
        <is>
          <t>largecap</t>
        </is>
      </c>
      <c r="F85" s="30" t="n">
        <v>44848</v>
      </c>
      <c r="G85" s="30" t="n">
        <v>3899.1</v>
      </c>
      <c r="H85" s="30" t="n">
        <v>2.46</v>
      </c>
      <c r="I85" s="30" t="n">
        <v>287366</v>
      </c>
      <c r="J85" s="30" t="inlineStr">
        <is>
          <t>544466</t>
        </is>
      </c>
    </row>
    <row r="86">
      <c r="A86" s="30" t="inlineStr">
        <is>
          <t>INDIANB</t>
        </is>
      </c>
      <c r="B86" s="30" t="inlineStr">
        <is>
          <t>Indian Bank Ltd</t>
        </is>
      </c>
      <c r="C86" s="30" t="inlineStr">
        <is>
          <t>bank</t>
        </is>
      </c>
      <c r="D86" s="30" t="inlineStr">
        <is>
          <t>banks - public sector</t>
        </is>
      </c>
      <c r="E86" s="30" t="inlineStr">
        <is>
          <t>largecap</t>
        </is>
      </c>
      <c r="F86" s="30" t="n">
        <v>117940.17</v>
      </c>
      <c r="G86" s="30" t="n">
        <v>897</v>
      </c>
      <c r="H86" s="30" t="n">
        <v>2.44</v>
      </c>
      <c r="I86" s="30" t="n">
        <v>2076183</v>
      </c>
      <c r="J86" s="30" t="inlineStr">
        <is>
          <t>532814</t>
        </is>
      </c>
    </row>
    <row r="87">
      <c r="A87" s="30" t="inlineStr">
        <is>
          <t>PFIZER</t>
        </is>
      </c>
      <c r="B87" s="30" t="inlineStr">
        <is>
          <t>Pfizer Limited</t>
        </is>
      </c>
      <c r="C87" s="30" t="inlineStr">
        <is>
          <t>healthcare</t>
        </is>
      </c>
      <c r="D87" s="30" t="inlineStr">
        <is>
          <t>pharmaceuticals - multinational</t>
        </is>
      </c>
      <c r="E87" s="30" t="inlineStr">
        <is>
          <t>largecap</t>
        </is>
      </c>
      <c r="F87" s="30" t="n">
        <v>22409.53</v>
      </c>
      <c r="G87" s="30" t="n">
        <v>5017.6</v>
      </c>
      <c r="H87" s="30" t="n">
        <v>2.43</v>
      </c>
      <c r="I87" s="30" t="n">
        <v>148835</v>
      </c>
      <c r="J87" s="30" t="inlineStr">
        <is>
          <t>500680</t>
        </is>
      </c>
    </row>
    <row r="88">
      <c r="A88" s="30" t="inlineStr">
        <is>
          <t>UNIVCABLES</t>
        </is>
      </c>
      <c r="B88" s="30" t="inlineStr">
        <is>
          <t>Universal Cables Limited</t>
        </is>
      </c>
      <c r="C88" s="30" t="inlineStr">
        <is>
          <t>industrials</t>
        </is>
      </c>
      <c r="D88" s="30" t="inlineStr">
        <is>
          <t>cables - power</t>
        </is>
      </c>
      <c r="E88" s="30" t="inlineStr">
        <is>
          <t>midcap</t>
        </is>
      </c>
      <c r="F88" s="30" t="n">
        <v>5792.05</v>
      </c>
      <c r="G88" s="30" t="n">
        <v>1708.9</v>
      </c>
      <c r="H88" s="30" t="n">
        <v>2.37</v>
      </c>
      <c r="I88" s="30" t="n">
        <v>173152</v>
      </c>
      <c r="J88" s="30" t="inlineStr">
        <is>
          <t>504212</t>
        </is>
      </c>
    </row>
    <row r="89">
      <c r="A89" s="30" t="inlineStr">
        <is>
          <t>VGUARD</t>
        </is>
      </c>
      <c r="B89" s="30" t="inlineStr">
        <is>
          <t>V-guard Industries Limited</t>
        </is>
      </c>
      <c r="C89" s="30" t="inlineStr">
        <is>
          <t>industrials</t>
        </is>
      </c>
      <c r="D89" s="30" t="inlineStr">
        <is>
          <t>electric equipment</t>
        </is>
      </c>
      <c r="E89" s="30" t="inlineStr">
        <is>
          <t>midcap</t>
        </is>
      </c>
      <c r="F89" s="30" t="n">
        <v>14168.38</v>
      </c>
      <c r="G89" s="30" t="n">
        <v>331.75</v>
      </c>
      <c r="H89" s="30" t="n">
        <v>2.3</v>
      </c>
      <c r="I89" s="30" t="n">
        <v>1980024</v>
      </c>
      <c r="J89" s="30" t="inlineStr">
        <is>
          <t>532953</t>
        </is>
      </c>
    </row>
    <row r="90">
      <c r="A90" s="30" t="inlineStr">
        <is>
          <t>POWERINDIA</t>
        </is>
      </c>
      <c r="B90" s="30" t="inlineStr">
        <is>
          <t>Hitachi Energy India Ltd</t>
        </is>
      </c>
      <c r="C90" s="30" t="inlineStr">
        <is>
          <t>industrials</t>
        </is>
      </c>
      <c r="D90" s="30" t="inlineStr">
        <is>
          <t>electric equipment</t>
        </is>
      </c>
      <c r="E90" s="30" t="inlineStr">
        <is>
          <t>largecap</t>
        </is>
      </c>
      <c r="F90" s="30" t="n">
        <v>156003.27</v>
      </c>
      <c r="G90" s="30" t="n">
        <v>35800</v>
      </c>
      <c r="H90" s="30" t="n">
        <v>2.29</v>
      </c>
      <c r="I90" s="30" t="n">
        <v>180600</v>
      </c>
      <c r="J90" s="30" t="inlineStr">
        <is>
          <t>543187</t>
        </is>
      </c>
    </row>
    <row r="91">
      <c r="A91" s="30" t="inlineStr">
        <is>
          <t>KAJARIACER</t>
        </is>
      </c>
      <c r="B91" s="30" t="inlineStr">
        <is>
          <t>Kajaria Ceramics Limited</t>
        </is>
      </c>
      <c r="C91" s="30" t="inlineStr">
        <is>
          <t>building materials</t>
        </is>
      </c>
      <c r="D91" s="30" t="inlineStr">
        <is>
          <t>ceramics - tiles / sanitaryware</t>
        </is>
      </c>
      <c r="E91" s="30" t="inlineStr">
        <is>
          <t>midcap</t>
        </is>
      </c>
      <c r="F91" s="30" t="n">
        <v>19520.41</v>
      </c>
      <c r="G91" s="30" t="n">
        <v>1252.2</v>
      </c>
      <c r="H91" s="30" t="n">
        <v>2.17</v>
      </c>
      <c r="I91" s="30" t="n">
        <v>541562</v>
      </c>
      <c r="J91" s="30" t="inlineStr">
        <is>
          <t>500233</t>
        </is>
      </c>
    </row>
    <row r="92">
      <c r="A92" s="30" t="inlineStr">
        <is>
          <t>ROSSTECH</t>
        </is>
      </c>
      <c r="B92" s="30" t="inlineStr">
        <is>
          <t>Rossell Techsys Ltd</t>
        </is>
      </c>
      <c r="C92" s="30" t="inlineStr">
        <is>
          <t>aerospace &amp; defence</t>
        </is>
      </c>
      <c r="D92" s="30" t="inlineStr">
        <is>
          <t>engineering</t>
        </is>
      </c>
      <c r="E92" s="30" t="inlineStr">
        <is>
          <t>smallcap</t>
        </is>
      </c>
      <c r="F92" s="30" t="n">
        <v>4020.89</v>
      </c>
      <c r="G92" s="30" t="n">
        <v>1089.5</v>
      </c>
      <c r="H92" s="30" t="n">
        <v>2.14</v>
      </c>
      <c r="I92" s="30" t="n">
        <v>183289</v>
      </c>
      <c r="J92" s="30" t="inlineStr">
        <is>
          <t>544294</t>
        </is>
      </c>
    </row>
    <row r="93">
      <c r="A93" s="30" t="inlineStr">
        <is>
          <t>ACE</t>
        </is>
      </c>
      <c r="B93" s="30" t="inlineStr">
        <is>
          <t>Action Construction Equipment Limited</t>
        </is>
      </c>
      <c r="C93" s="30" t="inlineStr">
        <is>
          <t>industrials</t>
        </is>
      </c>
      <c r="D93" s="30" t="inlineStr">
        <is>
          <t>engineering</t>
        </is>
      </c>
      <c r="E93" s="30" t="inlineStr">
        <is>
          <t>midcap</t>
        </is>
      </c>
      <c r="F93" s="30" t="n">
        <v>12781.2</v>
      </c>
      <c r="G93" s="30" t="n">
        <v>1096.1</v>
      </c>
      <c r="H93" s="30" t="n">
        <v>2.12</v>
      </c>
      <c r="I93" s="30" t="n">
        <v>305682</v>
      </c>
      <c r="J93" s="30" t="inlineStr">
        <is>
          <t>532762</t>
        </is>
      </c>
    </row>
    <row r="94">
      <c r="A94" s="30" t="inlineStr">
        <is>
          <t>CRAFTSMAN</t>
        </is>
      </c>
      <c r="B94" s="30" t="inlineStr">
        <is>
          <t>Craftsman Automation Ltd</t>
        </is>
      </c>
      <c r="C94" s="30" t="inlineStr">
        <is>
          <t>auto</t>
        </is>
      </c>
      <c r="D94" s="30" t="inlineStr">
        <is>
          <t>auto ancillaries</t>
        </is>
      </c>
      <c r="E94" s="30" t="inlineStr">
        <is>
          <t>largecap</t>
        </is>
      </c>
      <c r="F94" s="30" t="n">
        <v>26923.37</v>
      </c>
      <c r="G94" s="30" t="n">
        <v>10511</v>
      </c>
      <c r="H94" s="30" t="n">
        <v>2.11</v>
      </c>
      <c r="I94" s="30" t="n">
        <v>71285</v>
      </c>
      <c r="J94" s="30" t="inlineStr">
        <is>
          <t>543276</t>
        </is>
      </c>
    </row>
    <row r="95">
      <c r="A95" s="30" t="inlineStr">
        <is>
          <t>MMP</t>
        </is>
      </c>
      <c r="B95" s="30" t="inlineStr">
        <is>
          <t>MMP Industries Ltd</t>
        </is>
      </c>
      <c r="C95" s="30" t="inlineStr">
        <is>
          <t>metals &amp; mining</t>
        </is>
      </c>
      <c r="D95" s="30" t="inlineStr">
        <is>
          <t>aluminium and aluminium products</t>
        </is>
      </c>
      <c r="E95" s="30" t="inlineStr">
        <is>
          <t>smallcap</t>
        </is>
      </c>
      <c r="F95" s="30" t="n">
        <v>639.8099999999999</v>
      </c>
      <c r="G95" s="30" t="n">
        <v>345.2</v>
      </c>
      <c r="H95" s="30" t="n">
        <v>2.08</v>
      </c>
      <c r="I95" s="30" t="n">
        <v>48700</v>
      </c>
      <c r="J95" s="30" t="inlineStr">
        <is>
          <t>535071</t>
        </is>
      </c>
    </row>
    <row r="96">
      <c r="A96" s="30" t="inlineStr">
        <is>
          <t>FIEMIND</t>
        </is>
      </c>
      <c r="B96" s="30" t="inlineStr">
        <is>
          <t>Fiem Industries Limited</t>
        </is>
      </c>
      <c r="C96" s="30" t="inlineStr">
        <is>
          <t>auto</t>
        </is>
      </c>
      <c r="D96" s="30" t="inlineStr">
        <is>
          <t>auto ancillaries</t>
        </is>
      </c>
      <c r="E96" s="30" t="inlineStr">
        <is>
          <t>midcap</t>
        </is>
      </c>
      <c r="F96" s="30" t="n">
        <v>6822.58</v>
      </c>
      <c r="G96" s="30" t="n">
        <v>2645.9</v>
      </c>
      <c r="H96" s="30" t="n">
        <v>2.07</v>
      </c>
      <c r="I96" s="30" t="n">
        <v>153129</v>
      </c>
      <c r="J96" s="30" t="inlineStr">
        <is>
          <t>532768</t>
        </is>
      </c>
    </row>
    <row r="97">
      <c r="A97" s="30" t="inlineStr">
        <is>
          <t>MINDACORP</t>
        </is>
      </c>
      <c r="B97" s="30" t="inlineStr">
        <is>
          <t>Minda Corporation Limited</t>
        </is>
      </c>
      <c r="C97" s="30" t="inlineStr">
        <is>
          <t>auto</t>
        </is>
      </c>
      <c r="D97" s="30" t="inlineStr">
        <is>
          <t>auto ancillaries</t>
        </is>
      </c>
      <c r="E97" s="30" t="inlineStr">
        <is>
          <t>midcap</t>
        </is>
      </c>
      <c r="F97" s="30" t="n">
        <v>17248.39</v>
      </c>
      <c r="G97" s="30" t="n">
        <v>736.3</v>
      </c>
      <c r="H97" s="30" t="n">
        <v>2.06</v>
      </c>
      <c r="I97" s="30" t="n">
        <v>507767</v>
      </c>
      <c r="J97" s="30" t="inlineStr">
        <is>
          <t>538962</t>
        </is>
      </c>
    </row>
    <row r="98">
      <c r="A98" s="30" t="inlineStr">
        <is>
          <t>SCHNEIDER</t>
        </is>
      </c>
      <c r="B98" s="30" t="inlineStr">
        <is>
          <t>Schneider Electric Infrastructure Limited</t>
        </is>
      </c>
      <c r="C98" s="30" t="inlineStr">
        <is>
          <t>industrials</t>
        </is>
      </c>
      <c r="D98" s="30" t="inlineStr">
        <is>
          <t>electric equipment</t>
        </is>
      </c>
      <c r="E98" s="30" t="inlineStr">
        <is>
          <t>largecap</t>
        </is>
      </c>
      <c r="F98" s="30" t="n">
        <v>33553.47</v>
      </c>
      <c r="G98" s="30" t="n">
        <v>1431.9</v>
      </c>
      <c r="H98" s="30" t="n">
        <v>2.04</v>
      </c>
      <c r="I98" s="30" t="n">
        <v>418698</v>
      </c>
      <c r="J98" s="30" t="inlineStr">
        <is>
          <t>534139</t>
        </is>
      </c>
    </row>
    <row r="99">
      <c r="A99" s="30" t="inlineStr">
        <is>
          <t>PRECWIRE</t>
        </is>
      </c>
      <c r="B99" s="30" t="inlineStr">
        <is>
          <t>Precision Wires India Limited</t>
        </is>
      </c>
      <c r="C99" s="30" t="inlineStr">
        <is>
          <t>metals &amp; mining</t>
        </is>
      </c>
      <c r="D99" s="30" t="inlineStr">
        <is>
          <t>mining / minerals / metals</t>
        </is>
      </c>
      <c r="E99" s="30" t="inlineStr">
        <is>
          <t>midcap</t>
        </is>
      </c>
      <c r="F99" s="30" t="n">
        <v>7571.91</v>
      </c>
      <c r="G99" s="30" t="n">
        <v>422.3</v>
      </c>
      <c r="H99" s="30" t="n">
        <v>1.96</v>
      </c>
      <c r="I99" s="30" t="n">
        <v>652034</v>
      </c>
      <c r="J99" s="30" t="inlineStr">
        <is>
          <t>523539</t>
        </is>
      </c>
    </row>
    <row r="100">
      <c r="A100" s="30" t="inlineStr">
        <is>
          <t>TI</t>
        </is>
      </c>
      <c r="B100" s="30" t="inlineStr">
        <is>
          <t>Tilaknagar Industries Limited</t>
        </is>
      </c>
      <c r="C100" s="30" t="inlineStr">
        <is>
          <t>fmcg</t>
        </is>
      </c>
      <c r="D100" s="30" t="inlineStr">
        <is>
          <t>breweries &amp; distilleries</t>
        </is>
      </c>
      <c r="E100" s="30" t="inlineStr">
        <is>
          <t>midcap</t>
        </is>
      </c>
      <c r="F100" s="30" t="n">
        <v>12887.2</v>
      </c>
      <c r="G100" s="30" t="n">
        <v>530.9</v>
      </c>
      <c r="H100" s="30" t="n">
        <v>1.95</v>
      </c>
      <c r="I100" s="30" t="n">
        <v>1733388</v>
      </c>
      <c r="J100" s="30" t="inlineStr">
        <is>
          <t>507205</t>
        </is>
      </c>
    </row>
    <row r="101">
      <c r="A101" s="30" t="inlineStr">
        <is>
          <t>KEI</t>
        </is>
      </c>
      <c r="B101" s="30" t="inlineStr">
        <is>
          <t>Kei Industries Limited</t>
        </is>
      </c>
      <c r="C101" s="30" t="inlineStr">
        <is>
          <t>industrials</t>
        </is>
      </c>
      <c r="D101" s="30" t="inlineStr">
        <is>
          <t>cables - power</t>
        </is>
      </c>
      <c r="E101" s="30" t="inlineStr">
        <is>
          <t>largecap</t>
        </is>
      </c>
      <c r="F101" s="30" t="n">
        <v>53966.54</v>
      </c>
      <c r="G101" s="30" t="n">
        <v>5754</v>
      </c>
      <c r="H101" s="30" t="n">
        <v>1.93</v>
      </c>
      <c r="I101" s="30" t="n">
        <v>454178</v>
      </c>
      <c r="J101" s="30" t="inlineStr">
        <is>
          <t>517569</t>
        </is>
      </c>
    </row>
    <row r="102">
      <c r="A102" s="30" t="inlineStr">
        <is>
          <t>AUBANK</t>
        </is>
      </c>
      <c r="B102" s="30" t="inlineStr">
        <is>
          <t>AU Small Finance Bank Ltd</t>
        </is>
      </c>
      <c r="C102" s="30" t="inlineStr">
        <is>
          <t>bank</t>
        </is>
      </c>
      <c r="D102" s="30" t="inlineStr">
        <is>
          <t>banks - private sector</t>
        </is>
      </c>
      <c r="E102" s="30" t="inlineStr">
        <is>
          <t>largecap</t>
        </is>
      </c>
      <c r="F102" s="30" t="n">
        <v>80207.41</v>
      </c>
      <c r="G102" s="30" t="n">
        <v>1091.4</v>
      </c>
      <c r="H102" s="30" t="n">
        <v>1.91</v>
      </c>
      <c r="I102" s="30" t="n">
        <v>1572313</v>
      </c>
      <c r="J102" s="30" t="inlineStr">
        <is>
          <t>540611</t>
        </is>
      </c>
    </row>
    <row r="103">
      <c r="A103" s="30" t="inlineStr">
        <is>
          <t>ONEPOINT</t>
        </is>
      </c>
      <c r="B103" s="30" t="inlineStr">
        <is>
          <t>One Point One Solutions Ltd</t>
        </is>
      </c>
      <c r="C103" s="30" t="inlineStr">
        <is>
          <t>i.t</t>
        </is>
      </c>
      <c r="D103" s="30" t="inlineStr">
        <is>
          <t>computers - software - medium / small</t>
        </is>
      </c>
      <c r="E103" s="30" t="inlineStr">
        <is>
          <t>smallcap</t>
        </is>
      </c>
      <c r="F103" s="30" t="n">
        <v>1547.91</v>
      </c>
      <c r="G103" s="30" t="n">
        <v>59.99</v>
      </c>
      <c r="H103" s="30" t="n">
        <v>1.9</v>
      </c>
      <c r="I103" s="30" t="n">
        <v>1859092</v>
      </c>
      <c r="J103" s="30" t="inlineStr">
        <is>
          <t>535039</t>
        </is>
      </c>
    </row>
    <row r="104">
      <c r="A104" s="30" t="inlineStr">
        <is>
          <t>PGIL</t>
        </is>
      </c>
      <c r="B104" s="30" t="inlineStr">
        <is>
          <t>Pearl Global Industries Limited</t>
        </is>
      </c>
      <c r="C104" s="30" t="inlineStr">
        <is>
          <t>consumer discretionary</t>
        </is>
      </c>
      <c r="D104" s="30" t="inlineStr">
        <is>
          <t>textiles - products</t>
        </is>
      </c>
      <c r="E104" s="30" t="inlineStr">
        <is>
          <t>midcap</t>
        </is>
      </c>
      <c r="F104" s="30" t="n">
        <v>11245.37</v>
      </c>
      <c r="G104" s="30" t="n">
        <v>2480.4</v>
      </c>
      <c r="H104" s="30" t="n">
        <v>1.87</v>
      </c>
      <c r="I104" s="30" t="n">
        <v>103039</v>
      </c>
      <c r="J104" s="30" t="inlineStr">
        <is>
          <t>532808</t>
        </is>
      </c>
    </row>
    <row r="105">
      <c r="A105" s="30" t="inlineStr">
        <is>
          <t>RATNAVEER</t>
        </is>
      </c>
      <c r="B105" s="30" t="inlineStr">
        <is>
          <t>Ratnaveer Precision Engineering Ltd</t>
        </is>
      </c>
      <c r="C105" s="30" t="inlineStr">
        <is>
          <t>metals &amp; mining</t>
        </is>
      </c>
      <c r="D105" s="30" t="inlineStr">
        <is>
          <t>steel - medium / small</t>
        </is>
      </c>
      <c r="E105" s="30" t="inlineStr">
        <is>
          <t>smallcap</t>
        </is>
      </c>
      <c r="F105" s="30" t="n">
        <v>1472.53</v>
      </c>
      <c r="G105" s="30" t="n">
        <v>210.01</v>
      </c>
      <c r="H105" s="30" t="n">
        <v>1.87</v>
      </c>
      <c r="I105" s="30" t="n">
        <v>4209276</v>
      </c>
      <c r="J105" s="30" t="inlineStr">
        <is>
          <t>543978</t>
        </is>
      </c>
    </row>
    <row r="106">
      <c r="A106" s="30" t="inlineStr">
        <is>
          <t>BANKINDIA</t>
        </is>
      </c>
      <c r="B106" s="30" t="inlineStr">
        <is>
          <t>Bank Of India Ltd</t>
        </is>
      </c>
      <c r="C106" s="30" t="inlineStr">
        <is>
          <t>bank</t>
        </is>
      </c>
      <c r="D106" s="30" t="inlineStr">
        <is>
          <t>banks - public sector</t>
        </is>
      </c>
      <c r="E106" s="30" t="inlineStr">
        <is>
          <t>largecap</t>
        </is>
      </c>
      <c r="F106" s="30" t="n">
        <v>65057.62</v>
      </c>
      <c r="G106" s="30" t="n">
        <v>145.5</v>
      </c>
      <c r="H106" s="30" t="n">
        <v>1.82</v>
      </c>
      <c r="I106" s="30" t="n">
        <v>8946785</v>
      </c>
      <c r="J106" s="30" t="inlineStr">
        <is>
          <t>532149</t>
        </is>
      </c>
    </row>
    <row r="107">
      <c r="A107" s="30" t="inlineStr">
        <is>
          <t>IDFCFIRSTB</t>
        </is>
      </c>
      <c r="B107" s="30" t="inlineStr">
        <is>
          <t>IDFC First Bank Ltd</t>
        </is>
      </c>
      <c r="C107" s="30" t="inlineStr">
        <is>
          <t>bank</t>
        </is>
      </c>
      <c r="D107" s="30" t="inlineStr">
        <is>
          <t>banks - private sector</t>
        </is>
      </c>
      <c r="E107" s="30" t="inlineStr">
        <is>
          <t>largecap</t>
        </is>
      </c>
      <c r="F107" s="30" t="n">
        <v>72596.38</v>
      </c>
      <c r="G107" s="30" t="n">
        <v>85.8</v>
      </c>
      <c r="H107" s="30" t="n">
        <v>1.82</v>
      </c>
      <c r="I107" s="30" t="n">
        <v>16618607</v>
      </c>
      <c r="J107" s="30" t="inlineStr">
        <is>
          <t>539437</t>
        </is>
      </c>
    </row>
    <row r="108">
      <c r="A108" s="30" t="inlineStr">
        <is>
          <t>JSL</t>
        </is>
      </c>
      <c r="B108" s="30" t="inlineStr">
        <is>
          <t>Jindal Stainless Limited</t>
        </is>
      </c>
      <c r="C108" s="30" t="inlineStr">
        <is>
          <t>metals &amp; mining</t>
        </is>
      </c>
      <c r="D108" s="30" t="inlineStr">
        <is>
          <t>steel - large</t>
        </is>
      </c>
      <c r="E108" s="30" t="inlineStr">
        <is>
          <t>largecap</t>
        </is>
      </c>
      <c r="F108" s="30" t="n">
        <v>59778.66</v>
      </c>
      <c r="G108" s="30" t="n">
        <v>737.9</v>
      </c>
      <c r="H108" s="30" t="n">
        <v>1.77</v>
      </c>
      <c r="I108" s="30" t="n">
        <v>486337</v>
      </c>
      <c r="J108" s="30" t="inlineStr">
        <is>
          <t>532508</t>
        </is>
      </c>
    </row>
    <row r="109">
      <c r="A109" s="30" t="inlineStr">
        <is>
          <t>LTFOODS</t>
        </is>
      </c>
      <c r="B109" s="30" t="inlineStr">
        <is>
          <t>L T Foods Ltd</t>
        </is>
      </c>
      <c r="C109" s="30" t="inlineStr">
        <is>
          <t>fmcg</t>
        </is>
      </c>
      <c r="D109" s="30" t="inlineStr">
        <is>
          <t>food - processing - indian</t>
        </is>
      </c>
      <c r="E109" s="30" t="inlineStr">
        <is>
          <t>midcap</t>
        </is>
      </c>
      <c r="F109" s="30" t="n">
        <v>14560.32</v>
      </c>
      <c r="G109" s="30" t="n">
        <v>426.7</v>
      </c>
      <c r="H109" s="30" t="n">
        <v>1.76</v>
      </c>
      <c r="I109" s="30" t="n">
        <v>502746</v>
      </c>
      <c r="J109" s="30" t="inlineStr">
        <is>
          <t>532783</t>
        </is>
      </c>
    </row>
    <row r="110">
      <c r="A110" s="30" t="inlineStr">
        <is>
          <t>HAL</t>
        </is>
      </c>
      <c r="B110" s="30" t="inlineStr">
        <is>
          <t>Hindustan Aeronautics Ltd</t>
        </is>
      </c>
      <c r="C110" s="30" t="inlineStr">
        <is>
          <t>aerospace &amp; defence</t>
        </is>
      </c>
      <c r="D110" s="30" t="inlineStr">
        <is>
          <t>engineering</t>
        </is>
      </c>
      <c r="E110" s="30" t="inlineStr">
        <is>
          <t>largecap</t>
        </is>
      </c>
      <c r="F110" s="30" t="n">
        <v>328301.65</v>
      </c>
      <c r="G110" s="30" t="n">
        <v>4995</v>
      </c>
      <c r="H110" s="30" t="n">
        <v>1.75</v>
      </c>
      <c r="I110" s="30" t="n">
        <v>2901166</v>
      </c>
      <c r="J110" s="30" t="inlineStr">
        <is>
          <t>541154</t>
        </is>
      </c>
    </row>
    <row r="111">
      <c r="A111" s="30" t="inlineStr">
        <is>
          <t>GRAVITA</t>
        </is>
      </c>
      <c r="B111" s="30" t="inlineStr">
        <is>
          <t>Gravita India Limited</t>
        </is>
      </c>
      <c r="C111" s="30" t="inlineStr">
        <is>
          <t>metals &amp; mining</t>
        </is>
      </c>
      <c r="D111" s="30" t="inlineStr">
        <is>
          <t>mining / minerals / metals</t>
        </is>
      </c>
      <c r="E111" s="30" t="inlineStr">
        <is>
          <t>midcap</t>
        </is>
      </c>
      <c r="F111" s="30" t="n">
        <v>13171.12</v>
      </c>
      <c r="G111" s="30" t="n">
        <v>1815.1</v>
      </c>
      <c r="H111" s="30" t="n">
        <v>1.71</v>
      </c>
      <c r="I111" s="30" t="n">
        <v>217427</v>
      </c>
      <c r="J111" s="30" t="inlineStr">
        <is>
          <t>533282</t>
        </is>
      </c>
    </row>
    <row r="112">
      <c r="A112" s="30" t="inlineStr">
        <is>
          <t>WELCORP</t>
        </is>
      </c>
      <c r="B112" s="30" t="inlineStr">
        <is>
          <t>Welspun Corp Limited</t>
        </is>
      </c>
      <c r="C112" s="30" t="inlineStr">
        <is>
          <t>industrials</t>
        </is>
      </c>
      <c r="D112" s="30" t="inlineStr">
        <is>
          <t>steel - large</t>
        </is>
      </c>
      <c r="E112" s="30" t="inlineStr">
        <is>
          <t>largecap</t>
        </is>
      </c>
      <c r="F112" s="30" t="n">
        <v>48455.7</v>
      </c>
      <c r="G112" s="30" t="n">
        <v>1867.6</v>
      </c>
      <c r="H112" s="30" t="n">
        <v>1.67</v>
      </c>
      <c r="I112" s="30" t="n">
        <v>583807</v>
      </c>
      <c r="J112" s="30" t="inlineStr">
        <is>
          <t>532144</t>
        </is>
      </c>
    </row>
    <row r="113">
      <c r="A113" s="30" t="inlineStr">
        <is>
          <t>TTKHLTCARE</t>
        </is>
      </c>
      <c r="B113" s="30" t="inlineStr">
        <is>
          <t>Ttk Healthcare Limited</t>
        </is>
      </c>
      <c r="C113" s="30" t="inlineStr">
        <is>
          <t>miscellaneous</t>
        </is>
      </c>
      <c r="D113" s="30" t="inlineStr">
        <is>
          <t>diversified - medium / small</t>
        </is>
      </c>
      <c r="E113" s="30" t="inlineStr">
        <is>
          <t>smallcap</t>
        </is>
      </c>
      <c r="F113" s="30" t="n">
        <v>1533.57</v>
      </c>
      <c r="G113" s="30" t="n">
        <v>1103.4</v>
      </c>
      <c r="H113" s="30" t="n">
        <v>1.67</v>
      </c>
      <c r="I113" s="30" t="n">
        <v>33426</v>
      </c>
      <c r="J113" s="30" t="inlineStr">
        <is>
          <t>507747</t>
        </is>
      </c>
    </row>
    <row r="114">
      <c r="A114" s="30" t="inlineStr">
        <is>
          <t>SCI</t>
        </is>
      </c>
      <c r="B114" s="30" t="inlineStr">
        <is>
          <t>Shipping Corporation Of India Limited</t>
        </is>
      </c>
      <c r="C114" s="30" t="inlineStr">
        <is>
          <t>transportation</t>
        </is>
      </c>
      <c r="D114" s="30" t="inlineStr">
        <is>
          <t>shipping</t>
        </is>
      </c>
      <c r="E114" s="30" t="inlineStr">
        <is>
          <t>midcap</t>
        </is>
      </c>
      <c r="F114" s="30" t="n">
        <v>13692.16</v>
      </c>
      <c r="G114" s="30" t="n">
        <v>298.8</v>
      </c>
      <c r="H114" s="30" t="n">
        <v>1.65</v>
      </c>
      <c r="I114" s="30" t="n">
        <v>2156081</v>
      </c>
      <c r="J114" s="30" t="inlineStr">
        <is>
          <t>523598</t>
        </is>
      </c>
    </row>
    <row r="115">
      <c r="A115" s="30" t="inlineStr">
        <is>
          <t>DIACABS</t>
        </is>
      </c>
      <c r="B115" s="30" t="inlineStr">
        <is>
          <t>Diamond Power Infrastructure Ltd</t>
        </is>
      </c>
      <c r="C115" s="30" t="inlineStr">
        <is>
          <t>industrials</t>
        </is>
      </c>
      <c r="D115" s="30" t="inlineStr">
        <is>
          <t>cables - power</t>
        </is>
      </c>
      <c r="E115" s="30" t="inlineStr">
        <is>
          <t>midcap</t>
        </is>
      </c>
      <c r="F115" s="30" t="n">
        <v>19076.35</v>
      </c>
      <c r="G115" s="30" t="n">
        <v>367.95</v>
      </c>
      <c r="H115" s="30" t="n">
        <v>1.64</v>
      </c>
      <c r="I115" s="30" t="n">
        <v>1355550</v>
      </c>
      <c r="J115" s="30" t="inlineStr">
        <is>
          <t>522163</t>
        </is>
      </c>
    </row>
    <row r="116">
      <c r="A116" s="30" t="inlineStr">
        <is>
          <t>GRWRHITECH</t>
        </is>
      </c>
      <c r="B116" s="30" t="inlineStr">
        <is>
          <t>Garware Hi Tech Films Ltd</t>
        </is>
      </c>
      <c r="C116" s="30" t="inlineStr">
        <is>
          <t>industrials</t>
        </is>
      </c>
      <c r="D116" s="30" t="inlineStr">
        <is>
          <t>packaging</t>
        </is>
      </c>
      <c r="E116" s="30" t="inlineStr">
        <is>
          <t>midcap</t>
        </is>
      </c>
      <c r="F116" s="30" t="n">
        <v>16310.3</v>
      </c>
      <c r="G116" s="30" t="n">
        <v>7132.5</v>
      </c>
      <c r="H116" s="30" t="n">
        <v>1.6</v>
      </c>
      <c r="I116" s="30" t="n">
        <v>46023</v>
      </c>
      <c r="J116" s="30" t="inlineStr">
        <is>
          <t>500655</t>
        </is>
      </c>
    </row>
    <row r="117">
      <c r="A117" s="30" t="inlineStr">
        <is>
          <t>BHARATSE</t>
        </is>
      </c>
      <c r="B117" s="30" t="inlineStr">
        <is>
          <t>Bharat Seats Ltd</t>
        </is>
      </c>
      <c r="C117" s="30" t="inlineStr">
        <is>
          <t>auto</t>
        </is>
      </c>
      <c r="D117" s="30" t="inlineStr">
        <is>
          <t>auto ancillaries</t>
        </is>
      </c>
      <c r="E117" s="30" t="inlineStr">
        <is>
          <t>smallcap</t>
        </is>
      </c>
      <c r="F117" s="30" t="n">
        <v>1454.32</v>
      </c>
      <c r="G117" s="30" t="n">
        <v>235.29</v>
      </c>
      <c r="H117" s="30" t="n">
        <v>1.6</v>
      </c>
      <c r="I117" s="30" t="n">
        <v>635306</v>
      </c>
      <c r="J117" s="30" t="inlineStr">
        <is>
          <t>523229</t>
        </is>
      </c>
    </row>
    <row r="118">
      <c r="A118" s="30" t="inlineStr">
        <is>
          <t>JINDALSTEL</t>
        </is>
      </c>
      <c r="B118" s="30" t="inlineStr">
        <is>
          <t>Jindal Steel Ltd</t>
        </is>
      </c>
      <c r="C118" s="30" t="inlineStr">
        <is>
          <t>metals &amp; mining</t>
        </is>
      </c>
      <c r="D118" s="30" t="inlineStr">
        <is>
          <t>steel - large</t>
        </is>
      </c>
      <c r="E118" s="30" t="inlineStr">
        <is>
          <t>largecap</t>
        </is>
      </c>
      <c r="F118" s="30" t="n">
        <v>111699.65</v>
      </c>
      <c r="G118" s="30" t="n">
        <v>1112</v>
      </c>
      <c r="H118" s="30" t="n">
        <v>1.55</v>
      </c>
      <c r="I118" s="30" t="n">
        <v>396526</v>
      </c>
      <c r="J118" s="30" t="inlineStr">
        <is>
          <t>532286</t>
        </is>
      </c>
    </row>
    <row r="119">
      <c r="A119" s="30" t="inlineStr">
        <is>
          <t>EXIDEIND</t>
        </is>
      </c>
      <c r="B119" s="30" t="inlineStr">
        <is>
          <t>Exide Industries Limited</t>
        </is>
      </c>
      <c r="C119" s="30" t="inlineStr">
        <is>
          <t>auto</t>
        </is>
      </c>
      <c r="D119" s="30" t="inlineStr">
        <is>
          <t>auto ancillaries</t>
        </is>
      </c>
      <c r="E119" s="30" t="inlineStr">
        <is>
          <t>largecap</t>
        </is>
      </c>
      <c r="F119" s="30" t="n">
        <v>41084.75</v>
      </c>
      <c r="G119" s="30" t="n">
        <v>490.65</v>
      </c>
      <c r="H119" s="30" t="n">
        <v>1.51</v>
      </c>
      <c r="I119" s="30" t="n">
        <v>4593999</v>
      </c>
      <c r="J119" s="30" t="inlineStr">
        <is>
          <t>500086</t>
        </is>
      </c>
    </row>
    <row r="120">
      <c r="A120" s="30" t="inlineStr">
        <is>
          <t>SBIN</t>
        </is>
      </c>
      <c r="B120" s="30" t="inlineStr">
        <is>
          <t>State Bank Of India Ltd</t>
        </is>
      </c>
      <c r="C120" s="30" t="inlineStr">
        <is>
          <t>bank</t>
        </is>
      </c>
      <c r="D120" s="30" t="inlineStr">
        <is>
          <t>banks - public sector</t>
        </is>
      </c>
      <c r="E120" s="30" t="inlineStr">
        <is>
          <t>largecap</t>
        </is>
      </c>
      <c r="F120" s="30" t="n">
        <v>983983.83</v>
      </c>
      <c r="G120" s="30" t="n">
        <v>1082</v>
      </c>
      <c r="H120" s="30" t="n">
        <v>1.5</v>
      </c>
      <c r="I120" s="30" t="n">
        <v>17673922</v>
      </c>
      <c r="J120" s="30" t="inlineStr">
        <is>
          <t>500112</t>
        </is>
      </c>
    </row>
    <row r="121">
      <c r="A121" s="30" t="inlineStr">
        <is>
          <t>GAIL</t>
        </is>
      </c>
      <c r="B121" s="30" t="inlineStr">
        <is>
          <t>Gail (india) Limited</t>
        </is>
      </c>
      <c r="C121" s="30" t="inlineStr">
        <is>
          <t>energy</t>
        </is>
      </c>
      <c r="D121" s="30" t="inlineStr">
        <is>
          <t>miscellaneous</t>
        </is>
      </c>
      <c r="E121" s="30" t="inlineStr">
        <is>
          <t>largecap</t>
        </is>
      </c>
      <c r="F121" s="30" t="n">
        <v>115287.8</v>
      </c>
      <c r="G121" s="30" t="n">
        <v>177.95</v>
      </c>
      <c r="H121" s="30" t="n">
        <v>1.49</v>
      </c>
      <c r="I121" s="30" t="n">
        <v>8976408</v>
      </c>
      <c r="J121" s="30" t="inlineStr">
        <is>
          <t>532155</t>
        </is>
      </c>
    </row>
    <row r="122">
      <c r="A122" s="30" t="inlineStr">
        <is>
          <t>FIVESTAR</t>
        </is>
      </c>
      <c r="B122" s="30" t="inlineStr">
        <is>
          <t>Five-Star Business Finance Ltd</t>
        </is>
      </c>
      <c r="C122" s="30" t="inlineStr">
        <is>
          <t>financials</t>
        </is>
      </c>
      <c r="D122" s="30" t="inlineStr">
        <is>
          <t>finance &amp; investments</t>
        </is>
      </c>
      <c r="E122" s="30" t="inlineStr">
        <is>
          <t>midcap</t>
        </is>
      </c>
      <c r="F122" s="30" t="n">
        <v>16124.2</v>
      </c>
      <c r="G122" s="30" t="n">
        <v>554.4</v>
      </c>
      <c r="H122" s="30" t="n">
        <v>1.49</v>
      </c>
      <c r="I122" s="30" t="n">
        <v>263148</v>
      </c>
      <c r="J122" s="30" t="n"/>
    </row>
    <row r="123">
      <c r="A123" s="30" t="inlineStr">
        <is>
          <t>AFSL</t>
        </is>
      </c>
      <c r="B123" s="30" t="inlineStr">
        <is>
          <t>Abans Financial Services Ltd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smallcap</t>
        </is>
      </c>
      <c r="F123" s="30" t="n">
        <v>1071.4</v>
      </c>
      <c r="G123" s="30" t="n">
        <v>213.82</v>
      </c>
      <c r="H123" s="30" t="n">
        <v>1.46</v>
      </c>
      <c r="I123" s="30" t="n">
        <v>69788</v>
      </c>
      <c r="J123" s="30" t="inlineStr">
        <is>
          <t>543712</t>
        </is>
      </c>
    </row>
    <row r="124">
      <c r="A124" s="30" t="inlineStr">
        <is>
          <t>RANEHOLDIN</t>
        </is>
      </c>
      <c r="B124" s="30" t="inlineStr">
        <is>
          <t>Rane Holdings Limited</t>
        </is>
      </c>
      <c r="C124" s="30" t="inlineStr">
        <is>
          <t>financials</t>
        </is>
      </c>
      <c r="D124" s="30" t="inlineStr">
        <is>
          <t>finance &amp; investments</t>
        </is>
      </c>
      <c r="E124" s="30" t="inlineStr">
        <is>
          <t>smallcap</t>
        </is>
      </c>
      <c r="F124" s="30" t="n">
        <v>2536.02</v>
      </c>
      <c r="G124" s="30" t="n">
        <v>1801.7</v>
      </c>
      <c r="H124" s="30" t="n">
        <v>1.44</v>
      </c>
      <c r="I124" s="30" t="n">
        <v>13999</v>
      </c>
      <c r="J124" s="30" t="inlineStr">
        <is>
          <t>505800</t>
        </is>
      </c>
    </row>
    <row r="125">
      <c r="A125" s="30" t="inlineStr">
        <is>
          <t>ANANDRATHI</t>
        </is>
      </c>
      <c r="B125" s="30" t="inlineStr">
        <is>
          <t>Anand Rathi Wealth Ltd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largecap</t>
        </is>
      </c>
      <c r="F125" s="30" t="n">
        <v>35831.71</v>
      </c>
      <c r="G125" s="30" t="n">
        <v>2189</v>
      </c>
      <c r="H125" s="30" t="n">
        <v>1.44</v>
      </c>
      <c r="I125" s="30" t="n">
        <v>577193</v>
      </c>
      <c r="J125" s="30" t="inlineStr">
        <is>
          <t>543415</t>
        </is>
      </c>
    </row>
    <row r="126">
      <c r="A126" s="30" t="inlineStr">
        <is>
          <t>SJS</t>
        </is>
      </c>
      <c r="B126" s="30" t="inlineStr">
        <is>
          <t>S J S Enterprises Ltd</t>
        </is>
      </c>
      <c r="C126" s="30" t="inlineStr">
        <is>
          <t>auto</t>
        </is>
      </c>
      <c r="D126" s="30" t="inlineStr">
        <is>
          <t>plastics products</t>
        </is>
      </c>
      <c r="E126" s="30" t="inlineStr">
        <is>
          <t>midcap</t>
        </is>
      </c>
      <c r="F126" s="30" t="n">
        <v>7690.2</v>
      </c>
      <c r="G126" s="30" t="n">
        <v>2436.8</v>
      </c>
      <c r="H126" s="30" t="n">
        <v>1.42</v>
      </c>
      <c r="I126" s="30" t="n">
        <v>152165</v>
      </c>
      <c r="J126" s="30" t="inlineStr">
        <is>
          <t>543387</t>
        </is>
      </c>
    </row>
    <row r="127">
      <c r="A127" s="30" t="inlineStr">
        <is>
          <t>NRBBEARING</t>
        </is>
      </c>
      <c r="B127" s="30" t="inlineStr">
        <is>
          <t>Nrb Bearing Limited</t>
        </is>
      </c>
      <c r="C127" s="30" t="inlineStr">
        <is>
          <t>industrials</t>
        </is>
      </c>
      <c r="D127" s="30" t="inlineStr">
        <is>
          <t>bearings</t>
        </is>
      </c>
      <c r="E127" s="30" t="inlineStr">
        <is>
          <t>smallcap</t>
        </is>
      </c>
      <c r="F127" s="30" t="n">
        <v>4412.4</v>
      </c>
      <c r="G127" s="30" t="n">
        <v>461.65</v>
      </c>
      <c r="H127" s="30" t="n">
        <v>1.41</v>
      </c>
      <c r="I127" s="30" t="n">
        <v>557944</v>
      </c>
      <c r="J127" s="30" t="inlineStr">
        <is>
          <t>530367</t>
        </is>
      </c>
    </row>
    <row r="128">
      <c r="A128" s="30" t="inlineStr">
        <is>
          <t>ANANTRAJ</t>
        </is>
      </c>
      <c r="B128" s="30" t="inlineStr">
        <is>
          <t>Anant Raj Limited</t>
        </is>
      </c>
      <c r="C128" s="30" t="inlineStr">
        <is>
          <t>realty</t>
        </is>
      </c>
      <c r="D128" s="30" t="inlineStr">
        <is>
          <t>construction</t>
        </is>
      </c>
      <c r="E128" s="30" t="inlineStr">
        <is>
          <t>largecap</t>
        </is>
      </c>
      <c r="F128" s="30" t="n">
        <v>21817.54</v>
      </c>
      <c r="G128" s="30" t="n">
        <v>614.65</v>
      </c>
      <c r="H128" s="30" t="n">
        <v>1.39</v>
      </c>
      <c r="I128" s="30" t="n">
        <v>1700060</v>
      </c>
      <c r="J128" s="30" t="inlineStr">
        <is>
          <t>515055</t>
        </is>
      </c>
    </row>
    <row r="129">
      <c r="A129" s="30" t="inlineStr">
        <is>
          <t>JSWINFRA</t>
        </is>
      </c>
      <c r="B129" s="30" t="inlineStr">
        <is>
          <t>JSW Infrastructure Ltd</t>
        </is>
      </c>
      <c r="C129" s="30" t="inlineStr">
        <is>
          <t>transportation</t>
        </is>
      </c>
      <c r="D129" s="30" t="inlineStr">
        <is>
          <t>miscellaneous</t>
        </is>
      </c>
      <c r="E129" s="30" t="inlineStr">
        <is>
          <t>largecap</t>
        </is>
      </c>
      <c r="F129" s="30" t="n">
        <v>79651.10000000001</v>
      </c>
      <c r="G129" s="30" t="n">
        <v>346.6</v>
      </c>
      <c r="H129" s="30" t="n">
        <v>1.39</v>
      </c>
      <c r="I129" s="30" t="n">
        <v>8419123</v>
      </c>
      <c r="J129" s="30" t="inlineStr">
        <is>
          <t>543994</t>
        </is>
      </c>
    </row>
    <row r="130">
      <c r="A130" s="30" t="inlineStr">
        <is>
          <t>KARURVYSYA</t>
        </is>
      </c>
      <c r="B130" s="30" t="inlineStr">
        <is>
          <t>Karur Vysya Bank Limited</t>
        </is>
      </c>
      <c r="C130" s="30" t="inlineStr">
        <is>
          <t>bank</t>
        </is>
      </c>
      <c r="D130" s="30" t="inlineStr">
        <is>
          <t>banks - private sector</t>
        </is>
      </c>
      <c r="E130" s="30" t="inlineStr">
        <is>
          <t>largecap</t>
        </is>
      </c>
      <c r="F130" s="30" t="n">
        <v>32306.07</v>
      </c>
      <c r="G130" s="30" t="n">
        <v>338.8</v>
      </c>
      <c r="H130" s="30" t="n">
        <v>1.38</v>
      </c>
      <c r="I130" s="30" t="n">
        <v>1752090</v>
      </c>
      <c r="J130" s="30" t="inlineStr">
        <is>
          <t>590003</t>
        </is>
      </c>
    </row>
    <row r="131">
      <c r="A131" s="30" t="inlineStr">
        <is>
          <t>PNBHOUSING</t>
        </is>
      </c>
      <c r="B131" s="30" t="inlineStr">
        <is>
          <t>Pnb Housing Finance Limited</t>
        </is>
      </c>
      <c r="C131" s="30" t="inlineStr">
        <is>
          <t>financials</t>
        </is>
      </c>
      <c r="D131" s="30" t="inlineStr">
        <is>
          <t>finance - housing</t>
        </is>
      </c>
      <c r="E131" s="30" t="inlineStr">
        <is>
          <t>largecap</t>
        </is>
      </c>
      <c r="F131" s="30" t="n">
        <v>29761.98</v>
      </c>
      <c r="G131" s="30" t="n">
        <v>1157.6</v>
      </c>
      <c r="H131" s="30" t="n">
        <v>1.36</v>
      </c>
      <c r="I131" s="30" t="n">
        <v>872646</v>
      </c>
      <c r="J131" s="30" t="inlineStr">
        <is>
          <t>540173</t>
        </is>
      </c>
    </row>
    <row r="132">
      <c r="A132" s="30" t="inlineStr">
        <is>
          <t>SHRIPISTON</t>
        </is>
      </c>
      <c r="B132" s="30" t="inlineStr">
        <is>
          <t>Shriram Pistons &amp; Rings Limited</t>
        </is>
      </c>
      <c r="C132" s="30" t="inlineStr">
        <is>
          <t>auto</t>
        </is>
      </c>
      <c r="D132" s="30" t="inlineStr">
        <is>
          <t>auto ancillaries</t>
        </is>
      </c>
      <c r="E132" s="30" t="inlineStr">
        <is>
          <t>midcap</t>
        </is>
      </c>
      <c r="F132" s="30" t="n">
        <v>19466.06</v>
      </c>
      <c r="G132" s="30" t="n">
        <v>4478.7</v>
      </c>
      <c r="H132" s="30" t="n">
        <v>1.35</v>
      </c>
      <c r="I132" s="30" t="n">
        <v>82738</v>
      </c>
      <c r="J132" s="30" t="n"/>
    </row>
    <row r="133">
      <c r="A133" s="30" t="inlineStr">
        <is>
          <t>SAILIFE</t>
        </is>
      </c>
      <c r="B133" s="30" t="inlineStr">
        <is>
          <t>Sai Life Sciences Ltd</t>
        </is>
      </c>
      <c r="C133" s="30" t="inlineStr">
        <is>
          <t>healthcare</t>
        </is>
      </c>
      <c r="D133" s="30" t="inlineStr">
        <is>
          <t>pharmaceuticals - indian - bulk drugs &amp; formln</t>
        </is>
      </c>
      <c r="E133" s="30" t="inlineStr">
        <is>
          <t>largecap</t>
        </is>
      </c>
      <c r="F133" s="30" t="n">
        <v>30662.59</v>
      </c>
      <c r="G133" s="30" t="n">
        <v>1463.6</v>
      </c>
      <c r="H133" s="30" t="n">
        <v>1.33</v>
      </c>
      <c r="I133" s="30" t="n">
        <v>430058</v>
      </c>
      <c r="J133" s="30" t="inlineStr">
        <is>
          <t>544306</t>
        </is>
      </c>
    </row>
    <row r="134">
      <c r="A134" s="30" t="inlineStr">
        <is>
          <t>AVALON</t>
        </is>
      </c>
      <c r="B134" s="30" t="inlineStr">
        <is>
          <t>Avalon Technologies Ltd</t>
        </is>
      </c>
      <c r="C134" s="30" t="inlineStr">
        <is>
          <t>consumer discretionary</t>
        </is>
      </c>
      <c r="D134" s="30" t="inlineStr">
        <is>
          <t>electronics - components</t>
        </is>
      </c>
      <c r="E134" s="30" t="inlineStr">
        <is>
          <t>midcap</t>
        </is>
      </c>
      <c r="F134" s="30" t="n">
        <v>12950.12</v>
      </c>
      <c r="G134" s="30" t="n">
        <v>1963.9</v>
      </c>
      <c r="H134" s="30" t="n">
        <v>1.32</v>
      </c>
      <c r="I134" s="30" t="n">
        <v>406426</v>
      </c>
      <c r="J134" s="30" t="inlineStr">
        <is>
          <t>543896</t>
        </is>
      </c>
    </row>
    <row r="135">
      <c r="A135" s="30" t="inlineStr">
        <is>
          <t>LMW</t>
        </is>
      </c>
      <c r="B135" s="30" t="inlineStr">
        <is>
          <t>LMW Ltd</t>
        </is>
      </c>
      <c r="C135" s="30" t="inlineStr">
        <is>
          <t>industrials</t>
        </is>
      </c>
      <c r="D135" s="30" t="inlineStr">
        <is>
          <t>textile machinery</t>
        </is>
      </c>
      <c r="E135" s="30" t="inlineStr">
        <is>
          <t>midcap</t>
        </is>
      </c>
      <c r="F135" s="30" t="n">
        <v>18506.16</v>
      </c>
      <c r="G135" s="30" t="n">
        <v>17550</v>
      </c>
      <c r="H135" s="30" t="n">
        <v>1.31</v>
      </c>
      <c r="I135" s="30" t="n">
        <v>6027</v>
      </c>
      <c r="J135" s="30" t="inlineStr">
        <is>
          <t>500252</t>
        </is>
      </c>
    </row>
    <row r="136">
      <c r="A136" s="30" t="inlineStr">
        <is>
          <t>CANBK</t>
        </is>
      </c>
      <c r="B136" s="30" t="inlineStr">
        <is>
          <t>Canara Bank Ltd</t>
        </is>
      </c>
      <c r="C136" s="30" t="inlineStr">
        <is>
          <t>bank</t>
        </is>
      </c>
      <c r="D136" s="30" t="inlineStr">
        <is>
          <t>banks - public sector</t>
        </is>
      </c>
      <c r="E136" s="30" t="inlineStr">
        <is>
          <t>largecap</t>
        </is>
      </c>
      <c r="F136" s="30" t="n">
        <v>118190.59</v>
      </c>
      <c r="G136" s="30" t="n">
        <v>132</v>
      </c>
      <c r="H136" s="30" t="n">
        <v>1.3</v>
      </c>
      <c r="I136" s="30" t="n">
        <v>26542679</v>
      </c>
      <c r="J136" s="30" t="inlineStr">
        <is>
          <t>532483</t>
        </is>
      </c>
    </row>
    <row r="137">
      <c r="A137" s="30" t="inlineStr">
        <is>
          <t>KROSS</t>
        </is>
      </c>
      <c r="B137" s="30" t="inlineStr">
        <is>
          <t>Kross Ltd</t>
        </is>
      </c>
      <c r="C137" s="30" t="inlineStr">
        <is>
          <t>auto</t>
        </is>
      </c>
      <c r="D137" s="30" t="inlineStr">
        <is>
          <t>auto ancillaries</t>
        </is>
      </c>
      <c r="E137" s="30" t="inlineStr">
        <is>
          <t>smallcap</t>
        </is>
      </c>
      <c r="F137" s="30" t="n">
        <v>1304.19</v>
      </c>
      <c r="G137" s="30" t="n">
        <v>204.77</v>
      </c>
      <c r="H137" s="30" t="n">
        <v>1.29</v>
      </c>
      <c r="I137" s="30" t="n">
        <v>948369</v>
      </c>
      <c r="J137" s="30" t="inlineStr">
        <is>
          <t>544253</t>
        </is>
      </c>
    </row>
    <row r="138">
      <c r="A138" s="30" t="inlineStr">
        <is>
          <t>ABB</t>
        </is>
      </c>
      <c r="B138" s="30" t="inlineStr">
        <is>
          <t>Abb India Limited</t>
        </is>
      </c>
      <c r="C138" s="30" t="inlineStr">
        <is>
          <t>industrials</t>
        </is>
      </c>
      <c r="D138" s="30" t="inlineStr">
        <is>
          <t>electric equipment</t>
        </is>
      </c>
      <c r="E138" s="30" t="inlineStr">
        <is>
          <t>largecap</t>
        </is>
      </c>
      <c r="F138" s="30" t="n">
        <v>161294.06</v>
      </c>
      <c r="G138" s="30" t="n">
        <v>7710</v>
      </c>
      <c r="H138" s="30" t="n">
        <v>1.29</v>
      </c>
      <c r="I138" s="30" t="n">
        <v>224512</v>
      </c>
      <c r="J138" s="30" t="inlineStr">
        <is>
          <t>500002</t>
        </is>
      </c>
    </row>
    <row r="139">
      <c r="A139" s="30" t="inlineStr">
        <is>
          <t>VERANDA</t>
        </is>
      </c>
      <c r="B139" s="30" t="inlineStr">
        <is>
          <t>Veranda Learning Solutions Ltd</t>
        </is>
      </c>
      <c r="C139" s="30" t="inlineStr">
        <is>
          <t>services</t>
        </is>
      </c>
      <c r="D139" s="30" t="inlineStr">
        <is>
          <t>miscellaneous</t>
        </is>
      </c>
      <c r="E139" s="30" t="inlineStr">
        <is>
          <t>smallcap</t>
        </is>
      </c>
      <c r="F139" s="30" t="n">
        <v>2390.2</v>
      </c>
      <c r="G139" s="30" t="n">
        <v>251.35</v>
      </c>
      <c r="H139" s="30" t="n">
        <v>1.29</v>
      </c>
      <c r="I139" s="30" t="n">
        <v>265678</v>
      </c>
      <c r="J139" s="30" t="inlineStr">
        <is>
          <t>543514</t>
        </is>
      </c>
    </row>
    <row r="140">
      <c r="A140" s="30" t="inlineStr">
        <is>
          <t>RBA</t>
        </is>
      </c>
      <c r="B140" s="30" t="inlineStr">
        <is>
          <t>Restaurant Brands Asia Ltd</t>
        </is>
      </c>
      <c r="C140" s="30" t="inlineStr">
        <is>
          <t>consumer discretionary</t>
        </is>
      </c>
      <c r="D140" s="30" t="inlineStr">
        <is>
          <t>hotels</t>
        </is>
      </c>
      <c r="E140" s="30" t="inlineStr">
        <is>
          <t>midcap</t>
        </is>
      </c>
      <c r="F140" s="30" t="n">
        <v>6594.08</v>
      </c>
      <c r="G140" s="30" t="n">
        <v>93.81999999999999</v>
      </c>
      <c r="H140" s="30" t="n">
        <v>1.26</v>
      </c>
      <c r="I140" s="30" t="n">
        <v>5706033</v>
      </c>
      <c r="J140" s="30" t="inlineStr">
        <is>
          <t>543248</t>
        </is>
      </c>
    </row>
    <row r="141">
      <c r="A141" s="30" t="inlineStr">
        <is>
          <t>ZYDUSLIFE</t>
        </is>
      </c>
      <c r="B141" s="30" t="inlineStr">
        <is>
          <t>Zydus Lifesciences Ltd</t>
        </is>
      </c>
      <c r="C141" s="30" t="inlineStr">
        <is>
          <t>healthcare</t>
        </is>
      </c>
      <c r="D141" s="30" t="inlineStr">
        <is>
          <t>pharmaceuticals - indian - bulk drugs &amp; formln</t>
        </is>
      </c>
      <c r="E141" s="30" t="inlineStr">
        <is>
          <t>largecap</t>
        </is>
      </c>
      <c r="F141" s="30" t="n">
        <v>118802.71</v>
      </c>
      <c r="G141" s="30" t="n">
        <v>1205</v>
      </c>
      <c r="H141" s="30" t="n">
        <v>1.18</v>
      </c>
      <c r="I141" s="30" t="n">
        <v>4567528</v>
      </c>
      <c r="J141" s="30" t="inlineStr">
        <is>
          <t>532321</t>
        </is>
      </c>
    </row>
    <row r="142">
      <c r="A142" s="30" t="inlineStr">
        <is>
          <t>SENORES</t>
        </is>
      </c>
      <c r="B142" s="30" t="inlineStr">
        <is>
          <t>Senores Pharmaceuticals Ltd</t>
        </is>
      </c>
      <c r="C142" s="30" t="inlineStr">
        <is>
          <t>healthcare</t>
        </is>
      </c>
      <c r="D142" s="30" t="inlineStr">
        <is>
          <t>pharmaceuticals - indian - formulations</t>
        </is>
      </c>
      <c r="E142" s="30" t="inlineStr">
        <is>
          <t>midcap</t>
        </is>
      </c>
      <c r="F142" s="30" t="n">
        <v>6796.13</v>
      </c>
      <c r="G142" s="30" t="n">
        <v>1492.4</v>
      </c>
      <c r="H142" s="30" t="n">
        <v>1.13</v>
      </c>
      <c r="I142" s="30" t="n">
        <v>267987</v>
      </c>
      <c r="J142" s="30" t="inlineStr">
        <is>
          <t>544319</t>
        </is>
      </c>
    </row>
    <row r="143">
      <c r="A143" s="30" t="inlineStr">
        <is>
          <t>CONCORDBIO</t>
        </is>
      </c>
      <c r="B143" s="30" t="inlineStr">
        <is>
          <t>Concord Biotech Ltd</t>
        </is>
      </c>
      <c r="C143" s="30" t="inlineStr">
        <is>
          <t>healthcare</t>
        </is>
      </c>
      <c r="D143" s="30" t="inlineStr">
        <is>
          <t>pharmaceuticals - indian - bulk drugs &amp; formln</t>
        </is>
      </c>
      <c r="E143" s="30" t="inlineStr">
        <is>
          <t>midcap</t>
        </is>
      </c>
      <c r="F143" s="30" t="n">
        <v>14948.61</v>
      </c>
      <c r="G143" s="30" t="n">
        <v>1444.7</v>
      </c>
      <c r="H143" s="30" t="n">
        <v>1.11</v>
      </c>
      <c r="I143" s="30" t="n">
        <v>93615</v>
      </c>
      <c r="J143" s="30" t="inlineStr">
        <is>
          <t>543960</t>
        </is>
      </c>
    </row>
    <row r="144">
      <c r="A144" s="30" t="inlineStr">
        <is>
          <t>BCLIND</t>
        </is>
      </c>
      <c r="B144" s="30" t="inlineStr">
        <is>
          <t>BCL Industries Ltd</t>
        </is>
      </c>
      <c r="C144" s="30" t="inlineStr">
        <is>
          <t>fmcg</t>
        </is>
      </c>
      <c r="D144" s="30" t="inlineStr">
        <is>
          <t>breweries &amp; distilleries</t>
        </is>
      </c>
      <c r="E144" s="30" t="inlineStr">
        <is>
          <t>smallcap</t>
        </is>
      </c>
      <c r="F144" s="30" t="n">
        <v>1094.47</v>
      </c>
      <c r="G144" s="30" t="n">
        <v>37.48</v>
      </c>
      <c r="H144" s="30" t="n">
        <v>1.08</v>
      </c>
      <c r="I144" s="30" t="n">
        <v>606256</v>
      </c>
      <c r="J144" s="30" t="inlineStr">
        <is>
          <t>524332</t>
        </is>
      </c>
    </row>
    <row r="145">
      <c r="A145" s="30" t="inlineStr">
        <is>
          <t>ASHOKLEY</t>
        </is>
      </c>
      <c r="B145" s="30" t="inlineStr">
        <is>
          <t>Ashok Leyland Limited</t>
        </is>
      </c>
      <c r="C145" s="30" t="inlineStr">
        <is>
          <t>auto</t>
        </is>
      </c>
      <c r="D145" s="30" t="inlineStr">
        <is>
          <t>automobiles - lcvs / hcvs</t>
        </is>
      </c>
      <c r="E145" s="30" t="inlineStr">
        <is>
          <t>largecap</t>
        </is>
      </c>
      <c r="F145" s="30" t="n">
        <v>102692.6</v>
      </c>
      <c r="G145" s="30" t="n">
        <v>176.7</v>
      </c>
      <c r="H145" s="30" t="n">
        <v>1.07</v>
      </c>
      <c r="I145" s="30" t="n">
        <v>10612472</v>
      </c>
      <c r="J145" s="30" t="inlineStr">
        <is>
          <t>500477</t>
        </is>
      </c>
    </row>
    <row r="146">
      <c r="A146" s="30" t="inlineStr">
        <is>
          <t>SHANTIGOLD</t>
        </is>
      </c>
      <c r="B146" s="30" t="inlineStr">
        <is>
          <t>Shanti Gold International Ltd</t>
        </is>
      </c>
      <c r="C146" s="30" t="inlineStr">
        <is>
          <t>consumer discretionary</t>
        </is>
      </c>
      <c r="D146" s="30" t="inlineStr">
        <is>
          <t>diamond cutting / jewellery</t>
        </is>
      </c>
      <c r="E146" s="30" t="inlineStr">
        <is>
          <t>smallcap</t>
        </is>
      </c>
      <c r="F146" s="30" t="n">
        <v>1642.13</v>
      </c>
      <c r="G146" s="30" t="n">
        <v>230.2</v>
      </c>
      <c r="H146" s="30" t="n">
        <v>1.07</v>
      </c>
      <c r="I146" s="30" t="n">
        <v>1488878</v>
      </c>
      <c r="J146" s="30" t="inlineStr">
        <is>
          <t>544459</t>
        </is>
      </c>
    </row>
    <row r="147">
      <c r="A147" s="30" t="inlineStr">
        <is>
          <t>ENDURANCE</t>
        </is>
      </c>
      <c r="B147" s="30" t="inlineStr">
        <is>
          <t>Endurance Technologies Limited</t>
        </is>
      </c>
      <c r="C147" s="30" t="inlineStr">
        <is>
          <t>auto</t>
        </is>
      </c>
      <c r="D147" s="30" t="inlineStr">
        <is>
          <t>auto ancillaries</t>
        </is>
      </c>
      <c r="E147" s="30" t="inlineStr">
        <is>
          <t>largecap</t>
        </is>
      </c>
      <c r="F147" s="30" t="n">
        <v>42027.25</v>
      </c>
      <c r="G147" s="30" t="n">
        <v>3019.7</v>
      </c>
      <c r="H147" s="30" t="n">
        <v>1.07</v>
      </c>
      <c r="I147" s="30" t="n">
        <v>139376</v>
      </c>
      <c r="J147" s="30" t="inlineStr">
        <is>
          <t>540153</t>
        </is>
      </c>
    </row>
    <row r="148">
      <c r="A148" s="30" t="inlineStr">
        <is>
          <t>IIFL</t>
        </is>
      </c>
      <c r="B148" s="30" t="inlineStr">
        <is>
          <t>IIFL Finance Ltd</t>
        </is>
      </c>
      <c r="C148" s="30" t="inlineStr">
        <is>
          <t>financials</t>
        </is>
      </c>
      <c r="D148" s="30" t="inlineStr">
        <is>
          <t>finance &amp; investments</t>
        </is>
      </c>
      <c r="E148" s="30" t="inlineStr">
        <is>
          <t>largecap</t>
        </is>
      </c>
      <c r="F148" s="30" t="n">
        <v>26338.25</v>
      </c>
      <c r="G148" s="30" t="n">
        <v>625.75</v>
      </c>
      <c r="H148" s="30" t="n">
        <v>1.05</v>
      </c>
      <c r="I148" s="30" t="n">
        <v>959585</v>
      </c>
      <c r="J148" s="30" t="inlineStr">
        <is>
          <t>532636</t>
        </is>
      </c>
    </row>
    <row r="149">
      <c r="A149" s="30" t="inlineStr">
        <is>
          <t>PAYTM</t>
        </is>
      </c>
      <c r="B149" s="30" t="inlineStr">
        <is>
          <t>One 97 Communications Ltd</t>
        </is>
      </c>
      <c r="C149" s="30" t="inlineStr">
        <is>
          <t>i.t</t>
        </is>
      </c>
      <c r="D149" s="30" t="inlineStr">
        <is>
          <t>miscellaneous</t>
        </is>
      </c>
      <c r="E149" s="30" t="inlineStr">
        <is>
          <t>largecap</t>
        </is>
      </c>
      <c r="F149" s="30" t="n">
        <v>102050.51</v>
      </c>
      <c r="G149" s="30" t="n">
        <v>1610</v>
      </c>
      <c r="H149" s="30" t="n">
        <v>1.02</v>
      </c>
      <c r="I149" s="30" t="n">
        <v>2609810</v>
      </c>
      <c r="J149" s="30" t="inlineStr">
        <is>
          <t>543396</t>
        </is>
      </c>
    </row>
    <row r="150">
      <c r="A150" s="30" t="inlineStr">
        <is>
          <t>63MOONS</t>
        </is>
      </c>
      <c r="B150" s="30" t="inlineStr">
        <is>
          <t>63 Moons Technologies Ltd</t>
        </is>
      </c>
      <c r="C150" s="30" t="inlineStr">
        <is>
          <t>i.t</t>
        </is>
      </c>
      <c r="D150" s="30" t="inlineStr">
        <is>
          <t>computers - software - medium / small</t>
        </is>
      </c>
      <c r="E150" s="30" t="inlineStr">
        <is>
          <t>smallcap</t>
        </is>
      </c>
      <c r="F150" s="30" t="n">
        <v>3956.53</v>
      </c>
      <c r="G150" s="30" t="n">
        <v>867.4</v>
      </c>
      <c r="H150" s="30" t="n">
        <v>1.02</v>
      </c>
      <c r="I150" s="30" t="n">
        <v>382822</v>
      </c>
      <c r="J150" s="30" t="inlineStr">
        <is>
          <t>526881</t>
        </is>
      </c>
    </row>
    <row r="151">
      <c r="A151" s="30" t="inlineStr">
        <is>
          <t>BOSCH-HCIL</t>
        </is>
      </c>
      <c r="B151" s="30" t="inlineStr">
        <is>
          <t>Bosch Home Comfort India Ltd</t>
        </is>
      </c>
      <c r="C151" s="30" t="inlineStr">
        <is>
          <t>consumer discretionary</t>
        </is>
      </c>
      <c r="D151" s="30" t="inlineStr">
        <is>
          <t>air-conditioners</t>
        </is>
      </c>
      <c r="E151" s="30" t="inlineStr">
        <is>
          <t>smallcap</t>
        </is>
      </c>
      <c r="F151" s="30" t="n">
        <v>4613.75</v>
      </c>
      <c r="G151" s="30" t="n">
        <v>1713.8</v>
      </c>
      <c r="H151" s="30" t="n">
        <v>1</v>
      </c>
      <c r="I151" s="30" t="n">
        <v>45514</v>
      </c>
      <c r="J151" s="30" t="inlineStr">
        <is>
          <t>523398</t>
        </is>
      </c>
    </row>
    <row r="152">
      <c r="A152" s="30" t="inlineStr">
        <is>
          <t>ASIANENE</t>
        </is>
      </c>
      <c r="B152" s="30" t="inlineStr">
        <is>
          <t>Asian Energy Services Ltd</t>
        </is>
      </c>
      <c r="C152" s="30" t="inlineStr">
        <is>
          <t>energy</t>
        </is>
      </c>
      <c r="D152" s="30" t="inlineStr">
        <is>
          <t>oil drilling / allied services</t>
        </is>
      </c>
      <c r="E152" s="30" t="inlineStr">
        <is>
          <t>smallcap</t>
        </is>
      </c>
      <c r="F152" s="30" t="n">
        <v>1953.94</v>
      </c>
      <c r="G152" s="30" t="n">
        <v>405.8</v>
      </c>
      <c r="H152" s="30" t="n">
        <v>1</v>
      </c>
      <c r="I152" s="30" t="n">
        <v>201456</v>
      </c>
      <c r="J152" s="30" t="inlineStr">
        <is>
          <t>530355</t>
        </is>
      </c>
    </row>
    <row r="153">
      <c r="A153" s="30" t="inlineStr">
        <is>
          <t>POKARNA</t>
        </is>
      </c>
      <c r="B153" s="30" t="inlineStr">
        <is>
          <t>Pokarna Limited</t>
        </is>
      </c>
      <c r="C153" s="30" t="inlineStr">
        <is>
          <t>consumer discretionary</t>
        </is>
      </c>
      <c r="D153" s="30" t="inlineStr">
        <is>
          <t>miscellaneous</t>
        </is>
      </c>
      <c r="E153" s="30" t="inlineStr">
        <is>
          <t>smallcap</t>
        </is>
      </c>
      <c r="F153" s="30" t="n">
        <v>3036.38</v>
      </c>
      <c r="G153" s="30" t="n">
        <v>988.95</v>
      </c>
      <c r="H153" s="30" t="n">
        <v>0.98</v>
      </c>
      <c r="I153" s="30" t="n">
        <v>152763</v>
      </c>
      <c r="J153" s="30" t="inlineStr">
        <is>
          <t>532486</t>
        </is>
      </c>
    </row>
    <row r="154">
      <c r="A154" s="30" t="inlineStr">
        <is>
          <t>AJANTPHARM</t>
        </is>
      </c>
      <c r="B154" s="30" t="inlineStr">
        <is>
          <t>Ajanta Pharma Limited</t>
        </is>
      </c>
      <c r="C154" s="30" t="inlineStr">
        <is>
          <t>healthcare</t>
        </is>
      </c>
      <c r="D154" s="30" t="inlineStr">
        <is>
          <t>pharmaceuticals - indian - formulations</t>
        </is>
      </c>
      <c r="E154" s="30" t="inlineStr">
        <is>
          <t>largecap</t>
        </is>
      </c>
      <c r="F154" s="30" t="n">
        <v>43814.92</v>
      </c>
      <c r="G154" s="30" t="n">
        <v>3541</v>
      </c>
      <c r="H154" s="30" t="n">
        <v>0.97</v>
      </c>
      <c r="I154" s="30" t="n">
        <v>82946</v>
      </c>
      <c r="J154" s="30" t="inlineStr">
        <is>
          <t>532331</t>
        </is>
      </c>
    </row>
    <row r="155">
      <c r="A155" s="30" t="inlineStr">
        <is>
          <t>ARROWGREEN</t>
        </is>
      </c>
      <c r="B155" s="30" t="inlineStr">
        <is>
          <t>Arrow Greentech Limited</t>
        </is>
      </c>
      <c r="C155" s="30" t="inlineStr">
        <is>
          <t>plastic products</t>
        </is>
      </c>
      <c r="D155" s="30" t="inlineStr">
        <is>
          <t>plastics products</t>
        </is>
      </c>
      <c r="E155" s="30" t="inlineStr">
        <is>
          <t>smallcap</t>
        </is>
      </c>
      <c r="F155" s="30" t="n">
        <v>1172.41</v>
      </c>
      <c r="G155" s="30" t="n">
        <v>784.6</v>
      </c>
      <c r="H155" s="30" t="n">
        <v>0.97</v>
      </c>
      <c r="I155" s="30" t="n">
        <v>37391</v>
      </c>
      <c r="J155" s="30" t="inlineStr">
        <is>
          <t>516064</t>
        </is>
      </c>
    </row>
    <row r="156">
      <c r="A156" s="30" t="inlineStr">
        <is>
          <t>ARTEMISMED</t>
        </is>
      </c>
      <c r="B156" s="30" t="inlineStr">
        <is>
          <t>Artemis Medicare Services Ltd</t>
        </is>
      </c>
      <c r="C156" s="30" t="inlineStr">
        <is>
          <t>healthcare</t>
        </is>
      </c>
      <c r="D156" s="30" t="inlineStr">
        <is>
          <t>healthcare</t>
        </is>
      </c>
      <c r="E156" s="30" t="inlineStr">
        <is>
          <t>smallcap</t>
        </is>
      </c>
      <c r="F156" s="30" t="n">
        <v>4959.73</v>
      </c>
      <c r="G156" s="30" t="n">
        <v>316.3</v>
      </c>
      <c r="H156" s="30" t="n">
        <v>0.96</v>
      </c>
      <c r="I156" s="30" t="n">
        <v>724360</v>
      </c>
      <c r="J156" s="30" t="inlineStr">
        <is>
          <t>542919</t>
        </is>
      </c>
    </row>
    <row r="157">
      <c r="A157" s="30" t="inlineStr">
        <is>
          <t>NIACL</t>
        </is>
      </c>
      <c r="B157" s="30" t="inlineStr">
        <is>
          <t>New India Assurance Company Ltd</t>
        </is>
      </c>
      <c r="C157" s="30" t="inlineStr">
        <is>
          <t>financials</t>
        </is>
      </c>
      <c r="D157" s="30" t="inlineStr">
        <is>
          <t>finance &amp; investments</t>
        </is>
      </c>
      <c r="E157" s="30" t="inlineStr">
        <is>
          <t>largecap</t>
        </is>
      </c>
      <c r="F157" s="30" t="n">
        <v>29560.18</v>
      </c>
      <c r="G157" s="30" t="n">
        <v>181.09</v>
      </c>
      <c r="H157" s="30" t="n">
        <v>0.96</v>
      </c>
      <c r="I157" s="30" t="n">
        <v>2560837</v>
      </c>
      <c r="J157" s="30" t="inlineStr">
        <is>
          <t>540769</t>
        </is>
      </c>
    </row>
    <row r="158">
      <c r="A158" s="30" t="inlineStr">
        <is>
          <t>HITECHCORP</t>
        </is>
      </c>
      <c r="B158" s="30" t="inlineStr">
        <is>
          <t>Hitech Corporation</t>
        </is>
      </c>
      <c r="C158" s="30" t="inlineStr">
        <is>
          <t>industrials</t>
        </is>
      </c>
      <c r="D158" s="30" t="inlineStr">
        <is>
          <t>packaging</t>
        </is>
      </c>
      <c r="E158" s="30" t="inlineStr">
        <is>
          <t>smallcap</t>
        </is>
      </c>
      <c r="F158" s="30" t="n">
        <v>555.03</v>
      </c>
      <c r="G158" s="30" t="n">
        <v>326.25</v>
      </c>
      <c r="H158" s="30" t="n">
        <v>0.96</v>
      </c>
      <c r="I158" s="30" t="n">
        <v>14905</v>
      </c>
      <c r="J158" s="30" t="inlineStr">
        <is>
          <t>526217</t>
        </is>
      </c>
    </row>
    <row r="159">
      <c r="A159" s="30" t="inlineStr">
        <is>
          <t>INDIGO</t>
        </is>
      </c>
      <c r="B159" s="30" t="inlineStr">
        <is>
          <t>Interglobe Aviation Limited</t>
        </is>
      </c>
      <c r="C159" s="30" t="inlineStr">
        <is>
          <t>transportation</t>
        </is>
      </c>
      <c r="D159" s="30" t="inlineStr">
        <is>
          <t>transport - airlines</t>
        </is>
      </c>
      <c r="E159" s="30" t="inlineStr">
        <is>
          <t>largecap</t>
        </is>
      </c>
      <c r="F159" s="30" t="n">
        <v>204309.82</v>
      </c>
      <c r="G159" s="30" t="n">
        <v>5333</v>
      </c>
      <c r="H159" s="30" t="n">
        <v>0.93</v>
      </c>
      <c r="I159" s="30" t="n">
        <v>215913</v>
      </c>
      <c r="J159" s="30" t="inlineStr">
        <is>
          <t>539448</t>
        </is>
      </c>
    </row>
    <row r="160">
      <c r="A160" s="30" t="inlineStr">
        <is>
          <t>PIDILITIND</t>
        </is>
      </c>
      <c r="B160" s="30" t="inlineStr">
        <is>
          <t>Pidilite Industries Limited</t>
        </is>
      </c>
      <c r="C160" s="30" t="inlineStr">
        <is>
          <t>chemicals</t>
        </is>
      </c>
      <c r="D160" s="30" t="inlineStr">
        <is>
          <t>chemicals</t>
        </is>
      </c>
      <c r="E160" s="30" t="inlineStr">
        <is>
          <t>largecap</t>
        </is>
      </c>
      <c r="F160" s="30" t="n">
        <v>171576.57</v>
      </c>
      <c r="G160" s="30" t="n">
        <v>1701.5</v>
      </c>
      <c r="H160" s="30" t="n">
        <v>0.93</v>
      </c>
      <c r="I160" s="30" t="n">
        <v>1724562</v>
      </c>
      <c r="J160" s="30" t="inlineStr">
        <is>
          <t>500331</t>
        </is>
      </c>
    </row>
    <row r="161">
      <c r="A161" s="30" t="inlineStr">
        <is>
          <t>SETL</t>
        </is>
      </c>
      <c r="B161" s="30" t="inlineStr">
        <is>
          <t>Standard Enginnering Technology Ltd</t>
        </is>
      </c>
      <c r="C161" s="30" t="inlineStr">
        <is>
          <t>industrials</t>
        </is>
      </c>
      <c r="D161" s="30" t="inlineStr">
        <is>
          <t>engineering</t>
        </is>
      </c>
      <c r="E161" s="30" t="inlineStr">
        <is>
          <t>midcap</t>
        </is>
      </c>
      <c r="F161" s="30" t="n">
        <v>5930.89</v>
      </c>
      <c r="G161" s="30" t="n">
        <v>300.05</v>
      </c>
      <c r="H161" s="30" t="n">
        <v>0.93</v>
      </c>
      <c r="I161" s="30" t="n">
        <v>1920788</v>
      </c>
      <c r="J161" s="30" t="inlineStr">
        <is>
          <t>544333</t>
        </is>
      </c>
    </row>
    <row r="162">
      <c r="A162" s="30" t="inlineStr">
        <is>
          <t>NESTLEIND</t>
        </is>
      </c>
      <c r="B162" s="30" t="inlineStr">
        <is>
          <t>Nestle India Limited</t>
        </is>
      </c>
      <c r="C162" s="30" t="inlineStr">
        <is>
          <t>fmcg</t>
        </is>
      </c>
      <c r="D162" s="30" t="inlineStr">
        <is>
          <t>food - processing - mnc</t>
        </is>
      </c>
      <c r="E162" s="30" t="inlineStr">
        <is>
          <t>largecap</t>
        </is>
      </c>
      <c r="F162" s="30" t="n">
        <v>287935.89</v>
      </c>
      <c r="G162" s="30" t="n">
        <v>1507</v>
      </c>
      <c r="H162" s="30" t="n">
        <v>0.92</v>
      </c>
      <c r="I162" s="30" t="n">
        <v>1990581</v>
      </c>
      <c r="J162" s="30" t="inlineStr">
        <is>
          <t>500790</t>
        </is>
      </c>
    </row>
    <row r="163">
      <c r="A163" s="30" t="inlineStr">
        <is>
          <t>UNIPARTS</t>
        </is>
      </c>
      <c r="B163" s="30" t="inlineStr">
        <is>
          <t>Uniparts India Ltd</t>
        </is>
      </c>
      <c r="C163" s="30" t="inlineStr">
        <is>
          <t>industrials</t>
        </is>
      </c>
      <c r="D163" s="30" t="inlineStr">
        <is>
          <t>engineering</t>
        </is>
      </c>
      <c r="E163" s="30" t="inlineStr">
        <is>
          <t>smallcap</t>
        </is>
      </c>
      <c r="F163" s="30" t="n">
        <v>3639.44</v>
      </c>
      <c r="G163" s="30" t="n">
        <v>813.55</v>
      </c>
      <c r="H163" s="30" t="n">
        <v>0.91</v>
      </c>
      <c r="I163" s="30" t="n">
        <v>139656</v>
      </c>
      <c r="J163" s="30" t="inlineStr">
        <is>
          <t>543689</t>
        </is>
      </c>
    </row>
    <row r="164">
      <c r="A164" s="30" t="inlineStr">
        <is>
          <t>IRISDOREME</t>
        </is>
      </c>
      <c r="B164" s="30" t="inlineStr">
        <is>
          <t>Iris Clothings Ltd</t>
        </is>
      </c>
      <c r="C164" s="30" t="inlineStr">
        <is>
          <t>consumer discretionary</t>
        </is>
      </c>
      <c r="D164" s="30" t="inlineStr">
        <is>
          <t>textiles - products</t>
        </is>
      </c>
      <c r="E164" s="30" t="inlineStr">
        <is>
          <t>smallcap</t>
        </is>
      </c>
      <c r="F164" s="30" t="n">
        <v>1071.95</v>
      </c>
      <c r="G164" s="30" t="n">
        <v>56.83</v>
      </c>
      <c r="H164" s="30" t="n">
        <v>0.91</v>
      </c>
      <c r="I164" s="30" t="n">
        <v>789276</v>
      </c>
      <c r="J164" s="30" t="inlineStr">
        <is>
          <t>535123</t>
        </is>
      </c>
    </row>
    <row r="165">
      <c r="A165" s="30" t="inlineStr">
        <is>
          <t>HSCL</t>
        </is>
      </c>
      <c r="B165" s="30" t="inlineStr">
        <is>
          <t>Himadri Speciality Chemical Limited</t>
        </is>
      </c>
      <c r="C165" s="30" t="inlineStr">
        <is>
          <t>chemicals</t>
        </is>
      </c>
      <c r="D165" s="30" t="inlineStr">
        <is>
          <t>chemicals</t>
        </is>
      </c>
      <c r="E165" s="30" t="inlineStr">
        <is>
          <t>largecap</t>
        </is>
      </c>
      <c r="F165" s="30" t="n">
        <v>38118.12</v>
      </c>
      <c r="G165" s="30" t="n">
        <v>762.4</v>
      </c>
      <c r="H165" s="30" t="n">
        <v>0.91</v>
      </c>
      <c r="I165" s="30" t="n">
        <v>2240303</v>
      </c>
      <c r="J165" s="30" t="inlineStr">
        <is>
          <t>500184</t>
        </is>
      </c>
    </row>
    <row r="166">
      <c r="A166" s="30" t="inlineStr">
        <is>
          <t>BRITANNIA</t>
        </is>
      </c>
      <c r="B166" s="30" t="inlineStr">
        <is>
          <t>Britannia Industries Limited</t>
        </is>
      </c>
      <c r="C166" s="30" t="inlineStr">
        <is>
          <t>fmcg</t>
        </is>
      </c>
      <c r="D166" s="30" t="inlineStr">
        <is>
          <t>food - processing - mnc</t>
        </is>
      </c>
      <c r="E166" s="30" t="inlineStr">
        <is>
          <t>largecap</t>
        </is>
      </c>
      <c r="F166" s="30" t="n">
        <v>134838.07</v>
      </c>
      <c r="G166" s="30" t="n">
        <v>5645.5</v>
      </c>
      <c r="H166" s="30" t="n">
        <v>0.85</v>
      </c>
      <c r="I166" s="30" t="n">
        <v>257865</v>
      </c>
      <c r="J166" s="30" t="inlineStr">
        <is>
          <t>500825</t>
        </is>
      </c>
    </row>
    <row r="167">
      <c r="A167" s="30" t="inlineStr">
        <is>
          <t>WINDMACHIN</t>
        </is>
      </c>
      <c r="B167" s="30" t="inlineStr">
        <is>
          <t>Windsor Machines Limited</t>
        </is>
      </c>
      <c r="C167" s="30" t="inlineStr">
        <is>
          <t>industrials</t>
        </is>
      </c>
      <c r="D167" s="30" t="inlineStr">
        <is>
          <t>engineering</t>
        </is>
      </c>
      <c r="E167" s="30" t="inlineStr">
        <is>
          <t>smallcap</t>
        </is>
      </c>
      <c r="F167" s="30" t="n">
        <v>3078.26</v>
      </c>
      <c r="G167" s="30" t="n">
        <v>305.1</v>
      </c>
      <c r="H167" s="30" t="n">
        <v>0.83</v>
      </c>
      <c r="I167" s="30" t="n">
        <v>203775</v>
      </c>
      <c r="J167" s="30" t="inlineStr">
        <is>
          <t>522029</t>
        </is>
      </c>
    </row>
    <row r="168">
      <c r="A168" s="30" t="inlineStr">
        <is>
          <t>MATRIMONY</t>
        </is>
      </c>
      <c r="B168" s="30" t="inlineStr">
        <is>
          <t>Matrimony.com Ltd</t>
        </is>
      </c>
      <c r="C168" s="30" t="inlineStr">
        <is>
          <t>miscellaneous</t>
        </is>
      </c>
      <c r="D168" s="30" t="inlineStr">
        <is>
          <t>miscellaneous</t>
        </is>
      </c>
      <c r="E168" s="30" t="inlineStr">
        <is>
          <t>smallcap</t>
        </is>
      </c>
      <c r="F168" s="30" t="n">
        <v>1110.37</v>
      </c>
      <c r="G168" s="30" t="n">
        <v>541.5</v>
      </c>
      <c r="H168" s="30" t="n">
        <v>0.82</v>
      </c>
      <c r="I168" s="30" t="n">
        <v>365358</v>
      </c>
      <c r="J168" s="30" t="inlineStr">
        <is>
          <t>540704</t>
        </is>
      </c>
    </row>
    <row r="169">
      <c r="A169" s="30" t="inlineStr">
        <is>
          <t>HATSUN</t>
        </is>
      </c>
      <c r="B169" s="30" t="inlineStr">
        <is>
          <t>Hatsun Agro Product Limited</t>
        </is>
      </c>
      <c r="C169" s="30" t="inlineStr">
        <is>
          <t>fmcg</t>
        </is>
      </c>
      <c r="D169" s="30" t="inlineStr">
        <is>
          <t>food - processing - indian</t>
        </is>
      </c>
      <c r="E169" s="30" t="inlineStr">
        <is>
          <t>largecap</t>
        </is>
      </c>
      <c r="F169" s="30" t="n">
        <v>20994.02</v>
      </c>
      <c r="G169" s="30" t="n">
        <v>950.05</v>
      </c>
      <c r="H169" s="30" t="n">
        <v>0.8</v>
      </c>
      <c r="I169" s="30" t="n">
        <v>57776</v>
      </c>
      <c r="J169" s="30" t="inlineStr">
        <is>
          <t>531531</t>
        </is>
      </c>
    </row>
    <row r="170">
      <c r="A170" s="30" t="inlineStr">
        <is>
          <t>MPSLTD</t>
        </is>
      </c>
      <c r="B170" s="30" t="inlineStr">
        <is>
          <t>Mps Limited</t>
        </is>
      </c>
      <c r="C170" s="30" t="inlineStr">
        <is>
          <t>i.t</t>
        </is>
      </c>
      <c r="D170" s="30" t="inlineStr">
        <is>
          <t>computers - software - medium / small</t>
        </is>
      </c>
      <c r="E170" s="30" t="inlineStr">
        <is>
          <t>smallcap</t>
        </is>
      </c>
      <c r="F170" s="30" t="n">
        <v>4873.79</v>
      </c>
      <c r="G170" s="30" t="n">
        <v>2871.9</v>
      </c>
      <c r="H170" s="30" t="n">
        <v>0.8</v>
      </c>
      <c r="I170" s="30" t="n">
        <v>27994</v>
      </c>
      <c r="J170" s="30" t="inlineStr">
        <is>
          <t>532440</t>
        </is>
      </c>
    </row>
    <row r="171">
      <c r="A171" s="30" t="inlineStr">
        <is>
          <t>STOVEKRAFT</t>
        </is>
      </c>
      <c r="B171" s="30" t="inlineStr">
        <is>
          <t>Stove Kraft Ltd</t>
        </is>
      </c>
      <c r="C171" s="30" t="inlineStr">
        <is>
          <t>consumer discretionary</t>
        </is>
      </c>
      <c r="D171" s="30" t="inlineStr">
        <is>
          <t>domestic appliances</t>
        </is>
      </c>
      <c r="E171" s="30" t="inlineStr">
        <is>
          <t>smallcap</t>
        </is>
      </c>
      <c r="F171" s="30" t="n">
        <v>2624.91</v>
      </c>
      <c r="G171" s="30" t="n">
        <v>799.1</v>
      </c>
      <c r="H171" s="30" t="n">
        <v>0.79</v>
      </c>
      <c r="I171" s="30" t="n">
        <v>96008</v>
      </c>
      <c r="J171" s="30" t="inlineStr">
        <is>
          <t>543260</t>
        </is>
      </c>
    </row>
    <row r="172">
      <c r="A172" s="30" t="inlineStr">
        <is>
          <t>DHAMPURSUG</t>
        </is>
      </c>
      <c r="B172" s="30" t="inlineStr">
        <is>
          <t>Dhampur Sugar Mills Limited</t>
        </is>
      </c>
      <c r="C172" s="30" t="inlineStr">
        <is>
          <t>fmcg</t>
        </is>
      </c>
      <c r="D172" s="30" t="inlineStr">
        <is>
          <t>sugar</t>
        </is>
      </c>
      <c r="E172" s="30" t="inlineStr">
        <is>
          <t>smallcap</t>
        </is>
      </c>
      <c r="F172" s="30" t="n">
        <v>1016.04</v>
      </c>
      <c r="G172" s="30" t="n">
        <v>159.23</v>
      </c>
      <c r="H172" s="30" t="n">
        <v>0.78</v>
      </c>
      <c r="I172" s="30" t="n">
        <v>462905</v>
      </c>
      <c r="J172" s="30" t="inlineStr">
        <is>
          <t>500119</t>
        </is>
      </c>
    </row>
    <row r="173">
      <c r="A173" s="30" t="inlineStr">
        <is>
          <t>PDSL</t>
        </is>
      </c>
      <c r="B173" s="30" t="inlineStr">
        <is>
          <t>PDS Ltd</t>
        </is>
      </c>
      <c r="C173" s="30" t="inlineStr">
        <is>
          <t>textiles</t>
        </is>
      </c>
      <c r="D173" s="30" t="inlineStr">
        <is>
          <t>trading</t>
        </is>
      </c>
      <c r="E173" s="30" t="inlineStr">
        <is>
          <t>midcap</t>
        </is>
      </c>
      <c r="F173" s="30" t="n">
        <v>5325.3</v>
      </c>
      <c r="G173" s="30" t="n">
        <v>379.4</v>
      </c>
      <c r="H173" s="30" t="n">
        <v>0.77</v>
      </c>
      <c r="I173" s="30" t="n">
        <v>107810</v>
      </c>
      <c r="J173" s="30" t="inlineStr">
        <is>
          <t>538730</t>
        </is>
      </c>
    </row>
    <row r="174">
      <c r="A174" s="30" t="inlineStr">
        <is>
          <t>GLAXO</t>
        </is>
      </c>
      <c r="B174" s="30" t="inlineStr">
        <is>
          <t>Glaxosmithkline Pharmaceuticals Limited</t>
        </is>
      </c>
      <c r="C174" s="30" t="inlineStr">
        <is>
          <t>healthcare</t>
        </is>
      </c>
      <c r="D174" s="30" t="inlineStr">
        <is>
          <t>pharmaceuticals - multinational</t>
        </is>
      </c>
      <c r="E174" s="30" t="inlineStr">
        <is>
          <t>largecap</t>
        </is>
      </c>
      <c r="F174" s="30" t="n">
        <v>44077.76</v>
      </c>
      <c r="G174" s="30" t="n">
        <v>2620.2</v>
      </c>
      <c r="H174" s="30" t="n">
        <v>0.7</v>
      </c>
      <c r="I174" s="30" t="n">
        <v>64718</v>
      </c>
      <c r="J174" s="30" t="inlineStr">
        <is>
          <t>500660</t>
        </is>
      </c>
    </row>
    <row r="175">
      <c r="A175" s="30" t="inlineStr">
        <is>
          <t>ATUL</t>
        </is>
      </c>
      <c r="B175" s="30" t="inlineStr">
        <is>
          <t>Atul Limited</t>
        </is>
      </c>
      <c r="C175" s="30" t="inlineStr">
        <is>
          <t>chemicals</t>
        </is>
      </c>
      <c r="D175" s="30" t="inlineStr">
        <is>
          <t>chemicals</t>
        </is>
      </c>
      <c r="E175" s="30" t="inlineStr">
        <is>
          <t>largecap</t>
        </is>
      </c>
      <c r="F175" s="30" t="n">
        <v>20167.6</v>
      </c>
      <c r="G175" s="30" t="n">
        <v>6896.5</v>
      </c>
      <c r="H175" s="30" t="n">
        <v>0.68</v>
      </c>
      <c r="I175" s="30" t="n">
        <v>54244</v>
      </c>
      <c r="J175" s="30" t="inlineStr">
        <is>
          <t>500027</t>
        </is>
      </c>
    </row>
    <row r="176">
      <c r="A176" s="30" t="inlineStr">
        <is>
          <t>FEDERALBNK</t>
        </is>
      </c>
      <c r="B176" s="30" t="inlineStr">
        <is>
          <t>The Federal Bank  Limited</t>
        </is>
      </c>
      <c r="C176" s="30" t="inlineStr">
        <is>
          <t>bank</t>
        </is>
      </c>
      <c r="D176" s="30" t="inlineStr">
        <is>
          <t>banks - private sector</t>
        </is>
      </c>
      <c r="E176" s="30" t="inlineStr">
        <is>
          <t>largecap</t>
        </is>
      </c>
      <c r="F176" s="30" t="n">
        <v>87504.32000000001</v>
      </c>
      <c r="G176" s="30" t="n">
        <v>356.85</v>
      </c>
      <c r="H176" s="30" t="n">
        <v>0.65</v>
      </c>
      <c r="I176" s="30" t="n">
        <v>3369817</v>
      </c>
      <c r="J176" s="30" t="inlineStr">
        <is>
          <t>500469</t>
        </is>
      </c>
    </row>
    <row r="177">
      <c r="A177" s="30" t="inlineStr">
        <is>
          <t>E2E</t>
        </is>
      </c>
      <c r="B177" s="30" t="inlineStr">
        <is>
          <t>E2E Networks Ltd</t>
        </is>
      </c>
      <c r="C177" s="30" t="inlineStr">
        <is>
          <t>i.t</t>
        </is>
      </c>
      <c r="D177" s="30" t="inlineStr">
        <is>
          <t>computers - software - medium / small</t>
        </is>
      </c>
      <c r="E177" s="30" t="inlineStr">
        <is>
          <t>midcap</t>
        </is>
      </c>
      <c r="F177" s="30" t="n">
        <v>12897.14</v>
      </c>
      <c r="G177" s="30" t="n">
        <v>631.4</v>
      </c>
      <c r="H177" s="30" t="n">
        <v>0.64</v>
      </c>
      <c r="I177" s="30" t="n">
        <v>1123508</v>
      </c>
      <c r="J177" s="30" t="inlineStr">
        <is>
          <t>535080</t>
        </is>
      </c>
    </row>
    <row r="178">
      <c r="A178" s="30" t="inlineStr">
        <is>
          <t>COMSYN</t>
        </is>
      </c>
      <c r="B178" s="30" t="inlineStr">
        <is>
          <t>Commercial Syn Bags Ltd</t>
        </is>
      </c>
      <c r="C178" s="30" t="inlineStr">
        <is>
          <t>industrials</t>
        </is>
      </c>
      <c r="D178" s="30" t="inlineStr">
        <is>
          <t>packaging</t>
        </is>
      </c>
      <c r="E178" s="30" t="inlineStr">
        <is>
          <t>smallcap</t>
        </is>
      </c>
      <c r="F178" s="30" t="n">
        <v>1079.28</v>
      </c>
      <c r="G178" s="30" t="n">
        <v>269.25</v>
      </c>
      <c r="H178" s="30" t="n">
        <v>0.64</v>
      </c>
      <c r="I178" s="30" t="n">
        <v>480470</v>
      </c>
      <c r="J178" s="30" t="inlineStr">
        <is>
          <t>539986</t>
        </is>
      </c>
    </row>
    <row r="179">
      <c r="A179" s="30" t="inlineStr">
        <is>
          <t>TIMETECHNO</t>
        </is>
      </c>
      <c r="B179" s="30" t="inlineStr">
        <is>
          <t>Time Technoplast Limited</t>
        </is>
      </c>
      <c r="C179" s="30" t="inlineStr">
        <is>
          <t>plastic products</t>
        </is>
      </c>
      <c r="D179" s="30" t="inlineStr">
        <is>
          <t>plastics products</t>
        </is>
      </c>
      <c r="E179" s="30" t="inlineStr">
        <is>
          <t>midcap</t>
        </is>
      </c>
      <c r="F179" s="30" t="n">
        <v>10232.07</v>
      </c>
      <c r="G179" s="30" t="n">
        <v>208.56</v>
      </c>
      <c r="H179" s="30" t="n">
        <v>0.62</v>
      </c>
      <c r="I179" s="30" t="n">
        <v>3032023</v>
      </c>
      <c r="J179" s="30" t="inlineStr">
        <is>
          <t>532856</t>
        </is>
      </c>
    </row>
    <row r="180">
      <c r="A180" s="30" t="inlineStr">
        <is>
          <t>GLENMARK</t>
        </is>
      </c>
      <c r="B180" s="30" t="inlineStr">
        <is>
          <t>Glenmark Pharmaceuticals Limited</t>
        </is>
      </c>
      <c r="C180" s="30" t="inlineStr">
        <is>
          <t>healthcare</t>
        </is>
      </c>
      <c r="D180" s="30" t="inlineStr">
        <is>
          <t>pharmaceuticals - indian - bulk drugs &amp; formln</t>
        </is>
      </c>
      <c r="E180" s="30" t="inlineStr">
        <is>
          <t>largecap</t>
        </is>
      </c>
      <c r="F180" s="30" t="n">
        <v>64228.9</v>
      </c>
      <c r="G180" s="30" t="n">
        <v>2290</v>
      </c>
      <c r="H180" s="30" t="n">
        <v>0.62</v>
      </c>
      <c r="I180" s="30" t="n">
        <v>464575</v>
      </c>
      <c r="J180" s="30" t="inlineStr">
        <is>
          <t>532296</t>
        </is>
      </c>
    </row>
    <row r="181">
      <c r="A181" s="30" t="inlineStr">
        <is>
          <t>EICHERMOT</t>
        </is>
      </c>
      <c r="B181" s="30" t="inlineStr">
        <is>
          <t>Eicher Motors Limited</t>
        </is>
      </c>
      <c r="C181" s="30" t="inlineStr">
        <is>
          <t>auto</t>
        </is>
      </c>
      <c r="D181" s="30" t="inlineStr">
        <is>
          <t>automobiles - motorcycles / mopeds</t>
        </is>
      </c>
      <c r="E181" s="30" t="inlineStr">
        <is>
          <t>largecap</t>
        </is>
      </c>
      <c r="F181" s="30" t="n">
        <v>219598.02</v>
      </c>
      <c r="G181" s="30" t="n">
        <v>8049</v>
      </c>
      <c r="H181" s="30" t="n">
        <v>0.61</v>
      </c>
      <c r="I181" s="30" t="n">
        <v>317282</v>
      </c>
      <c r="J181" s="30" t="inlineStr">
        <is>
          <t>505200</t>
        </is>
      </c>
    </row>
    <row r="182">
      <c r="A182" s="30" t="inlineStr">
        <is>
          <t>CRISIL</t>
        </is>
      </c>
      <c r="B182" s="30" t="inlineStr">
        <is>
          <t>Crisil Limited</t>
        </is>
      </c>
      <c r="C182" s="30" t="inlineStr">
        <is>
          <t>financials</t>
        </is>
      </c>
      <c r="D182" s="30" t="inlineStr">
        <is>
          <t>miscellaneous</t>
        </is>
      </c>
      <c r="E182" s="30" t="inlineStr">
        <is>
          <t>largecap</t>
        </is>
      </c>
      <c r="F182" s="30" t="n">
        <v>32768.1</v>
      </c>
      <c r="G182" s="30" t="n">
        <v>4507.1</v>
      </c>
      <c r="H182" s="30" t="n">
        <v>0.59</v>
      </c>
      <c r="I182" s="30" t="n">
        <v>28123</v>
      </c>
      <c r="J182" s="30" t="inlineStr">
        <is>
          <t>500092</t>
        </is>
      </c>
    </row>
    <row r="183">
      <c r="A183" s="30" t="inlineStr">
        <is>
          <t>SAIL</t>
        </is>
      </c>
      <c r="B183" s="30" t="inlineStr">
        <is>
          <t>Steel Authority Of India Limited</t>
        </is>
      </c>
      <c r="C183" s="30" t="inlineStr">
        <is>
          <t>metals &amp; mining</t>
        </is>
      </c>
      <c r="D183" s="30" t="inlineStr">
        <is>
          <t>steel - large</t>
        </is>
      </c>
      <c r="E183" s="30" t="inlineStr">
        <is>
          <t>largecap</t>
        </is>
      </c>
      <c r="F183" s="30" t="n">
        <v>71458.09</v>
      </c>
      <c r="G183" s="30" t="n">
        <v>174</v>
      </c>
      <c r="H183" s="30" t="n">
        <v>0.58</v>
      </c>
      <c r="I183" s="30" t="n">
        <v>18936094</v>
      </c>
      <c r="J183" s="30" t="inlineStr">
        <is>
          <t>500113</t>
        </is>
      </c>
    </row>
    <row r="184">
      <c r="A184" s="30" t="inlineStr">
        <is>
          <t>LTF</t>
        </is>
      </c>
      <c r="B184" s="30" t="inlineStr">
        <is>
          <t>L&amp;T Finance Ltd</t>
        </is>
      </c>
      <c r="C184" s="30" t="inlineStr">
        <is>
          <t>financials</t>
        </is>
      </c>
      <c r="D184" s="30" t="inlineStr">
        <is>
          <t>finance &amp; investments</t>
        </is>
      </c>
      <c r="E184" s="30" t="inlineStr">
        <is>
          <t>largecap</t>
        </is>
      </c>
      <c r="F184" s="30" t="n">
        <v>79023.67</v>
      </c>
      <c r="G184" s="30" t="n">
        <v>317.2</v>
      </c>
      <c r="H184" s="30" t="n">
        <v>0.57</v>
      </c>
      <c r="I184" s="30" t="n">
        <v>4688109</v>
      </c>
      <c r="J184" s="30" t="inlineStr">
        <is>
          <t>533519</t>
        </is>
      </c>
    </row>
    <row r="185">
      <c r="A185" s="30" t="inlineStr">
        <is>
          <t>AARTIPHARM</t>
        </is>
      </c>
      <c r="B185" s="30" t="inlineStr">
        <is>
          <t>Aarti Pharmalabs Ltd</t>
        </is>
      </c>
      <c r="C185" s="30" t="inlineStr">
        <is>
          <t>healthcare</t>
        </is>
      </c>
      <c r="D185" s="30" t="inlineStr">
        <is>
          <t>pharmaceuticals - indian - bulk drugs &amp; formln</t>
        </is>
      </c>
      <c r="E185" s="30" t="inlineStr">
        <is>
          <t>midcap</t>
        </is>
      </c>
      <c r="F185" s="30" t="n">
        <v>8013.38</v>
      </c>
      <c r="G185" s="30" t="n">
        <v>888.7</v>
      </c>
      <c r="H185" s="30" t="n">
        <v>0.57</v>
      </c>
      <c r="I185" s="30" t="n">
        <v>3552033</v>
      </c>
      <c r="J185" s="30" t="inlineStr">
        <is>
          <t>543748</t>
        </is>
      </c>
    </row>
    <row r="186">
      <c r="A186" s="30" t="inlineStr">
        <is>
          <t>SONACOMS</t>
        </is>
      </c>
      <c r="B186" s="30" t="inlineStr">
        <is>
          <t>Sona BLW Precision Forgings Ltd</t>
        </is>
      </c>
      <c r="C186" s="30" t="inlineStr">
        <is>
          <t>auto</t>
        </is>
      </c>
      <c r="D186" s="30" t="inlineStr">
        <is>
          <t>auto ancillaries</t>
        </is>
      </c>
      <c r="E186" s="30" t="inlineStr">
        <is>
          <t>largecap</t>
        </is>
      </c>
      <c r="F186" s="30" t="n">
        <v>49762.79</v>
      </c>
      <c r="G186" s="30" t="n">
        <v>804.5</v>
      </c>
      <c r="H186" s="30" t="n">
        <v>0.5600000000000001</v>
      </c>
      <c r="I186" s="30" t="n">
        <v>1894549</v>
      </c>
      <c r="J186" s="30" t="inlineStr">
        <is>
          <t>543300</t>
        </is>
      </c>
    </row>
    <row r="187">
      <c r="A187" s="30" t="inlineStr">
        <is>
          <t>FOSECOIND</t>
        </is>
      </c>
      <c r="B187" s="30" t="inlineStr">
        <is>
          <t>Foseco India Limited</t>
        </is>
      </c>
      <c r="C187" s="30" t="inlineStr">
        <is>
          <t>chemicals</t>
        </is>
      </c>
      <c r="D187" s="30" t="inlineStr">
        <is>
          <t>chemicals</t>
        </is>
      </c>
      <c r="E187" s="30" t="inlineStr">
        <is>
          <t>smallcap</t>
        </is>
      </c>
      <c r="F187" s="30" t="n">
        <v>4145.87</v>
      </c>
      <c r="G187" s="30" t="n">
        <v>5530.5</v>
      </c>
      <c r="H187" s="30" t="n">
        <v>0.55</v>
      </c>
      <c r="I187" s="30" t="n">
        <v>3207</v>
      </c>
      <c r="J187" s="30" t="inlineStr">
        <is>
          <t>500150</t>
        </is>
      </c>
    </row>
    <row r="188">
      <c r="A188" s="30" t="inlineStr">
        <is>
          <t>EMCURE</t>
        </is>
      </c>
      <c r="B188" s="30" t="inlineStr">
        <is>
          <t>Emcure Pharmaceuticals Ltd</t>
        </is>
      </c>
      <c r="C188" s="30" t="inlineStr">
        <is>
          <t>healthcare</t>
        </is>
      </c>
      <c r="D188" s="30" t="inlineStr">
        <is>
          <t>pharmaceuticals - indian - bulk drugs &amp; formln</t>
        </is>
      </c>
      <c r="E188" s="30" t="inlineStr">
        <is>
          <t>largecap</t>
        </is>
      </c>
      <c r="F188" s="30" t="n">
        <v>37911.37</v>
      </c>
      <c r="G188" s="30" t="n">
        <v>2009.6</v>
      </c>
      <c r="H188" s="30" t="n">
        <v>0.55</v>
      </c>
      <c r="I188" s="30" t="n">
        <v>214106</v>
      </c>
      <c r="J188" s="30" t="inlineStr">
        <is>
          <t>544210</t>
        </is>
      </c>
    </row>
    <row r="189">
      <c r="A189" s="30" t="inlineStr">
        <is>
          <t>AUROPHARMA</t>
        </is>
      </c>
      <c r="B189" s="30" t="inlineStr">
        <is>
          <t>Aurobindo Pharma Limited</t>
        </is>
      </c>
      <c r="C189" s="30" t="inlineStr">
        <is>
          <t>healthcare</t>
        </is>
      </c>
      <c r="D189" s="30" t="inlineStr">
        <is>
          <t>pharmaceuticals - indian - bulk drugs &amp; formln</t>
        </is>
      </c>
      <c r="E189" s="30" t="inlineStr">
        <is>
          <t>largecap</t>
        </is>
      </c>
      <c r="F189" s="30" t="n">
        <v>95397.66</v>
      </c>
      <c r="G189" s="30" t="n">
        <v>1667</v>
      </c>
      <c r="H189" s="30" t="n">
        <v>0.54</v>
      </c>
      <c r="I189" s="30" t="n">
        <v>796061</v>
      </c>
      <c r="J189" s="30" t="inlineStr">
        <is>
          <t>524804</t>
        </is>
      </c>
    </row>
    <row r="190">
      <c r="A190" s="30" t="inlineStr">
        <is>
          <t>GOCLCORP</t>
        </is>
      </c>
      <c r="B190" s="30" t="inlineStr">
        <is>
          <t>Gocl Corporation Limited</t>
        </is>
      </c>
      <c r="C190" s="30" t="inlineStr">
        <is>
          <t>miscellaneous</t>
        </is>
      </c>
      <c r="D190" s="30" t="inlineStr">
        <is>
          <t>diversified - medium / small</t>
        </is>
      </c>
      <c r="E190" s="30" t="inlineStr">
        <is>
          <t>smallcap</t>
        </is>
      </c>
      <c r="F190" s="30" t="n">
        <v>2129.39</v>
      </c>
      <c r="G190" s="30" t="n">
        <v>431.8</v>
      </c>
      <c r="H190" s="30" t="n">
        <v>0.52</v>
      </c>
      <c r="I190" s="30" t="n">
        <v>148130</v>
      </c>
      <c r="J190" s="30" t="inlineStr">
        <is>
          <t>506480</t>
        </is>
      </c>
    </row>
    <row r="191">
      <c r="A191" s="30" t="inlineStr">
        <is>
          <t>NRAIL</t>
        </is>
      </c>
      <c r="B191" s="30" t="inlineStr">
        <is>
          <t>N R Agarwal Industries Ltd</t>
        </is>
      </c>
      <c r="C191" s="30" t="inlineStr">
        <is>
          <t>building materials</t>
        </is>
      </c>
      <c r="D191" s="30" t="inlineStr">
        <is>
          <t>paper</t>
        </is>
      </c>
      <c r="E191" s="30" t="inlineStr">
        <is>
          <t>smallcap</t>
        </is>
      </c>
      <c r="F191" s="30" t="n">
        <v>884.8200000000001</v>
      </c>
      <c r="G191" s="30" t="n">
        <v>522.6</v>
      </c>
      <c r="H191" s="30" t="n">
        <v>0.52</v>
      </c>
      <c r="I191" s="30" t="n">
        <v>5025</v>
      </c>
      <c r="J191" s="30" t="inlineStr">
        <is>
          <t>516082</t>
        </is>
      </c>
    </row>
    <row r="192">
      <c r="A192" s="30" t="inlineStr">
        <is>
          <t>HEROMOTOCO</t>
        </is>
      </c>
      <c r="B192" s="30" t="inlineStr">
        <is>
          <t>Hero Motocorp Limited</t>
        </is>
      </c>
      <c r="C192" s="30" t="inlineStr">
        <is>
          <t>auto</t>
        </is>
      </c>
      <c r="D192" s="30" t="inlineStr">
        <is>
          <t>automobiles - motorcycles / mopeds</t>
        </is>
      </c>
      <c r="E192" s="30" t="inlineStr">
        <is>
          <t>largecap</t>
        </is>
      </c>
      <c r="F192" s="30" t="n">
        <v>117364.51</v>
      </c>
      <c r="G192" s="30" t="n">
        <v>5895</v>
      </c>
      <c r="H192" s="30" t="n">
        <v>0.5</v>
      </c>
      <c r="I192" s="30" t="n">
        <v>996651</v>
      </c>
      <c r="J192" s="30" t="inlineStr">
        <is>
          <t>500182</t>
        </is>
      </c>
    </row>
    <row r="193">
      <c r="A193" s="30" t="inlineStr">
        <is>
          <t>PARACABLES</t>
        </is>
      </c>
      <c r="B193" s="30" t="inlineStr">
        <is>
          <t>Paramount Communications Limited</t>
        </is>
      </c>
      <c r="C193" s="30" t="inlineStr">
        <is>
          <t>industrials</t>
        </is>
      </c>
      <c r="D193" s="30" t="inlineStr">
        <is>
          <t>cables - power</t>
        </is>
      </c>
      <c r="E193" s="30" t="inlineStr">
        <is>
          <t>smallcap</t>
        </is>
      </c>
      <c r="F193" s="30" t="n">
        <v>2221.41</v>
      </c>
      <c r="G193" s="30" t="n">
        <v>68.22</v>
      </c>
      <c r="H193" s="30" t="n">
        <v>0.49</v>
      </c>
      <c r="I193" s="30" t="n">
        <v>1708709</v>
      </c>
      <c r="J193" s="30" t="inlineStr">
        <is>
          <t>530555</t>
        </is>
      </c>
    </row>
    <row r="194">
      <c r="A194" s="30" t="inlineStr">
        <is>
          <t>APOLLOTYRE</t>
        </is>
      </c>
      <c r="B194" s="30" t="inlineStr">
        <is>
          <t>Apollo Tyres Limited</t>
        </is>
      </c>
      <c r="C194" s="30" t="inlineStr">
        <is>
          <t>auto</t>
        </is>
      </c>
      <c r="D194" s="30" t="inlineStr">
        <is>
          <t>tyres</t>
        </is>
      </c>
      <c r="E194" s="30" t="inlineStr">
        <is>
          <t>largecap</t>
        </is>
      </c>
      <c r="F194" s="30" t="n">
        <v>28134.97</v>
      </c>
      <c r="G194" s="30" t="n">
        <v>445.15</v>
      </c>
      <c r="H194" s="30" t="n">
        <v>0.49</v>
      </c>
      <c r="I194" s="30" t="n">
        <v>560928</v>
      </c>
      <c r="J194" s="30" t="inlineStr">
        <is>
          <t>500877</t>
        </is>
      </c>
    </row>
    <row r="195">
      <c r="A195" s="30" t="inlineStr">
        <is>
          <t>GNFC</t>
        </is>
      </c>
      <c r="B195" s="30" t="inlineStr">
        <is>
          <t>Gujarat Narmada Valley Fertilizers And Chemicals Limited</t>
        </is>
      </c>
      <c r="C195" s="30" t="inlineStr">
        <is>
          <t>chemicals</t>
        </is>
      </c>
      <c r="D195" s="30" t="inlineStr">
        <is>
          <t>chemicals</t>
        </is>
      </c>
      <c r="E195" s="30" t="inlineStr">
        <is>
          <t>midcap</t>
        </is>
      </c>
      <c r="F195" s="30" t="n">
        <v>8058.23</v>
      </c>
      <c r="G195" s="30" t="n">
        <v>551.05</v>
      </c>
      <c r="H195" s="30" t="n">
        <v>0.48</v>
      </c>
      <c r="I195" s="30" t="n">
        <v>449732</v>
      </c>
      <c r="J195" s="30" t="inlineStr">
        <is>
          <t>500670</t>
        </is>
      </c>
    </row>
    <row r="196">
      <c r="A196" s="30" t="inlineStr">
        <is>
          <t>GRANULES</t>
        </is>
      </c>
      <c r="B196" s="30" t="inlineStr">
        <is>
          <t>Granules India Limited</t>
        </is>
      </c>
      <c r="C196" s="30" t="inlineStr">
        <is>
          <t>healthcare</t>
        </is>
      </c>
      <c r="D196" s="30" t="inlineStr">
        <is>
          <t>pharmaceuticals - indian - bulk drugs &amp; formln</t>
        </is>
      </c>
      <c r="E196" s="30" t="inlineStr">
        <is>
          <t>largecap</t>
        </is>
      </c>
      <c r="F196" s="30" t="n">
        <v>21335.31</v>
      </c>
      <c r="G196" s="30" t="n">
        <v>864.8</v>
      </c>
      <c r="H196" s="30" t="n">
        <v>0.44</v>
      </c>
      <c r="I196" s="30" t="n">
        <v>283049</v>
      </c>
      <c r="J196" s="30" t="inlineStr">
        <is>
          <t>532482</t>
        </is>
      </c>
    </row>
    <row r="197">
      <c r="A197" s="30" t="inlineStr">
        <is>
          <t>DALMIASUG</t>
        </is>
      </c>
      <c r="B197" s="30" t="inlineStr">
        <is>
          <t>Dalmia Bharat Sugar And Industries Limited</t>
        </is>
      </c>
      <c r="C197" s="30" t="inlineStr">
        <is>
          <t>fmcg</t>
        </is>
      </c>
      <c r="D197" s="30" t="inlineStr">
        <is>
          <t>sugar</t>
        </is>
      </c>
      <c r="E197" s="30" t="inlineStr">
        <is>
          <t>smallcap</t>
        </is>
      </c>
      <c r="F197" s="30" t="n">
        <v>3304.75</v>
      </c>
      <c r="G197" s="30" t="n">
        <v>410.1</v>
      </c>
      <c r="H197" s="30" t="n">
        <v>0.44</v>
      </c>
      <c r="I197" s="30" t="n">
        <v>210455</v>
      </c>
      <c r="J197" s="30" t="inlineStr">
        <is>
          <t>500097</t>
        </is>
      </c>
    </row>
    <row r="198">
      <c r="A198" s="30" t="inlineStr">
        <is>
          <t>MODISONLTD</t>
        </is>
      </c>
      <c r="B198" s="30" t="inlineStr">
        <is>
          <t>Modison Ltd</t>
        </is>
      </c>
      <c r="C198" s="30" t="inlineStr">
        <is>
          <t>industrials</t>
        </is>
      </c>
      <c r="D198" s="30" t="inlineStr">
        <is>
          <t>electric equipment</t>
        </is>
      </c>
      <c r="E198" s="30" t="inlineStr">
        <is>
          <t>smallcap</t>
        </is>
      </c>
      <c r="F198" s="30" t="n">
        <v>997.6799999999999</v>
      </c>
      <c r="G198" s="30" t="n">
        <v>308.8</v>
      </c>
      <c r="H198" s="30" t="n">
        <v>0.44</v>
      </c>
      <c r="I198" s="30" t="n">
        <v>291029</v>
      </c>
      <c r="J198" s="30" t="inlineStr">
        <is>
          <t>506261</t>
        </is>
      </c>
    </row>
    <row r="199">
      <c r="A199" s="30" t="inlineStr">
        <is>
          <t>ABBOTINDIA</t>
        </is>
      </c>
      <c r="B199" s="30" t="inlineStr">
        <is>
          <t>Abbott India Limited</t>
        </is>
      </c>
      <c r="C199" s="30" t="inlineStr">
        <is>
          <t>healthcare</t>
        </is>
      </c>
      <c r="D199" s="30" t="inlineStr">
        <is>
          <t>pharmaceuticals - multinational</t>
        </is>
      </c>
      <c r="E199" s="30" t="inlineStr">
        <is>
          <t>largecap</t>
        </is>
      </c>
      <c r="F199" s="30" t="n">
        <v>59540.54</v>
      </c>
      <c r="G199" s="30" t="n">
        <v>28140</v>
      </c>
      <c r="H199" s="30" t="n">
        <v>0.43</v>
      </c>
      <c r="I199" s="30" t="n">
        <v>11910</v>
      </c>
      <c r="J199" s="30" t="inlineStr">
        <is>
          <t>500488</t>
        </is>
      </c>
    </row>
    <row r="200">
      <c r="A200" s="30" t="inlineStr">
        <is>
          <t>ARMANFIN</t>
        </is>
      </c>
      <c r="B200" s="30" t="inlineStr">
        <is>
          <t>Arman Financial Services Limited</t>
        </is>
      </c>
      <c r="C200" s="30" t="inlineStr">
        <is>
          <t>financials</t>
        </is>
      </c>
      <c r="D200" s="30" t="inlineStr">
        <is>
          <t>finance &amp; investments</t>
        </is>
      </c>
      <c r="E200" s="30" t="inlineStr">
        <is>
          <t>smallcap</t>
        </is>
      </c>
      <c r="F200" s="30" t="n">
        <v>2105.9</v>
      </c>
      <c r="G200" s="30" t="n">
        <v>2011</v>
      </c>
      <c r="H200" s="30" t="n">
        <v>0.41</v>
      </c>
      <c r="I200" s="30" t="n">
        <v>54184</v>
      </c>
      <c r="J200" s="30" t="inlineStr">
        <is>
          <t>531179</t>
        </is>
      </c>
    </row>
    <row r="201">
      <c r="A201" s="30" t="inlineStr">
        <is>
          <t>STEELCAS</t>
        </is>
      </c>
      <c r="B201" s="30" t="inlineStr">
        <is>
          <t>Steelcast Ltd</t>
        </is>
      </c>
      <c r="C201" s="30" t="inlineStr">
        <is>
          <t>industrials</t>
        </is>
      </c>
      <c r="D201" s="30" t="inlineStr">
        <is>
          <t>castings &amp; forgings</t>
        </is>
      </c>
      <c r="E201" s="30" t="inlineStr">
        <is>
          <t>smallcap</t>
        </is>
      </c>
      <c r="F201" s="30" t="n">
        <v>3323.41</v>
      </c>
      <c r="G201" s="30" t="n">
        <v>329.75</v>
      </c>
      <c r="H201" s="30" t="n">
        <v>0.41</v>
      </c>
      <c r="I201" s="30" t="n">
        <v>114037</v>
      </c>
      <c r="J201" s="30" t="inlineStr">
        <is>
          <t>513517</t>
        </is>
      </c>
    </row>
    <row r="202">
      <c r="A202" s="30" t="inlineStr">
        <is>
          <t>YATHARTH</t>
        </is>
      </c>
      <c r="B202" s="30" t="inlineStr">
        <is>
          <t>Yatharth Hospital &amp; Trauma Care Services Ltd</t>
        </is>
      </c>
      <c r="C202" s="30" t="inlineStr">
        <is>
          <t>healthcare</t>
        </is>
      </c>
      <c r="D202" s="30" t="inlineStr">
        <is>
          <t>healthcare</t>
        </is>
      </c>
      <c r="E202" s="30" t="inlineStr">
        <is>
          <t>midcap</t>
        </is>
      </c>
      <c r="F202" s="30" t="n">
        <v>8341.4</v>
      </c>
      <c r="G202" s="30" t="n">
        <v>868.85</v>
      </c>
      <c r="H202" s="30" t="n">
        <v>0.36</v>
      </c>
      <c r="I202" s="30" t="n">
        <v>431376</v>
      </c>
      <c r="J202" s="30" t="inlineStr">
        <is>
          <t>543950</t>
        </is>
      </c>
    </row>
    <row r="203">
      <c r="A203" s="30" t="inlineStr">
        <is>
          <t>POLICYBZR</t>
        </is>
      </c>
      <c r="B203" s="30" t="inlineStr">
        <is>
          <t>PB Fintech Ltd</t>
        </is>
      </c>
      <c r="C203" s="30" t="inlineStr">
        <is>
          <t>i.t</t>
        </is>
      </c>
      <c r="D203" s="30" t="inlineStr">
        <is>
          <t>miscellaneous</t>
        </is>
      </c>
      <c r="E203" s="30" t="inlineStr">
        <is>
          <t>largecap</t>
        </is>
      </c>
      <c r="F203" s="30" t="n">
        <v>80185.02</v>
      </c>
      <c r="G203" s="30" t="n">
        <v>1739</v>
      </c>
      <c r="H203" s="30" t="n">
        <v>0.35</v>
      </c>
      <c r="I203" s="30" t="n">
        <v>787209</v>
      </c>
      <c r="J203" s="30" t="inlineStr">
        <is>
          <t>543390</t>
        </is>
      </c>
    </row>
    <row r="204">
      <c r="A204" s="30" t="inlineStr">
        <is>
          <t>OIL</t>
        </is>
      </c>
      <c r="B204" s="30" t="inlineStr">
        <is>
          <t>Oil India Limited</t>
        </is>
      </c>
      <c r="C204" s="30" t="inlineStr">
        <is>
          <t>energy</t>
        </is>
      </c>
      <c r="D204" s="30" t="inlineStr">
        <is>
          <t>oil drilling / allied services</t>
        </is>
      </c>
      <c r="E204" s="30" t="inlineStr">
        <is>
          <t>largecap</t>
        </is>
      </c>
      <c r="F204" s="30" t="n">
        <v>76507.5</v>
      </c>
      <c r="G204" s="30" t="n">
        <v>472</v>
      </c>
      <c r="H204" s="30" t="n">
        <v>0.35</v>
      </c>
      <c r="I204" s="30" t="n">
        <v>2772626</v>
      </c>
      <c r="J204" s="30" t="inlineStr">
        <is>
          <t>533106</t>
        </is>
      </c>
    </row>
    <row r="205">
      <c r="A205" s="30" t="inlineStr">
        <is>
          <t>APLLTD</t>
        </is>
      </c>
      <c r="B205" s="30" t="inlineStr">
        <is>
          <t>Alembic Pharmaceuticals Limited</t>
        </is>
      </c>
      <c r="C205" s="30" t="inlineStr">
        <is>
          <t>healthcare</t>
        </is>
      </c>
      <c r="D205" s="30" t="inlineStr">
        <is>
          <t>pharmaceuticals - indian - bulk drugs &amp; formln</t>
        </is>
      </c>
      <c r="E205" s="30" t="inlineStr">
        <is>
          <t>midcap</t>
        </is>
      </c>
      <c r="F205" s="30" t="n">
        <v>16488.7</v>
      </c>
      <c r="G205" s="30" t="n">
        <v>841.65</v>
      </c>
      <c r="H205" s="30" t="n">
        <v>0.33</v>
      </c>
      <c r="I205" s="30" t="n">
        <v>142034</v>
      </c>
      <c r="J205" s="30" t="inlineStr">
        <is>
          <t>533573</t>
        </is>
      </c>
    </row>
    <row r="206">
      <c r="A206" s="30" t="inlineStr">
        <is>
          <t>TNPL</t>
        </is>
      </c>
      <c r="B206" s="30" t="inlineStr">
        <is>
          <t>Tamil Nadu Newsprint &amp; Papers Limited</t>
        </is>
      </c>
      <c r="C206" s="30" t="inlineStr">
        <is>
          <t>building materials</t>
        </is>
      </c>
      <c r="D206" s="30" t="inlineStr">
        <is>
          <t>paper</t>
        </is>
      </c>
      <c r="E206" s="30" t="inlineStr">
        <is>
          <t>smallcap</t>
        </is>
      </c>
      <c r="F206" s="30" t="n">
        <v>1065.98</v>
      </c>
      <c r="G206" s="30" t="n">
        <v>154.5</v>
      </c>
      <c r="H206" s="30" t="n">
        <v>0.31</v>
      </c>
      <c r="I206" s="30" t="n">
        <v>636200</v>
      </c>
      <c r="J206" s="30" t="inlineStr">
        <is>
          <t>531426</t>
        </is>
      </c>
    </row>
    <row r="207">
      <c r="A207" s="30" t="inlineStr">
        <is>
          <t>EBGNG</t>
        </is>
      </c>
      <c r="B207" s="30" t="inlineStr">
        <is>
          <t>GNG Electronics Ltd</t>
        </is>
      </c>
      <c r="C207" s="30" t="inlineStr">
        <is>
          <t>services</t>
        </is>
      </c>
      <c r="D207" s="30" t="inlineStr">
        <is>
          <t>trading</t>
        </is>
      </c>
      <c r="E207" s="30" t="inlineStr">
        <is>
          <t>midcap</t>
        </is>
      </c>
      <c r="F207" s="30" t="n">
        <v>6527.73</v>
      </c>
      <c r="G207" s="30" t="n">
        <v>574.35</v>
      </c>
      <c r="H207" s="30" t="n">
        <v>0.31</v>
      </c>
      <c r="I207" s="30" t="n">
        <v>395288</v>
      </c>
      <c r="J207" s="30" t="inlineStr">
        <is>
          <t>544455</t>
        </is>
      </c>
    </row>
    <row r="208">
      <c r="A208" s="30" t="inlineStr">
        <is>
          <t>MPHASIS</t>
        </is>
      </c>
      <c r="B208" s="30" t="inlineStr">
        <is>
          <t>Mphasis Limited</t>
        </is>
      </c>
      <c r="C208" s="30" t="inlineStr">
        <is>
          <t>i.t</t>
        </is>
      </c>
      <c r="D208" s="30" t="inlineStr">
        <is>
          <t>computers - software - large</t>
        </is>
      </c>
      <c r="E208" s="30" t="inlineStr">
        <is>
          <t>largecap</t>
        </is>
      </c>
      <c r="F208" s="30" t="n">
        <v>48290.9</v>
      </c>
      <c r="G208" s="30" t="n">
        <v>2537.6</v>
      </c>
      <c r="H208" s="30" t="n">
        <v>0.3</v>
      </c>
      <c r="I208" s="30" t="n">
        <v>366804</v>
      </c>
      <c r="J208" s="30" t="inlineStr">
        <is>
          <t>526299</t>
        </is>
      </c>
    </row>
    <row r="209">
      <c r="A209" s="30" t="inlineStr">
        <is>
          <t>POLYMED</t>
        </is>
      </c>
      <c r="B209" s="30" t="inlineStr">
        <is>
          <t>Poly Medicure Limited</t>
        </is>
      </c>
      <c r="C209" s="30" t="inlineStr">
        <is>
          <t>healthcare</t>
        </is>
      </c>
      <c r="D209" s="30" t="inlineStr">
        <is>
          <t>healthcare</t>
        </is>
      </c>
      <c r="E209" s="30" t="inlineStr">
        <is>
          <t>midcap</t>
        </is>
      </c>
      <c r="F209" s="30" t="n">
        <v>18892.4</v>
      </c>
      <c r="G209" s="30" t="n">
        <v>1869.4</v>
      </c>
      <c r="H209" s="30" t="n">
        <v>0.3</v>
      </c>
      <c r="I209" s="30" t="n">
        <v>219951</v>
      </c>
      <c r="J209" s="30" t="inlineStr">
        <is>
          <t>531768</t>
        </is>
      </c>
    </row>
    <row r="210">
      <c r="A210" s="30" t="inlineStr">
        <is>
          <t>AZAD</t>
        </is>
      </c>
      <c r="B210" s="30" t="inlineStr">
        <is>
          <t>Azad Engineering Ltd</t>
        </is>
      </c>
      <c r="C210" s="30" t="inlineStr">
        <is>
          <t>aerospace &amp; defence</t>
        </is>
      </c>
      <c r="D210" s="30" t="inlineStr">
        <is>
          <t>engineering</t>
        </is>
      </c>
      <c r="E210" s="30" t="inlineStr">
        <is>
          <t>midcap</t>
        </is>
      </c>
      <c r="F210" s="30" t="n">
        <v>15965.25</v>
      </c>
      <c r="G210" s="30" t="n">
        <v>2479.5</v>
      </c>
      <c r="H210" s="30" t="n">
        <v>0.3</v>
      </c>
      <c r="I210" s="30" t="n">
        <v>218236</v>
      </c>
      <c r="J210" s="30" t="inlineStr">
        <is>
          <t>544061</t>
        </is>
      </c>
    </row>
    <row r="211">
      <c r="A211" s="30" t="inlineStr">
        <is>
          <t>SIS</t>
        </is>
      </c>
      <c r="B211" s="30" t="inlineStr">
        <is>
          <t>Security &amp; Intelligence Services India</t>
        </is>
      </c>
      <c r="C211" s="30" t="inlineStr">
        <is>
          <t>miscellaneous</t>
        </is>
      </c>
      <c r="D211" s="30" t="inlineStr">
        <is>
          <t>miscellaneous</t>
        </is>
      </c>
      <c r="E211" s="30" t="inlineStr">
        <is>
          <t>midcap</t>
        </is>
      </c>
      <c r="F211" s="30" t="n">
        <v>6182.61</v>
      </c>
      <c r="G211" s="30" t="n">
        <v>438.8</v>
      </c>
      <c r="H211" s="30" t="n">
        <v>0.29</v>
      </c>
      <c r="I211" s="30" t="n">
        <v>120755</v>
      </c>
      <c r="J211" s="30" t="inlineStr">
        <is>
          <t>540673</t>
        </is>
      </c>
    </row>
    <row r="212">
      <c r="A212" s="30" t="inlineStr">
        <is>
          <t>UTTAMSUGAR</t>
        </is>
      </c>
      <c r="B212" s="30" t="inlineStr">
        <is>
          <t>Uttam Sugar Mills Limited</t>
        </is>
      </c>
      <c r="C212" s="30" t="inlineStr">
        <is>
          <t>fmcg</t>
        </is>
      </c>
      <c r="D212" s="30" t="inlineStr">
        <is>
          <t>sugar</t>
        </is>
      </c>
      <c r="E212" s="30" t="inlineStr">
        <is>
          <t>smallcap</t>
        </is>
      </c>
      <c r="F212" s="30" t="n">
        <v>964.4400000000001</v>
      </c>
      <c r="G212" s="30" t="n">
        <v>253.53</v>
      </c>
      <c r="H212" s="30" t="n">
        <v>0.26</v>
      </c>
      <c r="I212" s="30" t="n">
        <v>74239</v>
      </c>
      <c r="J212" s="30" t="inlineStr">
        <is>
          <t>532729</t>
        </is>
      </c>
    </row>
    <row r="213">
      <c r="A213" s="30" t="inlineStr">
        <is>
          <t>ZENTEC</t>
        </is>
      </c>
      <c r="B213" s="30" t="inlineStr">
        <is>
          <t>Zen Technologies Limited</t>
        </is>
      </c>
      <c r="C213" s="30" t="inlineStr">
        <is>
          <t>aerospace &amp; defence</t>
        </is>
      </c>
      <c r="D213" s="30" t="inlineStr">
        <is>
          <t>miscellaneous</t>
        </is>
      </c>
      <c r="E213" s="30" t="inlineStr">
        <is>
          <t>midcap</t>
        </is>
      </c>
      <c r="F213" s="30" t="n">
        <v>16431.04</v>
      </c>
      <c r="G213" s="30" t="n">
        <v>1824.3</v>
      </c>
      <c r="H213" s="30" t="n">
        <v>0.25</v>
      </c>
      <c r="I213" s="30" t="n">
        <v>502987</v>
      </c>
      <c r="J213" s="30" t="inlineStr">
        <is>
          <t>533339</t>
        </is>
      </c>
    </row>
    <row r="214">
      <c r="A214" s="30" t="inlineStr">
        <is>
          <t>DIVISLAB</t>
        </is>
      </c>
      <c r="B214" s="30" t="inlineStr">
        <is>
          <t>Divi's Laboratories Limited</t>
        </is>
      </c>
      <c r="C214" s="30" t="inlineStr">
        <is>
          <t>healthcare</t>
        </is>
      </c>
      <c r="D214" s="30" t="inlineStr">
        <is>
          <t>pharmaceuticals - indian - bulk drugs</t>
        </is>
      </c>
      <c r="E214" s="30" t="inlineStr">
        <is>
          <t>largecap</t>
        </is>
      </c>
      <c r="F214" s="30" t="n">
        <v>227732.22</v>
      </c>
      <c r="G214" s="30" t="n">
        <v>8600</v>
      </c>
      <c r="H214" s="30" t="n">
        <v>0.25</v>
      </c>
      <c r="I214" s="30" t="n">
        <v>559195</v>
      </c>
      <c r="J214" s="30" t="inlineStr">
        <is>
          <t>532488</t>
        </is>
      </c>
    </row>
    <row r="215">
      <c r="A215" s="30" t="inlineStr">
        <is>
          <t>FILATEX</t>
        </is>
      </c>
      <c r="B215" s="30" t="inlineStr">
        <is>
          <t>Filatex India Limited</t>
        </is>
      </c>
      <c r="C215" s="30" t="inlineStr">
        <is>
          <t>textiles</t>
        </is>
      </c>
      <c r="D215" s="30" t="inlineStr">
        <is>
          <t>textiles - manmade</t>
        </is>
      </c>
      <c r="E215" s="30" t="inlineStr">
        <is>
          <t>smallcap</t>
        </is>
      </c>
      <c r="F215" s="30" t="n">
        <v>3691.01</v>
      </c>
      <c r="G215" s="30" t="n">
        <v>83.31</v>
      </c>
      <c r="H215" s="30" t="n">
        <v>0.23</v>
      </c>
      <c r="I215" s="30" t="n">
        <v>2332120</v>
      </c>
      <c r="J215" s="30" t="inlineStr">
        <is>
          <t>526227</t>
        </is>
      </c>
    </row>
    <row r="216">
      <c r="A216" s="30" t="inlineStr">
        <is>
          <t>KDDL</t>
        </is>
      </c>
      <c r="B216" s="30" t="inlineStr">
        <is>
          <t>Kddl Limited</t>
        </is>
      </c>
      <c r="C216" s="30" t="inlineStr">
        <is>
          <t>consumer discretionary</t>
        </is>
      </c>
      <c r="D216" s="30" t="inlineStr">
        <is>
          <t>miscellaneous</t>
        </is>
      </c>
      <c r="E216" s="30" t="inlineStr">
        <is>
          <t>smallcap</t>
        </is>
      </c>
      <c r="F216" s="30" t="n">
        <v>4725.63</v>
      </c>
      <c r="G216" s="30" t="n">
        <v>3850.6</v>
      </c>
      <c r="H216" s="30" t="n">
        <v>0.22</v>
      </c>
      <c r="I216" s="30" t="n">
        <v>28584</v>
      </c>
      <c r="J216" s="30" t="inlineStr">
        <is>
          <t>532054</t>
        </is>
      </c>
    </row>
    <row r="217">
      <c r="A217" s="30" t="inlineStr">
        <is>
          <t>SIEMENS</t>
        </is>
      </c>
      <c r="B217" s="30" t="inlineStr">
        <is>
          <t>Siemens Limited</t>
        </is>
      </c>
      <c r="C217" s="30" t="inlineStr">
        <is>
          <t>industrials</t>
        </is>
      </c>
      <c r="D217" s="30" t="inlineStr">
        <is>
          <t>electric equipment</t>
        </is>
      </c>
      <c r="E217" s="30" t="inlineStr">
        <is>
          <t>largecap</t>
        </is>
      </c>
      <c r="F217" s="30" t="n">
        <v>142839.93</v>
      </c>
      <c r="G217" s="30" t="n">
        <v>4019</v>
      </c>
      <c r="H217" s="30" t="n">
        <v>0.2</v>
      </c>
      <c r="I217" s="30" t="n">
        <v>716413</v>
      </c>
      <c r="J217" s="30" t="inlineStr">
        <is>
          <t>500550</t>
        </is>
      </c>
    </row>
    <row r="218">
      <c r="A218" s="30" t="inlineStr">
        <is>
          <t>MAMATA</t>
        </is>
      </c>
      <c r="B218" s="30" t="inlineStr">
        <is>
          <t>Mamata Machinery Ltd</t>
        </is>
      </c>
      <c r="C218" s="30" t="inlineStr">
        <is>
          <t>industrials</t>
        </is>
      </c>
      <c r="D218" s="30" t="inlineStr">
        <is>
          <t>engineering</t>
        </is>
      </c>
      <c r="E218" s="30" t="inlineStr">
        <is>
          <t>smallcap</t>
        </is>
      </c>
      <c r="F218" s="30" t="n">
        <v>1046.32</v>
      </c>
      <c r="G218" s="30" t="n">
        <v>426.05</v>
      </c>
      <c r="H218" s="30" t="n">
        <v>0.2</v>
      </c>
      <c r="I218" s="30" t="n">
        <v>64203</v>
      </c>
      <c r="J218" s="30" t="inlineStr">
        <is>
          <t>544318</t>
        </is>
      </c>
    </row>
    <row r="219">
      <c r="A219" s="30" t="inlineStr">
        <is>
          <t>DDEVPLSTIK</t>
        </is>
      </c>
      <c r="B219" s="30" t="inlineStr">
        <is>
          <t>DDev Plastiks Industries Ltd</t>
        </is>
      </c>
      <c r="C219" s="30" t="inlineStr">
        <is>
          <t>chemicals</t>
        </is>
      </c>
      <c r="D219" s="30" t="inlineStr">
        <is>
          <t>chemicals</t>
        </is>
      </c>
      <c r="E219" s="30" t="inlineStr">
        <is>
          <t>smallcap</t>
        </is>
      </c>
      <c r="F219" s="30" t="n">
        <v>3003.93</v>
      </c>
      <c r="G219" s="30" t="n">
        <v>290.85</v>
      </c>
      <c r="H219" s="30" t="n">
        <v>0.19</v>
      </c>
      <c r="I219" s="30" t="n">
        <v>227613</v>
      </c>
      <c r="J219" s="30" t="inlineStr">
        <is>
          <t>543547</t>
        </is>
      </c>
    </row>
    <row r="220">
      <c r="A220" s="30" t="inlineStr">
        <is>
          <t>CHOLAFIN</t>
        </is>
      </c>
      <c r="B220" s="30" t="inlineStr">
        <is>
          <t>Cholamandalam Investment And Finance Company Limited</t>
        </is>
      </c>
      <c r="C220" s="30" t="inlineStr">
        <is>
          <t>financials</t>
        </is>
      </c>
      <c r="D220" s="30" t="inlineStr">
        <is>
          <t>finance &amp; investments</t>
        </is>
      </c>
      <c r="E220" s="30" t="inlineStr">
        <is>
          <t>largecap</t>
        </is>
      </c>
      <c r="F220" s="30" t="n">
        <v>163219.18</v>
      </c>
      <c r="G220" s="30" t="n">
        <v>1917.6</v>
      </c>
      <c r="H220" s="30" t="n">
        <v>0.17</v>
      </c>
      <c r="I220" s="30" t="n">
        <v>540582</v>
      </c>
      <c r="J220" s="30" t="inlineStr">
        <is>
          <t>511243</t>
        </is>
      </c>
    </row>
    <row r="221">
      <c r="A221" s="30" t="inlineStr">
        <is>
          <t>LALPATHLAB</t>
        </is>
      </c>
      <c r="B221" s="30" t="inlineStr">
        <is>
          <t>Dr. Lal Path Labs Ltd.</t>
        </is>
      </c>
      <c r="C221" s="30" t="inlineStr">
        <is>
          <t>healthcare</t>
        </is>
      </c>
      <c r="D221" s="30" t="inlineStr">
        <is>
          <t>healthcare</t>
        </is>
      </c>
      <c r="E221" s="30" t="inlineStr">
        <is>
          <t>largecap</t>
        </is>
      </c>
      <c r="F221" s="30" t="n">
        <v>32687.69</v>
      </c>
      <c r="G221" s="30" t="n">
        <v>1953.3</v>
      </c>
      <c r="H221" s="30" t="n">
        <v>0.17</v>
      </c>
      <c r="I221" s="30" t="n">
        <v>351481</v>
      </c>
      <c r="J221" s="30" t="inlineStr">
        <is>
          <t>539524</t>
        </is>
      </c>
    </row>
    <row r="222">
      <c r="A222" s="30" t="inlineStr">
        <is>
          <t>MBAPL</t>
        </is>
      </c>
      <c r="B222" s="30" t="inlineStr">
        <is>
          <t>Madhya Bharat Agro Products Ltd</t>
        </is>
      </c>
      <c r="C222" s="30" t="inlineStr">
        <is>
          <t>chemicals</t>
        </is>
      </c>
      <c r="D222" s="30" t="inlineStr">
        <is>
          <t>fertilizers</t>
        </is>
      </c>
      <c r="E222" s="30" t="inlineStr">
        <is>
          <t>smallcap</t>
        </is>
      </c>
      <c r="F222" s="30" t="n">
        <v>1450.14</v>
      </c>
      <c r="G222" s="30" t="n">
        <v>165.75</v>
      </c>
      <c r="H222" s="30" t="n">
        <v>0.16</v>
      </c>
      <c r="I222" s="30" t="n">
        <v>582352</v>
      </c>
      <c r="J222" s="30" t="inlineStr">
        <is>
          <t>538370</t>
        </is>
      </c>
    </row>
    <row r="223">
      <c r="A223" s="30" t="inlineStr">
        <is>
          <t>MOTHERSON</t>
        </is>
      </c>
      <c r="B223" s="30" t="inlineStr">
        <is>
          <t>Samvardhana Motherson International Ltd</t>
        </is>
      </c>
      <c r="C223" s="30" t="inlineStr">
        <is>
          <t>auto</t>
        </is>
      </c>
      <c r="D223" s="30" t="inlineStr">
        <is>
          <t>auto ancillaries</t>
        </is>
      </c>
      <c r="E223" s="30" t="inlineStr">
        <is>
          <t>largecap</t>
        </is>
      </c>
      <c r="F223" s="30" t="n">
        <v>178644.5</v>
      </c>
      <c r="G223" s="30" t="n">
        <v>169.5</v>
      </c>
      <c r="H223" s="30" t="n">
        <v>0.14</v>
      </c>
      <c r="I223" s="30" t="n">
        <v>15747026</v>
      </c>
      <c r="J223" s="30" t="inlineStr">
        <is>
          <t>517334</t>
        </is>
      </c>
    </row>
    <row r="224">
      <c r="A224" s="30" t="inlineStr">
        <is>
          <t>UFLEX</t>
        </is>
      </c>
      <c r="B224" s="30" t="inlineStr">
        <is>
          <t>Uflex Limited</t>
        </is>
      </c>
      <c r="C224" s="30" t="inlineStr">
        <is>
          <t>industrials</t>
        </is>
      </c>
      <c r="D224" s="30" t="inlineStr">
        <is>
          <t>packaging</t>
        </is>
      </c>
      <c r="E224" s="30" t="inlineStr">
        <is>
          <t>smallcap</t>
        </is>
      </c>
      <c r="F224" s="30" t="n">
        <v>3589.27</v>
      </c>
      <c r="G224" s="30" t="n">
        <v>497.75</v>
      </c>
      <c r="H224" s="30" t="n">
        <v>0.14</v>
      </c>
      <c r="I224" s="30" t="n">
        <v>72505</v>
      </c>
      <c r="J224" s="30" t="inlineStr">
        <is>
          <t>500148</t>
        </is>
      </c>
    </row>
    <row r="225">
      <c r="A225" s="30" t="inlineStr">
        <is>
          <t>TRAVELFOOD</t>
        </is>
      </c>
      <c r="B225" s="30" t="inlineStr">
        <is>
          <t>Travel Food Services Ltd</t>
        </is>
      </c>
      <c r="C225" s="30" t="inlineStr">
        <is>
          <t>consumer discretionary</t>
        </is>
      </c>
      <c r="D225" s="30" t="inlineStr">
        <is>
          <t>hotels</t>
        </is>
      </c>
      <c r="E225" s="30" t="inlineStr">
        <is>
          <t>midcap</t>
        </is>
      </c>
      <c r="F225" s="30" t="n">
        <v>18290.28</v>
      </c>
      <c r="G225" s="30" t="n">
        <v>1390.1</v>
      </c>
      <c r="H225" s="30" t="n">
        <v>0.08</v>
      </c>
      <c r="I225" s="30" t="n">
        <v>35161</v>
      </c>
      <c r="J225" s="30" t="inlineStr">
        <is>
          <t>544443</t>
        </is>
      </c>
    </row>
    <row r="226">
      <c r="A226" s="30" t="inlineStr">
        <is>
          <t>BAJFINANCE</t>
        </is>
      </c>
      <c r="B226" s="30" t="inlineStr">
        <is>
          <t>Bajaj Finance Limited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largecap</t>
        </is>
      </c>
      <c r="F226" s="30" t="n">
        <v>680683.58</v>
      </c>
      <c r="G226" s="30" t="n">
        <v>1094.2</v>
      </c>
      <c r="H226" s="30" t="n">
        <v>0.08</v>
      </c>
      <c r="I226" s="30" t="n">
        <v>7054842</v>
      </c>
      <c r="J226" s="30" t="inlineStr">
        <is>
          <t>500034</t>
        </is>
      </c>
    </row>
    <row r="227">
      <c r="A227" s="30" t="inlineStr">
        <is>
          <t>RBLBANK</t>
        </is>
      </c>
      <c r="B227" s="30" t="inlineStr">
        <is>
          <t>Rbl Bank Limited</t>
        </is>
      </c>
      <c r="C227" s="30" t="inlineStr">
        <is>
          <t>bank</t>
        </is>
      </c>
      <c r="D227" s="30" t="inlineStr">
        <is>
          <t>banks - private sector</t>
        </is>
      </c>
      <c r="E227" s="30" t="inlineStr">
        <is>
          <t>largecap</t>
        </is>
      </c>
      <c r="F227" s="30" t="n">
        <v>60347.31</v>
      </c>
      <c r="G227" s="30" t="n">
        <v>389.8</v>
      </c>
      <c r="H227" s="30" t="n">
        <v>0.03</v>
      </c>
      <c r="I227" s="30" t="n">
        <v>2289848</v>
      </c>
      <c r="J227" s="30" t="inlineStr">
        <is>
          <t>540065</t>
        </is>
      </c>
    </row>
    <row r="228">
      <c r="A228" s="30" t="inlineStr">
        <is>
          <t>HONASA</t>
        </is>
      </c>
      <c r="B228" s="30" t="inlineStr">
        <is>
          <t>Honasa Consumer Ltd</t>
        </is>
      </c>
      <c r="C228" s="30" t="inlineStr">
        <is>
          <t>services</t>
        </is>
      </c>
      <c r="D228" s="30" t="inlineStr">
        <is>
          <t>trading</t>
        </is>
      </c>
      <c r="E228" s="30" t="inlineStr">
        <is>
          <t>midcap</t>
        </is>
      </c>
      <c r="F228" s="30" t="n">
        <v>15235.11</v>
      </c>
      <c r="G228" s="30" t="n">
        <v>467.4</v>
      </c>
      <c r="H228" s="30" t="n">
        <v>0.02</v>
      </c>
      <c r="I228" s="30" t="n">
        <v>987009</v>
      </c>
      <c r="J228" s="30" t="inlineStr">
        <is>
          <t>544014</t>
        </is>
      </c>
    </row>
    <row r="229">
      <c r="A229" s="30" t="inlineStr">
        <is>
          <t>CONCOR</t>
        </is>
      </c>
      <c r="B229" s="30" t="inlineStr">
        <is>
          <t>Container Corporation Of India Limited</t>
        </is>
      </c>
      <c r="C229" s="30" t="inlineStr">
        <is>
          <t>transportation</t>
        </is>
      </c>
      <c r="D229" s="30" t="inlineStr">
        <is>
          <t>miscellaneous</t>
        </is>
      </c>
      <c r="E229" s="30" t="inlineStr">
        <is>
          <t>largecap</t>
        </is>
      </c>
      <c r="F229" s="30" t="n">
        <v>38994.84</v>
      </c>
      <c r="G229" s="30" t="n">
        <v>512.05</v>
      </c>
      <c r="H229" s="30" t="n">
        <v>0.01</v>
      </c>
      <c r="I229" s="30" t="n">
        <v>2354296</v>
      </c>
      <c r="J229" s="30" t="inlineStr">
        <is>
          <t>531344</t>
        </is>
      </c>
    </row>
    <row r="230">
      <c r="A230" s="30" t="inlineStr">
        <is>
          <t>CENTENKA</t>
        </is>
      </c>
      <c r="B230" s="30" t="inlineStr">
        <is>
          <t>Century Enka Limited</t>
        </is>
      </c>
      <c r="C230" s="30" t="inlineStr">
        <is>
          <t>textiles</t>
        </is>
      </c>
      <c r="D230" s="30" t="inlineStr">
        <is>
          <t>textiles - manmade</t>
        </is>
      </c>
      <c r="E230" s="30" t="inlineStr">
        <is>
          <t>smallcap</t>
        </is>
      </c>
      <c r="F230" s="30" t="n">
        <v>1319.99</v>
      </c>
      <c r="G230" s="30" t="n">
        <v>604.1</v>
      </c>
      <c r="H230" s="30" t="n">
        <v>0</v>
      </c>
      <c r="I230" s="30" t="n">
        <v>87960</v>
      </c>
      <c r="J230" s="30" t="inlineStr">
        <is>
          <t>500280</t>
        </is>
      </c>
    </row>
    <row r="231">
      <c r="A231" s="30" t="inlineStr">
        <is>
          <t>SUNDRMFAST</t>
        </is>
      </c>
      <c r="B231" s="30" t="inlineStr">
        <is>
          <t>Sundram Fasteners Limited</t>
        </is>
      </c>
      <c r="C231" s="30" t="inlineStr">
        <is>
          <t>auto</t>
        </is>
      </c>
      <c r="D231" s="30" t="inlineStr">
        <is>
          <t>auto ancillaries</t>
        </is>
      </c>
      <c r="E231" s="30" t="inlineStr">
        <is>
          <t>largecap</t>
        </is>
      </c>
      <c r="F231" s="30" t="n">
        <v>25426.58</v>
      </c>
      <c r="G231" s="30" t="n">
        <v>1210</v>
      </c>
      <c r="H231" s="30" t="n">
        <v>0</v>
      </c>
      <c r="I231" s="30" t="n">
        <v>190308</v>
      </c>
      <c r="J231" s="30" t="inlineStr">
        <is>
          <t>500403</t>
        </is>
      </c>
    </row>
    <row r="232">
      <c r="A232" s="30" t="inlineStr">
        <is>
          <t>KRISHANA</t>
        </is>
      </c>
      <c r="B232" s="30" t="inlineStr">
        <is>
          <t>Krishana Phoschem Ltd</t>
        </is>
      </c>
      <c r="C232" s="30" t="inlineStr">
        <is>
          <t>chemicals</t>
        </is>
      </c>
      <c r="D232" s="30" t="inlineStr">
        <is>
          <t>fertilizers</t>
        </is>
      </c>
      <c r="E232" s="30" t="inlineStr">
        <is>
          <t>smallcap</t>
        </is>
      </c>
      <c r="F232" s="30" t="n">
        <v>1152.78</v>
      </c>
      <c r="G232" s="30" t="n">
        <v>186.45</v>
      </c>
      <c r="H232" s="30" t="n">
        <v>0</v>
      </c>
      <c r="I232" s="30" t="n">
        <v>388061</v>
      </c>
      <c r="J232" s="30" t="inlineStr">
        <is>
          <t>538405</t>
        </is>
      </c>
    </row>
    <row r="233">
      <c r="A233" s="30" t="inlineStr">
        <is>
          <t>CIPLA</t>
        </is>
      </c>
      <c r="B233" s="30" t="inlineStr">
        <is>
          <t>Cipla Limited</t>
        </is>
      </c>
      <c r="C233" s="30" t="inlineStr">
        <is>
          <t>healthcare</t>
        </is>
      </c>
      <c r="D233" s="30" t="inlineStr">
        <is>
          <t>pharmaceuticals - indian - bulk drugs &amp; formln</t>
        </is>
      </c>
      <c r="E233" s="30" t="inlineStr">
        <is>
          <t>largecap</t>
        </is>
      </c>
      <c r="F233" s="30" t="n">
        <v>118187.77</v>
      </c>
      <c r="G233" s="30" t="n">
        <v>1463</v>
      </c>
      <c r="H233" s="30" t="n">
        <v>0</v>
      </c>
      <c r="I233" s="30" t="n">
        <v>621021</v>
      </c>
      <c r="J233" s="30" t="inlineStr">
        <is>
          <t>500087</t>
        </is>
      </c>
    </row>
    <row r="234">
      <c r="A234" s="30" t="inlineStr">
        <is>
          <t>RAJRATAN</t>
        </is>
      </c>
      <c r="B234" s="30" t="inlineStr">
        <is>
          <t>Rajratan Global Wire Ltd</t>
        </is>
      </c>
      <c r="C234" s="30" t="inlineStr">
        <is>
          <t>metals &amp; mining</t>
        </is>
      </c>
      <c r="D234" s="30" t="inlineStr">
        <is>
          <t>steel - medium / small</t>
        </is>
      </c>
      <c r="E234" s="30" t="inlineStr">
        <is>
          <t>smallcap</t>
        </is>
      </c>
      <c r="F234" s="30" t="n">
        <v>2632.98</v>
      </c>
      <c r="G234" s="30" t="n">
        <v>518.5</v>
      </c>
      <c r="H234" s="30" t="n">
        <v>-0.02</v>
      </c>
      <c r="I234" s="30" t="n">
        <v>56723</v>
      </c>
      <c r="J234" s="30" t="inlineStr">
        <is>
          <t>517522</t>
        </is>
      </c>
    </row>
    <row r="235">
      <c r="A235" s="30" t="inlineStr">
        <is>
          <t>FMGOETZE</t>
        </is>
      </c>
      <c r="B235" s="30" t="inlineStr">
        <is>
          <t>Federal-mogul Goetze (india) Limited.</t>
        </is>
      </c>
      <c r="C235" s="30" t="inlineStr">
        <is>
          <t>auto</t>
        </is>
      </c>
      <c r="D235" s="30" t="inlineStr">
        <is>
          <t>auto ancillaries</t>
        </is>
      </c>
      <c r="E235" s="30" t="inlineStr">
        <is>
          <t>smallcap</t>
        </is>
      </c>
      <c r="F235" s="30" t="n">
        <v>2711.51</v>
      </c>
      <c r="G235" s="30" t="n">
        <v>487.2</v>
      </c>
      <c r="H235" s="30" t="n">
        <v>-0.04</v>
      </c>
      <c r="I235" s="30" t="n">
        <v>28850</v>
      </c>
      <c r="J235" s="30" t="inlineStr">
        <is>
          <t>505744</t>
        </is>
      </c>
    </row>
    <row r="236">
      <c r="A236" s="30" t="inlineStr">
        <is>
          <t>ENRIN</t>
        </is>
      </c>
      <c r="B236" s="30" t="inlineStr">
        <is>
          <t>Siemens Energy India Ltd</t>
        </is>
      </c>
      <c r="C236" s="30" t="inlineStr">
        <is>
          <t>power &amp; utilities</t>
        </is>
      </c>
      <c r="D236" s="30" t="inlineStr">
        <is>
          <t>power generation and supply</t>
        </is>
      </c>
      <c r="E236" s="30" t="inlineStr">
        <is>
          <t>largecap</t>
        </is>
      </c>
      <c r="F236" s="30" t="n">
        <v>126914.23</v>
      </c>
      <c r="G236" s="30" t="n">
        <v>3562.1</v>
      </c>
      <c r="H236" s="30" t="n">
        <v>-0.05</v>
      </c>
      <c r="I236" s="30" t="n">
        <v>445189</v>
      </c>
      <c r="J236" s="30" t="n"/>
    </row>
    <row r="237">
      <c r="A237" s="30" t="inlineStr">
        <is>
          <t>PTCIL</t>
        </is>
      </c>
      <c r="B237" s="30" t="inlineStr">
        <is>
          <t>PTC Industries Ltd</t>
        </is>
      </c>
      <c r="C237" s="30" t="inlineStr">
        <is>
          <t>industrials</t>
        </is>
      </c>
      <c r="D237" s="30" t="inlineStr">
        <is>
          <t>castings &amp; forgings</t>
        </is>
      </c>
      <c r="E237" s="30" t="inlineStr">
        <is>
          <t>largecap</t>
        </is>
      </c>
      <c r="F237" s="30" t="n">
        <v>28344.91</v>
      </c>
      <c r="G237" s="30" t="n">
        <v>18895</v>
      </c>
      <c r="H237" s="30" t="n">
        <v>-0.06</v>
      </c>
      <c r="I237" s="30" t="n">
        <v>6812</v>
      </c>
      <c r="J237" s="30" t="inlineStr">
        <is>
          <t>539006</t>
        </is>
      </c>
    </row>
    <row r="238">
      <c r="A238" s="30" t="inlineStr">
        <is>
          <t>BALKRISIND</t>
        </is>
      </c>
      <c r="B238" s="30" t="inlineStr">
        <is>
          <t>Balkrishna Industries Limited</t>
        </is>
      </c>
      <c r="C238" s="30" t="inlineStr">
        <is>
          <t>auto</t>
        </is>
      </c>
      <c r="D238" s="30" t="inlineStr">
        <is>
          <t>tyres</t>
        </is>
      </c>
      <c r="E238" s="30" t="inlineStr">
        <is>
          <t>largecap</t>
        </is>
      </c>
      <c r="F238" s="30" t="n">
        <v>48308.03</v>
      </c>
      <c r="G238" s="30" t="n">
        <v>2496.9</v>
      </c>
      <c r="H238" s="30" t="n">
        <v>-0.08</v>
      </c>
      <c r="I238" s="30" t="n">
        <v>156973</v>
      </c>
      <c r="J238" s="30" t="inlineStr">
        <is>
          <t>502355</t>
        </is>
      </c>
    </row>
    <row r="239">
      <c r="A239" s="30" t="inlineStr">
        <is>
          <t>MAZDOCK</t>
        </is>
      </c>
      <c r="B239" s="30" t="inlineStr">
        <is>
          <t>Mazagon Dock Shipbuilders Ltd</t>
        </is>
      </c>
      <c r="C239" s="30" t="inlineStr">
        <is>
          <t>aerospace &amp; defence</t>
        </is>
      </c>
      <c r="D239" s="30" t="inlineStr">
        <is>
          <t>miscellaneous</t>
        </is>
      </c>
      <c r="E239" s="30" t="inlineStr">
        <is>
          <t>largecap</t>
        </is>
      </c>
      <c r="F239" s="30" t="n">
        <v>103023.25</v>
      </c>
      <c r="G239" s="30" t="n">
        <v>2552</v>
      </c>
      <c r="H239" s="30" t="n">
        <v>-0.08</v>
      </c>
      <c r="I239" s="30" t="n">
        <v>692659</v>
      </c>
      <c r="J239" s="30" t="inlineStr">
        <is>
          <t>543237</t>
        </is>
      </c>
    </row>
    <row r="240">
      <c r="A240" s="30" t="inlineStr">
        <is>
          <t>AEROENTER</t>
        </is>
      </c>
      <c r="B240" s="30" t="inlineStr">
        <is>
          <t>Aeroflex Enterprises Ltd</t>
        </is>
      </c>
      <c r="C240" s="30" t="inlineStr">
        <is>
          <t>metals &amp; mining</t>
        </is>
      </c>
      <c r="D240" s="30" t="inlineStr">
        <is>
          <t>steel - medium / small</t>
        </is>
      </c>
      <c r="E240" s="30" t="inlineStr">
        <is>
          <t>smallcap</t>
        </is>
      </c>
      <c r="F240" s="30" t="n">
        <v>1464.46</v>
      </c>
      <c r="G240" s="30" t="n">
        <v>129.29</v>
      </c>
      <c r="H240" s="30" t="n">
        <v>-0.09</v>
      </c>
      <c r="I240" s="30" t="n">
        <v>1019988</v>
      </c>
      <c r="J240" s="30" t="inlineStr">
        <is>
          <t>511076</t>
        </is>
      </c>
    </row>
    <row r="241">
      <c r="A241" s="30" t="inlineStr">
        <is>
          <t>BEML</t>
        </is>
      </c>
      <c r="B241" s="30" t="inlineStr">
        <is>
          <t>Beml Limited</t>
        </is>
      </c>
      <c r="C241" s="30" t="inlineStr">
        <is>
          <t>aerospace &amp; defence</t>
        </is>
      </c>
      <c r="D241" s="30" t="inlineStr">
        <is>
          <t>engineering</t>
        </is>
      </c>
      <c r="E241" s="30" t="inlineStr">
        <is>
          <t>midcap</t>
        </is>
      </c>
      <c r="F241" s="30" t="n">
        <v>15844.07</v>
      </c>
      <c r="G241" s="30" t="n">
        <v>1900.6</v>
      </c>
      <c r="H241" s="30" t="n">
        <v>-0.09</v>
      </c>
      <c r="I241" s="30" t="n">
        <v>714898</v>
      </c>
      <c r="J241" s="30" t="inlineStr">
        <is>
          <t>500048</t>
        </is>
      </c>
    </row>
    <row r="242">
      <c r="A242" s="30" t="inlineStr">
        <is>
          <t>ARE&amp;M</t>
        </is>
      </c>
      <c r="B242" s="30" t="inlineStr">
        <is>
          <t>Amara Raja Energy &amp; Mobility Ltd</t>
        </is>
      </c>
      <c r="C242" s="30" t="inlineStr">
        <is>
          <t>auto</t>
        </is>
      </c>
      <c r="D242" s="30" t="inlineStr">
        <is>
          <t>auto ancillaries</t>
        </is>
      </c>
      <c r="E242" s="30" t="inlineStr">
        <is>
          <t>midcap</t>
        </is>
      </c>
      <c r="F242" s="30" t="n">
        <v>17758.04</v>
      </c>
      <c r="G242" s="30" t="n">
        <v>969.4</v>
      </c>
      <c r="H242" s="30" t="n">
        <v>-0.09</v>
      </c>
      <c r="I242" s="30" t="n">
        <v>5108022</v>
      </c>
      <c r="J242" s="30" t="inlineStr">
        <is>
          <t>500008</t>
        </is>
      </c>
    </row>
    <row r="243">
      <c r="A243" s="30" t="inlineStr">
        <is>
          <t>RITCO</t>
        </is>
      </c>
      <c r="B243" s="30" t="inlineStr">
        <is>
          <t>Ritco Logistics Ltd</t>
        </is>
      </c>
      <c r="C243" s="30" t="inlineStr">
        <is>
          <t>transportation</t>
        </is>
      </c>
      <c r="D243" s="30" t="inlineStr">
        <is>
          <t>miscellaneous</t>
        </is>
      </c>
      <c r="E243" s="30" t="inlineStr">
        <is>
          <t>smallcap</t>
        </is>
      </c>
      <c r="F243" s="30" t="n">
        <v>865.27</v>
      </c>
      <c r="G243" s="30" t="n">
        <v>301.95</v>
      </c>
      <c r="H243" s="30" t="n">
        <v>-0.12</v>
      </c>
      <c r="I243" s="30" t="n">
        <v>195859</v>
      </c>
      <c r="J243" s="30" t="inlineStr">
        <is>
          <t>542383</t>
        </is>
      </c>
    </row>
    <row r="244">
      <c r="A244" s="30" t="inlineStr">
        <is>
          <t>KILITCH</t>
        </is>
      </c>
      <c r="B244" s="30" t="inlineStr">
        <is>
          <t>Kilitch Drugs (india) Limited</t>
        </is>
      </c>
      <c r="C244" s="30" t="inlineStr">
        <is>
          <t>healthcare</t>
        </is>
      </c>
      <c r="D244" s="30" t="inlineStr">
        <is>
          <t>pharmaceuticals - indian - formulations</t>
        </is>
      </c>
      <c r="E244" s="30" t="inlineStr">
        <is>
          <t>smallcap</t>
        </is>
      </c>
      <c r="F244" s="30" t="n">
        <v>669.37</v>
      </c>
      <c r="G244" s="30" t="n">
        <v>191.21</v>
      </c>
      <c r="H244" s="30" t="n">
        <v>-0.13</v>
      </c>
      <c r="I244" s="30" t="n">
        <v>33559</v>
      </c>
      <c r="J244" s="30" t="inlineStr">
        <is>
          <t>524500</t>
        </is>
      </c>
    </row>
    <row r="245">
      <c r="A245" s="30" t="inlineStr">
        <is>
          <t>SPECIALITY</t>
        </is>
      </c>
      <c r="B245" s="30" t="inlineStr">
        <is>
          <t>Speciality Restaurants Limited</t>
        </is>
      </c>
      <c r="C245" s="30" t="inlineStr">
        <is>
          <t>services</t>
        </is>
      </c>
      <c r="D245" s="30" t="inlineStr">
        <is>
          <t>hotels</t>
        </is>
      </c>
      <c r="E245" s="30" t="inlineStr">
        <is>
          <t>smallcap</t>
        </is>
      </c>
      <c r="F245" s="30" t="n">
        <v>765.02</v>
      </c>
      <c r="G245" s="30" t="n">
        <v>158.38</v>
      </c>
      <c r="H245" s="30" t="n">
        <v>-0.14</v>
      </c>
      <c r="I245" s="30" t="n">
        <v>114955</v>
      </c>
      <c r="J245" s="30" t="inlineStr">
        <is>
          <t>534425</t>
        </is>
      </c>
    </row>
    <row r="246">
      <c r="A246" s="30" t="inlineStr">
        <is>
          <t>ARVIND</t>
        </is>
      </c>
      <c r="B246" s="30" t="inlineStr">
        <is>
          <t>Arvind Limited</t>
        </is>
      </c>
      <c r="C246" s="30" t="inlineStr">
        <is>
          <t>textiles</t>
        </is>
      </c>
      <c r="D246" s="30" t="inlineStr">
        <is>
          <t>textiles - cotton/blended</t>
        </is>
      </c>
      <c r="E246" s="30" t="inlineStr">
        <is>
          <t>midcap</t>
        </is>
      </c>
      <c r="F246" s="30" t="n">
        <v>14880.36</v>
      </c>
      <c r="G246" s="30" t="n">
        <v>566.85</v>
      </c>
      <c r="H246" s="30" t="n">
        <v>-0.14</v>
      </c>
      <c r="I246" s="30" t="n">
        <v>405680</v>
      </c>
      <c r="J246" s="30" t="inlineStr">
        <is>
          <t>500101</t>
        </is>
      </c>
    </row>
    <row r="247">
      <c r="A247" s="30" t="inlineStr">
        <is>
          <t>BAJAJ-AUTO</t>
        </is>
      </c>
      <c r="B247" s="30" t="inlineStr">
        <is>
          <t>Bajaj Auto Limited</t>
        </is>
      </c>
      <c r="C247" s="30" t="inlineStr">
        <is>
          <t>auto</t>
        </is>
      </c>
      <c r="D247" s="30" t="inlineStr">
        <is>
          <t>automobiles - scooters and 3 - wheelers</t>
        </is>
      </c>
      <c r="E247" s="30" t="inlineStr">
        <is>
          <t>largecap</t>
        </is>
      </c>
      <c r="F247" s="30" t="n">
        <v>327487.62</v>
      </c>
      <c r="G247" s="30" t="n">
        <v>11700</v>
      </c>
      <c r="H247" s="30" t="n">
        <v>-0.15</v>
      </c>
      <c r="I247" s="30" t="n">
        <v>236192</v>
      </c>
      <c r="J247" s="30" t="inlineStr">
        <is>
          <t>532977</t>
        </is>
      </c>
    </row>
    <row r="248">
      <c r="A248" s="30" t="inlineStr">
        <is>
          <t>UNIMECH</t>
        </is>
      </c>
      <c r="B248" s="30" t="inlineStr">
        <is>
          <t>Unimech Aerospace and Manufacturing Ltd</t>
        </is>
      </c>
      <c r="C248" s="30" t="inlineStr">
        <is>
          <t>aerospace &amp; defence</t>
        </is>
      </c>
      <c r="D248" s="30" t="inlineStr">
        <is>
          <t>engineering</t>
        </is>
      </c>
      <c r="E248" s="30" t="inlineStr">
        <is>
          <t>midcap</t>
        </is>
      </c>
      <c r="F248" s="30" t="n">
        <v>7228.8</v>
      </c>
      <c r="G248" s="30" t="n">
        <v>1418.5</v>
      </c>
      <c r="H248" s="30" t="n">
        <v>-0.2</v>
      </c>
      <c r="I248" s="30" t="n">
        <v>89651</v>
      </c>
      <c r="J248" s="30" t="inlineStr">
        <is>
          <t>544322</t>
        </is>
      </c>
    </row>
    <row r="249">
      <c r="A249" s="30" t="inlineStr">
        <is>
          <t>SOLARINDS</t>
        </is>
      </c>
      <c r="B249" s="30" t="inlineStr">
        <is>
          <t>Solar Industries India Limited</t>
        </is>
      </c>
      <c r="C249" s="30" t="inlineStr">
        <is>
          <t>aerospace &amp; defence</t>
        </is>
      </c>
      <c r="D249" s="30" t="inlineStr">
        <is>
          <t>chemicals</t>
        </is>
      </c>
      <c r="E249" s="30" t="inlineStr">
        <is>
          <t>largecap</t>
        </is>
      </c>
      <c r="F249" s="30" t="n">
        <v>169849.83</v>
      </c>
      <c r="G249" s="30" t="n">
        <v>18730</v>
      </c>
      <c r="H249" s="30" t="n">
        <v>-0.21</v>
      </c>
      <c r="I249" s="30" t="n">
        <v>92222</v>
      </c>
      <c r="J249" s="30" t="inlineStr">
        <is>
          <t>532725</t>
        </is>
      </c>
    </row>
    <row r="250">
      <c r="A250" s="30" t="inlineStr">
        <is>
          <t>LODHA</t>
        </is>
      </c>
      <c r="B250" s="30" t="inlineStr">
        <is>
          <t>Lodha Developers Ltd</t>
        </is>
      </c>
      <c r="C250" s="30" t="inlineStr">
        <is>
          <t>realty</t>
        </is>
      </c>
      <c r="D250" s="30" t="inlineStr">
        <is>
          <t>construction</t>
        </is>
      </c>
      <c r="E250" s="30" t="inlineStr">
        <is>
          <t>largecap</t>
        </is>
      </c>
      <c r="F250" s="30" t="n">
        <v>121090.24</v>
      </c>
      <c r="G250" s="30" t="n">
        <v>1209</v>
      </c>
      <c r="H250" s="30" t="n">
        <v>-0.25</v>
      </c>
      <c r="I250" s="30" t="n">
        <v>1174178</v>
      </c>
      <c r="J250" s="30" t="inlineStr">
        <is>
          <t>543287</t>
        </is>
      </c>
    </row>
    <row r="251">
      <c r="A251" s="30" t="inlineStr">
        <is>
          <t>RADICO</t>
        </is>
      </c>
      <c r="B251" s="30" t="inlineStr">
        <is>
          <t>Radico Khaitan Limited</t>
        </is>
      </c>
      <c r="C251" s="30" t="inlineStr">
        <is>
          <t>fmcg</t>
        </is>
      </c>
      <c r="D251" s="30" t="inlineStr">
        <is>
          <t>breweries &amp; distilleries</t>
        </is>
      </c>
      <c r="E251" s="30" t="inlineStr">
        <is>
          <t>largecap</t>
        </is>
      </c>
      <c r="F251" s="30" t="n">
        <v>60871.8</v>
      </c>
      <c r="G251" s="30" t="n">
        <v>4533</v>
      </c>
      <c r="H251" s="30" t="n">
        <v>-0.26</v>
      </c>
      <c r="I251" s="30" t="n">
        <v>236362</v>
      </c>
      <c r="J251" s="30" t="inlineStr">
        <is>
          <t>532497</t>
        </is>
      </c>
    </row>
    <row r="252">
      <c r="A252" s="30" t="inlineStr">
        <is>
          <t>PARAS</t>
        </is>
      </c>
      <c r="B252" s="30" t="inlineStr">
        <is>
          <t>Paras Defence and Space Technologies Ltd</t>
        </is>
      </c>
      <c r="C252" s="30" t="inlineStr">
        <is>
          <t>aerospace &amp; defence</t>
        </is>
      </c>
      <c r="D252" s="30" t="inlineStr">
        <is>
          <t>engineering</t>
        </is>
      </c>
      <c r="E252" s="30" t="inlineStr">
        <is>
          <t>midcap</t>
        </is>
      </c>
      <c r="F252" s="30" t="n">
        <v>10347.41</v>
      </c>
      <c r="G252" s="30" t="n">
        <v>1280.7</v>
      </c>
      <c r="H252" s="30" t="n">
        <v>-0.26</v>
      </c>
      <c r="I252" s="30" t="n">
        <v>590759</v>
      </c>
      <c r="J252" s="30" t="inlineStr">
        <is>
          <t>543367</t>
        </is>
      </c>
    </row>
    <row r="253">
      <c r="A253" s="30" t="inlineStr">
        <is>
          <t>INDIGOPNTS</t>
        </is>
      </c>
      <c r="B253" s="30" t="inlineStr">
        <is>
          <t>Indigo Paints Ltd</t>
        </is>
      </c>
      <c r="C253" s="30" t="inlineStr">
        <is>
          <t>building materials</t>
        </is>
      </c>
      <c r="D253" s="30" t="inlineStr">
        <is>
          <t>paints / varnishes</t>
        </is>
      </c>
      <c r="E253" s="30" t="inlineStr">
        <is>
          <t>midcap</t>
        </is>
      </c>
      <c r="F253" s="30" t="n">
        <v>5365.9</v>
      </c>
      <c r="G253" s="30" t="n">
        <v>1122.1</v>
      </c>
      <c r="H253" s="30" t="n">
        <v>-0.3</v>
      </c>
      <c r="I253" s="30" t="n">
        <v>28881</v>
      </c>
      <c r="J253" s="30" t="inlineStr">
        <is>
          <t>543258</t>
        </is>
      </c>
    </row>
    <row r="254">
      <c r="A254" s="30" t="inlineStr">
        <is>
          <t>SILVERTUC</t>
        </is>
      </c>
      <c r="B254" s="30" t="inlineStr">
        <is>
          <t>Silver Touch Technologies Ltd</t>
        </is>
      </c>
      <c r="C254" s="30" t="inlineStr">
        <is>
          <t>i.t</t>
        </is>
      </c>
      <c r="D254" s="30" t="inlineStr">
        <is>
          <t>computers - software - medium / small</t>
        </is>
      </c>
      <c r="E254" s="30" t="inlineStr">
        <is>
          <t>smallcap</t>
        </is>
      </c>
      <c r="F254" s="30" t="n">
        <v>2618.88</v>
      </c>
      <c r="G254" s="30" t="n">
        <v>205.88</v>
      </c>
      <c r="H254" s="30" t="n">
        <v>-0.31</v>
      </c>
      <c r="I254" s="30" t="n">
        <v>490828</v>
      </c>
      <c r="J254" s="30" t="inlineStr">
        <is>
          <t>535031</t>
        </is>
      </c>
    </row>
    <row r="255">
      <c r="A255" s="30" t="inlineStr">
        <is>
          <t>EMAMIPAP</t>
        </is>
      </c>
      <c r="B255" s="30" t="inlineStr">
        <is>
          <t>Emami Paper Mills Ltd</t>
        </is>
      </c>
      <c r="C255" s="30" t="inlineStr">
        <is>
          <t>building materials</t>
        </is>
      </c>
      <c r="D255" s="30" t="inlineStr">
        <is>
          <t>paper</t>
        </is>
      </c>
      <c r="E255" s="30" t="inlineStr">
        <is>
          <t>smallcap</t>
        </is>
      </c>
      <c r="F255" s="30" t="n">
        <v>679.71</v>
      </c>
      <c r="G255" s="30" t="n">
        <v>112</v>
      </c>
      <c r="H255" s="30" t="n">
        <v>-0.31</v>
      </c>
      <c r="I255" s="30" t="n">
        <v>20453</v>
      </c>
      <c r="J255" s="30" t="inlineStr">
        <is>
          <t>533208</t>
        </is>
      </c>
    </row>
    <row r="256">
      <c r="A256" s="30" t="inlineStr">
        <is>
          <t>BLSE</t>
        </is>
      </c>
      <c r="B256" s="30" t="inlineStr">
        <is>
          <t>BLS E-Services Ltd</t>
        </is>
      </c>
      <c r="C256" s="30" t="inlineStr">
        <is>
          <t>i.t</t>
        </is>
      </c>
      <c r="D256" s="30" t="inlineStr">
        <is>
          <t>computers - software - medium / small</t>
        </is>
      </c>
      <c r="E256" s="30" t="inlineStr">
        <is>
          <t>smallcap</t>
        </is>
      </c>
      <c r="F256" s="30" t="n">
        <v>2886.06</v>
      </c>
      <c r="G256" s="30" t="n">
        <v>316.65</v>
      </c>
      <c r="H256" s="30" t="n">
        <v>-0.31</v>
      </c>
      <c r="I256" s="30" t="n">
        <v>743991</v>
      </c>
      <c r="J256" s="30" t="inlineStr">
        <is>
          <t>544107</t>
        </is>
      </c>
    </row>
    <row r="257">
      <c r="A257" s="30" t="inlineStr">
        <is>
          <t>HCG</t>
        </is>
      </c>
      <c r="B257" s="30" t="inlineStr">
        <is>
          <t>Healthcare Global Enterprises Limited</t>
        </is>
      </c>
      <c r="C257" s="30" t="inlineStr">
        <is>
          <t>healthcare</t>
        </is>
      </c>
      <c r="D257" s="30" t="inlineStr">
        <is>
          <t>healthcare</t>
        </is>
      </c>
      <c r="E257" s="30" t="inlineStr">
        <is>
          <t>midcap</t>
        </is>
      </c>
      <c r="F257" s="30" t="n">
        <v>11032.69</v>
      </c>
      <c r="G257" s="30" t="n">
        <v>736.5</v>
      </c>
      <c r="H257" s="30" t="n">
        <v>-0.33</v>
      </c>
      <c r="I257" s="30" t="n">
        <v>183448</v>
      </c>
      <c r="J257" s="30" t="inlineStr">
        <is>
          <t>539787</t>
        </is>
      </c>
    </row>
    <row r="258">
      <c r="A258" s="30" t="inlineStr">
        <is>
          <t>INDGN</t>
        </is>
      </c>
      <c r="B258" s="30" t="inlineStr">
        <is>
          <t>Indegene Ltd</t>
        </is>
      </c>
      <c r="C258" s="30" t="inlineStr">
        <is>
          <t>healthcare</t>
        </is>
      </c>
      <c r="D258" s="30" t="inlineStr">
        <is>
          <t>miscellaneous</t>
        </is>
      </c>
      <c r="E258" s="30" t="inlineStr">
        <is>
          <t>midcap</t>
        </is>
      </c>
      <c r="F258" s="30" t="n">
        <v>13676.57</v>
      </c>
      <c r="G258" s="30" t="n">
        <v>565.4</v>
      </c>
      <c r="H258" s="30" t="n">
        <v>-0.39</v>
      </c>
      <c r="I258" s="30" t="n">
        <v>439544</v>
      </c>
      <c r="J258" s="30" t="inlineStr">
        <is>
          <t>544172</t>
        </is>
      </c>
    </row>
    <row r="259">
      <c r="A259" s="30" t="inlineStr">
        <is>
          <t>PRIMO</t>
        </is>
      </c>
      <c r="B259" s="30" t="inlineStr">
        <is>
          <t>Primo Chemicals Ltd</t>
        </is>
      </c>
      <c r="C259" s="30" t="inlineStr">
        <is>
          <t>chemicals</t>
        </is>
      </c>
      <c r="D259" s="30" t="inlineStr">
        <is>
          <t>chlor alkali / soda ash</t>
        </is>
      </c>
      <c r="E259" s="30" t="inlineStr">
        <is>
          <t>smallcap</t>
        </is>
      </c>
      <c r="F259" s="30" t="n">
        <v>591.08</v>
      </c>
      <c r="G259" s="30" t="n">
        <v>24.29</v>
      </c>
      <c r="H259" s="30" t="n">
        <v>-0.41</v>
      </c>
      <c r="I259" s="30" t="n">
        <v>195358</v>
      </c>
      <c r="J259" s="30" t="inlineStr">
        <is>
          <t>506852</t>
        </is>
      </c>
    </row>
    <row r="260">
      <c r="A260" s="30" t="inlineStr">
        <is>
          <t>TFCILTD</t>
        </is>
      </c>
      <c r="B260" s="30" t="inlineStr">
        <is>
          <t>Tourism Finance Corporation Of India Limited</t>
        </is>
      </c>
      <c r="C260" s="30" t="inlineStr">
        <is>
          <t>financials</t>
        </is>
      </c>
      <c r="D260" s="30" t="inlineStr">
        <is>
          <t>finance - term-lending institutions</t>
        </is>
      </c>
      <c r="E260" s="30" t="inlineStr">
        <is>
          <t>midcap</t>
        </is>
      </c>
      <c r="F260" s="30" t="n">
        <v>5352.02</v>
      </c>
      <c r="G260" s="30" t="n">
        <v>115.13</v>
      </c>
      <c r="H260" s="30" t="n">
        <v>-0.41</v>
      </c>
      <c r="I260" s="30" t="n">
        <v>8796573</v>
      </c>
      <c r="J260" s="30" t="inlineStr">
        <is>
          <t>526650</t>
        </is>
      </c>
    </row>
    <row r="261">
      <c r="A261" s="30" t="inlineStr">
        <is>
          <t>LAURUSLABS</t>
        </is>
      </c>
      <c r="B261" s="30" t="inlineStr">
        <is>
          <t>Laurus Labs Limited</t>
        </is>
      </c>
      <c r="C261" s="30" t="inlineStr">
        <is>
          <t>healthcare</t>
        </is>
      </c>
      <c r="D261" s="30" t="inlineStr">
        <is>
          <t>pharmaceuticals - indian - bulk drugs &amp; formln</t>
        </is>
      </c>
      <c r="E261" s="30" t="inlineStr">
        <is>
          <t>largecap</t>
        </is>
      </c>
      <c r="F261" s="30" t="n">
        <v>100378.37</v>
      </c>
      <c r="G261" s="30" t="n">
        <v>1850</v>
      </c>
      <c r="H261" s="30" t="n">
        <v>-0.43</v>
      </c>
      <c r="I261" s="30" t="n">
        <v>1088545</v>
      </c>
      <c r="J261" s="30" t="inlineStr">
        <is>
          <t>540222</t>
        </is>
      </c>
    </row>
    <row r="262">
      <c r="A262" s="30" t="inlineStr">
        <is>
          <t>LT</t>
        </is>
      </c>
      <c r="B262" s="30" t="inlineStr">
        <is>
          <t>Larsen &amp; Toubro Limited</t>
        </is>
      </c>
      <c r="C262" s="30" t="inlineStr">
        <is>
          <t>realty</t>
        </is>
      </c>
      <c r="D262" s="30" t="inlineStr">
        <is>
          <t>engineering - turnkey services</t>
        </is>
      </c>
      <c r="E262" s="30" t="inlineStr">
        <is>
          <t>largecap</t>
        </is>
      </c>
      <c r="F262" s="30" t="n">
        <v>555436.9</v>
      </c>
      <c r="G262" s="30" t="n">
        <v>4020</v>
      </c>
      <c r="H262" s="30" t="n">
        <v>-0.43</v>
      </c>
      <c r="I262" s="30" t="n">
        <v>2226623</v>
      </c>
      <c r="J262" s="30" t="inlineStr">
        <is>
          <t>500510</t>
        </is>
      </c>
    </row>
    <row r="263">
      <c r="A263" s="30" t="inlineStr">
        <is>
          <t>MUFIN</t>
        </is>
      </c>
      <c r="B263" s="30" t="inlineStr">
        <is>
          <t>Mufin Green Finance Ltd</t>
        </is>
      </c>
      <c r="C263" s="30" t="inlineStr">
        <is>
          <t>financials</t>
        </is>
      </c>
      <c r="D263" s="30" t="inlineStr">
        <is>
          <t>finance &amp; investments</t>
        </is>
      </c>
      <c r="E263" s="30" t="inlineStr">
        <is>
          <t>smallcap</t>
        </is>
      </c>
      <c r="F263" s="30" t="n">
        <v>2694.61</v>
      </c>
      <c r="G263" s="30" t="n">
        <v>135.4</v>
      </c>
      <c r="H263" s="30" t="n">
        <v>-0.43</v>
      </c>
      <c r="I263" s="30" t="n">
        <v>2414696</v>
      </c>
      <c r="J263" s="30" t="inlineStr">
        <is>
          <t>542774</t>
        </is>
      </c>
    </row>
    <row r="264">
      <c r="A264" s="30" t="inlineStr">
        <is>
          <t>GRASIM</t>
        </is>
      </c>
      <c r="B264" s="30" t="inlineStr">
        <is>
          <t>Grasim Industries Limited</t>
        </is>
      </c>
      <c r="C264" s="30" t="inlineStr">
        <is>
          <t>textiles</t>
        </is>
      </c>
      <c r="D264" s="30" t="inlineStr">
        <is>
          <t>textiles - manmade</t>
        </is>
      </c>
      <c r="E264" s="30" t="inlineStr">
        <is>
          <t>largecap</t>
        </is>
      </c>
      <c r="F264" s="30" t="n">
        <v>226102.48</v>
      </c>
      <c r="G264" s="30" t="n">
        <v>3307.8</v>
      </c>
      <c r="H264" s="30" t="n">
        <v>-0.43</v>
      </c>
      <c r="I264" s="30" t="n">
        <v>2309486</v>
      </c>
      <c r="J264" s="30" t="inlineStr">
        <is>
          <t>500300</t>
        </is>
      </c>
    </row>
    <row r="265">
      <c r="A265" s="30" t="inlineStr">
        <is>
          <t>JKPAPER</t>
        </is>
      </c>
      <c r="B265" s="30" t="inlineStr">
        <is>
          <t>Jk Paper Limited</t>
        </is>
      </c>
      <c r="C265" s="30" t="inlineStr">
        <is>
          <t>building materials</t>
        </is>
      </c>
      <c r="D265" s="30" t="inlineStr">
        <is>
          <t>paper</t>
        </is>
      </c>
      <c r="E265" s="30" t="inlineStr">
        <is>
          <t>midcap</t>
        </is>
      </c>
      <c r="F265" s="30" t="n">
        <v>7083.22</v>
      </c>
      <c r="G265" s="30" t="n">
        <v>388.9</v>
      </c>
      <c r="H265" s="30" t="n">
        <v>-0.45</v>
      </c>
      <c r="I265" s="30" t="n">
        <v>376041</v>
      </c>
      <c r="J265" s="30" t="inlineStr">
        <is>
          <t>532162</t>
        </is>
      </c>
    </row>
    <row r="266">
      <c r="A266" s="30" t="inlineStr">
        <is>
          <t>NETWEB</t>
        </is>
      </c>
      <c r="B266" s="30" t="inlineStr">
        <is>
          <t>Netweb Technologies India Ltd</t>
        </is>
      </c>
      <c r="C266" s="30" t="inlineStr">
        <is>
          <t>i.t</t>
        </is>
      </c>
      <c r="D266" s="30" t="inlineStr">
        <is>
          <t>computers - hardware</t>
        </is>
      </c>
      <c r="E266" s="30" t="inlineStr">
        <is>
          <t>largecap</t>
        </is>
      </c>
      <c r="F266" s="30" t="n">
        <v>27672.04</v>
      </c>
      <c r="G266" s="30" t="n">
        <v>4837.4</v>
      </c>
      <c r="H266" s="30" t="n">
        <v>-0.46</v>
      </c>
      <c r="I266" s="30" t="n">
        <v>613049</v>
      </c>
      <c r="J266" s="30" t="inlineStr">
        <is>
          <t>543945</t>
        </is>
      </c>
    </row>
    <row r="267">
      <c r="A267" s="30" t="inlineStr">
        <is>
          <t>DBOL</t>
        </is>
      </c>
      <c r="B267" s="30" t="inlineStr">
        <is>
          <t>Dhampur Bio Organics Ltd</t>
        </is>
      </c>
      <c r="C267" s="30" t="inlineStr">
        <is>
          <t>fmcg</t>
        </is>
      </c>
      <c r="D267" s="30" t="inlineStr">
        <is>
          <t>sugar</t>
        </is>
      </c>
      <c r="E267" s="30" t="inlineStr">
        <is>
          <t>smallcap</t>
        </is>
      </c>
      <c r="F267" s="30" t="n">
        <v>761.0700000000001</v>
      </c>
      <c r="G267" s="30" t="n">
        <v>114.11</v>
      </c>
      <c r="H267" s="30" t="n">
        <v>-0.46</v>
      </c>
      <c r="I267" s="30" t="n">
        <v>36778</v>
      </c>
      <c r="J267" s="30" t="inlineStr">
        <is>
          <t>543593</t>
        </is>
      </c>
    </row>
    <row r="268">
      <c r="A268" s="30" t="inlineStr">
        <is>
          <t>ASKAUTOLTD</t>
        </is>
      </c>
      <c r="B268" s="30" t="inlineStr">
        <is>
          <t>ASK Automotive Ltd</t>
        </is>
      </c>
      <c r="C268" s="30" t="inlineStr">
        <is>
          <t>auto</t>
        </is>
      </c>
      <c r="D268" s="30" t="inlineStr">
        <is>
          <t>auto ancillaries</t>
        </is>
      </c>
      <c r="E268" s="30" t="inlineStr">
        <is>
          <t>midcap</t>
        </is>
      </c>
      <c r="F268" s="30" t="n">
        <v>12898.05</v>
      </c>
      <c r="G268" s="30" t="n">
        <v>651.2</v>
      </c>
      <c r="H268" s="30" t="n">
        <v>-0.47</v>
      </c>
      <c r="I268" s="30" t="n">
        <v>185247</v>
      </c>
      <c r="J268" s="30" t="inlineStr">
        <is>
          <t>544022</t>
        </is>
      </c>
    </row>
    <row r="269">
      <c r="A269" s="30" t="inlineStr">
        <is>
          <t>3IINFOLTD</t>
        </is>
      </c>
      <c r="B269" s="30" t="inlineStr">
        <is>
          <t>3i Infotech Ltd</t>
        </is>
      </c>
      <c r="C269" s="30" t="inlineStr">
        <is>
          <t>i.t</t>
        </is>
      </c>
      <c r="D269" s="30" t="inlineStr">
        <is>
          <t>computers - software - medium / small</t>
        </is>
      </c>
      <c r="E269" s="30" t="inlineStr">
        <is>
          <t>smallcap</t>
        </is>
      </c>
      <c r="F269" s="30" t="n">
        <v>572.4299999999999</v>
      </c>
      <c r="G269" s="30" t="n">
        <v>27.47</v>
      </c>
      <c r="H269" s="30" t="n">
        <v>-0.47</v>
      </c>
      <c r="I269" s="30" t="n">
        <v>960631</v>
      </c>
      <c r="J269" s="30" t="inlineStr">
        <is>
          <t>532628</t>
        </is>
      </c>
    </row>
    <row r="270">
      <c r="A270" s="30" t="inlineStr">
        <is>
          <t>ORIENTELEC</t>
        </is>
      </c>
      <c r="B270" s="30" t="inlineStr">
        <is>
          <t>Orient Electric Ltd</t>
        </is>
      </c>
      <c r="C270" s="30" t="inlineStr">
        <is>
          <t>consumer discretionary</t>
        </is>
      </c>
      <c r="D270" s="30" t="inlineStr">
        <is>
          <t>domestic appliances</t>
        </is>
      </c>
      <c r="E270" s="30" t="inlineStr">
        <is>
          <t>smallcap</t>
        </is>
      </c>
      <c r="F270" s="30" t="n">
        <v>4068.46</v>
      </c>
      <c r="G270" s="30" t="n">
        <v>189.79</v>
      </c>
      <c r="H270" s="30" t="n">
        <v>-0.47</v>
      </c>
      <c r="I270" s="30" t="n">
        <v>236890</v>
      </c>
      <c r="J270" s="30" t="inlineStr">
        <is>
          <t>541301</t>
        </is>
      </c>
    </row>
    <row r="271">
      <c r="A271" s="30" t="inlineStr">
        <is>
          <t>ENTERO</t>
        </is>
      </c>
      <c r="B271" s="30" t="inlineStr">
        <is>
          <t>Entero Healthcare Solutions Ltd</t>
        </is>
      </c>
      <c r="C271" s="30" t="inlineStr">
        <is>
          <t>healthcare</t>
        </is>
      </c>
      <c r="D271" s="30" t="inlineStr">
        <is>
          <t>trading</t>
        </is>
      </c>
      <c r="E271" s="30" t="inlineStr">
        <is>
          <t>midcap</t>
        </is>
      </c>
      <c r="F271" s="30" t="n">
        <v>6211.61</v>
      </c>
      <c r="G271" s="30" t="n">
        <v>1420.3</v>
      </c>
      <c r="H271" s="30" t="n">
        <v>-0.48</v>
      </c>
      <c r="I271" s="30" t="n">
        <v>234703</v>
      </c>
      <c r="J271" s="30" t="inlineStr">
        <is>
          <t>544122</t>
        </is>
      </c>
    </row>
    <row r="272">
      <c r="A272" s="30" t="inlineStr">
        <is>
          <t>VSSL</t>
        </is>
      </c>
      <c r="B272" s="30" t="inlineStr">
        <is>
          <t>Vardhman Special Steels Limited</t>
        </is>
      </c>
      <c r="C272" s="30" t="inlineStr">
        <is>
          <t>metals &amp; mining</t>
        </is>
      </c>
      <c r="D272" s="30" t="inlineStr">
        <is>
          <t>steel - medium / small</t>
        </is>
      </c>
      <c r="E272" s="30" t="inlineStr">
        <is>
          <t>smallcap</t>
        </is>
      </c>
      <c r="F272" s="30" t="n">
        <v>3216.73</v>
      </c>
      <c r="G272" s="30" t="n">
        <v>331.1</v>
      </c>
      <c r="H272" s="30" t="n">
        <v>-0.48</v>
      </c>
      <c r="I272" s="30" t="n">
        <v>123427</v>
      </c>
      <c r="J272" s="30" t="inlineStr">
        <is>
          <t>534392</t>
        </is>
      </c>
    </row>
    <row r="273">
      <c r="A273" s="30" t="inlineStr">
        <is>
          <t>NILKAMAL</t>
        </is>
      </c>
      <c r="B273" s="30" t="inlineStr">
        <is>
          <t>Nilkamal Limited</t>
        </is>
      </c>
      <c r="C273" s="30" t="inlineStr">
        <is>
          <t>plastic products</t>
        </is>
      </c>
      <c r="D273" s="30" t="inlineStr">
        <is>
          <t>plastics products</t>
        </is>
      </c>
      <c r="E273" s="30" t="inlineStr">
        <is>
          <t>smallcap</t>
        </is>
      </c>
      <c r="F273" s="30" t="n">
        <v>2788.42</v>
      </c>
      <c r="G273" s="30" t="n">
        <v>1859.3</v>
      </c>
      <c r="H273" s="30" t="n">
        <v>-0.5</v>
      </c>
      <c r="I273" s="30" t="n">
        <v>56775</v>
      </c>
      <c r="J273" s="30" t="inlineStr">
        <is>
          <t>523385</t>
        </is>
      </c>
    </row>
    <row r="274">
      <c r="A274" s="30" t="inlineStr">
        <is>
          <t>3MINDIA</t>
        </is>
      </c>
      <c r="B274" s="30" t="inlineStr">
        <is>
          <t>3m India Limited</t>
        </is>
      </c>
      <c r="C274" s="30" t="inlineStr">
        <is>
          <t>miscellaneous</t>
        </is>
      </c>
      <c r="D274" s="30" t="inlineStr">
        <is>
          <t>diversified - large</t>
        </is>
      </c>
      <c r="E274" s="30" t="inlineStr">
        <is>
          <t>largecap</t>
        </is>
      </c>
      <c r="F274" s="30" t="n">
        <v>40683.8</v>
      </c>
      <c r="G274" s="30" t="n">
        <v>35935</v>
      </c>
      <c r="H274" s="30" t="n">
        <v>-0.5</v>
      </c>
      <c r="I274" s="30" t="n">
        <v>2637</v>
      </c>
      <c r="J274" s="30" t="inlineStr">
        <is>
          <t>523395</t>
        </is>
      </c>
    </row>
    <row r="275">
      <c r="A275" s="30" t="inlineStr">
        <is>
          <t>LUMAXIND</t>
        </is>
      </c>
      <c r="B275" s="30" t="inlineStr">
        <is>
          <t>Lumax Industries Limited</t>
        </is>
      </c>
      <c r="C275" s="30" t="inlineStr">
        <is>
          <t>auto</t>
        </is>
      </c>
      <c r="D275" s="30" t="inlineStr">
        <is>
          <t>auto ancillaries</t>
        </is>
      </c>
      <c r="E275" s="30" t="inlineStr">
        <is>
          <t>midcap</t>
        </is>
      </c>
      <c r="F275" s="30" t="n">
        <v>5605.37</v>
      </c>
      <c r="G275" s="30" t="n">
        <v>5966</v>
      </c>
      <c r="H275" s="30" t="n">
        <v>-0.51</v>
      </c>
      <c r="I275" s="30" t="n">
        <v>39065</v>
      </c>
      <c r="J275" s="30" t="inlineStr">
        <is>
          <t>517206</t>
        </is>
      </c>
    </row>
    <row r="276">
      <c r="A276" s="30" t="inlineStr">
        <is>
          <t>TVSMOTOR</t>
        </is>
      </c>
      <c r="B276" s="30" t="inlineStr">
        <is>
          <t>Tvs Motor Company Limited</t>
        </is>
      </c>
      <c r="C276" s="30" t="inlineStr">
        <is>
          <t>auto</t>
        </is>
      </c>
      <c r="D276" s="30" t="inlineStr">
        <is>
          <t>automobiles - motorcycles / mopeds</t>
        </is>
      </c>
      <c r="E276" s="30" t="inlineStr">
        <is>
          <t>largecap</t>
        </is>
      </c>
      <c r="F276" s="30" t="n">
        <v>209038.33</v>
      </c>
      <c r="G276" s="30" t="n">
        <v>4375</v>
      </c>
      <c r="H276" s="30" t="n">
        <v>-0.57</v>
      </c>
      <c r="I276" s="30" t="n">
        <v>911635</v>
      </c>
      <c r="J276" s="30" t="inlineStr">
        <is>
          <t>532343</t>
        </is>
      </c>
    </row>
    <row r="277">
      <c r="A277" s="30" t="inlineStr">
        <is>
          <t>TITAN</t>
        </is>
      </c>
      <c r="B277" s="30" t="inlineStr">
        <is>
          <t>Titan Company Limited</t>
        </is>
      </c>
      <c r="C277" s="30" t="inlineStr">
        <is>
          <t>consumer discretionary</t>
        </is>
      </c>
      <c r="D277" s="30" t="inlineStr">
        <is>
          <t>diamond cutting / jewellery</t>
        </is>
      </c>
      <c r="E277" s="30" t="inlineStr">
        <is>
          <t>largecap</t>
        </is>
      </c>
      <c r="F277" s="30" t="n">
        <v>455256.74</v>
      </c>
      <c r="G277" s="30" t="n">
        <v>5099</v>
      </c>
      <c r="H277" s="30" t="n">
        <v>-0.57</v>
      </c>
      <c r="I277" s="30" t="n">
        <v>1105157</v>
      </c>
      <c r="J277" s="30" t="inlineStr">
        <is>
          <t>500114</t>
        </is>
      </c>
    </row>
    <row r="278">
      <c r="A278" s="30" t="inlineStr">
        <is>
          <t>BAJAJFINSV</t>
        </is>
      </c>
      <c r="B278" s="30" t="inlineStr">
        <is>
          <t>Bajaj Finserv Limited</t>
        </is>
      </c>
      <c r="C278" s="30" t="inlineStr">
        <is>
          <t>financials</t>
        </is>
      </c>
      <c r="D278" s="30" t="inlineStr">
        <is>
          <t>finance &amp; investments</t>
        </is>
      </c>
      <c r="E278" s="30" t="inlineStr">
        <is>
          <t>largecap</t>
        </is>
      </c>
      <c r="F278" s="30" t="n">
        <v>325231.76</v>
      </c>
      <c r="G278" s="30" t="n">
        <v>2020.5</v>
      </c>
      <c r="H278" s="30" t="n">
        <v>-0.57</v>
      </c>
      <c r="I278" s="30" t="n">
        <v>571047</v>
      </c>
      <c r="J278" s="30" t="inlineStr">
        <is>
          <t>532978</t>
        </is>
      </c>
    </row>
    <row r="279">
      <c r="A279" s="30" t="inlineStr">
        <is>
          <t>RACLGEAR</t>
        </is>
      </c>
      <c r="B279" s="30" t="inlineStr">
        <is>
          <t>RACL Geartech Ltd</t>
        </is>
      </c>
      <c r="C279" s="30" t="inlineStr">
        <is>
          <t>auto</t>
        </is>
      </c>
      <c r="D279" s="30" t="inlineStr">
        <is>
          <t>auto ancillaries</t>
        </is>
      </c>
      <c r="E279" s="30" t="inlineStr">
        <is>
          <t>smallcap</t>
        </is>
      </c>
      <c r="F279" s="30" t="n">
        <v>1673.67</v>
      </c>
      <c r="G279" s="30" t="n">
        <v>1411.5</v>
      </c>
      <c r="H279" s="30" t="n">
        <v>-0.58</v>
      </c>
      <c r="I279" s="30" t="n">
        <v>20472</v>
      </c>
      <c r="J279" s="30" t="inlineStr">
        <is>
          <t>520073</t>
        </is>
      </c>
    </row>
    <row r="280">
      <c r="A280" s="30" t="inlineStr">
        <is>
          <t>HEG</t>
        </is>
      </c>
      <c r="B280" s="30" t="inlineStr">
        <is>
          <t>Heg Limited</t>
        </is>
      </c>
      <c r="C280" s="30" t="inlineStr">
        <is>
          <t>industrials</t>
        </is>
      </c>
      <c r="D280" s="30" t="inlineStr">
        <is>
          <t>electrodes - graphites</t>
        </is>
      </c>
      <c r="E280" s="30" t="inlineStr">
        <is>
          <t>midcap</t>
        </is>
      </c>
      <c r="F280" s="30" t="n">
        <v>13088.7</v>
      </c>
      <c r="G280" s="30" t="n">
        <v>674.35</v>
      </c>
      <c r="H280" s="30" t="n">
        <v>-0.58</v>
      </c>
      <c r="I280" s="30" t="n">
        <v>861879</v>
      </c>
      <c r="J280" s="30" t="inlineStr">
        <is>
          <t>509631</t>
        </is>
      </c>
    </row>
    <row r="281">
      <c r="A281" s="30" t="inlineStr">
        <is>
          <t>SOTL</t>
        </is>
      </c>
      <c r="B281" s="30" t="inlineStr">
        <is>
          <t>Savita Oil Technologies Limited</t>
        </is>
      </c>
      <c r="C281" s="30" t="inlineStr">
        <is>
          <t>energy</t>
        </is>
      </c>
      <c r="D281" s="30" t="inlineStr">
        <is>
          <t>petrochemicals</t>
        </is>
      </c>
      <c r="E281" s="30" t="inlineStr">
        <is>
          <t>smallcap</t>
        </is>
      </c>
      <c r="F281" s="30" t="n">
        <v>4799.57</v>
      </c>
      <c r="G281" s="30" t="n">
        <v>695.9</v>
      </c>
      <c r="H281" s="30" t="n">
        <v>-0.59</v>
      </c>
      <c r="I281" s="30" t="n">
        <v>308529</v>
      </c>
      <c r="J281" s="30" t="inlineStr">
        <is>
          <t>524667</t>
        </is>
      </c>
    </row>
    <row r="282">
      <c r="A282" s="30" t="inlineStr">
        <is>
          <t>360ONE</t>
        </is>
      </c>
      <c r="B282" s="30" t="inlineStr">
        <is>
          <t>360 ONE WAM Ltd</t>
        </is>
      </c>
      <c r="C282" s="30" t="inlineStr">
        <is>
          <t>financials</t>
        </is>
      </c>
      <c r="D282" s="30" t="inlineStr">
        <is>
          <t>finance &amp; investments</t>
        </is>
      </c>
      <c r="E282" s="30" t="inlineStr">
        <is>
          <t>largecap</t>
        </is>
      </c>
      <c r="F282" s="30" t="n">
        <v>47500.81</v>
      </c>
      <c r="G282" s="30" t="n">
        <v>1161</v>
      </c>
      <c r="H282" s="30" t="n">
        <v>-0.6</v>
      </c>
      <c r="I282" s="30" t="n">
        <v>997529</v>
      </c>
      <c r="J282" s="30" t="inlineStr">
        <is>
          <t>542772</t>
        </is>
      </c>
    </row>
    <row r="283">
      <c r="A283" s="30" t="inlineStr">
        <is>
          <t>STYLEBAAZA</t>
        </is>
      </c>
      <c r="B283" s="30" t="inlineStr">
        <is>
          <t>Baazar Style Retail Ltd</t>
        </is>
      </c>
      <c r="C283" s="30" t="inlineStr">
        <is>
          <t>consumer discretionary</t>
        </is>
      </c>
      <c r="D283" s="30" t="inlineStr">
        <is>
          <t>trading</t>
        </is>
      </c>
      <c r="E283" s="30" t="inlineStr">
        <is>
          <t>smallcap</t>
        </is>
      </c>
      <c r="F283" s="30" t="n">
        <v>2690.37</v>
      </c>
      <c r="G283" s="30" t="n">
        <v>351.3</v>
      </c>
      <c r="H283" s="30" t="n">
        <v>-0.61</v>
      </c>
      <c r="I283" s="30" t="n">
        <v>985489</v>
      </c>
      <c r="J283" s="30" t="inlineStr">
        <is>
          <t>544243</t>
        </is>
      </c>
    </row>
    <row r="284">
      <c r="A284" s="30" t="inlineStr">
        <is>
          <t>GRAPHITE</t>
        </is>
      </c>
      <c r="B284" s="30" t="inlineStr">
        <is>
          <t>Graphite India Limited</t>
        </is>
      </c>
      <c r="C284" s="30" t="inlineStr">
        <is>
          <t>industrials</t>
        </is>
      </c>
      <c r="D284" s="30" t="inlineStr">
        <is>
          <t>electrodes - graphites</t>
        </is>
      </c>
      <c r="E284" s="30" t="inlineStr">
        <is>
          <t>midcap</t>
        </is>
      </c>
      <c r="F284" s="30" t="n">
        <v>14279.03</v>
      </c>
      <c r="G284" s="30" t="n">
        <v>726.25</v>
      </c>
      <c r="H284" s="30" t="n">
        <v>-0.63</v>
      </c>
      <c r="I284" s="30" t="n">
        <v>672656</v>
      </c>
      <c r="J284" s="30" t="inlineStr">
        <is>
          <t>509488</t>
        </is>
      </c>
    </row>
    <row r="285">
      <c r="A285" s="30" t="inlineStr">
        <is>
          <t>POONAWALLA</t>
        </is>
      </c>
      <c r="B285" s="30" t="inlineStr">
        <is>
          <t>Poonawalla Fincorp Ltd</t>
        </is>
      </c>
      <c r="C285" s="30" t="inlineStr">
        <is>
          <t>financials</t>
        </is>
      </c>
      <c r="D285" s="30" t="inlineStr">
        <is>
          <t>finance &amp; investments</t>
        </is>
      </c>
      <c r="E285" s="30" t="inlineStr">
        <is>
          <t>largecap</t>
        </is>
      </c>
      <c r="F285" s="30" t="n">
        <v>42897.9</v>
      </c>
      <c r="G285" s="30" t="n">
        <v>484.1</v>
      </c>
      <c r="H285" s="30" t="n">
        <v>-0.64</v>
      </c>
      <c r="I285" s="30" t="n">
        <v>726456</v>
      </c>
      <c r="J285" s="30" t="inlineStr">
        <is>
          <t>524000</t>
        </is>
      </c>
    </row>
    <row r="286">
      <c r="A286" s="30" t="inlineStr">
        <is>
          <t>INNOVACAP</t>
        </is>
      </c>
      <c r="B286" s="30" t="inlineStr">
        <is>
          <t>Innova Captab Ltd</t>
        </is>
      </c>
      <c r="C286" s="30" t="inlineStr">
        <is>
          <t>healthcare</t>
        </is>
      </c>
      <c r="D286" s="30" t="inlineStr">
        <is>
          <t>pharmaceuticals - indian - bulk drugs &amp; formln</t>
        </is>
      </c>
      <c r="E286" s="30" t="inlineStr">
        <is>
          <t>midcap</t>
        </is>
      </c>
      <c r="F286" s="30" t="n">
        <v>5830.65</v>
      </c>
      <c r="G286" s="30" t="n">
        <v>1012.2</v>
      </c>
      <c r="H286" s="30" t="n">
        <v>-0.66</v>
      </c>
      <c r="I286" s="30" t="n">
        <v>579709</v>
      </c>
      <c r="J286" s="30" t="inlineStr">
        <is>
          <t>544067</t>
        </is>
      </c>
    </row>
    <row r="287">
      <c r="A287" s="30" t="inlineStr">
        <is>
          <t>STYLAMIND</t>
        </is>
      </c>
      <c r="B287" s="30" t="inlineStr">
        <is>
          <t>Stylam Industries Ltd</t>
        </is>
      </c>
      <c r="C287" s="30" t="inlineStr">
        <is>
          <t>building materials</t>
        </is>
      </c>
      <c r="D287" s="30" t="inlineStr">
        <is>
          <t>miscellaneous</t>
        </is>
      </c>
      <c r="E287" s="30" t="inlineStr">
        <is>
          <t>midcap</t>
        </is>
      </c>
      <c r="F287" s="30" t="n">
        <v>6048.25</v>
      </c>
      <c r="G287" s="30" t="n">
        <v>3544.7</v>
      </c>
      <c r="H287" s="30" t="n">
        <v>-0.67</v>
      </c>
      <c r="I287" s="30" t="n">
        <v>16356</v>
      </c>
      <c r="J287" s="30" t="inlineStr">
        <is>
          <t>526951</t>
        </is>
      </c>
    </row>
    <row r="288">
      <c r="A288" s="30" t="inlineStr">
        <is>
          <t>MENONBE</t>
        </is>
      </c>
      <c r="B288" s="30" t="inlineStr">
        <is>
          <t>Menon Bearings Limited</t>
        </is>
      </c>
      <c r="C288" s="30" t="inlineStr">
        <is>
          <t>auto</t>
        </is>
      </c>
      <c r="D288" s="30" t="inlineStr">
        <is>
          <t>auto ancillaries</t>
        </is>
      </c>
      <c r="E288" s="30" t="inlineStr">
        <is>
          <t>smallcap</t>
        </is>
      </c>
      <c r="F288" s="30" t="n">
        <v>1329.38</v>
      </c>
      <c r="G288" s="30" t="n">
        <v>235.63</v>
      </c>
      <c r="H288" s="30" t="n">
        <v>-0.67</v>
      </c>
      <c r="I288" s="30" t="n">
        <v>35816</v>
      </c>
      <c r="J288" s="30" t="inlineStr">
        <is>
          <t>523828</t>
        </is>
      </c>
    </row>
    <row r="289">
      <c r="A289" s="30" t="inlineStr">
        <is>
          <t>CENTUM</t>
        </is>
      </c>
      <c r="B289" s="30" t="inlineStr">
        <is>
          <t>Centum Electronics Limited</t>
        </is>
      </c>
      <c r="C289" s="30" t="inlineStr">
        <is>
          <t>aerospace &amp; defence</t>
        </is>
      </c>
      <c r="D289" s="30" t="inlineStr">
        <is>
          <t>electronics - components</t>
        </is>
      </c>
      <c r="E289" s="30" t="inlineStr">
        <is>
          <t>midcap</t>
        </is>
      </c>
      <c r="F289" s="30" t="n">
        <v>5639.72</v>
      </c>
      <c r="G289" s="30" t="n">
        <v>3794.7</v>
      </c>
      <c r="H289" s="30" t="n">
        <v>-0.6899999999999999</v>
      </c>
      <c r="I289" s="30" t="n">
        <v>41184</v>
      </c>
      <c r="J289" s="30" t="inlineStr">
        <is>
          <t>517544</t>
        </is>
      </c>
    </row>
    <row r="290">
      <c r="A290" s="30" t="inlineStr">
        <is>
          <t>SHAILY</t>
        </is>
      </c>
      <c r="B290" s="30" t="inlineStr">
        <is>
          <t>Shaily Engineering Plastics Ltd</t>
        </is>
      </c>
      <c r="C290" s="30" t="inlineStr">
        <is>
          <t>plastic products</t>
        </is>
      </c>
      <c r="D290" s="30" t="inlineStr">
        <is>
          <t>plastics products</t>
        </is>
      </c>
      <c r="E290" s="30" t="inlineStr">
        <is>
          <t>midcap</t>
        </is>
      </c>
      <c r="F290" s="30" t="n">
        <v>15904.7</v>
      </c>
      <c r="G290" s="30" t="n">
        <v>3434</v>
      </c>
      <c r="H290" s="30" t="n">
        <v>-0.6899999999999999</v>
      </c>
      <c r="I290" s="30" t="n">
        <v>151320</v>
      </c>
      <c r="J290" s="30" t="inlineStr">
        <is>
          <t>501423</t>
        </is>
      </c>
    </row>
    <row r="291">
      <c r="A291" s="30" t="inlineStr">
        <is>
          <t>SMLMAH</t>
        </is>
      </c>
      <c r="B291" s="30" t="inlineStr">
        <is>
          <t>SML Mahindra Ltd</t>
        </is>
      </c>
      <c r="C291" s="30" t="inlineStr">
        <is>
          <t>auto</t>
        </is>
      </c>
      <c r="D291" s="30" t="inlineStr">
        <is>
          <t>automobiles - lcvs / hcvs</t>
        </is>
      </c>
      <c r="E291" s="30" t="inlineStr">
        <is>
          <t>midcap</t>
        </is>
      </c>
      <c r="F291" s="30" t="n">
        <v>7537.56</v>
      </c>
      <c r="G291" s="30" t="n">
        <v>5172</v>
      </c>
      <c r="H291" s="30" t="n">
        <v>-0.7</v>
      </c>
      <c r="I291" s="30" t="n">
        <v>71634</v>
      </c>
      <c r="J291" s="30" t="inlineStr">
        <is>
          <t>505192</t>
        </is>
      </c>
    </row>
    <row r="292">
      <c r="A292" s="30" t="inlineStr">
        <is>
          <t>VARROC</t>
        </is>
      </c>
      <c r="B292" s="30" t="inlineStr">
        <is>
          <t>Varroc Engineering Ltd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midcap</t>
        </is>
      </c>
      <c r="F292" s="30" t="n">
        <v>12866.91</v>
      </c>
      <c r="G292" s="30" t="n">
        <v>836.15</v>
      </c>
      <c r="H292" s="30" t="n">
        <v>-0.71</v>
      </c>
      <c r="I292" s="30" t="n">
        <v>467591</v>
      </c>
      <c r="J292" s="30" t="inlineStr">
        <is>
          <t>541578</t>
        </is>
      </c>
    </row>
    <row r="293">
      <c r="A293" s="30" t="inlineStr">
        <is>
          <t>GULFOILLUB</t>
        </is>
      </c>
      <c r="B293" s="30" t="inlineStr">
        <is>
          <t>Gulf Oil Lubricants India Limited</t>
        </is>
      </c>
      <c r="C293" s="30" t="inlineStr">
        <is>
          <t>chemicals</t>
        </is>
      </c>
      <c r="D293" s="30" t="inlineStr">
        <is>
          <t>chemicals</t>
        </is>
      </c>
      <c r="E293" s="30" t="inlineStr">
        <is>
          <t>midcap</t>
        </is>
      </c>
      <c r="F293" s="30" t="n">
        <v>5891.51</v>
      </c>
      <c r="G293" s="30" t="n">
        <v>1181.2</v>
      </c>
      <c r="H293" s="30" t="n">
        <v>-0.72</v>
      </c>
      <c r="I293" s="30" t="n">
        <v>27354</v>
      </c>
      <c r="J293" s="30" t="inlineStr">
        <is>
          <t>538567</t>
        </is>
      </c>
    </row>
    <row r="294">
      <c r="A294" s="30" t="inlineStr">
        <is>
          <t>GUJALKALI</t>
        </is>
      </c>
      <c r="B294" s="30" t="inlineStr">
        <is>
          <t>Gujarat Alkalies And Chemicals Limited</t>
        </is>
      </c>
      <c r="C294" s="30" t="inlineStr">
        <is>
          <t>chemicals</t>
        </is>
      </c>
      <c r="D294" s="30" t="inlineStr">
        <is>
          <t>chemicals</t>
        </is>
      </c>
      <c r="E294" s="30" t="inlineStr">
        <is>
          <t>smallcap</t>
        </is>
      </c>
      <c r="F294" s="30" t="n">
        <v>4974.25</v>
      </c>
      <c r="G294" s="30" t="n">
        <v>672.45</v>
      </c>
      <c r="H294" s="30" t="n">
        <v>-0.72</v>
      </c>
      <c r="I294" s="30" t="n">
        <v>35804</v>
      </c>
      <c r="J294" s="30" t="inlineStr">
        <is>
          <t>530001</t>
        </is>
      </c>
    </row>
    <row r="295">
      <c r="A295" s="30" t="inlineStr">
        <is>
          <t>CEATLTD</t>
        </is>
      </c>
      <c r="B295" s="30" t="inlineStr">
        <is>
          <t>Ceat Limited</t>
        </is>
      </c>
      <c r="C295" s="30" t="inlineStr">
        <is>
          <t>auto</t>
        </is>
      </c>
      <c r="D295" s="30" t="inlineStr">
        <is>
          <t>tyres</t>
        </is>
      </c>
      <c r="E295" s="30" t="inlineStr">
        <is>
          <t>midcap</t>
        </is>
      </c>
      <c r="F295" s="30" t="n">
        <v>15169.59</v>
      </c>
      <c r="G295" s="30" t="n">
        <v>3723.1</v>
      </c>
      <c r="H295" s="30" t="n">
        <v>-0.72</v>
      </c>
      <c r="I295" s="30" t="n">
        <v>60641</v>
      </c>
      <c r="J295" s="30" t="inlineStr">
        <is>
          <t>500878</t>
        </is>
      </c>
    </row>
    <row r="296">
      <c r="A296" s="30" t="inlineStr">
        <is>
          <t>M&amp;MFIN</t>
        </is>
      </c>
      <c r="B296" s="30" t="inlineStr">
        <is>
          <t>Mahindra &amp; Mahindra Financial Services Limited</t>
        </is>
      </c>
      <c r="C296" s="30" t="inlineStr">
        <is>
          <t>financials</t>
        </is>
      </c>
      <c r="D296" s="30" t="inlineStr">
        <is>
          <t>finance &amp; investments</t>
        </is>
      </c>
      <c r="E296" s="30" t="inlineStr">
        <is>
          <t>largecap</t>
        </is>
      </c>
      <c r="F296" s="30" t="n">
        <v>55432.05</v>
      </c>
      <c r="G296" s="30" t="n">
        <v>395.85</v>
      </c>
      <c r="H296" s="30" t="n">
        <v>-0.74</v>
      </c>
      <c r="I296" s="30" t="n">
        <v>4492168</v>
      </c>
      <c r="J296" s="30" t="inlineStr">
        <is>
          <t>532720</t>
        </is>
      </c>
    </row>
    <row r="297">
      <c r="A297" s="30" t="inlineStr">
        <is>
          <t>IMFA</t>
        </is>
      </c>
      <c r="B297" s="30" t="inlineStr">
        <is>
          <t>Indian Metals &amp; Ferro Alloys Limited</t>
        </is>
      </c>
      <c r="C297" s="30" t="inlineStr">
        <is>
          <t>metals &amp; mining</t>
        </is>
      </c>
      <c r="D297" s="30" t="inlineStr">
        <is>
          <t>mining / minerals / metals</t>
        </is>
      </c>
      <c r="E297" s="30" t="inlineStr">
        <is>
          <t>midcap</t>
        </is>
      </c>
      <c r="F297" s="30" t="n">
        <v>7993.84</v>
      </c>
      <c r="G297" s="30" t="n">
        <v>1470.7</v>
      </c>
      <c r="H297" s="30" t="n">
        <v>-0.74</v>
      </c>
      <c r="I297" s="30" t="n">
        <v>131612</v>
      </c>
      <c r="J297" s="30" t="inlineStr">
        <is>
          <t>533047</t>
        </is>
      </c>
    </row>
    <row r="298">
      <c r="A298" s="30" t="inlineStr">
        <is>
          <t>MARINE</t>
        </is>
      </c>
      <c r="B298" s="30" t="inlineStr">
        <is>
          <t>Marine Electricals (India) Ltd</t>
        </is>
      </c>
      <c r="C298" s="30" t="inlineStr">
        <is>
          <t>industrials</t>
        </is>
      </c>
      <c r="D298" s="30" t="inlineStr">
        <is>
          <t>electric equipment</t>
        </is>
      </c>
      <c r="E298" s="30" t="inlineStr">
        <is>
          <t>smallcap</t>
        </is>
      </c>
      <c r="F298" s="30" t="n">
        <v>4893.86</v>
      </c>
      <c r="G298" s="30" t="n">
        <v>347</v>
      </c>
      <c r="H298" s="30" t="n">
        <v>-0.77</v>
      </c>
      <c r="I298" s="30" t="n">
        <v>870386</v>
      </c>
      <c r="J298" s="30" t="inlineStr">
        <is>
          <t>535119</t>
        </is>
      </c>
    </row>
    <row r="299">
      <c r="A299" s="30" t="inlineStr">
        <is>
          <t>APLAPOLLO</t>
        </is>
      </c>
      <c r="B299" s="30" t="inlineStr">
        <is>
          <t>Apl Apollo Tubes Limited</t>
        </is>
      </c>
      <c r="C299" s="30" t="inlineStr">
        <is>
          <t>industrials</t>
        </is>
      </c>
      <c r="D299" s="30" t="inlineStr">
        <is>
          <t>steel - large</t>
        </is>
      </c>
      <c r="E299" s="30" t="inlineStr">
        <is>
          <t>largecap</t>
        </is>
      </c>
      <c r="F299" s="30" t="n">
        <v>55884.31</v>
      </c>
      <c r="G299" s="30" t="n">
        <v>1997.1</v>
      </c>
      <c r="H299" s="30" t="n">
        <v>-0.78</v>
      </c>
      <c r="I299" s="30" t="n">
        <v>714770</v>
      </c>
      <c r="J299" s="30" t="inlineStr">
        <is>
          <t>533758</t>
        </is>
      </c>
    </row>
    <row r="300">
      <c r="A300" s="30" t="inlineStr">
        <is>
          <t>FCL</t>
        </is>
      </c>
      <c r="B300" s="30" t="inlineStr">
        <is>
          <t>Fineotex Chemical Limited</t>
        </is>
      </c>
      <c r="C300" s="30" t="inlineStr">
        <is>
          <t>chemicals</t>
        </is>
      </c>
      <c r="D300" s="30" t="inlineStr">
        <is>
          <t>chemicals</t>
        </is>
      </c>
      <c r="E300" s="30" t="inlineStr">
        <is>
          <t>midcap</t>
        </is>
      </c>
      <c r="F300" s="30" t="n">
        <v>5006.19</v>
      </c>
      <c r="G300" s="30" t="n">
        <v>42.65</v>
      </c>
      <c r="H300" s="30" t="n">
        <v>-0.79</v>
      </c>
      <c r="I300" s="30" t="n">
        <v>20028758</v>
      </c>
      <c r="J300" s="30" t="inlineStr">
        <is>
          <t>533333</t>
        </is>
      </c>
    </row>
    <row r="301">
      <c r="A301" s="30" t="inlineStr">
        <is>
          <t>KMEW</t>
        </is>
      </c>
      <c r="B301" s="30" t="inlineStr">
        <is>
          <t>Knowledge Marine &amp; Engineering Works Ltd</t>
        </is>
      </c>
      <c r="C301" s="30" t="inlineStr">
        <is>
          <t>transportation</t>
        </is>
      </c>
      <c r="D301" s="30" t="inlineStr">
        <is>
          <t>miscellaneous</t>
        </is>
      </c>
      <c r="E301" s="30" t="inlineStr">
        <is>
          <t>midcap</t>
        </is>
      </c>
      <c r="F301" s="30" t="n">
        <v>6407.05</v>
      </c>
      <c r="G301" s="30" t="n">
        <v>2599.8</v>
      </c>
      <c r="H301" s="30" t="n">
        <v>-0.8100000000000001</v>
      </c>
      <c r="I301" s="30" t="n">
        <v>41333</v>
      </c>
      <c r="J301" s="30" t="inlineStr">
        <is>
          <t>543273</t>
        </is>
      </c>
    </row>
    <row r="302">
      <c r="A302" s="30" t="inlineStr">
        <is>
          <t>RRKABEL</t>
        </is>
      </c>
      <c r="B302" s="30" t="inlineStr">
        <is>
          <t>R R Kabel Ltd</t>
        </is>
      </c>
      <c r="C302" s="30" t="inlineStr">
        <is>
          <t>industrials</t>
        </is>
      </c>
      <c r="D302" s="30" t="inlineStr">
        <is>
          <t>cables - power</t>
        </is>
      </c>
      <c r="E302" s="30" t="inlineStr">
        <is>
          <t>largecap</t>
        </is>
      </c>
      <c r="F302" s="30" t="n">
        <v>31814.32</v>
      </c>
      <c r="G302" s="30" t="n">
        <v>2789.6</v>
      </c>
      <c r="H302" s="30" t="n">
        <v>-0.82</v>
      </c>
      <c r="I302" s="30" t="n">
        <v>234123</v>
      </c>
      <c r="J302" s="30" t="inlineStr">
        <is>
          <t>543981</t>
        </is>
      </c>
    </row>
    <row r="303">
      <c r="A303" s="30" t="inlineStr">
        <is>
          <t>NAHARSPING</t>
        </is>
      </c>
      <c r="B303" s="30" t="inlineStr">
        <is>
          <t>Nahar Spinning Mills Limited</t>
        </is>
      </c>
      <c r="C303" s="30" t="inlineStr">
        <is>
          <t>textiles</t>
        </is>
      </c>
      <c r="D303" s="30" t="inlineStr">
        <is>
          <t>textiles - cotton/blended</t>
        </is>
      </c>
      <c r="E303" s="30" t="inlineStr">
        <is>
          <t>smallcap</t>
        </is>
      </c>
      <c r="F303" s="30" t="n">
        <v>1111.35</v>
      </c>
      <c r="G303" s="30" t="n">
        <v>305.55</v>
      </c>
      <c r="H303" s="30" t="n">
        <v>-0.84</v>
      </c>
      <c r="I303" s="30" t="n">
        <v>37219</v>
      </c>
      <c r="J303" s="30" t="inlineStr">
        <is>
          <t>500296</t>
        </is>
      </c>
    </row>
    <row r="304">
      <c r="A304" s="30" t="inlineStr">
        <is>
          <t>RAYMOND</t>
        </is>
      </c>
      <c r="B304" s="30" t="inlineStr">
        <is>
          <t>Raymond Limited</t>
        </is>
      </c>
      <c r="C304" s="30" t="inlineStr">
        <is>
          <t>transportation</t>
        </is>
      </c>
      <c r="D304" s="30" t="inlineStr">
        <is>
          <t>transport - airlines</t>
        </is>
      </c>
      <c r="E304" s="30" t="inlineStr">
        <is>
          <t>smallcap</t>
        </is>
      </c>
      <c r="F304" s="30" t="n">
        <v>4156.2</v>
      </c>
      <c r="G304" s="30" t="n">
        <v>618.95</v>
      </c>
      <c r="H304" s="30" t="n">
        <v>-0.86</v>
      </c>
      <c r="I304" s="30" t="n">
        <v>717601</v>
      </c>
      <c r="J304" s="30" t="inlineStr">
        <is>
          <t>500330</t>
        </is>
      </c>
    </row>
    <row r="305">
      <c r="A305" s="30" t="inlineStr">
        <is>
          <t>KRYSTAL</t>
        </is>
      </c>
      <c r="B305" s="30" t="inlineStr">
        <is>
          <t>Krystal Integrated Services Ltd</t>
        </is>
      </c>
      <c r="C305" s="30" t="inlineStr">
        <is>
          <t>miscellaneous</t>
        </is>
      </c>
      <c r="D305" s="30" t="inlineStr">
        <is>
          <t>miscellaneous</t>
        </is>
      </c>
      <c r="E305" s="30" t="inlineStr">
        <is>
          <t>smallcap</t>
        </is>
      </c>
      <c r="F305" s="30" t="n">
        <v>874.5700000000001</v>
      </c>
      <c r="G305" s="30" t="n">
        <v>620.5</v>
      </c>
      <c r="H305" s="30" t="n">
        <v>-0.87</v>
      </c>
      <c r="I305" s="30" t="n">
        <v>20395</v>
      </c>
      <c r="J305" s="30" t="inlineStr">
        <is>
          <t>544149</t>
        </is>
      </c>
    </row>
    <row r="306">
      <c r="A306" s="30" t="inlineStr">
        <is>
          <t>UNITDSPR</t>
        </is>
      </c>
      <c r="B306" s="30" t="inlineStr">
        <is>
          <t>United Spirits Ltd</t>
        </is>
      </c>
      <c r="C306" s="30" t="inlineStr">
        <is>
          <t>fmcg</t>
        </is>
      </c>
      <c r="D306" s="30" t="inlineStr">
        <is>
          <t>breweries &amp; distilleries</t>
        </is>
      </c>
      <c r="E306" s="30" t="inlineStr">
        <is>
          <t>largecap</t>
        </is>
      </c>
      <c r="F306" s="30" t="n">
        <v>112644.83</v>
      </c>
      <c r="G306" s="30" t="n">
        <v>1535</v>
      </c>
      <c r="H306" s="30" t="n">
        <v>-0.88</v>
      </c>
      <c r="I306" s="30" t="n">
        <v>450036</v>
      </c>
      <c r="J306" s="30" t="inlineStr">
        <is>
          <t>532432</t>
        </is>
      </c>
    </row>
    <row r="307">
      <c r="A307" s="30" t="inlineStr">
        <is>
          <t>PVP</t>
        </is>
      </c>
      <c r="B307" s="30" t="inlineStr">
        <is>
          <t>Pvp Ventures Limited</t>
        </is>
      </c>
      <c r="C307" s="30" t="inlineStr">
        <is>
          <t>realty</t>
        </is>
      </c>
      <c r="D307" s="30" t="inlineStr">
        <is>
          <t>construction</t>
        </is>
      </c>
      <c r="E307" s="30" t="inlineStr">
        <is>
          <t>smallcap</t>
        </is>
      </c>
      <c r="F307" s="30" t="n">
        <v>897.35</v>
      </c>
      <c r="G307" s="30" t="n">
        <v>34.15</v>
      </c>
      <c r="H307" s="30" t="n">
        <v>-0.9</v>
      </c>
      <c r="I307" s="30" t="n">
        <v>994773</v>
      </c>
      <c r="J307" s="30" t="inlineStr">
        <is>
          <t>517556</t>
        </is>
      </c>
    </row>
    <row r="308">
      <c r="A308" s="30" t="inlineStr">
        <is>
          <t>HESTERBIO</t>
        </is>
      </c>
      <c r="B308" s="30" t="inlineStr">
        <is>
          <t>Hester Biosciences Limited</t>
        </is>
      </c>
      <c r="C308" s="30" t="inlineStr">
        <is>
          <t>healthcare</t>
        </is>
      </c>
      <c r="D308" s="30" t="inlineStr">
        <is>
          <t>pharmaceuticals - indian - formulations</t>
        </is>
      </c>
      <c r="E308" s="30" t="inlineStr">
        <is>
          <t>smallcap</t>
        </is>
      </c>
      <c r="F308" s="30" t="n">
        <v>2116.34</v>
      </c>
      <c r="G308" s="30" t="n">
        <v>2465.3</v>
      </c>
      <c r="H308" s="30" t="n">
        <v>-0.9</v>
      </c>
      <c r="I308" s="30" t="n">
        <v>5159</v>
      </c>
      <c r="J308" s="30" t="inlineStr">
        <is>
          <t>524669</t>
        </is>
      </c>
    </row>
    <row r="309">
      <c r="A309" s="30" t="inlineStr">
        <is>
          <t>NAZARA</t>
        </is>
      </c>
      <c r="B309" s="30" t="inlineStr">
        <is>
          <t>Nazara Technologies Ltd</t>
        </is>
      </c>
      <c r="C309" s="30" t="inlineStr">
        <is>
          <t>i.t</t>
        </is>
      </c>
      <c r="D309" s="30" t="inlineStr">
        <is>
          <t>telecommunications - service provider</t>
        </is>
      </c>
      <c r="E309" s="30" t="inlineStr">
        <is>
          <t>midcap</t>
        </is>
      </c>
      <c r="F309" s="30" t="n">
        <v>13640.11</v>
      </c>
      <c r="G309" s="30" t="n">
        <v>352.2</v>
      </c>
      <c r="H309" s="30" t="n">
        <v>-0.9</v>
      </c>
      <c r="I309" s="30" t="n">
        <v>674988</v>
      </c>
      <c r="J309" s="30" t="inlineStr">
        <is>
          <t>543280</t>
        </is>
      </c>
    </row>
    <row r="310">
      <c r="A310" s="30" t="inlineStr">
        <is>
          <t>KALYANKJIL</t>
        </is>
      </c>
      <c r="B310" s="30" t="inlineStr">
        <is>
          <t>Kalyan Jewellers India Ltd</t>
        </is>
      </c>
      <c r="C310" s="30" t="inlineStr">
        <is>
          <t>consumer discretionary</t>
        </is>
      </c>
      <c r="D310" s="30" t="inlineStr">
        <is>
          <t>diamond cutting / jewellery</t>
        </is>
      </c>
      <c r="E310" s="30" t="inlineStr">
        <is>
          <t>largecap</t>
        </is>
      </c>
      <c r="F310" s="30" t="n">
        <v>62191.62</v>
      </c>
      <c r="G310" s="30" t="n">
        <v>596.7</v>
      </c>
      <c r="H310" s="30" t="n">
        <v>-0.91</v>
      </c>
      <c r="I310" s="30" t="n">
        <v>9251306</v>
      </c>
      <c r="J310" s="30" t="inlineStr">
        <is>
          <t>543278</t>
        </is>
      </c>
    </row>
    <row r="311">
      <c r="A311" s="30" t="inlineStr">
        <is>
          <t>DMCC</t>
        </is>
      </c>
      <c r="B311" s="30" t="inlineStr">
        <is>
          <t>DMCC Speciality Chemicals Ltd</t>
        </is>
      </c>
      <c r="C311" s="30" t="inlineStr">
        <is>
          <t>chemicals</t>
        </is>
      </c>
      <c r="D311" s="30" t="inlineStr">
        <is>
          <t>chemicals</t>
        </is>
      </c>
      <c r="E311" s="30" t="inlineStr">
        <is>
          <t>smallcap</t>
        </is>
      </c>
      <c r="F311" s="30" t="n">
        <v>753.5599999999999</v>
      </c>
      <c r="G311" s="30" t="n">
        <v>299.3</v>
      </c>
      <c r="H311" s="30" t="n">
        <v>-0.9399999999999999</v>
      </c>
      <c r="I311" s="30" t="n">
        <v>120683</v>
      </c>
      <c r="J311" s="30" t="inlineStr">
        <is>
          <t>506405</t>
        </is>
      </c>
    </row>
    <row r="312">
      <c r="A312" s="30" t="inlineStr">
        <is>
          <t>COFORGE</t>
        </is>
      </c>
      <c r="B312" s="30" t="inlineStr">
        <is>
          <t>Coforge (Niit Tech) Ltd</t>
        </is>
      </c>
      <c r="C312" s="30" t="inlineStr">
        <is>
          <t>i.t</t>
        </is>
      </c>
      <c r="D312" s="30" t="inlineStr">
        <is>
          <t>computers - software - large</t>
        </is>
      </c>
      <c r="E312" s="30" t="inlineStr">
        <is>
          <t>largecap</t>
        </is>
      </c>
      <c r="F312" s="30" t="n">
        <v>80525.46000000001</v>
      </c>
      <c r="G312" s="30" t="n">
        <v>1801.5</v>
      </c>
      <c r="H312" s="30" t="n">
        <v>-0.96</v>
      </c>
      <c r="I312" s="30" t="n">
        <v>1592301</v>
      </c>
      <c r="J312" s="30" t="inlineStr">
        <is>
          <t>532541</t>
        </is>
      </c>
    </row>
    <row r="313">
      <c r="A313" s="30" t="inlineStr">
        <is>
          <t>MMFL</t>
        </is>
      </c>
      <c r="B313" s="30" t="inlineStr">
        <is>
          <t>Mm Forgings Limited</t>
        </is>
      </c>
      <c r="C313" s="30" t="inlineStr">
        <is>
          <t>industrials</t>
        </is>
      </c>
      <c r="D313" s="30" t="inlineStr">
        <is>
          <t>castings &amp; forgings</t>
        </is>
      </c>
      <c r="E313" s="30" t="inlineStr">
        <is>
          <t>smallcap</t>
        </is>
      </c>
      <c r="F313" s="30" t="n">
        <v>3105.23</v>
      </c>
      <c r="G313" s="30" t="n">
        <v>636.85</v>
      </c>
      <c r="H313" s="30" t="n">
        <v>-0.98</v>
      </c>
      <c r="I313" s="30" t="n">
        <v>100275</v>
      </c>
      <c r="J313" s="30" t="inlineStr">
        <is>
          <t>522241</t>
        </is>
      </c>
    </row>
    <row r="314">
      <c r="A314" s="30" t="inlineStr">
        <is>
          <t>THYROCARE</t>
        </is>
      </c>
      <c r="B314" s="30" t="inlineStr">
        <is>
          <t>Thyrocare Technologies Limited</t>
        </is>
      </c>
      <c r="C314" s="30" t="inlineStr">
        <is>
          <t>healthcare</t>
        </is>
      </c>
      <c r="D314" s="30" t="inlineStr">
        <is>
          <t>healthcare</t>
        </is>
      </c>
      <c r="E314" s="30" t="inlineStr">
        <is>
          <t>midcap</t>
        </is>
      </c>
      <c r="F314" s="30" t="n">
        <v>10335.4</v>
      </c>
      <c r="G314" s="30" t="n">
        <v>642.95</v>
      </c>
      <c r="H314" s="30" t="n">
        <v>-0.99</v>
      </c>
      <c r="I314" s="30" t="n">
        <v>1159737</v>
      </c>
      <c r="J314" s="30" t="inlineStr">
        <is>
          <t>539871</t>
        </is>
      </c>
    </row>
    <row r="315">
      <c r="A315" s="30" t="inlineStr">
        <is>
          <t>TMB</t>
        </is>
      </c>
      <c r="B315" s="30" t="inlineStr">
        <is>
          <t>Tamilnad Mercantile Bank Ltd</t>
        </is>
      </c>
      <c r="C315" s="30" t="inlineStr">
        <is>
          <t>bank</t>
        </is>
      </c>
      <c r="D315" s="30" t="inlineStr">
        <is>
          <t>banks - private sector</t>
        </is>
      </c>
      <c r="E315" s="30" t="inlineStr">
        <is>
          <t>midcap</t>
        </is>
      </c>
      <c r="F315" s="30" t="n">
        <v>13729.07</v>
      </c>
      <c r="G315" s="30" t="n">
        <v>858.1</v>
      </c>
      <c r="H315" s="30" t="n">
        <v>-1.03</v>
      </c>
      <c r="I315" s="30" t="n">
        <v>140341</v>
      </c>
      <c r="J315" s="30" t="inlineStr">
        <is>
          <t>543596</t>
        </is>
      </c>
    </row>
    <row r="316">
      <c r="A316" s="30" t="inlineStr">
        <is>
          <t>MAGADSUGAR</t>
        </is>
      </c>
      <c r="B316" s="30" t="inlineStr">
        <is>
          <t>Magadh Sugar &amp; Energy Ltd</t>
        </is>
      </c>
      <c r="C316" s="30" t="inlineStr">
        <is>
          <t>fmcg</t>
        </is>
      </c>
      <c r="D316" s="30" t="inlineStr">
        <is>
          <t>sugar</t>
        </is>
      </c>
      <c r="E316" s="30" t="inlineStr">
        <is>
          <t>smallcap</t>
        </is>
      </c>
      <c r="F316" s="30" t="n">
        <v>740.87</v>
      </c>
      <c r="G316" s="30" t="n">
        <v>520.35</v>
      </c>
      <c r="H316" s="30" t="n">
        <v>-1.03</v>
      </c>
      <c r="I316" s="30" t="n">
        <v>11813</v>
      </c>
      <c r="J316" s="30" t="inlineStr">
        <is>
          <t>540650</t>
        </is>
      </c>
    </row>
    <row r="317">
      <c r="A317" s="30" t="inlineStr">
        <is>
          <t>AYMSYNTEX</t>
        </is>
      </c>
      <c r="B317" s="30" t="inlineStr">
        <is>
          <t>Aym Syntex Limited</t>
        </is>
      </c>
      <c r="C317" s="30" t="inlineStr">
        <is>
          <t>textiles</t>
        </is>
      </c>
      <c r="D317" s="30" t="inlineStr">
        <is>
          <t>textiles - processing</t>
        </is>
      </c>
      <c r="E317" s="30" t="inlineStr">
        <is>
          <t>smallcap</t>
        </is>
      </c>
      <c r="F317" s="30" t="n">
        <v>1502.71</v>
      </c>
      <c r="G317" s="30" t="n">
        <v>253.2</v>
      </c>
      <c r="H317" s="30" t="n">
        <v>-1.04</v>
      </c>
      <c r="I317" s="30" t="n">
        <v>98725</v>
      </c>
      <c r="J317" s="30" t="inlineStr">
        <is>
          <t>508933</t>
        </is>
      </c>
    </row>
    <row r="318">
      <c r="A318" s="30" t="inlineStr">
        <is>
          <t>RKFORGE</t>
        </is>
      </c>
      <c r="B318" s="30" t="inlineStr">
        <is>
          <t>Ramkrishna Forgings Limited</t>
        </is>
      </c>
      <c r="C318" s="30" t="inlineStr">
        <is>
          <t>industrials</t>
        </is>
      </c>
      <c r="D318" s="30" t="inlineStr">
        <is>
          <t>castings &amp; forgings</t>
        </is>
      </c>
      <c r="E318" s="30" t="inlineStr">
        <is>
          <t>midcap</t>
        </is>
      </c>
      <c r="F318" s="30" t="n">
        <v>13687.34</v>
      </c>
      <c r="G318" s="30" t="n">
        <v>743.3</v>
      </c>
      <c r="H318" s="30" t="n">
        <v>-1.07</v>
      </c>
      <c r="I318" s="30" t="n">
        <v>978319</v>
      </c>
      <c r="J318" s="30" t="inlineStr">
        <is>
          <t>532527</t>
        </is>
      </c>
    </row>
    <row r="319">
      <c r="A319" s="30" t="inlineStr">
        <is>
          <t>PRUDENT</t>
        </is>
      </c>
      <c r="B319" s="30" t="inlineStr">
        <is>
          <t>Prudent Corporate Advisory Services Ltd</t>
        </is>
      </c>
      <c r="C319" s="30" t="inlineStr">
        <is>
          <t>financials</t>
        </is>
      </c>
      <c r="D319" s="30" t="inlineStr">
        <is>
          <t>finance &amp; investments</t>
        </is>
      </c>
      <c r="E319" s="30" t="inlineStr">
        <is>
          <t>midcap</t>
        </is>
      </c>
      <c r="F319" s="30" t="n">
        <v>14084.07</v>
      </c>
      <c r="G319" s="30" t="n">
        <v>3364.2</v>
      </c>
      <c r="H319" s="30" t="n">
        <v>-1.09</v>
      </c>
      <c r="I319" s="30" t="n">
        <v>15772</v>
      </c>
      <c r="J319" s="30" t="inlineStr">
        <is>
          <t>543527</t>
        </is>
      </c>
    </row>
    <row r="320">
      <c r="A320" s="30" t="inlineStr">
        <is>
          <t>TECHM</t>
        </is>
      </c>
      <c r="B320" s="30" t="inlineStr">
        <is>
          <t>Tech Mahindra Limited</t>
        </is>
      </c>
      <c r="C320" s="30" t="inlineStr">
        <is>
          <t>i.t</t>
        </is>
      </c>
      <c r="D320" s="30" t="inlineStr">
        <is>
          <t>computers - software - large</t>
        </is>
      </c>
      <c r="E320" s="30" t="inlineStr">
        <is>
          <t>largecap</t>
        </is>
      </c>
      <c r="F320" s="30" t="n">
        <v>161023.52</v>
      </c>
      <c r="G320" s="30" t="n">
        <v>1625</v>
      </c>
      <c r="H320" s="30" t="n">
        <v>-1.1</v>
      </c>
      <c r="I320" s="30" t="n">
        <v>3746023</v>
      </c>
      <c r="J320" s="30" t="inlineStr">
        <is>
          <t>532755</t>
        </is>
      </c>
    </row>
    <row r="321">
      <c r="A321" s="30" t="inlineStr">
        <is>
          <t>ANDHRSUGAR</t>
        </is>
      </c>
      <c r="B321" s="30" t="inlineStr">
        <is>
          <t>The Andhra Sugars Limited</t>
        </is>
      </c>
      <c r="C321" s="30" t="inlineStr">
        <is>
          <t>chemicals</t>
        </is>
      </c>
      <c r="D321" s="30" t="inlineStr">
        <is>
          <t>chlor alkali / soda ash</t>
        </is>
      </c>
      <c r="E321" s="30" t="inlineStr">
        <is>
          <t>smallcap</t>
        </is>
      </c>
      <c r="F321" s="30" t="n">
        <v>1344.51</v>
      </c>
      <c r="G321" s="30" t="n">
        <v>98.09999999999999</v>
      </c>
      <c r="H321" s="30" t="n">
        <v>-1.11</v>
      </c>
      <c r="I321" s="30" t="n">
        <v>679444</v>
      </c>
      <c r="J321" s="30" t="inlineStr">
        <is>
          <t>590062</t>
        </is>
      </c>
    </row>
    <row r="322">
      <c r="A322" s="30" t="inlineStr">
        <is>
          <t>PERSISTENT</t>
        </is>
      </c>
      <c r="B322" s="30" t="inlineStr">
        <is>
          <t>Persistent Systems Limited</t>
        </is>
      </c>
      <c r="C322" s="30" t="inlineStr">
        <is>
          <t>i.t</t>
        </is>
      </c>
      <c r="D322" s="30" t="inlineStr">
        <is>
          <t>computers - software - large</t>
        </is>
      </c>
      <c r="E322" s="30" t="inlineStr">
        <is>
          <t>largecap</t>
        </is>
      </c>
      <c r="F322" s="30" t="n">
        <v>87330.39999999999</v>
      </c>
      <c r="G322" s="30" t="n">
        <v>5474</v>
      </c>
      <c r="H322" s="30" t="n">
        <v>-1.12</v>
      </c>
      <c r="I322" s="30" t="n">
        <v>347580</v>
      </c>
      <c r="J322" s="30" t="inlineStr">
        <is>
          <t>533179</t>
        </is>
      </c>
    </row>
    <row r="323">
      <c r="A323" s="30" t="inlineStr">
        <is>
          <t>NGLFINE</t>
        </is>
      </c>
      <c r="B323" s="30" t="inlineStr">
        <is>
          <t>NGL Fine Chem Ltd</t>
        </is>
      </c>
      <c r="C323" s="30" t="inlineStr">
        <is>
          <t>healthcare</t>
        </is>
      </c>
      <c r="D323" s="30" t="inlineStr">
        <is>
          <t>pharmaceuticals - indian - bulk drugs</t>
        </is>
      </c>
      <c r="E323" s="30" t="inlineStr">
        <is>
          <t>smallcap</t>
        </is>
      </c>
      <c r="F323" s="30" t="n">
        <v>2130</v>
      </c>
      <c r="G323" s="30" t="n">
        <v>3409</v>
      </c>
      <c r="H323" s="30" t="n">
        <v>-1.12</v>
      </c>
      <c r="I323" s="30" t="n">
        <v>11567</v>
      </c>
      <c r="J323" s="30" t="inlineStr">
        <is>
          <t>524774</t>
        </is>
      </c>
    </row>
    <row r="324">
      <c r="A324" s="30" t="inlineStr">
        <is>
          <t>SHRIRAMFIN</t>
        </is>
      </c>
      <c r="B324" s="30" t="inlineStr">
        <is>
          <t>Shriram Finance Ltd</t>
        </is>
      </c>
      <c r="C324" s="30" t="inlineStr">
        <is>
          <t>financials</t>
        </is>
      </c>
      <c r="D324" s="30" t="inlineStr">
        <is>
          <t>finance &amp; investments</t>
        </is>
      </c>
      <c r="E324" s="30" t="inlineStr">
        <is>
          <t>largecap</t>
        </is>
      </c>
      <c r="F324" s="30" t="n">
        <v>265855.88</v>
      </c>
      <c r="G324" s="30" t="n">
        <v>1117.2</v>
      </c>
      <c r="H324" s="30" t="n">
        <v>-1.12</v>
      </c>
      <c r="I324" s="30" t="n">
        <v>3582194</v>
      </c>
      <c r="J324" s="30" t="inlineStr">
        <is>
          <t>511218</t>
        </is>
      </c>
    </row>
    <row r="325">
      <c r="A325" s="30" t="inlineStr">
        <is>
          <t>GLAND</t>
        </is>
      </c>
      <c r="B325" s="30" t="inlineStr">
        <is>
          <t>Gland Pharma Ltd</t>
        </is>
      </c>
      <c r="C325" s="30" t="inlineStr">
        <is>
          <t>healthcare</t>
        </is>
      </c>
      <c r="D325" s="30" t="inlineStr">
        <is>
          <t>pharmaceuticals - indian - formulations</t>
        </is>
      </c>
      <c r="E325" s="30" t="inlineStr">
        <is>
          <t>largecap</t>
        </is>
      </c>
      <c r="F325" s="30" t="n">
        <v>48240.81</v>
      </c>
      <c r="G325" s="30" t="n">
        <v>2891.2</v>
      </c>
      <c r="H325" s="30" t="n">
        <v>-1.14</v>
      </c>
      <c r="I325" s="30" t="n">
        <v>732471</v>
      </c>
      <c r="J325" s="30" t="inlineStr">
        <is>
          <t>543245</t>
        </is>
      </c>
    </row>
    <row r="326">
      <c r="A326" s="30" t="inlineStr">
        <is>
          <t>MOLDTECH</t>
        </is>
      </c>
      <c r="B326" s="30" t="inlineStr">
        <is>
          <t>Mold-tek Technologies Limited</t>
        </is>
      </c>
      <c r="C326" s="30" t="inlineStr">
        <is>
          <t>realty</t>
        </is>
      </c>
      <c r="D326" s="30" t="inlineStr">
        <is>
          <t>engineering - turnkey services</t>
        </is>
      </c>
      <c r="E326" s="30" t="inlineStr">
        <is>
          <t>smallcap</t>
        </is>
      </c>
      <c r="F326" s="30" t="n">
        <v>526.41</v>
      </c>
      <c r="G326" s="30" t="n">
        <v>180.65</v>
      </c>
      <c r="H326" s="30" t="n">
        <v>-1.15</v>
      </c>
      <c r="I326" s="30" t="n">
        <v>138008</v>
      </c>
      <c r="J326" s="30" t="inlineStr">
        <is>
          <t>526263</t>
        </is>
      </c>
    </row>
    <row r="327">
      <c r="A327" s="30" t="inlineStr">
        <is>
          <t>SHALPAINTS</t>
        </is>
      </c>
      <c r="B327" s="30" t="inlineStr">
        <is>
          <t>Shalimar Paints Limited</t>
        </is>
      </c>
      <c r="C327" s="30" t="inlineStr">
        <is>
          <t>building materials</t>
        </is>
      </c>
      <c r="D327" s="30" t="inlineStr">
        <is>
          <t>paints / varnishes</t>
        </is>
      </c>
      <c r="E327" s="30" t="inlineStr">
        <is>
          <t>smallcap</t>
        </is>
      </c>
      <c r="F327" s="30" t="n">
        <v>702.09</v>
      </c>
      <c r="G327" s="30" t="n">
        <v>82.90000000000001</v>
      </c>
      <c r="H327" s="30" t="n">
        <v>-1.16</v>
      </c>
      <c r="I327" s="30" t="n">
        <v>111104</v>
      </c>
      <c r="J327" s="30" t="inlineStr">
        <is>
          <t>509874</t>
        </is>
      </c>
    </row>
    <row r="328">
      <c r="A328" s="30" t="inlineStr">
        <is>
          <t>BASF</t>
        </is>
      </c>
      <c r="B328" s="30" t="inlineStr">
        <is>
          <t>Basf India Limited</t>
        </is>
      </c>
      <c r="C328" s="30" t="inlineStr">
        <is>
          <t>chemicals</t>
        </is>
      </c>
      <c r="D328" s="30" t="inlineStr">
        <is>
          <t>chemicals</t>
        </is>
      </c>
      <c r="E328" s="30" t="inlineStr">
        <is>
          <t>midcap</t>
        </is>
      </c>
      <c r="F328" s="30" t="n">
        <v>17475.28</v>
      </c>
      <c r="G328" s="30" t="n">
        <v>3990.1</v>
      </c>
      <c r="H328" s="30" t="n">
        <v>-1.17</v>
      </c>
      <c r="I328" s="30" t="n">
        <v>26790</v>
      </c>
      <c r="J328" s="30" t="inlineStr">
        <is>
          <t>500042</t>
        </is>
      </c>
    </row>
    <row r="329">
      <c r="A329" s="30" t="inlineStr">
        <is>
          <t>SBCL</t>
        </is>
      </c>
      <c r="B329" s="30" t="inlineStr">
        <is>
          <t>Shivalik Bimetal Controls Ltd</t>
        </is>
      </c>
      <c r="C329" s="30" t="inlineStr">
        <is>
          <t>metals &amp; mining</t>
        </is>
      </c>
      <c r="D329" s="30" t="inlineStr">
        <is>
          <t>mining / minerals / metals</t>
        </is>
      </c>
      <c r="E329" s="30" t="inlineStr">
        <is>
          <t>midcap</t>
        </is>
      </c>
      <c r="F329" s="30" t="n">
        <v>5986.23</v>
      </c>
      <c r="G329" s="30" t="n">
        <v>1026.65</v>
      </c>
      <c r="H329" s="30" t="n">
        <v>-1.21</v>
      </c>
      <c r="I329" s="30" t="n">
        <v>469720</v>
      </c>
      <c r="J329" s="30" t="inlineStr">
        <is>
          <t>513097</t>
        </is>
      </c>
    </row>
    <row r="330">
      <c r="A330" s="30" t="inlineStr">
        <is>
          <t>DIAMONDYD</t>
        </is>
      </c>
      <c r="B330" s="30" t="inlineStr">
        <is>
          <t>Prataap Snacks Ltd</t>
        </is>
      </c>
      <c r="C330" s="30" t="inlineStr">
        <is>
          <t>fmcg</t>
        </is>
      </c>
      <c r="D330" s="30" t="inlineStr">
        <is>
          <t>food - processing - indian</t>
        </is>
      </c>
      <c r="E330" s="30" t="inlineStr">
        <is>
          <t>smallcap</t>
        </is>
      </c>
      <c r="F330" s="30" t="n">
        <v>2887.2</v>
      </c>
      <c r="G330" s="30" t="n">
        <v>1192.6</v>
      </c>
      <c r="H330" s="30" t="n">
        <v>-1.23</v>
      </c>
      <c r="I330" s="30" t="n">
        <v>27823</v>
      </c>
      <c r="J330" s="30" t="inlineStr">
        <is>
          <t>540724</t>
        </is>
      </c>
    </row>
    <row r="331">
      <c r="A331" s="30" t="inlineStr">
        <is>
          <t>AVADHSUGAR</t>
        </is>
      </c>
      <c r="B331" s="30" t="inlineStr">
        <is>
          <t>Avadh Sugar &amp; Energy</t>
        </is>
      </c>
      <c r="C331" s="30" t="inlineStr">
        <is>
          <t>fmcg</t>
        </is>
      </c>
      <c r="D331" s="30" t="inlineStr">
        <is>
          <t>sugar</t>
        </is>
      </c>
      <c r="E331" s="30" t="inlineStr">
        <is>
          <t>smallcap</t>
        </is>
      </c>
      <c r="F331" s="30" t="n">
        <v>1270.77</v>
      </c>
      <c r="G331" s="30" t="n">
        <v>626.95</v>
      </c>
      <c r="H331" s="30" t="n">
        <v>-1.24</v>
      </c>
      <c r="I331" s="30" t="n">
        <v>38188</v>
      </c>
      <c r="J331" s="30" t="inlineStr">
        <is>
          <t>540649</t>
        </is>
      </c>
    </row>
    <row r="332">
      <c r="A332" s="30" t="inlineStr">
        <is>
          <t>ETERNAL</t>
        </is>
      </c>
      <c r="B332" s="30" t="inlineStr">
        <is>
          <t>Eternal Ltd</t>
        </is>
      </c>
      <c r="C332" s="30" t="inlineStr">
        <is>
          <t>i.t</t>
        </is>
      </c>
      <c r="D332" s="30" t="inlineStr">
        <is>
          <t>miscellaneous</t>
        </is>
      </c>
      <c r="E332" s="30" t="inlineStr">
        <is>
          <t>largecap</t>
        </is>
      </c>
      <c r="F332" s="30" t="n">
        <v>306881.15</v>
      </c>
      <c r="G332" s="30" t="n">
        <v>314.05</v>
      </c>
      <c r="H332" s="30" t="n">
        <v>-1.24</v>
      </c>
      <c r="I332" s="30" t="n">
        <v>19976751</v>
      </c>
      <c r="J332" s="30" t="inlineStr">
        <is>
          <t>543320</t>
        </is>
      </c>
    </row>
    <row r="333">
      <c r="A333" s="30" t="inlineStr">
        <is>
          <t>AETHER</t>
        </is>
      </c>
      <c r="B333" s="30" t="inlineStr">
        <is>
          <t>Aether Industries Ltd</t>
        </is>
      </c>
      <c r="C333" s="30" t="inlineStr">
        <is>
          <t>chemicals</t>
        </is>
      </c>
      <c r="D333" s="30" t="inlineStr">
        <is>
          <t>chemicals</t>
        </is>
      </c>
      <c r="E333" s="30" t="inlineStr">
        <is>
          <t>largecap</t>
        </is>
      </c>
      <c r="F333" s="30" t="n">
        <v>21687.89</v>
      </c>
      <c r="G333" s="30" t="n">
        <v>1612.7</v>
      </c>
      <c r="H333" s="30" t="n">
        <v>-1.32</v>
      </c>
      <c r="I333" s="30" t="n">
        <v>106756</v>
      </c>
      <c r="J333" s="30" t="inlineStr">
        <is>
          <t>543534</t>
        </is>
      </c>
    </row>
    <row r="334">
      <c r="A334" s="30" t="inlineStr">
        <is>
          <t>ETHOSLTD</t>
        </is>
      </c>
      <c r="B334" s="30" t="inlineStr">
        <is>
          <t>Ethos Ltd</t>
        </is>
      </c>
      <c r="C334" s="30" t="inlineStr">
        <is>
          <t>consumer discretionary</t>
        </is>
      </c>
      <c r="D334" s="30" t="inlineStr">
        <is>
          <t>trading</t>
        </is>
      </c>
      <c r="E334" s="30" t="inlineStr">
        <is>
          <t>midcap</t>
        </is>
      </c>
      <c r="F334" s="30" t="n">
        <v>7570.55</v>
      </c>
      <c r="G334" s="30" t="n">
        <v>2790.3</v>
      </c>
      <c r="H334" s="30" t="n">
        <v>-1.38</v>
      </c>
      <c r="I334" s="30" t="n">
        <v>19720</v>
      </c>
      <c r="J334" s="30" t="inlineStr">
        <is>
          <t>543532</t>
        </is>
      </c>
    </row>
    <row r="335">
      <c r="A335" s="30" t="inlineStr">
        <is>
          <t>ORCHPHARMA</t>
        </is>
      </c>
      <c r="B335" s="30" t="inlineStr">
        <is>
          <t>Orchid Pharma Ltd</t>
        </is>
      </c>
      <c r="C335" s="30" t="inlineStr">
        <is>
          <t>healthcare</t>
        </is>
      </c>
      <c r="D335" s="30" t="inlineStr">
        <is>
          <t>pharmaceuticals - indian - bulk drugs &amp; formln</t>
        </is>
      </c>
      <c r="E335" s="30" t="inlineStr">
        <is>
          <t>midcap</t>
        </is>
      </c>
      <c r="F335" s="30" t="n">
        <v>5470.31</v>
      </c>
      <c r="G335" s="30" t="n">
        <v>1063.3</v>
      </c>
      <c r="H335" s="30" t="n">
        <v>-1.41</v>
      </c>
      <c r="I335" s="30" t="n">
        <v>49202</v>
      </c>
      <c r="J335" s="30" t="inlineStr">
        <is>
          <t>524372</t>
        </is>
      </c>
    </row>
    <row r="336">
      <c r="A336" s="30" t="inlineStr">
        <is>
          <t>PRIMESECU</t>
        </is>
      </c>
      <c r="B336" s="30" t="inlineStr">
        <is>
          <t>Prime Securities Limited</t>
        </is>
      </c>
      <c r="C336" s="30" t="inlineStr">
        <is>
          <t>financials</t>
        </is>
      </c>
      <c r="D336" s="30" t="inlineStr">
        <is>
          <t>finance &amp; investments</t>
        </is>
      </c>
      <c r="E336" s="30" t="inlineStr">
        <is>
          <t>smallcap</t>
        </is>
      </c>
      <c r="F336" s="30" t="n">
        <v>1002.77</v>
      </c>
      <c r="G336" s="30" t="n">
        <v>291.25</v>
      </c>
      <c r="H336" s="30" t="n">
        <v>-1.42</v>
      </c>
      <c r="I336" s="30" t="n">
        <v>109629</v>
      </c>
      <c r="J336" s="30" t="inlineStr">
        <is>
          <t>500337</t>
        </is>
      </c>
    </row>
    <row r="337">
      <c r="A337" s="30" t="inlineStr">
        <is>
          <t>VRLLOG</t>
        </is>
      </c>
      <c r="B337" s="30" t="inlineStr">
        <is>
          <t>Vrl Logistics Limited</t>
        </is>
      </c>
      <c r="C337" s="30" t="inlineStr">
        <is>
          <t>transportation</t>
        </is>
      </c>
      <c r="D337" s="30" t="inlineStr">
        <is>
          <t>miscellaneous</t>
        </is>
      </c>
      <c r="E337" s="30" t="inlineStr">
        <is>
          <t>midcap</t>
        </is>
      </c>
      <c r="F337" s="30" t="n">
        <v>5339.95</v>
      </c>
      <c r="G337" s="30" t="n">
        <v>300.9</v>
      </c>
      <c r="H337" s="30" t="n">
        <v>-1.43</v>
      </c>
      <c r="I337" s="30" t="n">
        <v>581608</v>
      </c>
      <c r="J337" s="30" t="inlineStr">
        <is>
          <t>539118</t>
        </is>
      </c>
    </row>
    <row r="338">
      <c r="A338" s="30" t="inlineStr">
        <is>
          <t>SYRMA</t>
        </is>
      </c>
      <c r="B338" s="30" t="inlineStr">
        <is>
          <t>Syrma SGS Technology Ltd</t>
        </is>
      </c>
      <c r="C338" s="30" t="inlineStr">
        <is>
          <t>consumer discretionary</t>
        </is>
      </c>
      <c r="D338" s="30" t="inlineStr">
        <is>
          <t>electronics - components</t>
        </is>
      </c>
      <c r="E338" s="30" t="inlineStr">
        <is>
          <t>largecap</t>
        </is>
      </c>
      <c r="F338" s="30" t="n">
        <v>28824.3</v>
      </c>
      <c r="G338" s="30" t="n">
        <v>1473.3</v>
      </c>
      <c r="H338" s="30" t="n">
        <v>-1.44</v>
      </c>
      <c r="I338" s="30" t="n">
        <v>749197</v>
      </c>
      <c r="J338" s="30" t="inlineStr">
        <is>
          <t>543573</t>
        </is>
      </c>
    </row>
    <row r="339">
      <c r="A339" s="30" t="inlineStr">
        <is>
          <t>GUFICBIO</t>
        </is>
      </c>
      <c r="B339" s="30" t="inlineStr">
        <is>
          <t>Gufic Biosciences Limited</t>
        </is>
      </c>
      <c r="C339" s="30" t="inlineStr">
        <is>
          <t>healthcare</t>
        </is>
      </c>
      <c r="D339" s="30" t="inlineStr">
        <is>
          <t>pharmaceuticals - indian - bulk drugs &amp; formln</t>
        </is>
      </c>
      <c r="E339" s="30" t="inlineStr">
        <is>
          <t>smallcap</t>
        </is>
      </c>
      <c r="F339" s="30" t="n">
        <v>4323.18</v>
      </c>
      <c r="G339" s="30" t="n">
        <v>424.9</v>
      </c>
      <c r="H339" s="30" t="n">
        <v>-1.44</v>
      </c>
      <c r="I339" s="30" t="n">
        <v>112334</v>
      </c>
      <c r="J339" s="30" t="inlineStr">
        <is>
          <t>509079</t>
        </is>
      </c>
    </row>
    <row r="340">
      <c r="A340" s="30" t="inlineStr">
        <is>
          <t>AKUMS</t>
        </is>
      </c>
      <c r="B340" s="30" t="inlineStr">
        <is>
          <t>Akums Drugs &amp; Pharmaceuticals Ltd</t>
        </is>
      </c>
      <c r="C340" s="30" t="inlineStr">
        <is>
          <t>healthcare</t>
        </is>
      </c>
      <c r="D340" s="30" t="inlineStr">
        <is>
          <t>pharmaceuticals - indian - bulk drugs &amp; formln</t>
        </is>
      </c>
      <c r="E340" s="30" t="inlineStr">
        <is>
          <t>midcap</t>
        </is>
      </c>
      <c r="F340" s="30" t="n">
        <v>11976.9</v>
      </c>
      <c r="G340" s="30" t="n">
        <v>749.95</v>
      </c>
      <c r="H340" s="30" t="n">
        <v>-1.45</v>
      </c>
      <c r="I340" s="30" t="n">
        <v>359719</v>
      </c>
      <c r="J340" s="30" t="inlineStr">
        <is>
          <t>544222</t>
        </is>
      </c>
    </row>
    <row r="341">
      <c r="A341" s="30" t="inlineStr">
        <is>
          <t>VISAKAIND</t>
        </is>
      </c>
      <c r="B341" s="30" t="inlineStr">
        <is>
          <t>Visaka Industries Limited</t>
        </is>
      </c>
      <c r="C341" s="30" t="inlineStr">
        <is>
          <t>building materials</t>
        </is>
      </c>
      <c r="D341" s="30" t="inlineStr">
        <is>
          <t>cement products</t>
        </is>
      </c>
      <c r="E341" s="30" t="inlineStr">
        <is>
          <t>smallcap</t>
        </is>
      </c>
      <c r="F341" s="30" t="n">
        <v>865.86</v>
      </c>
      <c r="G341" s="30" t="n">
        <v>98.76000000000001</v>
      </c>
      <c r="H341" s="30" t="n">
        <v>-1.45</v>
      </c>
      <c r="I341" s="30" t="n">
        <v>498772</v>
      </c>
      <c r="J341" s="30" t="inlineStr">
        <is>
          <t>509055</t>
        </is>
      </c>
    </row>
    <row r="342">
      <c r="A342" s="30" t="inlineStr">
        <is>
          <t>SIRCA</t>
        </is>
      </c>
      <c r="B342" s="30" t="inlineStr">
        <is>
          <t>Sirca Paints India Ltd</t>
        </is>
      </c>
      <c r="C342" s="30" t="inlineStr">
        <is>
          <t>building materials</t>
        </is>
      </c>
      <c r="D342" s="30" t="inlineStr">
        <is>
          <t>paints / varnishes</t>
        </is>
      </c>
      <c r="E342" s="30" t="inlineStr">
        <is>
          <t>smallcap</t>
        </is>
      </c>
      <c r="F342" s="30" t="n">
        <v>2512.23</v>
      </c>
      <c r="G342" s="30" t="n">
        <v>435.9</v>
      </c>
      <c r="H342" s="30" t="n">
        <v>-1.46</v>
      </c>
      <c r="I342" s="30" t="n">
        <v>369452</v>
      </c>
      <c r="J342" s="30" t="inlineStr">
        <is>
          <t>535083</t>
        </is>
      </c>
    </row>
    <row r="343">
      <c r="A343" s="30" t="inlineStr">
        <is>
          <t>JINDALSAW</t>
        </is>
      </c>
      <c r="B343" s="30" t="inlineStr">
        <is>
          <t>Jindal Saw Limited</t>
        </is>
      </c>
      <c r="C343" s="30" t="inlineStr">
        <is>
          <t>industrials</t>
        </is>
      </c>
      <c r="D343" s="30" t="inlineStr">
        <is>
          <t>steel - large</t>
        </is>
      </c>
      <c r="E343" s="30" t="inlineStr">
        <is>
          <t>midcap</t>
        </is>
      </c>
      <c r="F343" s="30" t="n">
        <v>17493.75</v>
      </c>
      <c r="G343" s="30" t="n">
        <v>269.55</v>
      </c>
      <c r="H343" s="30" t="n">
        <v>-1.46</v>
      </c>
      <c r="I343" s="30" t="n">
        <v>898986</v>
      </c>
      <c r="J343" s="30" t="inlineStr">
        <is>
          <t>500378</t>
        </is>
      </c>
    </row>
    <row r="344">
      <c r="A344" s="30" t="inlineStr">
        <is>
          <t>MANCREDIT</t>
        </is>
      </c>
      <c r="B344" s="30" t="inlineStr">
        <is>
          <t>Mangal Credit &amp; Fincorp Ltd</t>
        </is>
      </c>
      <c r="C344" s="30" t="inlineStr">
        <is>
          <t>financials</t>
        </is>
      </c>
      <c r="D344" s="30" t="inlineStr">
        <is>
          <t>finance &amp; investments</t>
        </is>
      </c>
      <c r="E344" s="30" t="inlineStr">
        <is>
          <t>smallcap</t>
        </is>
      </c>
      <c r="F344" s="30" t="n">
        <v>521.62</v>
      </c>
      <c r="G344" s="30" t="n">
        <v>243.44</v>
      </c>
      <c r="H344" s="30" t="n">
        <v>-1.46</v>
      </c>
      <c r="I344" s="30" t="n">
        <v>41301</v>
      </c>
      <c r="J344" s="30" t="inlineStr">
        <is>
          <t>505850</t>
        </is>
      </c>
    </row>
    <row r="345">
      <c r="A345" s="30" t="inlineStr">
        <is>
          <t>SUPRAJIT</t>
        </is>
      </c>
      <c r="B345" s="30" t="inlineStr">
        <is>
          <t>Suprajit Engineering Limited</t>
        </is>
      </c>
      <c r="C345" s="30" t="inlineStr">
        <is>
          <t>auto</t>
        </is>
      </c>
      <c r="D345" s="30" t="inlineStr">
        <is>
          <t>auto ancillaries</t>
        </is>
      </c>
      <c r="E345" s="30" t="inlineStr">
        <is>
          <t>midcap</t>
        </is>
      </c>
      <c r="F345" s="30" t="n">
        <v>7287.22</v>
      </c>
      <c r="G345" s="30" t="n">
        <v>523.45</v>
      </c>
      <c r="H345" s="30" t="n">
        <v>-1.47</v>
      </c>
      <c r="I345" s="30" t="n">
        <v>74691</v>
      </c>
      <c r="J345" s="30" t="inlineStr">
        <is>
          <t>532509</t>
        </is>
      </c>
    </row>
    <row r="346">
      <c r="A346" s="30" t="inlineStr">
        <is>
          <t>THEJO</t>
        </is>
      </c>
      <c r="B346" s="30" t="inlineStr">
        <is>
          <t>Thejo Engineering Ltd</t>
        </is>
      </c>
      <c r="C346" s="30" t="inlineStr">
        <is>
          <t>industrials</t>
        </is>
      </c>
      <c r="D346" s="30" t="inlineStr">
        <is>
          <t>engineering</t>
        </is>
      </c>
      <c r="E346" s="30" t="inlineStr">
        <is>
          <t>smallcap</t>
        </is>
      </c>
      <c r="F346" s="30" t="n">
        <v>2337.09</v>
      </c>
      <c r="G346" s="30" t="n">
        <v>2122.8</v>
      </c>
      <c r="H346" s="30" t="n">
        <v>-1.47</v>
      </c>
      <c r="I346" s="30" t="n">
        <v>3576</v>
      </c>
      <c r="J346" s="30" t="inlineStr">
        <is>
          <t>500492</t>
        </is>
      </c>
    </row>
    <row r="347">
      <c r="A347" s="30" t="inlineStr">
        <is>
          <t>PLASTIBLEN</t>
        </is>
      </c>
      <c r="B347" s="30" t="inlineStr">
        <is>
          <t>Plastiblends India Limited</t>
        </is>
      </c>
      <c r="C347" s="30" t="inlineStr">
        <is>
          <t>chemicals</t>
        </is>
      </c>
      <c r="D347" s="30" t="inlineStr">
        <is>
          <t>chemicals</t>
        </is>
      </c>
      <c r="E347" s="30" t="inlineStr">
        <is>
          <t>smallcap</t>
        </is>
      </c>
      <c r="F347" s="30" t="n">
        <v>531.51</v>
      </c>
      <c r="G347" s="30" t="n">
        <v>201.48</v>
      </c>
      <c r="H347" s="30" t="n">
        <v>-1.48</v>
      </c>
      <c r="I347" s="30" t="n">
        <v>56867</v>
      </c>
      <c r="J347" s="30" t="inlineStr">
        <is>
          <t>523648</t>
        </is>
      </c>
    </row>
    <row r="348">
      <c r="A348" s="30" t="inlineStr">
        <is>
          <t>ANTHEM</t>
        </is>
      </c>
      <c r="B348" s="30" t="inlineStr">
        <is>
          <t>Anthem Biosciences Ltd</t>
        </is>
      </c>
      <c r="C348" s="30" t="inlineStr">
        <is>
          <t>healthcare</t>
        </is>
      </c>
      <c r="D348" s="30" t="inlineStr">
        <is>
          <t>pharmaceuticals - indian - bulk drugs &amp; formln</t>
        </is>
      </c>
      <c r="E348" s="30" t="inlineStr">
        <is>
          <t>largecap</t>
        </is>
      </c>
      <c r="F348" s="30" t="n">
        <v>50234.2</v>
      </c>
      <c r="G348" s="30" t="n">
        <v>878.4</v>
      </c>
      <c r="H348" s="30" t="n">
        <v>-1.49</v>
      </c>
      <c r="I348" s="30" t="n">
        <v>425829</v>
      </c>
      <c r="J348" s="30" t="inlineStr">
        <is>
          <t>544449</t>
        </is>
      </c>
    </row>
    <row r="349">
      <c r="A349" s="30" t="inlineStr">
        <is>
          <t>BIL</t>
        </is>
      </c>
      <c r="B349" s="30" t="inlineStr">
        <is>
          <t>Bhartiya International Limited</t>
        </is>
      </c>
      <c r="C349" s="30" t="inlineStr">
        <is>
          <t>consumer discretionary</t>
        </is>
      </c>
      <c r="D349" s="30" t="inlineStr">
        <is>
          <t>leather / leather products</t>
        </is>
      </c>
      <c r="E349" s="30" t="inlineStr">
        <is>
          <t>smallcap</t>
        </is>
      </c>
      <c r="F349" s="30" t="n">
        <v>1117.22</v>
      </c>
      <c r="G349" s="30" t="n">
        <v>820.6</v>
      </c>
      <c r="H349" s="30" t="n">
        <v>-1.5</v>
      </c>
      <c r="I349" s="30" t="n">
        <v>2415</v>
      </c>
      <c r="J349" s="30" t="inlineStr">
        <is>
          <t>526666</t>
        </is>
      </c>
    </row>
    <row r="350">
      <c r="A350" s="30" t="inlineStr">
        <is>
          <t>NAUKRI</t>
        </is>
      </c>
      <c r="B350" s="30" t="inlineStr">
        <is>
          <t>Info Edge (india) Limited</t>
        </is>
      </c>
      <c r="C350" s="30" t="inlineStr">
        <is>
          <t>i.t</t>
        </is>
      </c>
      <c r="D350" s="30" t="inlineStr">
        <is>
          <t>miscellaneous</t>
        </is>
      </c>
      <c r="E350" s="30" t="inlineStr">
        <is>
          <t>largecap</t>
        </is>
      </c>
      <c r="F350" s="30" t="n">
        <v>88185.2</v>
      </c>
      <c r="G350" s="30" t="n">
        <v>1339</v>
      </c>
      <c r="H350" s="30" t="n">
        <v>-1.54</v>
      </c>
      <c r="I350" s="30" t="n">
        <v>1787437</v>
      </c>
      <c r="J350" s="30" t="inlineStr">
        <is>
          <t>532777</t>
        </is>
      </c>
    </row>
    <row r="351">
      <c r="A351" s="30" t="inlineStr">
        <is>
          <t>SSWL</t>
        </is>
      </c>
      <c r="B351" s="30" t="inlineStr">
        <is>
          <t>Steel Strips Wheels Limited</t>
        </is>
      </c>
      <c r="C351" s="30" t="inlineStr">
        <is>
          <t>auto</t>
        </is>
      </c>
      <c r="D351" s="30" t="inlineStr">
        <is>
          <t>auto ancillaries</t>
        </is>
      </c>
      <c r="E351" s="30" t="inlineStr">
        <is>
          <t>smallcap</t>
        </is>
      </c>
      <c r="F351" s="30" t="n">
        <v>4988.91</v>
      </c>
      <c r="G351" s="30" t="n">
        <v>312.5</v>
      </c>
      <c r="H351" s="30" t="n">
        <v>-1.54</v>
      </c>
      <c r="I351" s="30" t="n">
        <v>369223</v>
      </c>
      <c r="J351" s="30" t="inlineStr">
        <is>
          <t>513262</t>
        </is>
      </c>
    </row>
    <row r="352">
      <c r="A352" s="30" t="inlineStr">
        <is>
          <t>RISHABH</t>
        </is>
      </c>
      <c r="B352" s="30" t="inlineStr">
        <is>
          <t>Rishabh Instruments Ltd</t>
        </is>
      </c>
      <c r="C352" s="30" t="inlineStr">
        <is>
          <t>industrials</t>
        </is>
      </c>
      <c r="D352" s="30" t="inlineStr">
        <is>
          <t>electric equipment</t>
        </is>
      </c>
      <c r="E352" s="30" t="inlineStr">
        <is>
          <t>smallcap</t>
        </is>
      </c>
      <c r="F352" s="30" t="n">
        <v>2616.7</v>
      </c>
      <c r="G352" s="30" t="n">
        <v>668.3</v>
      </c>
      <c r="H352" s="30" t="n">
        <v>-1.55</v>
      </c>
      <c r="I352" s="30" t="n">
        <v>343137</v>
      </c>
      <c r="J352" s="30" t="inlineStr">
        <is>
          <t>543977</t>
        </is>
      </c>
    </row>
    <row r="353">
      <c r="A353" s="30" t="inlineStr">
        <is>
          <t>LOKESHMACH</t>
        </is>
      </c>
      <c r="B353" s="30" t="inlineStr">
        <is>
          <t>Lokesh Machines Limited</t>
        </is>
      </c>
      <c r="C353" s="30" t="inlineStr">
        <is>
          <t>industrials</t>
        </is>
      </c>
      <c r="D353" s="30" t="inlineStr">
        <is>
          <t>engineering</t>
        </is>
      </c>
      <c r="E353" s="30" t="inlineStr">
        <is>
          <t>smallcap</t>
        </is>
      </c>
      <c r="F353" s="30" t="n">
        <v>771.61</v>
      </c>
      <c r="G353" s="30" t="n">
        <v>348.5</v>
      </c>
      <c r="H353" s="30" t="n">
        <v>-1.55</v>
      </c>
      <c r="I353" s="30" t="n">
        <v>13629</v>
      </c>
      <c r="J353" s="30" t="inlineStr">
        <is>
          <t>532740</t>
        </is>
      </c>
    </row>
    <row r="354">
      <c r="A354" s="30" t="inlineStr">
        <is>
          <t>VADILALIND</t>
        </is>
      </c>
      <c r="B354" s="30" t="inlineStr">
        <is>
          <t>Vadilal Industries Limited</t>
        </is>
      </c>
      <c r="C354" s="30" t="inlineStr">
        <is>
          <t>fmcg</t>
        </is>
      </c>
      <c r="D354" s="30" t="inlineStr">
        <is>
          <t>food - processing - indian</t>
        </is>
      </c>
      <c r="E354" s="30" t="inlineStr">
        <is>
          <t>midcap</t>
        </is>
      </c>
      <c r="F354" s="30" t="n">
        <v>5290.96</v>
      </c>
      <c r="G354" s="30" t="n">
        <v>7246.5</v>
      </c>
      <c r="H354" s="30" t="n">
        <v>-1.56</v>
      </c>
      <c r="I354" s="30" t="n">
        <v>14261</v>
      </c>
      <c r="J354" s="30" t="inlineStr">
        <is>
          <t>519156</t>
        </is>
      </c>
    </row>
    <row r="355">
      <c r="A355" s="30" t="inlineStr">
        <is>
          <t>MACPOWER</t>
        </is>
      </c>
      <c r="B355" s="30" t="inlineStr">
        <is>
          <t>Macpower CNC Machines Ltd</t>
        </is>
      </c>
      <c r="C355" s="30" t="inlineStr">
        <is>
          <t>industrials</t>
        </is>
      </c>
      <c r="D355" s="30" t="inlineStr">
        <is>
          <t>engineering</t>
        </is>
      </c>
      <c r="E355" s="30" t="inlineStr">
        <is>
          <t>smallcap</t>
        </is>
      </c>
      <c r="F355" s="30" t="n">
        <v>1755.03</v>
      </c>
      <c r="G355" s="30" t="n">
        <v>1726.3</v>
      </c>
      <c r="H355" s="30" t="n">
        <v>-1.6</v>
      </c>
      <c r="I355" s="30" t="n">
        <v>22812</v>
      </c>
      <c r="J355" s="30" t="inlineStr">
        <is>
          <t>535057</t>
        </is>
      </c>
    </row>
    <row r="356">
      <c r="A356" s="30" t="inlineStr">
        <is>
          <t>BEPL</t>
        </is>
      </c>
      <c r="B356" s="30" t="inlineStr">
        <is>
          <t>Bhansali Engineering Polymers Limited</t>
        </is>
      </c>
      <c r="C356" s="30" t="inlineStr">
        <is>
          <t>energy</t>
        </is>
      </c>
      <c r="D356" s="30" t="inlineStr">
        <is>
          <t>petrochemicals</t>
        </is>
      </c>
      <c r="E356" s="30" t="inlineStr">
        <is>
          <t>smallcap</t>
        </is>
      </c>
      <c r="F356" s="30" t="n">
        <v>3049.26</v>
      </c>
      <c r="G356" s="30" t="n">
        <v>120.54</v>
      </c>
      <c r="H356" s="30" t="n">
        <v>-1.62</v>
      </c>
      <c r="I356" s="30" t="n">
        <v>779985</v>
      </c>
      <c r="J356" s="30" t="inlineStr">
        <is>
          <t>500052</t>
        </is>
      </c>
    </row>
    <row r="357">
      <c r="A357" s="30" t="inlineStr">
        <is>
          <t>M&amp;M</t>
        </is>
      </c>
      <c r="B357" s="30" t="inlineStr">
        <is>
          <t>Mahindra &amp; Mahindra Limited</t>
        </is>
      </c>
      <c r="C357" s="30" t="inlineStr">
        <is>
          <t>auto</t>
        </is>
      </c>
      <c r="D357" s="30" t="inlineStr">
        <is>
          <t>automobiles - passenger cars</t>
        </is>
      </c>
      <c r="E357" s="30" t="inlineStr">
        <is>
          <t>largecap</t>
        </is>
      </c>
      <c r="F357" s="30" t="n">
        <v>430273.41</v>
      </c>
      <c r="G357" s="30" t="n">
        <v>3403.6</v>
      </c>
      <c r="H357" s="30" t="n">
        <v>-1.63</v>
      </c>
      <c r="I357" s="30" t="n">
        <v>1834082</v>
      </c>
      <c r="J357" s="30" t="inlineStr">
        <is>
          <t>500520</t>
        </is>
      </c>
    </row>
    <row r="358">
      <c r="A358" s="30" t="inlineStr">
        <is>
          <t>SEAMECLTD</t>
        </is>
      </c>
      <c r="B358" s="30" t="inlineStr">
        <is>
          <t>Seamec Limited</t>
        </is>
      </c>
      <c r="C358" s="30" t="inlineStr">
        <is>
          <t>miscellaneous</t>
        </is>
      </c>
      <c r="D358" s="30" t="inlineStr">
        <is>
          <t>miscellaneous</t>
        </is>
      </c>
      <c r="E358" s="30" t="inlineStr">
        <is>
          <t>smallcap</t>
        </is>
      </c>
      <c r="F358" s="30" t="n">
        <v>3933.76</v>
      </c>
      <c r="G358" s="30" t="n">
        <v>1521.8</v>
      </c>
      <c r="H358" s="30" t="n">
        <v>-1.64</v>
      </c>
      <c r="I358" s="30" t="n">
        <v>603244</v>
      </c>
      <c r="J358" s="30" t="inlineStr">
        <is>
          <t>526807</t>
        </is>
      </c>
    </row>
    <row r="359">
      <c r="A359" s="30" t="inlineStr">
        <is>
          <t>GABRIEL</t>
        </is>
      </c>
      <c r="B359" s="30" t="inlineStr">
        <is>
          <t>Gabriel India Limited</t>
        </is>
      </c>
      <c r="C359" s="30" t="inlineStr">
        <is>
          <t>auto</t>
        </is>
      </c>
      <c r="D359" s="30" t="inlineStr">
        <is>
          <t>auto ancillaries</t>
        </is>
      </c>
      <c r="E359" s="30" t="inlineStr">
        <is>
          <t>largecap</t>
        </is>
      </c>
      <c r="F359" s="30" t="n">
        <v>26609.32</v>
      </c>
      <c r="G359" s="30" t="n">
        <v>1476.8</v>
      </c>
      <c r="H359" s="30" t="n">
        <v>-1.64</v>
      </c>
      <c r="I359" s="30" t="n">
        <v>188740</v>
      </c>
      <c r="J359" s="30" t="inlineStr">
        <is>
          <t>505714</t>
        </is>
      </c>
    </row>
    <row r="360">
      <c r="A360" s="30" t="inlineStr">
        <is>
          <t>VMART</t>
        </is>
      </c>
      <c r="B360" s="30" t="inlineStr">
        <is>
          <t>V-mart Retail Limited</t>
        </is>
      </c>
      <c r="C360" s="30" t="inlineStr">
        <is>
          <t>consumer discretionary</t>
        </is>
      </c>
      <c r="D360" s="30" t="inlineStr">
        <is>
          <t>trading</t>
        </is>
      </c>
      <c r="E360" s="30" t="inlineStr">
        <is>
          <t>midcap</t>
        </is>
      </c>
      <c r="F360" s="30" t="n">
        <v>6480.78</v>
      </c>
      <c r="G360" s="30" t="n">
        <v>801.1</v>
      </c>
      <c r="H360" s="30" t="n">
        <v>-1.67</v>
      </c>
      <c r="I360" s="30" t="n">
        <v>98907</v>
      </c>
      <c r="J360" s="30" t="inlineStr">
        <is>
          <t>534976</t>
        </is>
      </c>
    </row>
    <row r="361">
      <c r="A361" s="30" t="inlineStr">
        <is>
          <t>CARBORUNIV</t>
        </is>
      </c>
      <c r="B361" s="30" t="inlineStr">
        <is>
          <t>Carborundum Universal Limited</t>
        </is>
      </c>
      <c r="C361" s="30" t="inlineStr">
        <is>
          <t>industrials</t>
        </is>
      </c>
      <c r="D361" s="30" t="inlineStr">
        <is>
          <t>abrasives and grinding wheels</t>
        </is>
      </c>
      <c r="E361" s="30" t="inlineStr">
        <is>
          <t>largecap</t>
        </is>
      </c>
      <c r="F361" s="30" t="n">
        <v>22360.13</v>
      </c>
      <c r="G361" s="30" t="n">
        <v>1154.2</v>
      </c>
      <c r="H361" s="30" t="n">
        <v>-1.67</v>
      </c>
      <c r="I361" s="30" t="n">
        <v>282309</v>
      </c>
      <c r="J361" s="30" t="inlineStr">
        <is>
          <t>513375</t>
        </is>
      </c>
    </row>
    <row r="362">
      <c r="A362" s="30" t="inlineStr">
        <is>
          <t>KKCL</t>
        </is>
      </c>
      <c r="B362" s="30" t="inlineStr">
        <is>
          <t>Kewal Kiran Clothing Limited</t>
        </is>
      </c>
      <c r="C362" s="30" t="inlineStr">
        <is>
          <t>consumer discretionary</t>
        </is>
      </c>
      <c r="D362" s="30" t="inlineStr">
        <is>
          <t>textiles - products</t>
        </is>
      </c>
      <c r="E362" s="30" t="inlineStr">
        <is>
          <t>smallcap</t>
        </is>
      </c>
      <c r="F362" s="30" t="n">
        <v>3282.16</v>
      </c>
      <c r="G362" s="30" t="n">
        <v>523.6</v>
      </c>
      <c r="H362" s="30" t="n">
        <v>-1.69</v>
      </c>
      <c r="I362" s="30" t="n">
        <v>16973</v>
      </c>
      <c r="J362" s="30" t="inlineStr">
        <is>
          <t>532732</t>
        </is>
      </c>
    </row>
    <row r="363">
      <c r="A363" s="30" t="inlineStr">
        <is>
          <t>NRL</t>
        </is>
      </c>
      <c r="B363" s="30" t="inlineStr">
        <is>
          <t>Nupur Recyclers Ltd</t>
        </is>
      </c>
      <c r="C363" s="30" t="inlineStr">
        <is>
          <t>services</t>
        </is>
      </c>
      <c r="D363" s="30" t="inlineStr">
        <is>
          <t>trading</t>
        </is>
      </c>
      <c r="E363" s="30" t="inlineStr">
        <is>
          <t>smallcap</t>
        </is>
      </c>
      <c r="F363" s="30" t="n">
        <v>810.3200000000001</v>
      </c>
      <c r="G363" s="30" t="n">
        <v>115.25</v>
      </c>
      <c r="H363" s="30" t="n">
        <v>-1.76</v>
      </c>
      <c r="I363" s="30" t="n">
        <v>23933</v>
      </c>
      <c r="J363" s="30" t="inlineStr">
        <is>
          <t>535413</t>
        </is>
      </c>
    </row>
    <row r="364">
      <c r="A364" s="30" t="inlineStr">
        <is>
          <t>SHILPAMED</t>
        </is>
      </c>
      <c r="B364" s="30" t="inlineStr">
        <is>
          <t>Shilpa Medicare Limited</t>
        </is>
      </c>
      <c r="C364" s="30" t="inlineStr">
        <is>
          <t>healthcare</t>
        </is>
      </c>
      <c r="D364" s="30" t="inlineStr">
        <is>
          <t>pharmaceuticals - indian - formulations</t>
        </is>
      </c>
      <c r="E364" s="30" t="inlineStr">
        <is>
          <t>midcap</t>
        </is>
      </c>
      <c r="F364" s="30" t="n">
        <v>16031.84</v>
      </c>
      <c r="G364" s="30" t="n">
        <v>805.2</v>
      </c>
      <c r="H364" s="30" t="n">
        <v>-1.77</v>
      </c>
      <c r="I364" s="30" t="n">
        <v>977909</v>
      </c>
      <c r="J364" s="30" t="inlineStr">
        <is>
          <t>530549</t>
        </is>
      </c>
    </row>
    <row r="365">
      <c r="A365" s="30" t="inlineStr">
        <is>
          <t>LUMAXTECH</t>
        </is>
      </c>
      <c r="B365" s="30" t="inlineStr">
        <is>
          <t>Lumax Auto Technologies Limited</t>
        </is>
      </c>
      <c r="C365" s="30" t="inlineStr">
        <is>
          <t>auto</t>
        </is>
      </c>
      <c r="D365" s="30" t="inlineStr">
        <is>
          <t>auto ancillaries</t>
        </is>
      </c>
      <c r="E365" s="30" t="inlineStr">
        <is>
          <t>midcap</t>
        </is>
      </c>
      <c r="F365" s="30" t="n">
        <v>14151.58</v>
      </c>
      <c r="G365" s="30" t="n">
        <v>2039.3</v>
      </c>
      <c r="H365" s="30" t="n">
        <v>-1.78</v>
      </c>
      <c r="I365" s="30" t="n">
        <v>1053290</v>
      </c>
      <c r="J365" s="30" t="inlineStr">
        <is>
          <t>532796</t>
        </is>
      </c>
    </row>
    <row r="366">
      <c r="A366" s="30" t="inlineStr">
        <is>
          <t>ADOR</t>
        </is>
      </c>
      <c r="B366" s="30" t="inlineStr">
        <is>
          <t>Ador Welding Ltd</t>
        </is>
      </c>
      <c r="C366" s="30" t="inlineStr">
        <is>
          <t>industrials</t>
        </is>
      </c>
      <c r="D366" s="30" t="inlineStr">
        <is>
          <t>electrodes - welding equipment</t>
        </is>
      </c>
      <c r="E366" s="30" t="inlineStr">
        <is>
          <t>smallcap</t>
        </is>
      </c>
      <c r="F366" s="30" t="n">
        <v>2620.17</v>
      </c>
      <c r="G366" s="30" t="n">
        <v>1478.7</v>
      </c>
      <c r="H366" s="30" t="n">
        <v>-1.79</v>
      </c>
      <c r="I366" s="30" t="n">
        <v>14554</v>
      </c>
      <c r="J366" s="30" t="inlineStr">
        <is>
          <t>517041</t>
        </is>
      </c>
    </row>
    <row r="367">
      <c r="A367" s="30" t="inlineStr">
        <is>
          <t>AARTIDRUGS</t>
        </is>
      </c>
      <c r="B367" s="30" t="inlineStr">
        <is>
          <t>Aarti Drugs Limited</t>
        </is>
      </c>
      <c r="C367" s="30" t="inlineStr">
        <is>
          <t>healthcare</t>
        </is>
      </c>
      <c r="D367" s="30" t="inlineStr">
        <is>
          <t>pharmaceuticals - indian - bulk drugs</t>
        </is>
      </c>
      <c r="E367" s="30" t="inlineStr">
        <is>
          <t>smallcap</t>
        </is>
      </c>
      <c r="F367" s="30" t="n">
        <v>4009.95</v>
      </c>
      <c r="G367" s="30" t="n">
        <v>431.5</v>
      </c>
      <c r="H367" s="30" t="n">
        <v>-1.79</v>
      </c>
      <c r="I367" s="30" t="n">
        <v>365458</v>
      </c>
      <c r="J367" s="30" t="inlineStr">
        <is>
          <t>524348</t>
        </is>
      </c>
    </row>
    <row r="368">
      <c r="A368" s="30" t="inlineStr">
        <is>
          <t>SADHNANIQ</t>
        </is>
      </c>
      <c r="B368" s="30" t="inlineStr">
        <is>
          <t>Sadhana Nitro Chem Ltd</t>
        </is>
      </c>
      <c r="C368" s="30" t="inlineStr">
        <is>
          <t>chemicals</t>
        </is>
      </c>
      <c r="D368" s="30" t="inlineStr">
        <is>
          <t>chemicals</t>
        </is>
      </c>
      <c r="E368" s="30" t="inlineStr">
        <is>
          <t>smallcap</t>
        </is>
      </c>
      <c r="F368" s="30" t="n">
        <v>984.28</v>
      </c>
      <c r="G368" s="30" t="n">
        <v>3.26</v>
      </c>
      <c r="H368" s="30" t="n">
        <v>-1.81</v>
      </c>
      <c r="I368" s="30" t="n">
        <v>2917949</v>
      </c>
      <c r="J368" s="30" t="inlineStr">
        <is>
          <t>506642</t>
        </is>
      </c>
    </row>
    <row r="369">
      <c r="A369" s="30" t="inlineStr">
        <is>
          <t>OFSS</t>
        </is>
      </c>
      <c r="B369" s="30" t="inlineStr">
        <is>
          <t>Oracle Financial Services Software Limited</t>
        </is>
      </c>
      <c r="C369" s="30" t="inlineStr">
        <is>
          <t>i.t</t>
        </is>
      </c>
      <c r="D369" s="30" t="inlineStr">
        <is>
          <t>computers - software - large</t>
        </is>
      </c>
      <c r="E369" s="30" t="inlineStr">
        <is>
          <t>largecap</t>
        </is>
      </c>
      <c r="F369" s="30" t="n">
        <v>103581.02</v>
      </c>
      <c r="G369" s="30" t="n">
        <v>11679</v>
      </c>
      <c r="H369" s="30" t="n">
        <v>-1.82</v>
      </c>
      <c r="I369" s="30" t="n">
        <v>244704</v>
      </c>
      <c r="J369" s="30" t="inlineStr">
        <is>
          <t>532466</t>
        </is>
      </c>
    </row>
    <row r="370">
      <c r="A370" s="30" t="inlineStr">
        <is>
          <t>PIXTRANS</t>
        </is>
      </c>
      <c r="B370" s="30" t="inlineStr">
        <is>
          <t>Pix Transmission Ltd</t>
        </is>
      </c>
      <c r="C370" s="30" t="inlineStr">
        <is>
          <t>fmcg</t>
        </is>
      </c>
      <c r="D370" s="30" t="inlineStr">
        <is>
          <t>miscellaneous</t>
        </is>
      </c>
      <c r="E370" s="30" t="inlineStr">
        <is>
          <t>smallcap</t>
        </is>
      </c>
      <c r="F370" s="30" t="n">
        <v>2701.88</v>
      </c>
      <c r="G370" s="30" t="n">
        <v>1947</v>
      </c>
      <c r="H370" s="30" t="n">
        <v>-1.82</v>
      </c>
      <c r="I370" s="30" t="n">
        <v>35188</v>
      </c>
      <c r="J370" s="30" t="inlineStr">
        <is>
          <t>500333</t>
        </is>
      </c>
    </row>
    <row r="371">
      <c r="A371" s="30" t="inlineStr">
        <is>
          <t>PPLPHARMA</t>
        </is>
      </c>
      <c r="B371" s="30" t="inlineStr">
        <is>
          <t>Piramal Pharma Ltd</t>
        </is>
      </c>
      <c r="C371" s="30" t="inlineStr">
        <is>
          <t>healthcare</t>
        </is>
      </c>
      <c r="D371" s="30" t="inlineStr">
        <is>
          <t>pharmaceuticals - indian - bulk drugs &amp; formln</t>
        </is>
      </c>
      <c r="E371" s="30" t="inlineStr">
        <is>
          <t>largecap</t>
        </is>
      </c>
      <c r="F371" s="30" t="n">
        <v>28516.15</v>
      </c>
      <c r="G371" s="30" t="n">
        <v>210.24</v>
      </c>
      <c r="H371" s="30" t="n">
        <v>-1.84</v>
      </c>
      <c r="I371" s="30" t="n">
        <v>2720946</v>
      </c>
      <c r="J371" s="30" t="inlineStr">
        <is>
          <t>543635</t>
        </is>
      </c>
    </row>
    <row r="372">
      <c r="A372" s="30" t="inlineStr">
        <is>
          <t>GEECEE</t>
        </is>
      </c>
      <c r="B372" s="30" t="inlineStr">
        <is>
          <t>Geecee Ventures Limited</t>
        </is>
      </c>
      <c r="C372" s="30" t="inlineStr">
        <is>
          <t>financials</t>
        </is>
      </c>
      <c r="D372" s="30" t="inlineStr">
        <is>
          <t>finance &amp; investments</t>
        </is>
      </c>
      <c r="E372" s="30" t="inlineStr">
        <is>
          <t>smallcap</t>
        </is>
      </c>
      <c r="F372" s="30" t="n">
        <v>805.3099999999999</v>
      </c>
      <c r="G372" s="30" t="n">
        <v>378</v>
      </c>
      <c r="H372" s="30" t="n">
        <v>-1.84</v>
      </c>
      <c r="I372" s="30" t="n">
        <v>2340</v>
      </c>
      <c r="J372" s="30" t="inlineStr">
        <is>
          <t>532764</t>
        </is>
      </c>
    </row>
    <row r="373">
      <c r="A373" s="30" t="inlineStr">
        <is>
          <t>SAKAR</t>
        </is>
      </c>
      <c r="B373" s="30" t="inlineStr">
        <is>
          <t>Sakar Healthcare Ltd</t>
        </is>
      </c>
      <c r="C373" s="30" t="inlineStr">
        <is>
          <t>healthcare</t>
        </is>
      </c>
      <c r="D373" s="30" t="inlineStr">
        <is>
          <t>pharmaceuticals - indian - bulk drugs &amp; formln</t>
        </is>
      </c>
      <c r="E373" s="30" t="inlineStr">
        <is>
          <t>smallcap</t>
        </is>
      </c>
      <c r="F373" s="30" t="n">
        <v>2122.09</v>
      </c>
      <c r="G373" s="30" t="n">
        <v>935.8</v>
      </c>
      <c r="H373" s="30" t="n">
        <v>-1.88</v>
      </c>
      <c r="I373" s="30" t="n">
        <v>77546</v>
      </c>
      <c r="J373" s="30" t="inlineStr">
        <is>
          <t>538377</t>
        </is>
      </c>
    </row>
    <row r="374">
      <c r="A374" s="30" t="inlineStr">
        <is>
          <t>SUMICHEM</t>
        </is>
      </c>
      <c r="B374" s="30" t="inlineStr">
        <is>
          <t>Sumitomo Chemical India Ltd</t>
        </is>
      </c>
      <c r="C374" s="30" t="inlineStr">
        <is>
          <t>chemicals</t>
        </is>
      </c>
      <c r="D374" s="30" t="inlineStr">
        <is>
          <t>pesticides / agrochemicals - indian</t>
        </is>
      </c>
      <c r="E374" s="30" t="inlineStr">
        <is>
          <t>largecap</t>
        </is>
      </c>
      <c r="F374" s="30" t="n">
        <v>27857.32</v>
      </c>
      <c r="G374" s="30" t="n">
        <v>547.35</v>
      </c>
      <c r="H374" s="30" t="n">
        <v>-1.93</v>
      </c>
      <c r="I374" s="30" t="n">
        <v>354667</v>
      </c>
      <c r="J374" s="30" t="inlineStr">
        <is>
          <t>542920</t>
        </is>
      </c>
    </row>
    <row r="375">
      <c r="A375" s="30" t="inlineStr">
        <is>
          <t>NEULANDLAB</t>
        </is>
      </c>
      <c r="B375" s="30" t="inlineStr">
        <is>
          <t>Neuland Laboratories Limited</t>
        </is>
      </c>
      <c r="C375" s="30" t="inlineStr">
        <is>
          <t>healthcare</t>
        </is>
      </c>
      <c r="D375" s="30" t="inlineStr">
        <is>
          <t>pharmaceuticals - indian - bulk drugs</t>
        </is>
      </c>
      <c r="E375" s="30" t="inlineStr">
        <is>
          <t>largecap</t>
        </is>
      </c>
      <c r="F375" s="30" t="n">
        <v>29451.01</v>
      </c>
      <c r="G375" s="30" t="n">
        <v>22510</v>
      </c>
      <c r="H375" s="30" t="n">
        <v>-1.94</v>
      </c>
      <c r="I375" s="30" t="n">
        <v>53189</v>
      </c>
      <c r="J375" s="30" t="inlineStr">
        <is>
          <t>524558</t>
        </is>
      </c>
    </row>
    <row r="376">
      <c r="A376" s="30" t="inlineStr">
        <is>
          <t>BAFNAPH</t>
        </is>
      </c>
      <c r="B376" s="30" t="inlineStr">
        <is>
          <t>Bafna Pharmaceuticals Ltd</t>
        </is>
      </c>
      <c r="C376" s="30" t="inlineStr">
        <is>
          <t>healthcare</t>
        </is>
      </c>
      <c r="D376" s="30" t="inlineStr">
        <is>
          <t>pharmaceuticals - indian - formulations</t>
        </is>
      </c>
      <c r="E376" s="30" t="inlineStr">
        <is>
          <t>smallcap</t>
        </is>
      </c>
      <c r="F376" s="30" t="n">
        <v>647.59</v>
      </c>
      <c r="G376" s="30" t="n">
        <v>268.3</v>
      </c>
      <c r="H376" s="30" t="n">
        <v>-1.99</v>
      </c>
      <c r="I376" s="30" t="n">
        <v>3321</v>
      </c>
      <c r="J376" s="30" t="inlineStr">
        <is>
          <t>532989</t>
        </is>
      </c>
    </row>
    <row r="377">
      <c r="A377" s="30" t="inlineStr">
        <is>
          <t>ARIHANT</t>
        </is>
      </c>
      <c r="B377" s="30" t="inlineStr">
        <is>
          <t>Arihant Foundations &amp; Housing Limited</t>
        </is>
      </c>
      <c r="C377" s="30" t="inlineStr">
        <is>
          <t>realty</t>
        </is>
      </c>
      <c r="D377" s="30" t="inlineStr">
        <is>
          <t>construction</t>
        </is>
      </c>
      <c r="E377" s="30" t="inlineStr">
        <is>
          <t>smallcap</t>
        </is>
      </c>
      <c r="F377" s="30" t="n">
        <v>1115.35</v>
      </c>
      <c r="G377" s="30" t="n">
        <v>1096.8</v>
      </c>
      <c r="H377" s="30" t="n">
        <v>-2</v>
      </c>
      <c r="I377" s="30" t="n">
        <v>1252</v>
      </c>
      <c r="J377" s="30" t="inlineStr">
        <is>
          <t>531381</t>
        </is>
      </c>
    </row>
    <row r="378">
      <c r="A378" s="30" t="inlineStr">
        <is>
          <t>KECL</t>
        </is>
      </c>
      <c r="B378" s="30" t="inlineStr">
        <is>
          <t>Kirloskar Electric Company Limited</t>
        </is>
      </c>
      <c r="C378" s="30" t="inlineStr">
        <is>
          <t>industrials</t>
        </is>
      </c>
      <c r="D378" s="30" t="inlineStr">
        <is>
          <t>electric equipment</t>
        </is>
      </c>
      <c r="E378" s="30" t="inlineStr">
        <is>
          <t>smallcap</t>
        </is>
      </c>
      <c r="F378" s="30" t="n">
        <v>986.38</v>
      </c>
      <c r="G378" s="30" t="n">
        <v>145.51</v>
      </c>
      <c r="H378" s="30" t="n">
        <v>-2.03</v>
      </c>
      <c r="I378" s="30" t="n">
        <v>275774</v>
      </c>
      <c r="J378" s="30" t="inlineStr">
        <is>
          <t>533193</t>
        </is>
      </c>
    </row>
    <row r="379">
      <c r="A379" s="30" t="inlineStr">
        <is>
          <t>KANORICHEM</t>
        </is>
      </c>
      <c r="B379" s="30" t="inlineStr">
        <is>
          <t>Kanoria Chemicals &amp; Industries Limited</t>
        </is>
      </c>
      <c r="C379" s="30" t="inlineStr">
        <is>
          <t>chemicals</t>
        </is>
      </c>
      <c r="D379" s="30" t="inlineStr">
        <is>
          <t>chemicals</t>
        </is>
      </c>
      <c r="E379" s="30" t="inlineStr">
        <is>
          <t>smallcap</t>
        </is>
      </c>
      <c r="F379" s="30" t="n">
        <v>701.8</v>
      </c>
      <c r="G379" s="30" t="n">
        <v>157.29</v>
      </c>
      <c r="H379" s="30" t="n">
        <v>-2.07</v>
      </c>
      <c r="I379" s="30" t="n">
        <v>44710</v>
      </c>
      <c r="J379" s="30" t="inlineStr">
        <is>
          <t>506525</t>
        </is>
      </c>
    </row>
    <row r="380">
      <c r="A380" s="30" t="inlineStr">
        <is>
          <t>NELCO</t>
        </is>
      </c>
      <c r="B380" s="30" t="inlineStr">
        <is>
          <t>Nelco Limited</t>
        </is>
      </c>
      <c r="C380" s="30" t="inlineStr">
        <is>
          <t>telecom</t>
        </is>
      </c>
      <c r="D380" s="30" t="inlineStr">
        <is>
          <t>telecommunications - service provider</t>
        </is>
      </c>
      <c r="E380" s="30" t="inlineStr">
        <is>
          <t>smallcap</t>
        </is>
      </c>
      <c r="F380" s="30" t="n">
        <v>2270.66</v>
      </c>
      <c r="G380" s="30" t="n">
        <v>974.1</v>
      </c>
      <c r="H380" s="30" t="n">
        <v>-2.11</v>
      </c>
      <c r="I380" s="30" t="n">
        <v>161030</v>
      </c>
      <c r="J380" s="30" t="inlineStr">
        <is>
          <t>504112</t>
        </is>
      </c>
    </row>
    <row r="381">
      <c r="A381" s="30" t="inlineStr">
        <is>
          <t>YASHO</t>
        </is>
      </c>
      <c r="B381" s="30" t="inlineStr">
        <is>
          <t>Yasho Industries Ltd</t>
        </is>
      </c>
      <c r="C381" s="30" t="inlineStr">
        <is>
          <t>chemicals</t>
        </is>
      </c>
      <c r="D381" s="30" t="inlineStr">
        <is>
          <t>chemicals</t>
        </is>
      </c>
      <c r="E381" s="30" t="inlineStr">
        <is>
          <t>midcap</t>
        </is>
      </c>
      <c r="F381" s="30" t="n">
        <v>5192.27</v>
      </c>
      <c r="G381" s="30" t="n">
        <v>4213</v>
      </c>
      <c r="H381" s="30" t="n">
        <v>-2.17</v>
      </c>
      <c r="I381" s="30" t="n">
        <v>20489</v>
      </c>
      <c r="J381" s="30" t="inlineStr">
        <is>
          <t>541167</t>
        </is>
      </c>
    </row>
    <row r="382">
      <c r="A382" s="30" t="inlineStr">
        <is>
          <t>HTMEDIA</t>
        </is>
      </c>
      <c r="B382" s="30" t="inlineStr">
        <is>
          <t>Ht Media Limited</t>
        </is>
      </c>
      <c r="C382" s="30" t="inlineStr">
        <is>
          <t>media</t>
        </is>
      </c>
      <c r="D382" s="30" t="inlineStr">
        <is>
          <t>entertainment / electronic media software</t>
        </is>
      </c>
      <c r="E382" s="30" t="inlineStr">
        <is>
          <t>smallcap</t>
        </is>
      </c>
      <c r="F382" s="30" t="n">
        <v>636.63</v>
      </c>
      <c r="G382" s="30" t="n">
        <v>26.74</v>
      </c>
      <c r="H382" s="30" t="n">
        <v>-2.23</v>
      </c>
      <c r="I382" s="30" t="n">
        <v>93367</v>
      </c>
      <c r="J382" s="30" t="inlineStr">
        <is>
          <t>532662</t>
        </is>
      </c>
    </row>
    <row r="383">
      <c r="A383" s="30" t="inlineStr">
        <is>
          <t>MANAKSTEEL</t>
        </is>
      </c>
      <c r="B383" s="30" t="inlineStr">
        <is>
          <t>Manaksia Steels Limited</t>
        </is>
      </c>
      <c r="C383" s="30" t="inlineStr">
        <is>
          <t>metals &amp; mining</t>
        </is>
      </c>
      <c r="D383" s="30" t="inlineStr">
        <is>
          <t>steel - medium / small</t>
        </is>
      </c>
      <c r="E383" s="30" t="inlineStr">
        <is>
          <t>smallcap</t>
        </is>
      </c>
      <c r="F383" s="30" t="n">
        <v>555.14</v>
      </c>
      <c r="G383" s="30" t="n">
        <v>82.75</v>
      </c>
      <c r="H383" s="30" t="n">
        <v>-2.31</v>
      </c>
      <c r="I383" s="30" t="n">
        <v>572953</v>
      </c>
      <c r="J383" s="30" t="inlineStr">
        <is>
          <t>539044</t>
        </is>
      </c>
    </row>
    <row r="384">
      <c r="A384" s="30" t="inlineStr">
        <is>
          <t>ALIVUS</t>
        </is>
      </c>
      <c r="B384" s="30" t="inlineStr">
        <is>
          <t>Alivus Life Sciences Ltd</t>
        </is>
      </c>
      <c r="C384" s="30" t="inlineStr">
        <is>
          <t>healthcare</t>
        </is>
      </c>
      <c r="D384" s="30" t="inlineStr">
        <is>
          <t>pharmaceuticals - indian - bulk drugs &amp; formln</t>
        </is>
      </c>
      <c r="E384" s="30" t="inlineStr">
        <is>
          <t>midcap</t>
        </is>
      </c>
      <c r="F384" s="30" t="n">
        <v>17104.54</v>
      </c>
      <c r="G384" s="30" t="n">
        <v>1361</v>
      </c>
      <c r="H384" s="30" t="n">
        <v>-2.34</v>
      </c>
      <c r="I384" s="30" t="n">
        <v>82193</v>
      </c>
      <c r="J384" s="30" t="inlineStr">
        <is>
          <t>543322</t>
        </is>
      </c>
    </row>
    <row r="385">
      <c r="A385" s="30" t="inlineStr">
        <is>
          <t>ROLEXRINGS</t>
        </is>
      </c>
      <c r="B385" s="30" t="inlineStr">
        <is>
          <t>Rolex Rings Ltd</t>
        </is>
      </c>
      <c r="C385" s="30" t="inlineStr">
        <is>
          <t>auto</t>
        </is>
      </c>
      <c r="D385" s="30" t="inlineStr">
        <is>
          <t>auto ancillaries</t>
        </is>
      </c>
      <c r="E385" s="30" t="inlineStr">
        <is>
          <t>smallcap</t>
        </is>
      </c>
      <c r="F385" s="30" t="n">
        <v>4828.19</v>
      </c>
      <c r="G385" s="30" t="n">
        <v>173.01</v>
      </c>
      <c r="H385" s="30" t="n">
        <v>-2.41</v>
      </c>
      <c r="I385" s="30" t="n">
        <v>14359357</v>
      </c>
      <c r="J385" s="30" t="inlineStr">
        <is>
          <t>543325</t>
        </is>
      </c>
    </row>
    <row r="386">
      <c r="A386" s="30" t="inlineStr">
        <is>
          <t>PANACHE</t>
        </is>
      </c>
      <c r="B386" s="30" t="inlineStr">
        <is>
          <t>Panache Digilife Ltd</t>
        </is>
      </c>
      <c r="C386" s="30" t="inlineStr">
        <is>
          <t>i.t</t>
        </is>
      </c>
      <c r="D386" s="30" t="inlineStr">
        <is>
          <t>computers - hardware</t>
        </is>
      </c>
      <c r="E386" s="30" t="inlineStr">
        <is>
          <t>smallcap</t>
        </is>
      </c>
      <c r="F386" s="30" t="n">
        <v>805.58</v>
      </c>
      <c r="G386" s="30" t="n">
        <v>490.55</v>
      </c>
      <c r="H386" s="30" t="n">
        <v>-2.48</v>
      </c>
      <c r="I386" s="30" t="n">
        <v>13746</v>
      </c>
      <c r="J386" s="30" t="inlineStr">
        <is>
          <t>538424</t>
        </is>
      </c>
    </row>
    <row r="387">
      <c r="A387" s="30" t="inlineStr">
        <is>
          <t>SIGMAADV</t>
        </is>
      </c>
      <c r="B387" s="30" t="inlineStr">
        <is>
          <t>Sigma Advanced System Ltd</t>
        </is>
      </c>
      <c r="C387" s="30" t="inlineStr">
        <is>
          <t>aerospace &amp; defence</t>
        </is>
      </c>
      <c r="D387" s="30" t="inlineStr">
        <is>
          <t>electronics - components</t>
        </is>
      </c>
      <c r="E387" s="30" t="inlineStr">
        <is>
          <t>midcap</t>
        </is>
      </c>
      <c r="F387" s="30" t="n">
        <v>13292.21</v>
      </c>
      <c r="G387" s="30" t="n">
        <v>683.85</v>
      </c>
      <c r="H387" s="30" t="n">
        <v>-2.51</v>
      </c>
      <c r="I387" s="30" t="n">
        <v>289657</v>
      </c>
      <c r="J387" s="30" t="inlineStr">
        <is>
          <t>532408</t>
        </is>
      </c>
    </row>
    <row r="388">
      <c r="A388" s="30" t="inlineStr">
        <is>
          <t>TBOTEK</t>
        </is>
      </c>
      <c r="B388" s="30" t="inlineStr">
        <is>
          <t>TBO Tek Ltd</t>
        </is>
      </c>
      <c r="C388" s="30" t="inlineStr">
        <is>
          <t>i.t</t>
        </is>
      </c>
      <c r="D388" s="30" t="inlineStr">
        <is>
          <t>travel agencies</t>
        </is>
      </c>
      <c r="E388" s="30" t="inlineStr">
        <is>
          <t>midcap</t>
        </is>
      </c>
      <c r="F388" s="30" t="n">
        <v>17805.14</v>
      </c>
      <c r="G388" s="30" t="n">
        <v>1596.6</v>
      </c>
      <c r="H388" s="30" t="n">
        <v>-2.63</v>
      </c>
      <c r="I388" s="30" t="n">
        <v>91830</v>
      </c>
      <c r="J388" s="30" t="inlineStr">
        <is>
          <t>544174</t>
        </is>
      </c>
    </row>
    <row r="389">
      <c r="A389" s="30" t="inlineStr">
        <is>
          <t>TATATECH</t>
        </is>
      </c>
      <c r="B389" s="30" t="inlineStr">
        <is>
          <t>Tata Technologies Ltd</t>
        </is>
      </c>
      <c r="C389" s="30" t="inlineStr">
        <is>
          <t>i.t</t>
        </is>
      </c>
      <c r="D389" s="30" t="inlineStr">
        <is>
          <t>computers - software - medium / small</t>
        </is>
      </c>
      <c r="E389" s="30" t="inlineStr">
        <is>
          <t>largecap</t>
        </is>
      </c>
      <c r="F389" s="30" t="n">
        <v>35131.6</v>
      </c>
      <c r="G389" s="30" t="n">
        <v>842.1</v>
      </c>
      <c r="H389" s="30" t="n">
        <v>-2.67</v>
      </c>
      <c r="I389" s="30" t="n">
        <v>1473993</v>
      </c>
      <c r="J389" s="30" t="inlineStr">
        <is>
          <t>544028</t>
        </is>
      </c>
    </row>
    <row r="390">
      <c r="A390" s="30" t="inlineStr">
        <is>
          <t>JGCHEM</t>
        </is>
      </c>
      <c r="B390" s="30" t="inlineStr">
        <is>
          <t>J.G.Chemicals Ltd</t>
        </is>
      </c>
      <c r="C390" s="30" t="inlineStr">
        <is>
          <t>chemicals</t>
        </is>
      </c>
      <c r="D390" s="30" t="inlineStr">
        <is>
          <t>chemicals</t>
        </is>
      </c>
      <c r="E390" s="30" t="inlineStr">
        <is>
          <t>smallcap</t>
        </is>
      </c>
      <c r="F390" s="30" t="n">
        <v>2438.74</v>
      </c>
      <c r="G390" s="30" t="n">
        <v>605.7</v>
      </c>
      <c r="H390" s="30" t="n">
        <v>-2.68</v>
      </c>
      <c r="I390" s="30" t="n">
        <v>555453</v>
      </c>
      <c r="J390" s="30" t="n"/>
    </row>
    <row r="391">
      <c r="A391" s="30" t="inlineStr">
        <is>
          <t>KABRAEXTRU</t>
        </is>
      </c>
      <c r="B391" s="30" t="inlineStr">
        <is>
          <t>Kabra Extrusion Technik Limited</t>
        </is>
      </c>
      <c r="C391" s="30" t="inlineStr">
        <is>
          <t>industrials</t>
        </is>
      </c>
      <c r="D391" s="30" t="inlineStr">
        <is>
          <t>engineering</t>
        </is>
      </c>
      <c r="E391" s="30" t="inlineStr">
        <is>
          <t>smallcap</t>
        </is>
      </c>
      <c r="F391" s="30" t="n">
        <v>1779.07</v>
      </c>
      <c r="G391" s="30" t="n">
        <v>494.9</v>
      </c>
      <c r="H391" s="30" t="n">
        <v>-2.71</v>
      </c>
      <c r="I391" s="30" t="n">
        <v>170668</v>
      </c>
      <c r="J391" s="30" t="inlineStr">
        <is>
          <t>524109</t>
        </is>
      </c>
    </row>
    <row r="392">
      <c r="A392" s="30" t="inlineStr">
        <is>
          <t>CYIENTDLM</t>
        </is>
      </c>
      <c r="B392" s="30" t="inlineStr">
        <is>
          <t>Cyient DLM Ltd</t>
        </is>
      </c>
      <c r="C392" s="30" t="inlineStr">
        <is>
          <t>consumer discretionary</t>
        </is>
      </c>
      <c r="D392" s="30" t="inlineStr">
        <is>
          <t>electronics - components</t>
        </is>
      </c>
      <c r="E392" s="30" t="inlineStr">
        <is>
          <t>midcap</t>
        </is>
      </c>
      <c r="F392" s="30" t="n">
        <v>5628.28</v>
      </c>
      <c r="G392" s="30" t="n">
        <v>688.95</v>
      </c>
      <c r="H392" s="30" t="n">
        <v>-2.83</v>
      </c>
      <c r="I392" s="30" t="n">
        <v>370815</v>
      </c>
      <c r="J392" s="30" t="inlineStr">
        <is>
          <t>543933</t>
        </is>
      </c>
    </row>
    <row r="393">
      <c r="A393" s="30" t="inlineStr">
        <is>
          <t>SUVEN</t>
        </is>
      </c>
      <c r="B393" s="30" t="inlineStr">
        <is>
          <t>Suven Life Sciences Limited</t>
        </is>
      </c>
      <c r="C393" s="30" t="inlineStr">
        <is>
          <t>healthcare</t>
        </is>
      </c>
      <c r="D393" s="30" t="inlineStr">
        <is>
          <t>miscellaneous</t>
        </is>
      </c>
      <c r="E393" s="30" t="inlineStr">
        <is>
          <t>smallcap</t>
        </is>
      </c>
      <c r="F393" s="30" t="n">
        <v>657.8</v>
      </c>
      <c r="G393" s="30" t="n">
        <v>330.55</v>
      </c>
      <c r="H393" s="30" t="n">
        <v>-2.92</v>
      </c>
      <c r="I393" s="30" t="n">
        <v>466245</v>
      </c>
      <c r="J393" s="30" t="inlineStr">
        <is>
          <t>530239</t>
        </is>
      </c>
    </row>
    <row r="394">
      <c r="A394" s="30" t="inlineStr">
        <is>
          <t>UGARSUGAR</t>
        </is>
      </c>
      <c r="B394" s="30" t="inlineStr">
        <is>
          <t>The Ugar Sugar Works Limited</t>
        </is>
      </c>
      <c r="C394" s="30" t="inlineStr">
        <is>
          <t>fmcg</t>
        </is>
      </c>
      <c r="D394" s="30" t="inlineStr">
        <is>
          <t>sugar</t>
        </is>
      </c>
      <c r="E394" s="30" t="inlineStr">
        <is>
          <t>smallcap</t>
        </is>
      </c>
      <c r="F394" s="30" t="n">
        <v>511.99</v>
      </c>
      <c r="G394" s="30" t="n">
        <v>44.15</v>
      </c>
      <c r="H394" s="30" t="n">
        <v>-2.99</v>
      </c>
      <c r="I394" s="30" t="n">
        <v>219969</v>
      </c>
      <c r="J394" s="30" t="inlineStr">
        <is>
          <t>530363</t>
        </is>
      </c>
    </row>
    <row r="395">
      <c r="A395" s="30" t="inlineStr">
        <is>
          <t>TATVA</t>
        </is>
      </c>
      <c r="B395" s="30" t="inlineStr">
        <is>
          <t>Tatva Chintan Pharma Chem Ltd</t>
        </is>
      </c>
      <c r="C395" s="30" t="inlineStr">
        <is>
          <t>chemicals</t>
        </is>
      </c>
      <c r="D395" s="30" t="inlineStr">
        <is>
          <t>chemicals</t>
        </is>
      </c>
      <c r="E395" s="30" t="inlineStr">
        <is>
          <t>smallcap</t>
        </is>
      </c>
      <c r="F395" s="30" t="n">
        <v>4176.65</v>
      </c>
      <c r="G395" s="30" t="n">
        <v>1732</v>
      </c>
      <c r="H395" s="30" t="n">
        <v>-3</v>
      </c>
      <c r="I395" s="30" t="n">
        <v>53241</v>
      </c>
      <c r="J395" s="30" t="inlineStr">
        <is>
          <t>543321</t>
        </is>
      </c>
    </row>
    <row r="396">
      <c r="A396" s="30" t="inlineStr">
        <is>
          <t>RAMCOIND</t>
        </is>
      </c>
      <c r="B396" s="30" t="inlineStr">
        <is>
          <t>Ramco Industries Limited</t>
        </is>
      </c>
      <c r="C396" s="30" t="inlineStr">
        <is>
          <t>building materials</t>
        </is>
      </c>
      <c r="D396" s="30" t="inlineStr">
        <is>
          <t>cement products</t>
        </is>
      </c>
      <c r="E396" s="30" t="inlineStr">
        <is>
          <t>smallcap</t>
        </is>
      </c>
      <c r="F396" s="30" t="n">
        <v>3218.35</v>
      </c>
      <c r="G396" s="30" t="n">
        <v>359.1</v>
      </c>
      <c r="H396" s="30" t="n">
        <v>-3.1</v>
      </c>
      <c r="I396" s="30" t="n">
        <v>700935</v>
      </c>
      <c r="J396" s="30" t="inlineStr">
        <is>
          <t>532369</t>
        </is>
      </c>
    </row>
    <row r="397">
      <c r="A397" s="30" t="inlineStr">
        <is>
          <t>MRPL</t>
        </is>
      </c>
      <c r="B397" s="30" t="inlineStr">
        <is>
          <t>Mangalore Refinery And Petrochemicals Limited</t>
        </is>
      </c>
      <c r="C397" s="30" t="inlineStr">
        <is>
          <t>energy</t>
        </is>
      </c>
      <c r="D397" s="30" t="inlineStr">
        <is>
          <t>refineries</t>
        </is>
      </c>
      <c r="E397" s="30" t="inlineStr">
        <is>
          <t>largecap</t>
        </is>
      </c>
      <c r="F397" s="30" t="n">
        <v>31746.57</v>
      </c>
      <c r="G397" s="30" t="n">
        <v>175.38</v>
      </c>
      <c r="H397" s="30" t="n">
        <v>-3.18</v>
      </c>
      <c r="I397" s="30" t="n">
        <v>10085904</v>
      </c>
      <c r="J397" s="30" t="inlineStr">
        <is>
          <t>500109</t>
        </is>
      </c>
    </row>
    <row r="398">
      <c r="A398" s="30" t="inlineStr">
        <is>
          <t>SANGHVIMOV</t>
        </is>
      </c>
      <c r="B398" s="30" t="inlineStr">
        <is>
          <t>Sanghvi Movers Limited</t>
        </is>
      </c>
      <c r="C398" s="30" t="inlineStr">
        <is>
          <t>miscellaneous</t>
        </is>
      </c>
      <c r="D398" s="30" t="inlineStr">
        <is>
          <t>miscellaneous</t>
        </is>
      </c>
      <c r="E398" s="30" t="inlineStr">
        <is>
          <t>smallcap</t>
        </is>
      </c>
      <c r="F398" s="30" t="n">
        <v>4475.55</v>
      </c>
      <c r="G398" s="30" t="n">
        <v>500.45</v>
      </c>
      <c r="H398" s="30" t="n">
        <v>-3.19</v>
      </c>
      <c r="I398" s="30" t="n">
        <v>360614</v>
      </c>
      <c r="J398" s="30" t="inlineStr">
        <is>
          <t>530073</t>
        </is>
      </c>
    </row>
    <row r="399">
      <c r="A399" s="30" t="inlineStr">
        <is>
          <t>CHENNPETRO</t>
        </is>
      </c>
      <c r="B399" s="30" t="inlineStr">
        <is>
          <t>Chennai Petroleum Corporation Limited</t>
        </is>
      </c>
      <c r="C399" s="30" t="inlineStr">
        <is>
          <t>energy</t>
        </is>
      </c>
      <c r="D399" s="30" t="inlineStr">
        <is>
          <t>refineries</t>
        </is>
      </c>
      <c r="E399" s="30" t="inlineStr">
        <is>
          <t>largecap</t>
        </is>
      </c>
      <c r="F399" s="30" t="n">
        <v>21236.25</v>
      </c>
      <c r="G399" s="30" t="n">
        <v>1379.5</v>
      </c>
      <c r="H399" s="30" t="n">
        <v>-3.27</v>
      </c>
      <c r="I399" s="30" t="n">
        <v>2824270</v>
      </c>
      <c r="J399" s="30" t="inlineStr">
        <is>
          <t>500110</t>
        </is>
      </c>
    </row>
    <row r="400">
      <c r="A400" s="30" t="inlineStr">
        <is>
          <t>UNOMINDA</t>
        </is>
      </c>
      <c r="B400" s="30" t="inlineStr">
        <is>
          <t>Uno Minda Ltd</t>
        </is>
      </c>
      <c r="C400" s="30" t="inlineStr">
        <is>
          <t>auto</t>
        </is>
      </c>
      <c r="D400" s="30" t="inlineStr">
        <is>
          <t>auto ancillaries</t>
        </is>
      </c>
      <c r="E400" s="30" t="inlineStr">
        <is>
          <t>largecap</t>
        </is>
      </c>
      <c r="F400" s="30" t="n">
        <v>73627.07000000001</v>
      </c>
      <c r="G400" s="30" t="n">
        <v>1232.4</v>
      </c>
      <c r="H400" s="30" t="n">
        <v>-3.34</v>
      </c>
      <c r="I400" s="30" t="n">
        <v>520011</v>
      </c>
      <c r="J400" s="30" t="inlineStr">
        <is>
          <t>532539</t>
        </is>
      </c>
    </row>
    <row r="401">
      <c r="A401" s="30" t="inlineStr">
        <is>
          <t>DPABHUSHAN</t>
        </is>
      </c>
      <c r="B401" s="30" t="inlineStr">
        <is>
          <t>D.P. Abhushan Ltd</t>
        </is>
      </c>
      <c r="C401" s="30" t="inlineStr">
        <is>
          <t>consumer discretionary</t>
        </is>
      </c>
      <c r="D401" s="30" t="inlineStr">
        <is>
          <t>diamond cutting / jewellery</t>
        </is>
      </c>
      <c r="E401" s="30" t="inlineStr">
        <is>
          <t>smallcap</t>
        </is>
      </c>
      <c r="F401" s="30" t="n">
        <v>3348.63</v>
      </c>
      <c r="G401" s="30" t="n">
        <v>1417.1</v>
      </c>
      <c r="H401" s="30" t="n">
        <v>-3.39</v>
      </c>
      <c r="I401" s="30" t="n">
        <v>56163</v>
      </c>
      <c r="J401" s="30" t="inlineStr">
        <is>
          <t>535026</t>
        </is>
      </c>
    </row>
    <row r="402">
      <c r="A402" s="30" t="inlineStr">
        <is>
          <t>SUBEXLTD</t>
        </is>
      </c>
      <c r="B402" s="30" t="inlineStr">
        <is>
          <t>Subex Ltd</t>
        </is>
      </c>
      <c r="C402" s="30" t="inlineStr">
        <is>
          <t>i.t</t>
        </is>
      </c>
      <c r="D402" s="30" t="inlineStr">
        <is>
          <t>computers - software - medium / small</t>
        </is>
      </c>
      <c r="E402" s="30" t="inlineStr">
        <is>
          <t>smallcap</t>
        </is>
      </c>
      <c r="F402" s="30" t="n">
        <v>785.12</v>
      </c>
      <c r="G402" s="30" t="n">
        <v>13.47</v>
      </c>
      <c r="H402" s="30" t="n">
        <v>-3.58</v>
      </c>
      <c r="I402" s="30" t="n">
        <v>1101623</v>
      </c>
      <c r="J402" s="30" t="inlineStr">
        <is>
          <t>532348</t>
        </is>
      </c>
    </row>
    <row r="403">
      <c r="A403" s="30" t="inlineStr">
        <is>
          <t>POLYPLEX</t>
        </is>
      </c>
      <c r="B403" s="30" t="inlineStr">
        <is>
          <t>Polyplex Corporation Limited</t>
        </is>
      </c>
      <c r="C403" s="30" t="inlineStr">
        <is>
          <t>industrials</t>
        </is>
      </c>
      <c r="D403" s="30" t="inlineStr">
        <is>
          <t>packaging</t>
        </is>
      </c>
      <c r="E403" s="30" t="inlineStr">
        <is>
          <t>smallcap</t>
        </is>
      </c>
      <c r="F403" s="30" t="n">
        <v>3860.02</v>
      </c>
      <c r="G403" s="30" t="n">
        <v>1185.5</v>
      </c>
      <c r="H403" s="30" t="n">
        <v>-3.59</v>
      </c>
      <c r="I403" s="30" t="n">
        <v>704313</v>
      </c>
      <c r="J403" s="30" t="inlineStr">
        <is>
          <t>524051</t>
        </is>
      </c>
    </row>
    <row r="404">
      <c r="A404" s="30" t="inlineStr">
        <is>
          <t>RPTECH</t>
        </is>
      </c>
      <c r="B404" s="30" t="inlineStr">
        <is>
          <t>Rashi Peripherals Ltd</t>
        </is>
      </c>
      <c r="C404" s="30" t="inlineStr">
        <is>
          <t>services</t>
        </is>
      </c>
      <c r="D404" s="30" t="inlineStr">
        <is>
          <t>trading</t>
        </is>
      </c>
      <c r="E404" s="30" t="inlineStr">
        <is>
          <t>midcap</t>
        </is>
      </c>
      <c r="F404" s="30" t="n">
        <v>5850.57</v>
      </c>
      <c r="G404" s="30" t="n">
        <v>854.9</v>
      </c>
      <c r="H404" s="30" t="n">
        <v>-3.71</v>
      </c>
      <c r="I404" s="30" t="n">
        <v>297069</v>
      </c>
      <c r="J404" s="30" t="n"/>
    </row>
    <row r="405">
      <c r="A405" s="30" t="inlineStr">
        <is>
          <t>UFBL</t>
        </is>
      </c>
      <c r="B405" s="30" t="inlineStr">
        <is>
          <t>United Foodbrands Ltd</t>
        </is>
      </c>
      <c r="C405" s="30" t="inlineStr">
        <is>
          <t>consumer discretionary</t>
        </is>
      </c>
      <c r="D405" s="30" t="inlineStr">
        <is>
          <t>hotels</t>
        </is>
      </c>
      <c r="E405" s="30" t="inlineStr">
        <is>
          <t>smallcap</t>
        </is>
      </c>
      <c r="F405" s="30" t="n">
        <v>3170.1</v>
      </c>
      <c r="G405" s="30" t="n">
        <v>779.8</v>
      </c>
      <c r="H405" s="30" t="n">
        <v>-3.85</v>
      </c>
      <c r="I405" s="30" t="n">
        <v>95262</v>
      </c>
      <c r="J405" s="30" t="inlineStr">
        <is>
          <t>543283</t>
        </is>
      </c>
    </row>
    <row r="406">
      <c r="A406" s="30" t="inlineStr">
        <is>
          <t>JBCHEPHARM</t>
        </is>
      </c>
      <c r="B406" s="30" t="inlineStr">
        <is>
          <t>Jb Chemicals &amp; Pharmaceuticals Limited</t>
        </is>
      </c>
      <c r="C406" s="30" t="inlineStr">
        <is>
          <t>healthcare</t>
        </is>
      </c>
      <c r="D406" s="30" t="inlineStr">
        <is>
          <t>pharmaceuticals - indian - bulk drugs &amp; formln</t>
        </is>
      </c>
      <c r="E406" s="30" t="inlineStr">
        <is>
          <t>largecap</t>
        </is>
      </c>
      <c r="F406" s="30" t="n">
        <v>38676.99</v>
      </c>
      <c r="G406" s="30" t="n">
        <v>2408.9</v>
      </c>
      <c r="H406" s="30" t="n">
        <v>-3.87</v>
      </c>
      <c r="I406" s="30" t="n">
        <v>9558448</v>
      </c>
      <c r="J406" s="30" t="inlineStr">
        <is>
          <t>506943</t>
        </is>
      </c>
    </row>
    <row r="407">
      <c r="A407" s="30" t="inlineStr">
        <is>
          <t>LANDMARK</t>
        </is>
      </c>
      <c r="B407" s="30" t="inlineStr">
        <is>
          <t>Landmark Cars Ltd</t>
        </is>
      </c>
      <c r="C407" s="30" t="inlineStr">
        <is>
          <t>consumer discretionary</t>
        </is>
      </c>
      <c r="D407" s="30" t="inlineStr">
        <is>
          <t>trading</t>
        </is>
      </c>
      <c r="E407" s="30" t="inlineStr">
        <is>
          <t>smallcap</t>
        </is>
      </c>
      <c r="F407" s="30" t="n">
        <v>2370.76</v>
      </c>
      <c r="G407" s="30" t="n">
        <v>548.05</v>
      </c>
      <c r="H407" s="30" t="n">
        <v>-4.15</v>
      </c>
      <c r="I407" s="30" t="n">
        <v>785083</v>
      </c>
      <c r="J407" s="30" t="inlineStr">
        <is>
          <t>543714</t>
        </is>
      </c>
    </row>
    <row r="408">
      <c r="A408" s="30" t="inlineStr">
        <is>
          <t>REDINGTON</t>
        </is>
      </c>
      <c r="B408" s="30" t="inlineStr">
        <is>
          <t>Redington (india) Limited</t>
        </is>
      </c>
      <c r="C408" s="30" t="inlineStr">
        <is>
          <t>services</t>
        </is>
      </c>
      <c r="D408" s="30" t="inlineStr">
        <is>
          <t>trading</t>
        </is>
      </c>
      <c r="E408" s="30" t="inlineStr">
        <is>
          <t>largecap</t>
        </is>
      </c>
      <c r="F408" s="30" t="n">
        <v>27717.81</v>
      </c>
      <c r="G408" s="30" t="n">
        <v>339.4</v>
      </c>
      <c r="H408" s="30" t="n">
        <v>-4.27</v>
      </c>
      <c r="I408" s="30" t="n">
        <v>3024132</v>
      </c>
      <c r="J408" s="30" t="inlineStr">
        <is>
          <t>532805</t>
        </is>
      </c>
    </row>
    <row r="409">
      <c r="A409" s="30" t="inlineStr">
        <is>
          <t>MAHASTEEL</t>
        </is>
      </c>
      <c r="B409" s="30" t="inlineStr">
        <is>
          <t>Mahamaya Steel Industries Limited</t>
        </is>
      </c>
      <c r="C409" s="30" t="inlineStr">
        <is>
          <t>metals &amp; mining</t>
        </is>
      </c>
      <c r="D409" s="30" t="inlineStr">
        <is>
          <t>steel - medium / small</t>
        </is>
      </c>
      <c r="E409" s="30" t="inlineStr">
        <is>
          <t>smallcap</t>
        </is>
      </c>
      <c r="F409" s="30" t="n">
        <v>1708.19</v>
      </c>
      <c r="G409" s="30" t="n">
        <v>994.6</v>
      </c>
      <c r="H409" s="30" t="n">
        <v>-4.31</v>
      </c>
      <c r="I409" s="30" t="n">
        <v>5673</v>
      </c>
      <c r="J409" s="30" t="inlineStr">
        <is>
          <t>513554</t>
        </is>
      </c>
    </row>
    <row r="410">
      <c r="A410" s="30" t="inlineStr">
        <is>
          <t>MOREPENLAB</t>
        </is>
      </c>
      <c r="B410" s="30" t="inlineStr">
        <is>
          <t>Morepen Laboratories Limited</t>
        </is>
      </c>
      <c r="C410" s="30" t="inlineStr">
        <is>
          <t>healthcare</t>
        </is>
      </c>
      <c r="D410" s="30" t="inlineStr">
        <is>
          <t>pharmaceuticals - indian - bulk drugs &amp; formln</t>
        </is>
      </c>
      <c r="E410" s="30" t="inlineStr">
        <is>
          <t>smallcap</t>
        </is>
      </c>
      <c r="F410" s="30" t="n">
        <v>4213.22</v>
      </c>
      <c r="G410" s="30" t="n">
        <v>73.45999999999999</v>
      </c>
      <c r="H410" s="30" t="n">
        <v>-4.46</v>
      </c>
      <c r="I410" s="30" t="n">
        <v>13287951</v>
      </c>
      <c r="J410" s="30" t="inlineStr">
        <is>
          <t>500288</t>
        </is>
      </c>
    </row>
    <row r="411">
      <c r="A411" s="30" t="inlineStr">
        <is>
          <t>HUHTAMAKI</t>
        </is>
      </c>
      <c r="B411" s="30" t="inlineStr">
        <is>
          <t>Huhtamaki India Ltd</t>
        </is>
      </c>
      <c r="C411" s="30" t="inlineStr">
        <is>
          <t>industrials</t>
        </is>
      </c>
      <c r="D411" s="30" t="inlineStr">
        <is>
          <t>packaging</t>
        </is>
      </c>
      <c r="E411" s="30" t="inlineStr">
        <is>
          <t>smallcap</t>
        </is>
      </c>
      <c r="F411" s="30" t="n">
        <v>2202.6</v>
      </c>
      <c r="G411" s="30" t="n">
        <v>278.4</v>
      </c>
      <c r="H411" s="30" t="n">
        <v>-4.54</v>
      </c>
      <c r="I411" s="30" t="n">
        <v>266172</v>
      </c>
      <c r="J411" s="30" t="inlineStr">
        <is>
          <t>509820</t>
        </is>
      </c>
    </row>
    <row r="412">
      <c r="A412" s="30" t="inlineStr">
        <is>
          <t>KOLTEPATIL</t>
        </is>
      </c>
      <c r="B412" s="30" t="inlineStr">
        <is>
          <t>Kolte - Patil Developers Limited</t>
        </is>
      </c>
      <c r="C412" s="30" t="inlineStr">
        <is>
          <t>realty</t>
        </is>
      </c>
      <c r="D412" s="30" t="inlineStr">
        <is>
          <t>construction</t>
        </is>
      </c>
      <c r="E412" s="30" t="inlineStr">
        <is>
          <t>smallcap</t>
        </is>
      </c>
      <c r="F412" s="30" t="n">
        <v>4581.21</v>
      </c>
      <c r="G412" s="30" t="n">
        <v>492.7</v>
      </c>
      <c r="H412" s="30" t="n">
        <v>-4.63</v>
      </c>
      <c r="I412" s="30" t="n">
        <v>815709</v>
      </c>
      <c r="J412" s="30" t="inlineStr">
        <is>
          <t>532924</t>
        </is>
      </c>
    </row>
    <row r="413">
      <c r="A413" s="30" t="inlineStr">
        <is>
          <t>INDOTECH</t>
        </is>
      </c>
      <c r="B413" s="30" t="inlineStr">
        <is>
          <t>Indo Tech Transformers Limited</t>
        </is>
      </c>
      <c r="C413" s="30" t="inlineStr">
        <is>
          <t>industrials</t>
        </is>
      </c>
      <c r="D413" s="30" t="inlineStr">
        <is>
          <t>electric equipment</t>
        </is>
      </c>
      <c r="E413" s="30" t="inlineStr">
        <is>
          <t>smallcap</t>
        </is>
      </c>
      <c r="F413" s="30" t="n">
        <v>3956.16</v>
      </c>
      <c r="G413" s="30" t="n">
        <v>3539</v>
      </c>
      <c r="H413" s="30" t="n">
        <v>-5</v>
      </c>
      <c r="I413" s="30" t="n">
        <v>40977</v>
      </c>
      <c r="J413" s="30" t="inlineStr">
        <is>
          <t>532717</t>
        </is>
      </c>
    </row>
    <row r="414">
      <c r="A414" s="30" t="inlineStr">
        <is>
          <t>ORBTEXP</t>
        </is>
      </c>
      <c r="B414" s="30" t="inlineStr">
        <is>
          <t>Orbit Exports Limited</t>
        </is>
      </c>
      <c r="C414" s="30" t="inlineStr">
        <is>
          <t>textiles</t>
        </is>
      </c>
      <c r="D414" s="30" t="inlineStr">
        <is>
          <t>textiles - processing</t>
        </is>
      </c>
      <c r="E414" s="30" t="inlineStr">
        <is>
          <t>smallcap</t>
        </is>
      </c>
      <c r="F414" s="30" t="n">
        <v>728.29</v>
      </c>
      <c r="G414" s="30" t="n">
        <v>260.98</v>
      </c>
      <c r="H414" s="30" t="n">
        <v>-5</v>
      </c>
      <c r="I414" s="30" t="n">
        <v>8420</v>
      </c>
      <c r="J414" s="30" t="inlineStr">
        <is>
          <t>512626</t>
        </is>
      </c>
    </row>
    <row r="415">
      <c r="A415" s="30" t="inlineStr">
        <is>
          <t>UEL</t>
        </is>
      </c>
      <c r="B415" s="30" t="inlineStr">
        <is>
          <t>Ujaas Energy Ltd</t>
        </is>
      </c>
      <c r="C415" s="30" t="inlineStr">
        <is>
          <t>power &amp; utilities</t>
        </is>
      </c>
      <c r="D415" s="30" t="inlineStr">
        <is>
          <t>power generation and supply</t>
        </is>
      </c>
      <c r="E415" s="30" t="inlineStr">
        <is>
          <t>smallcap</t>
        </is>
      </c>
      <c r="F415" s="30" t="n">
        <v>3643.36</v>
      </c>
      <c r="G415" s="30" t="n">
        <v>259.47</v>
      </c>
      <c r="H415" s="30" t="n">
        <v>-5</v>
      </c>
      <c r="I415" s="30" t="n">
        <v>13502</v>
      </c>
      <c r="J415" s="30" t="inlineStr">
        <is>
          <t>533644</t>
        </is>
      </c>
    </row>
    <row r="416">
      <c r="A416" s="30" t="inlineStr">
        <is>
          <t>WINDLAS</t>
        </is>
      </c>
      <c r="B416" s="30" t="inlineStr">
        <is>
          <t>Windlas Biotech Ltd</t>
        </is>
      </c>
      <c r="C416" s="30" t="inlineStr">
        <is>
          <t>healthcare</t>
        </is>
      </c>
      <c r="D416" s="30" t="inlineStr">
        <is>
          <t>pharmaceuticals - indian - formulations</t>
        </is>
      </c>
      <c r="E416" s="30" t="inlineStr">
        <is>
          <t>smallcap</t>
        </is>
      </c>
      <c r="F416" s="30" t="n">
        <v>1946.2</v>
      </c>
      <c r="G416" s="30" t="n">
        <v>894.7</v>
      </c>
      <c r="H416" s="30" t="n">
        <v>-5.13</v>
      </c>
      <c r="I416" s="30" t="n">
        <v>157341</v>
      </c>
      <c r="J416" s="30" t="inlineStr">
        <is>
          <t>543329</t>
        </is>
      </c>
    </row>
  </sheetData>
  <autoFilter ref="A1:J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UJJIVANSFB</t>
        </is>
      </c>
      <c r="E2" s="30" t="inlineStr">
        <is>
          <t>Ujjivan Small Finance Bank Ltd</t>
        </is>
      </c>
      <c r="F2" s="30" t="inlineStr">
        <is>
          <t>Banks - Small Finance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22</v>
      </c>
      <c r="K2" s="30" t="n">
        <v>25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SENORES</t>
        </is>
      </c>
      <c r="E3" s="30" t="inlineStr">
        <is>
          <t>Senores Pharmaceuticals Ltd</t>
        </is>
      </c>
      <c r="F3" s="30" t="inlineStr">
        <is>
          <t>Pharma - API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20</v>
      </c>
      <c r="K3" s="30" t="n">
        <v>22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24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HAPPYFORGE</t>
        </is>
      </c>
      <c r="E5" s="30" t="inlineStr">
        <is>
          <t>Happy Forgings Ltd</t>
        </is>
      </c>
      <c r="F5" s="30" t="inlineStr">
        <is>
          <t>Castings, Forgings &amp; Fastners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21</v>
      </c>
      <c r="K5" s="30" t="n">
        <v>28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SKYGOLD</t>
        </is>
      </c>
      <c r="E6" s="30" t="inlineStr">
        <is>
          <t>Sky Gold Ltd</t>
        </is>
      </c>
      <c r="F6" s="30" t="inlineStr">
        <is>
          <t>Diamond, Gems &amp; Jewellery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34</v>
      </c>
      <c r="K6" s="30" t="n">
        <v>23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PRICOLLTD</t>
        </is>
      </c>
      <c r="E7" s="30" t="inlineStr">
        <is>
          <t>Pricol Ltd.</t>
        </is>
      </c>
      <c r="F7" s="30" t="inlineStr">
        <is>
          <t>Auto Ancillaries - 2 Wheelers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25</v>
      </c>
      <c r="K7" s="30" t="n">
        <v>22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SANGHVIMOV</t>
        </is>
      </c>
      <c r="E8" s="30" t="inlineStr">
        <is>
          <t>Sanghvi Movers Limited</t>
        </is>
      </c>
      <c r="F8" s="30" t="inlineStr">
        <is>
          <t>Capital Goods - EPC/Cranes</t>
        </is>
      </c>
      <c r="G8" s="30" t="n">
        <v>2</v>
      </c>
      <c r="H8" s="30" t="inlineStr">
        <is>
          <t>No</t>
        </is>
      </c>
      <c r="I8" s="30" t="inlineStr">
        <is>
          <t>Yes</t>
        </is>
      </c>
      <c r="J8" s="30" t="n">
        <v>21</v>
      </c>
      <c r="K8" s="30" t="n">
        <v>22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BIRLACABLE</t>
        </is>
      </c>
      <c r="E9" s="30" t="inlineStr">
        <is>
          <t>Birla Cable Limited</t>
        </is>
      </c>
      <c r="F9" s="30" t="inlineStr">
        <is>
          <t>Cables - Telecom</t>
        </is>
      </c>
      <c r="G9" s="30" t="n">
        <v>2</v>
      </c>
      <c r="H9" s="30" t="inlineStr">
        <is>
          <t>52W Breakout</t>
        </is>
      </c>
      <c r="I9" s="30" t="inlineStr">
        <is>
          <t>Yes</t>
        </is>
      </c>
      <c r="J9" s="30" t="n">
        <v>6</v>
      </c>
      <c r="K9" s="30" t="n">
        <v>19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PIXTRANS</t>
        </is>
      </c>
      <c r="E10" s="30" t="inlineStr">
        <is>
          <t>Pix Transmission Ltd</t>
        </is>
      </c>
      <c r="F10" s="30" t="inlineStr">
        <is>
          <t>Rubber Processing/Rubber Products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22</v>
      </c>
      <c r="K10" s="30" t="n">
        <v>18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RPTECH</t>
        </is>
      </c>
      <c r="E11" s="30" t="inlineStr">
        <is>
          <t>Rashi Peripherals Ltd</t>
        </is>
      </c>
      <c r="F11" s="30" t="inlineStr">
        <is>
          <t>Trading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23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SYRMA</t>
        </is>
      </c>
      <c r="E12" s="30" t="inlineStr">
        <is>
          <t>Syrma SGS Technology Ltd</t>
        </is>
      </c>
      <c r="F12" s="30" t="inlineStr">
        <is>
          <t>Consumer Electronics - EMS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22</v>
      </c>
      <c r="K12" s="30" t="n">
        <v>20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AUROPHARMA</t>
        </is>
      </c>
      <c r="E13" s="30" t="inlineStr">
        <is>
          <t>Aurobindo Pharma Limited</t>
        </is>
      </c>
      <c r="F13" s="30" t="inlineStr">
        <is>
          <t>Pharma - Formulators</t>
        </is>
      </c>
      <c r="G13" s="30" t="n">
        <v>2</v>
      </c>
      <c r="H13" s="30" t="inlineStr">
        <is>
          <t>52W Breakout</t>
        </is>
      </c>
      <c r="I13" s="30" t="inlineStr">
        <is>
          <t>Yes</t>
        </is>
      </c>
      <c r="J13" s="30" t="n">
        <v>11</v>
      </c>
      <c r="K13" s="30" t="n">
        <v>20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PGIL</t>
        </is>
      </c>
      <c r="E14" s="30" t="inlineStr">
        <is>
          <t>Pearl Global Industries Limited</t>
        </is>
      </c>
      <c r="F14" s="30" t="inlineStr">
        <is>
          <t>Textiles - Readymade Apparel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28</v>
      </c>
      <c r="K14" s="30" t="n">
        <v>26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SJS</t>
        </is>
      </c>
      <c r="E15" s="30" t="inlineStr">
        <is>
          <t>S J S Enterprises Ltd</t>
        </is>
      </c>
      <c r="F15" s="30" t="inlineStr">
        <is>
          <t>Auto Ancillaries - Diversified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23</v>
      </c>
      <c r="K15" s="30" t="n">
        <v>29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KTKBANK</t>
        </is>
      </c>
      <c r="E16" s="30" t="inlineStr">
        <is>
          <t>The Karnataka Bank Limited</t>
        </is>
      </c>
      <c r="F16" s="30" t="inlineStr">
        <is>
          <t>Banks - Private</t>
        </is>
      </c>
      <c r="G16" s="30" t="n">
        <v>2</v>
      </c>
      <c r="H16" s="30" t="inlineStr">
        <is>
          <t>52W Breakout</t>
        </is>
      </c>
      <c r="I16" s="30" t="inlineStr">
        <is>
          <t>Yes</t>
        </is>
      </c>
      <c r="J16" s="30" t="n">
        <v>13</v>
      </c>
      <c r="K16" s="30" t="n">
        <v>24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QUESS</t>
        </is>
      </c>
      <c r="E17" s="30" t="inlineStr">
        <is>
          <t>Quess Corp Limited</t>
        </is>
      </c>
      <c r="F17" s="30" t="inlineStr">
        <is>
          <t>Facility Management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22</v>
      </c>
      <c r="K17" s="30" t="n">
        <v>19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HFCL</t>
        </is>
      </c>
      <c r="E18" s="30" t="inlineStr">
        <is>
          <t>HFCL Ltd</t>
        </is>
      </c>
      <c r="F18" s="30" t="inlineStr">
        <is>
          <t>Telecom Services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23</v>
      </c>
      <c r="K18" s="30" t="n">
        <v>19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ATHERENERG</t>
        </is>
      </c>
      <c r="E19" s="30" t="inlineStr">
        <is>
          <t>Ather Energy Ltd</t>
        </is>
      </c>
      <c r="F19" s="30" t="inlineStr">
        <is>
          <t>Auto - 2 &amp; 3 Wheelers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18</v>
      </c>
      <c r="K19" s="30" t="n">
        <v>22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SAKAR</t>
        </is>
      </c>
      <c r="E20" s="30" t="inlineStr">
        <is>
          <t>Sakar Healthcare Ltd</t>
        </is>
      </c>
      <c r="F20" s="30" t="inlineStr">
        <is>
          <t>Hospitals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TFCILTD</t>
        </is>
      </c>
      <c r="E21" s="30" t="inlineStr">
        <is>
          <t>Tourism Finance Corporation Of India Limited</t>
        </is>
      </c>
      <c r="F21" s="30" t="inlineStr">
        <is>
          <t>Finance - PSU Lending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23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UNIPARTS</t>
        </is>
      </c>
      <c r="E22" s="30" t="inlineStr">
        <is>
          <t>Uniparts India Ltd</t>
        </is>
      </c>
      <c r="F22" s="30" t="inlineStr">
        <is>
          <t>Castings, Forgings &amp; Fastners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26</v>
      </c>
      <c r="K22" s="30" t="n">
        <v>29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UNIVCABLES</t>
        </is>
      </c>
      <c r="E23" s="30" t="inlineStr">
        <is>
          <t>Universal Cables Limited</t>
        </is>
      </c>
      <c r="F23" s="30" t="inlineStr">
        <is>
          <t>Cables - Power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26</v>
      </c>
      <c r="K23" s="30" t="n">
        <v>22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E2E</t>
        </is>
      </c>
      <c r="E24" s="30" t="inlineStr">
        <is>
          <t>E2E Networks Ltd</t>
        </is>
      </c>
      <c r="F24" s="30" t="inlineStr">
        <is>
          <t>Data Centre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20</v>
      </c>
      <c r="K24" s="30" t="n">
        <v>17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KDDL</t>
        </is>
      </c>
      <c r="E25" s="30" t="inlineStr">
        <is>
          <t>Kddl Limited</t>
        </is>
      </c>
      <c r="F25" s="30" t="inlineStr">
        <is>
          <t>Watches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20</v>
      </c>
      <c r="K25" s="30" t="n">
        <v>24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CPPLUS</t>
        </is>
      </c>
      <c r="E26" s="30" t="inlineStr">
        <is>
          <t>Aditya Infotech Ltd</t>
        </is>
      </c>
      <c r="F26" s="30" t="inlineStr">
        <is>
          <t>CCTV Camera</t>
        </is>
      </c>
      <c r="G26" s="30" t="n">
        <v>2</v>
      </c>
      <c r="H26" s="30" t="inlineStr">
        <is>
          <t>52W Breakout</t>
        </is>
      </c>
      <c r="I26" s="30" t="inlineStr">
        <is>
          <t>Yes</t>
        </is>
      </c>
      <c r="J26" s="30" t="n">
        <v>12</v>
      </c>
      <c r="K26" s="30" t="n">
        <v>1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REDINGTON</t>
        </is>
      </c>
      <c r="E27" s="30" t="inlineStr">
        <is>
          <t>Redington (india) Limited</t>
        </is>
      </c>
      <c r="F27" s="30" t="inlineStr">
        <is>
          <t>unknown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0</v>
      </c>
      <c r="K27" s="30" t="n">
        <v>22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MARKSANS</t>
        </is>
      </c>
      <c r="E28" s="30" t="inlineStr">
        <is>
          <t>Marksans Pharma Limited</t>
        </is>
      </c>
      <c r="F28" s="30" t="inlineStr">
        <is>
          <t>Pharma - Formulators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30</v>
      </c>
      <c r="K28" s="30" t="n">
        <v>21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INDSWFTLAB</t>
        </is>
      </c>
      <c r="E29" s="30" t="inlineStr">
        <is>
          <t>Ind-swift Laboratories Limited</t>
        </is>
      </c>
      <c r="F29" s="30" t="inlineStr">
        <is>
          <t>Pharma - API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28</v>
      </c>
      <c r="K29" s="30" t="n">
        <v>27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MPSLTD</t>
        </is>
      </c>
      <c r="E30" s="30" t="inlineStr">
        <is>
          <t>Mps Limited</t>
        </is>
      </c>
      <c r="F30" s="30" t="inlineStr">
        <is>
          <t>E-Commerce - Platform - Utility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20</v>
      </c>
      <c r="K30" s="30" t="n">
        <v>15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AUBANK</t>
        </is>
      </c>
      <c r="E31" s="30" t="inlineStr">
        <is>
          <t>AU Small Finance Bank Ltd</t>
        </is>
      </c>
      <c r="F31" s="30" t="inlineStr">
        <is>
          <t>Banks - Small Finance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14</v>
      </c>
      <c r="K31" s="30" t="n">
        <v>21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CENTENKA</t>
        </is>
      </c>
      <c r="E32" s="30" t="inlineStr">
        <is>
          <t>Century Enka Limited</t>
        </is>
      </c>
      <c r="F32" s="30" t="inlineStr">
        <is>
          <t>Textiles - Manmade Fibre - PFY/PSF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19</v>
      </c>
      <c r="K32" s="30" t="n">
        <v>30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NEULANDLAB</t>
        </is>
      </c>
      <c r="E33" s="30" t="inlineStr">
        <is>
          <t>Neuland Laboratories Limited</t>
        </is>
      </c>
      <c r="F33" s="30" t="inlineStr">
        <is>
          <t>Pharma - API &amp; CRAMS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26</v>
      </c>
      <c r="K33" s="30" t="n">
        <v>26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VADILALIND</t>
        </is>
      </c>
      <c r="E34" s="30" t="inlineStr">
        <is>
          <t>Vadilal Industries Limited</t>
        </is>
      </c>
      <c r="F34" s="30" t="inlineStr">
        <is>
          <t>FMCG - Dairy Products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25</v>
      </c>
      <c r="K34" s="30" t="n">
        <v>30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AVALON</t>
        </is>
      </c>
      <c r="E35" s="30" t="inlineStr">
        <is>
          <t>Avalon Technologies Ltd</t>
        </is>
      </c>
      <c r="F35" s="30" t="inlineStr">
        <is>
          <t>Consumer Electronics - EMS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24</v>
      </c>
      <c r="K35" s="30" t="n">
        <v>21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RRKABEL</t>
        </is>
      </c>
      <c r="E36" s="30" t="inlineStr">
        <is>
          <t>R R Kabel Ltd</t>
        </is>
      </c>
      <c r="F36" s="30" t="inlineStr">
        <is>
          <t>Cables - Power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19</v>
      </c>
      <c r="K36" s="30" t="n">
        <v>29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DIVGIITTS</t>
        </is>
      </c>
      <c r="E37" s="30" t="inlineStr">
        <is>
          <t>Divgi Torqtransfer Systems Ltd</t>
        </is>
      </c>
      <c r="F37" s="30" t="inlineStr">
        <is>
          <t>Auto Ancillaries - Transmission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27</v>
      </c>
      <c r="K37" s="30" t="n">
        <v>27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STLTECH</t>
        </is>
      </c>
      <c r="E38" s="30" t="inlineStr">
        <is>
          <t>Sterlite Technologies Limited</t>
        </is>
      </c>
      <c r="F38" s="30" t="inlineStr">
        <is>
          <t>Cables - Telecom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20</v>
      </c>
      <c r="K38" s="30" t="n">
        <v>20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AETHER</t>
        </is>
      </c>
      <c r="E39" s="30" t="inlineStr">
        <is>
          <t>Aether Industries Ltd</t>
        </is>
      </c>
      <c r="F39" s="30" t="inlineStr">
        <is>
          <t>Speciality Chemicals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20</v>
      </c>
      <c r="K39" s="30" t="n">
        <v>29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KENNAMET</t>
        </is>
      </c>
      <c r="E40" s="30" t="inlineStr">
        <is>
          <t>Kennametal India Ltd</t>
        </is>
      </c>
      <c r="F40" s="30" t="inlineStr">
        <is>
          <t>Castings, Forgings &amp; Fastners</t>
        </is>
      </c>
      <c r="G40" s="30" t="n">
        <v>2</v>
      </c>
      <c r="H40" s="30" t="inlineStr">
        <is>
          <t>52W Breakout</t>
        </is>
      </c>
      <c r="I40" s="30" t="inlineStr">
        <is>
          <t>Yes</t>
        </is>
      </c>
      <c r="J40" s="30" t="n">
        <v>18</v>
      </c>
      <c r="K40" s="30" t="n">
        <v>18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FIEMIND</t>
        </is>
      </c>
      <c r="E41" s="30" t="inlineStr">
        <is>
          <t>Fiem Industries Limited</t>
        </is>
      </c>
      <c r="F41" s="30" t="inlineStr">
        <is>
          <t>Auto Ancillaries - 2&amp;3 Wheelers</t>
        </is>
      </c>
      <c r="G41" s="30" t="n">
        <v>2</v>
      </c>
      <c r="H41" s="30" t="inlineStr">
        <is>
          <t>52W Breakout</t>
        </is>
      </c>
      <c r="I41" s="30" t="inlineStr">
        <is>
          <t>Yes</t>
        </is>
      </c>
      <c r="J41" s="30" t="n">
        <v>18</v>
      </c>
      <c r="K41" s="30" t="n">
        <v>16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WELCORP</t>
        </is>
      </c>
      <c r="E42" s="30" t="inlineStr">
        <is>
          <t>Welspun Corp Limited</t>
        </is>
      </c>
      <c r="F42" s="30" t="inlineStr">
        <is>
          <t>DI Pipes/Saw Pipes</t>
        </is>
      </c>
      <c r="G42" s="30" t="n">
        <v>2</v>
      </c>
      <c r="H42" s="30" t="inlineStr">
        <is>
          <t>52W Breakout</t>
        </is>
      </c>
      <c r="I42" s="30" t="inlineStr">
        <is>
          <t>Yes</t>
        </is>
      </c>
      <c r="J42" s="30" t="n">
        <v>16</v>
      </c>
      <c r="K42" s="30" t="n">
        <v>30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SANSERA</t>
        </is>
      </c>
      <c r="E43" s="30" t="inlineStr">
        <is>
          <t>Sansera Engineering Ltd</t>
        </is>
      </c>
      <c r="F43" s="30" t="inlineStr">
        <is>
          <t>Auto Ancillaries - Diversified</t>
        </is>
      </c>
      <c r="G43" s="30" t="n">
        <v>2</v>
      </c>
      <c r="H43" s="30" t="inlineStr">
        <is>
          <t>52W Breakout</t>
        </is>
      </c>
      <c r="I43" s="30" t="inlineStr">
        <is>
          <t>Yes</t>
        </is>
      </c>
      <c r="J43" s="30" t="n">
        <v>17</v>
      </c>
      <c r="K43" s="30" t="n">
        <v>26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SHILPAMED</t>
        </is>
      </c>
      <c r="E44" s="30" t="inlineStr">
        <is>
          <t>Shilpa Medicare Limited</t>
        </is>
      </c>
      <c r="F44" s="30" t="inlineStr">
        <is>
          <t>Pharma - API &amp; CRAMS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26</v>
      </c>
      <c r="K44" s="30" t="n">
        <v>25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LAURUSLABS</t>
        </is>
      </c>
      <c r="E45" s="30" t="inlineStr">
        <is>
          <t>Laurus Labs Limited</t>
        </is>
      </c>
      <c r="F45" s="30" t="inlineStr">
        <is>
          <t>Pharma - API &amp; CRAMS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21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GLAND</t>
        </is>
      </c>
      <c r="E46" s="30" t="inlineStr">
        <is>
          <t>Gland Pharma Ltd</t>
        </is>
      </c>
      <c r="F46" s="30" t="inlineStr">
        <is>
          <t>Pharma - API &amp; CRAMS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21</v>
      </c>
      <c r="K46" s="30" t="n">
        <v>19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MACPOWER</t>
        </is>
      </c>
      <c r="E47" s="30" t="inlineStr">
        <is>
          <t>Macpower CNC Machines Ltd</t>
        </is>
      </c>
      <c r="F47" s="30" t="inlineStr">
        <is>
          <t>CNC - Machines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29</v>
      </c>
      <c r="K47" s="30" t="n">
        <v>24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ARVSMART</t>
        </is>
      </c>
      <c r="E48" s="30" t="inlineStr">
        <is>
          <t>Arvind Smartspaces Limited</t>
        </is>
      </c>
      <c r="F48" s="30" t="inlineStr">
        <is>
          <t>Realty - Construction &amp; Contracting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26</v>
      </c>
      <c r="K48" s="30" t="n">
        <v>8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CHENNPETRO</t>
        </is>
      </c>
      <c r="E49" s="30" t="inlineStr">
        <is>
          <t>Chennai Petroleum Corporation Limited</t>
        </is>
      </c>
      <c r="F49" s="30" t="inlineStr">
        <is>
          <t>Refineries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29</v>
      </c>
      <c r="K49" s="30" t="n">
        <v>18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IRISDOREME</t>
        </is>
      </c>
      <c r="E50" s="30" t="inlineStr">
        <is>
          <t>Iris Clothings Ltd</t>
        </is>
      </c>
      <c r="F50" s="30" t="inlineStr">
        <is>
          <t>Textiles - Readymade Apparel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22</v>
      </c>
      <c r="K50" s="30" t="n">
        <v>30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FINCABLES</t>
        </is>
      </c>
      <c r="E51" s="30" t="inlineStr">
        <is>
          <t>Finolex Cables Limited</t>
        </is>
      </c>
      <c r="F51" s="30" t="inlineStr">
        <is>
          <t>Cables - Telecom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23</v>
      </c>
      <c r="K51" s="30" t="n">
        <v>14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MOTHERSON</t>
        </is>
      </c>
      <c r="E52" s="30" t="inlineStr">
        <is>
          <t>Samvardhana Motherson International Ltd</t>
        </is>
      </c>
      <c r="F52" s="30" t="inlineStr">
        <is>
          <t>Auto Ancillaries - Diversified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17</v>
      </c>
      <c r="K52" s="30" t="n">
        <v>25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PIDILITIND</t>
        </is>
      </c>
      <c r="E53" s="30" t="inlineStr">
        <is>
          <t>Pidilite Industries Limited</t>
        </is>
      </c>
      <c r="F53" s="30" t="inlineStr">
        <is>
          <t>Speciality Chemicals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14</v>
      </c>
      <c r="K53" s="30" t="n">
        <v>27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SBCL</t>
        </is>
      </c>
      <c r="E54" s="30" t="inlineStr">
        <is>
          <t>Shivalik Bimetal Controls Ltd</t>
        </is>
      </c>
      <c r="F54" s="30" t="inlineStr">
        <is>
          <t>Shunt Resistors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20</v>
      </c>
      <c r="K54" s="30" t="n">
        <v>23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TCPLPACK</t>
        </is>
      </c>
      <c r="E55" s="30" t="inlineStr">
        <is>
          <t>TCPL Packaging Ltd</t>
        </is>
      </c>
      <c r="F55" s="30" t="inlineStr">
        <is>
          <t>Packaging - FMCG/Consumers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22</v>
      </c>
      <c r="K55" s="30" t="n">
        <v>12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ENTERO</t>
        </is>
      </c>
      <c r="E56" s="30" t="inlineStr">
        <is>
          <t>Entero Healthcare Solutions Ltd</t>
        </is>
      </c>
      <c r="F56" s="30" t="inlineStr">
        <is>
          <t>Pharmacy Distribution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30</v>
      </c>
      <c r="K56" s="30" t="n">
        <v>14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SHRIRAMFIN</t>
        </is>
      </c>
      <c r="E57" s="30" t="inlineStr">
        <is>
          <t>Shriram Finance Ltd</t>
        </is>
      </c>
      <c r="F57" s="30" t="inlineStr">
        <is>
          <t>Finance &amp; Investments - CV Finance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23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AKUMS</t>
        </is>
      </c>
      <c r="E58" s="30" t="inlineStr">
        <is>
          <t>Akums Drugs &amp; Pharmaceuticals Ltd</t>
        </is>
      </c>
      <c r="F58" s="30" t="inlineStr">
        <is>
          <t>Pharma - Formulators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24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KALYANKJIL</t>
        </is>
      </c>
      <c r="E59" s="30" t="inlineStr">
        <is>
          <t>Kalyan Jewellers India Ltd</t>
        </is>
      </c>
      <c r="F59" s="30" t="inlineStr">
        <is>
          <t>Diamond, Gems &amp; Jewellery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21</v>
      </c>
      <c r="K59" s="30" t="n">
        <v>17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KRISHANA</t>
        </is>
      </c>
      <c r="E60" s="30" t="inlineStr">
        <is>
          <t>Krishana Phoschem Ltd</t>
        </is>
      </c>
      <c r="F60" s="30" t="inlineStr">
        <is>
          <t>Fertilisers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22</v>
      </c>
      <c r="K60" s="30" t="n">
        <v>22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SIGMAADV</t>
        </is>
      </c>
      <c r="E61" s="30" t="inlineStr">
        <is>
          <t>Sigma Advanced System Ltd</t>
        </is>
      </c>
      <c r="F61" s="30" t="inlineStr">
        <is>
          <t>Aerospace &amp; Defence - Equipments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20</v>
      </c>
      <c r="K61" s="30" t="n">
        <v>24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ANANDRATHI</t>
        </is>
      </c>
      <c r="E62" s="30" t="inlineStr">
        <is>
          <t>Anand Rathi Wealth Ltd</t>
        </is>
      </c>
      <c r="F62" s="30" t="inlineStr">
        <is>
          <t>Finance - Capital Markets - Wealth Management</t>
        </is>
      </c>
      <c r="G62" s="30" t="n">
        <v>2</v>
      </c>
      <c r="H62" s="30" t="inlineStr">
        <is>
          <t>52W Breakout</t>
        </is>
      </c>
      <c r="I62" s="30" t="inlineStr">
        <is>
          <t>Yes</t>
        </is>
      </c>
      <c r="J62" s="30" t="n">
        <v>10</v>
      </c>
      <c r="K62" s="30" t="n">
        <v>16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PRECWIRE</t>
        </is>
      </c>
      <c r="E63" s="30" t="inlineStr">
        <is>
          <t>Precision Wires India Limited</t>
        </is>
      </c>
      <c r="F63" s="30" t="inlineStr">
        <is>
          <t>Copper Wires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19</v>
      </c>
      <c r="K63" s="30" t="n">
        <v>10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KINGFA</t>
        </is>
      </c>
      <c r="E64" s="30" t="inlineStr">
        <is>
          <t>Kingfa Science &amp; Technology (india) Limited</t>
        </is>
      </c>
      <c r="F64" s="30" t="inlineStr">
        <is>
          <t>Plastics - Plastic &amp; Plastic Products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19</v>
      </c>
      <c r="K64" s="30" t="n">
        <v>8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YASHO</t>
        </is>
      </c>
      <c r="E65" s="30" t="inlineStr">
        <is>
          <t>Yasho Industries Ltd</t>
        </is>
      </c>
      <c r="F65" s="30" t="inlineStr">
        <is>
          <t>Speciality Chemicals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24</v>
      </c>
      <c r="K65" s="30" t="n">
        <v>30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KEI</t>
        </is>
      </c>
      <c r="E66" s="30" t="inlineStr">
        <is>
          <t>Kei Industries Limited</t>
        </is>
      </c>
      <c r="F66" s="30" t="inlineStr">
        <is>
          <t>Cables - Power</t>
        </is>
      </c>
      <c r="G66" s="30" t="n">
        <v>2</v>
      </c>
      <c r="H66" s="30" t="inlineStr">
        <is>
          <t>52W Breakout</t>
        </is>
      </c>
      <c r="I66" s="30" t="inlineStr">
        <is>
          <t>Yes</t>
        </is>
      </c>
      <c r="J66" s="30" t="n">
        <v>17</v>
      </c>
      <c r="K66" s="30" t="n">
        <v>14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DIVISLAB</t>
        </is>
      </c>
      <c r="E67" s="30" t="inlineStr">
        <is>
          <t>Divi's Laboratories Limited</t>
        </is>
      </c>
      <c r="F67" s="30" t="inlineStr">
        <is>
          <t>Pharma - API &amp; CRAMS</t>
        </is>
      </c>
      <c r="G67" s="30" t="n">
        <v>2</v>
      </c>
      <c r="H67" s="30" t="inlineStr">
        <is>
          <t>52W Breakout</t>
        </is>
      </c>
      <c r="I67" s="30" t="inlineStr">
        <is>
          <t>Yes</t>
        </is>
      </c>
      <c r="J67" s="30" t="n">
        <v>17</v>
      </c>
      <c r="K67" s="30" t="n">
        <v>21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MOREPENLAB</t>
        </is>
      </c>
      <c r="E68" s="30" t="inlineStr">
        <is>
          <t>Morepen Laboratories Limited</t>
        </is>
      </c>
      <c r="F68" s="30" t="inlineStr">
        <is>
          <t>Pharma - API &amp; CRAMS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20</v>
      </c>
      <c r="K68" s="30" t="n">
        <v>12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KABRAEXTRU</t>
        </is>
      </c>
      <c r="E69" s="30" t="inlineStr">
        <is>
          <t>Kabra Extrusion Technik Limited</t>
        </is>
      </c>
      <c r="F69" s="30" t="inlineStr">
        <is>
          <t>Capital Goods - Engineering Heavy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21</v>
      </c>
      <c r="K69" s="30" t="n">
        <v>19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AARTIIND</t>
        </is>
      </c>
      <c r="E70" s="30" t="inlineStr">
        <is>
          <t>Aarti Industries Limited</t>
        </is>
      </c>
      <c r="F70" s="30" t="inlineStr">
        <is>
          <t>Speciality Chemicals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21</v>
      </c>
      <c r="K70" s="30" t="n">
        <v>13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TDPOWERSYS</t>
        </is>
      </c>
      <c r="E71" s="30" t="inlineStr">
        <is>
          <t>Td Power Systems Limited</t>
        </is>
      </c>
      <c r="F71" s="30" t="inlineStr">
        <is>
          <t>Capital Goods - Gensets/Turbines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25</v>
      </c>
      <c r="K71" s="30" t="n">
        <v>10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NATIONALUM</t>
        </is>
      </c>
      <c r="E72" s="30" t="inlineStr">
        <is>
          <t>National Aluminium Company Limited</t>
        </is>
      </c>
      <c r="F72" s="30" t="inlineStr">
        <is>
          <t>unknown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0</v>
      </c>
      <c r="K72" s="30" t="n">
        <v>8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AARTIPHARM</t>
        </is>
      </c>
      <c r="E73" s="30" t="inlineStr">
        <is>
          <t>Aarti Pharmalabs Ltd</t>
        </is>
      </c>
      <c r="F73" s="30" t="inlineStr">
        <is>
          <t>Pharma - API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22</v>
      </c>
      <c r="K73" s="30" t="n">
        <v>3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COFORGE</t>
        </is>
      </c>
      <c r="E74" s="30" t="inlineStr">
        <is>
          <t>Coforge (Niit Tech) Ltd</t>
        </is>
      </c>
      <c r="F74" s="30" t="inlineStr">
        <is>
          <t>IT - Software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11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MMFL</t>
        </is>
      </c>
      <c r="E75" s="30" t="inlineStr">
        <is>
          <t>Mm Forgings Limited</t>
        </is>
      </c>
      <c r="F75" s="30" t="inlineStr">
        <is>
          <t>Castings, Forgings &amp; Fastners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21</v>
      </c>
      <c r="K75" s="30" t="n">
        <v>22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SAILIFE</t>
        </is>
      </c>
      <c r="E76" s="30" t="inlineStr">
        <is>
          <t>Sai Life Sciences Ltd</t>
        </is>
      </c>
      <c r="F76" s="30" t="inlineStr">
        <is>
          <t>Pharma - API &amp; CRAMS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15</v>
      </c>
      <c r="K76" s="30" t="n">
        <v>27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BOSCH-HCIL</t>
        </is>
      </c>
      <c r="E77" s="30" t="inlineStr">
        <is>
          <t>Bosch Home Comfort India Ltd</t>
        </is>
      </c>
      <c r="F77" s="30" t="inlineStr">
        <is>
          <t>Consumer Electronics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21</v>
      </c>
      <c r="K77" s="30" t="n">
        <v>7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ASKAUTOLTD</t>
        </is>
      </c>
      <c r="E78" s="30" t="inlineStr">
        <is>
          <t>ASK Automotive Ltd</t>
        </is>
      </c>
      <c r="F78" s="30" t="inlineStr">
        <is>
          <t>Auto Ancillaries - 2 Wheelers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21</v>
      </c>
      <c r="K78" s="30" t="n">
        <v>22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KAPSTON</t>
        </is>
      </c>
      <c r="E79" s="30" t="inlineStr">
        <is>
          <t>Kapston Services Ltd</t>
        </is>
      </c>
      <c r="F79" s="30" t="inlineStr">
        <is>
          <t>Services - Others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20</v>
      </c>
      <c r="K79" s="30" t="n">
        <v>30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BHEL</t>
        </is>
      </c>
      <c r="E80" s="30" t="inlineStr">
        <is>
          <t>Bharat Heavy Electricals Limited</t>
        </is>
      </c>
      <c r="F80" s="30" t="inlineStr">
        <is>
          <t>Capital Goods - Engineering Heavy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20</v>
      </c>
      <c r="K80" s="30" t="n">
        <v>14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COMSYN</t>
        </is>
      </c>
      <c r="E81" s="30" t="inlineStr">
        <is>
          <t>Commercial Syn Bags Ltd</t>
        </is>
      </c>
      <c r="F81" s="30" t="inlineStr">
        <is>
          <t>Packaging - Polysacks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16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JGCHEM</t>
        </is>
      </c>
      <c r="E82" s="30" t="inlineStr">
        <is>
          <t>J.G.Chemicals Ltd</t>
        </is>
      </c>
      <c r="F82" s="30" t="inlineStr">
        <is>
          <t>Chemicals - Inorganic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25</v>
      </c>
      <c r="K82" s="30" t="n">
        <v>17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LUMAXTECH</t>
        </is>
      </c>
      <c r="E83" s="30" t="inlineStr">
        <is>
          <t>Lumax Auto Technologies Limited</t>
        </is>
      </c>
      <c r="F83" s="30" t="inlineStr">
        <is>
          <t>Auto Ancillaries - Diversified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27</v>
      </c>
      <c r="K83" s="30" t="n">
        <v>9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INDOTECH</t>
        </is>
      </c>
      <c r="E84" s="30" t="inlineStr">
        <is>
          <t>Indo Tech Transformers Limited</t>
        </is>
      </c>
      <c r="F84" s="30" t="inlineStr">
        <is>
          <t>Capital Goods - Transformers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19</v>
      </c>
      <c r="K84" s="30" t="n">
        <v>28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SOTL</t>
        </is>
      </c>
      <c r="E85" s="30" t="inlineStr">
        <is>
          <t>Savita Oil Technologies Limited</t>
        </is>
      </c>
      <c r="F85" s="30" t="inlineStr">
        <is>
          <t>Petrochem - Others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26</v>
      </c>
      <c r="K85" s="30" t="n">
        <v>23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PAYTM</t>
        </is>
      </c>
      <c r="E86" s="30" t="inlineStr">
        <is>
          <t>One 97 Communications Ltd</t>
        </is>
      </c>
      <c r="F86" s="30" t="inlineStr">
        <is>
          <t>E-Commerce - Platform - Utility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22</v>
      </c>
      <c r="K86" s="30" t="n">
        <v>20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EMIL</t>
        </is>
      </c>
      <c r="E87" s="30" t="inlineStr">
        <is>
          <t>Electronics Mart India Ltd</t>
        </is>
      </c>
      <c r="F87" s="30" t="inlineStr">
        <is>
          <t>Retail - Electronics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32</v>
      </c>
      <c r="K87" s="30" t="n">
        <v>6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DOLPHIN</t>
        </is>
      </c>
      <c r="E88" s="30" t="inlineStr">
        <is>
          <t>Dolphin Offshore Enterprises (India) Ltd</t>
        </is>
      </c>
      <c r="F88" s="30" t="inlineStr">
        <is>
          <t>Oil Drilling &amp; Exploration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21</v>
      </c>
      <c r="K88" s="30" t="n">
        <v>8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KRN</t>
        </is>
      </c>
      <c r="E89" s="30" t="inlineStr">
        <is>
          <t>KRN Heat Exchanger and Refrigeration Ltd</t>
        </is>
      </c>
      <c r="F89" s="30" t="inlineStr">
        <is>
          <t>unknown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0</v>
      </c>
      <c r="K89" s="30" t="n">
        <v>7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ROSSTECH</t>
        </is>
      </c>
      <c r="E90" s="30" t="inlineStr">
        <is>
          <t>Rossell Techsys Ltd</t>
        </is>
      </c>
      <c r="F90" s="30" t="inlineStr">
        <is>
          <t>unknown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0</v>
      </c>
      <c r="K90" s="30" t="n">
        <v>10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RAMRAT</t>
        </is>
      </c>
      <c r="E91" s="30" t="inlineStr">
        <is>
          <t>Ram Ratna Wires Ltd</t>
        </is>
      </c>
      <c r="F91" s="30" t="inlineStr">
        <is>
          <t>Copper Wires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21</v>
      </c>
      <c r="K91" s="30" t="n">
        <v>14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KOLTEPATIL</t>
        </is>
      </c>
      <c r="E92" s="30" t="inlineStr">
        <is>
          <t>Kolte - Patil Developers Limited</t>
        </is>
      </c>
      <c r="F92" s="30" t="inlineStr">
        <is>
          <t>Realty - Construction &amp; Contracting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26</v>
      </c>
      <c r="K92" s="30" t="n">
        <v>11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OFSS</t>
        </is>
      </c>
      <c r="E93" s="30" t="inlineStr">
        <is>
          <t>Oracle Financial Services Software Limited</t>
        </is>
      </c>
      <c r="F93" s="30" t="inlineStr">
        <is>
          <t>IT Product Companies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21</v>
      </c>
      <c r="K93" s="30" t="n">
        <v>19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NAVINFLUOR</t>
        </is>
      </c>
      <c r="E94" s="30" t="inlineStr">
        <is>
          <t>Navin Fluorine International Limited</t>
        </is>
      </c>
      <c r="F94" s="30" t="inlineStr">
        <is>
          <t>Chemicals - Flourine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23</v>
      </c>
      <c r="K94" s="30" t="n">
        <v>21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DEEPINDS</t>
        </is>
      </c>
      <c r="E95" s="30" t="inlineStr">
        <is>
          <t>Deep Industries Ltd</t>
        </is>
      </c>
      <c r="F95" s="30" t="inlineStr">
        <is>
          <t>Oil Drilling &amp; Exploration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22</v>
      </c>
      <c r="K95" s="30" t="n">
        <v>12</v>
      </c>
    </row>
    <row r="96">
      <c r="A96" s="30">
        <f>IF(B96=0,"",ROW()-1)</f>
        <v/>
      </c>
      <c r="B96" s="31">
        <f>IFERROR(INDEX('Monit Non Financial'!$B$2:$B$400, MATCH(D96, 'Monit Non Financial'!$C$2:$C$400, 0)), IFERROR(INDEX('Monit Banks NBFC'!$B$2:$B$100, MATCH(D96, 'Monit Banks NBFC'!$C$2:$C$100, 0)), 0))</f>
        <v/>
      </c>
      <c r="C96" s="30">
        <f>IFERROR(INDEX('Monit Non Financial'!$L$2:$L$400, MATCH(D96, 'Monit Non Financial'!$C$2:$C$400, 0)), IFERROR(INDEX('Monit Banks NBFC'!$L$2:$L$100, MATCH(D96, 'Monit Banks NBFC'!$C$2:$C$100, 0)), ""))</f>
        <v/>
      </c>
      <c r="D96" s="30" t="inlineStr">
        <is>
          <t>IMFA</t>
        </is>
      </c>
      <c r="E96" s="30" t="inlineStr">
        <is>
          <t>Indian Metals &amp; Ferro Alloys Limited</t>
        </is>
      </c>
      <c r="F96" s="30" t="inlineStr">
        <is>
          <t>Mining/Minerals</t>
        </is>
      </c>
      <c r="G96" s="30" t="n">
        <v>2</v>
      </c>
      <c r="H96" s="30" t="inlineStr">
        <is>
          <t>No</t>
        </is>
      </c>
      <c r="I96" s="30" t="inlineStr">
        <is>
          <t>Yes</t>
        </is>
      </c>
      <c r="J96" s="30" t="n">
        <v>19</v>
      </c>
      <c r="K96" s="30" t="n">
        <v>9</v>
      </c>
    </row>
    <row r="97">
      <c r="A97" s="30">
        <f>IF(B97=0,"",ROW()-1)</f>
        <v/>
      </c>
      <c r="B97" s="31">
        <f>IFERROR(INDEX('Monit Non Financial'!$B$2:$B$400, MATCH(D97, 'Monit Non Financial'!$C$2:$C$400, 0)), IFERROR(INDEX('Monit Banks NBFC'!$B$2:$B$100, MATCH(D97, 'Monit Banks NBFC'!$C$2:$C$100, 0)), 0))</f>
        <v/>
      </c>
      <c r="C97" s="30">
        <f>IFERROR(INDEX('Monit Non Financial'!$L$2:$L$400, MATCH(D97, 'Monit Non Financial'!$C$2:$C$400, 0)), IFERROR(INDEX('Monit Banks NBFC'!$L$2:$L$100, MATCH(D97, 'Monit Banks NBFC'!$C$2:$C$100, 0)), ""))</f>
        <v/>
      </c>
      <c r="D97" s="30" t="inlineStr">
        <is>
          <t>SILVERTUC</t>
        </is>
      </c>
      <c r="E97" s="30" t="inlineStr">
        <is>
          <t>Silver Touch Technologies Ltd</t>
        </is>
      </c>
      <c r="F97" s="30" t="inlineStr">
        <is>
          <t>IT - Software</t>
        </is>
      </c>
      <c r="G97" s="30" t="n">
        <v>2</v>
      </c>
      <c r="H97" s="30" t="inlineStr">
        <is>
          <t>No</t>
        </is>
      </c>
      <c r="I97" s="30" t="inlineStr">
        <is>
          <t>Yes</t>
        </is>
      </c>
      <c r="J97" s="30" t="n">
        <v>26</v>
      </c>
      <c r="K97" s="30" t="n">
        <v>19</v>
      </c>
    </row>
    <row r="98">
      <c r="A98" s="30">
        <f>IF(B98=0,"",ROW()-1)</f>
        <v/>
      </c>
      <c r="B98" s="31">
        <f>IFERROR(INDEX('Monit Non Financial'!$B$2:$B$400, MATCH(D98, 'Monit Non Financial'!$C$2:$C$400, 0)), IFERROR(INDEX('Monit Banks NBFC'!$B$2:$B$100, MATCH(D98, 'Monit Banks NBFC'!$C$2:$C$100, 0)), 0))</f>
        <v/>
      </c>
      <c r="C98" s="30">
        <f>IFERROR(INDEX('Monit Non Financial'!$L$2:$L$400, MATCH(D98, 'Monit Non Financial'!$C$2:$C$400, 0)), IFERROR(INDEX('Monit Banks NBFC'!$L$2:$L$100, MATCH(D98, 'Monit Banks NBFC'!$C$2:$C$100, 0)), ""))</f>
        <v/>
      </c>
      <c r="D98" s="30" t="inlineStr">
        <is>
          <t>GIPCL</t>
        </is>
      </c>
      <c r="E98" s="30" t="inlineStr">
        <is>
          <t>Gujarat Industries Power Company Limited</t>
        </is>
      </c>
      <c r="F98" s="30" t="inlineStr">
        <is>
          <t>Power - Generation/Distribution</t>
        </is>
      </c>
      <c r="G98" s="30" t="n">
        <v>2</v>
      </c>
      <c r="H98" s="30" t="inlineStr">
        <is>
          <t>No</t>
        </is>
      </c>
      <c r="I98" s="30" t="inlineStr">
        <is>
          <t>Yes</t>
        </is>
      </c>
      <c r="J98" s="30" t="n">
        <v>20</v>
      </c>
      <c r="K98" s="30" t="n">
        <v>3</v>
      </c>
    </row>
  </sheetData>
  <autoFilter ref="A1:K98"/>
  <conditionalFormatting sqref="G2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IF(B2=0,"",RANK(B2,$B$2:$B$375,0))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646.49</v>
      </c>
      <c r="I2" s="31" t="n">
        <v>652.1</v>
      </c>
      <c r="J2" s="31" t="n">
        <v>5.91</v>
      </c>
      <c r="K2" s="31" t="n">
        <v>246811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74.26000000000001</v>
      </c>
      <c r="P2" s="31" t="n">
        <v>59.83</v>
      </c>
      <c r="Q2" s="31" t="n">
        <v>461.51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-11.27</v>
      </c>
      <c r="U2" s="31" t="n">
        <v>120.79</v>
      </c>
      <c r="V2" s="31" t="n">
        <v>148.83</v>
      </c>
      <c r="W2" s="31" t="n">
        <v>43.57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IF(B3=0,"",RANK(B3,$B$2:$B$375,0))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VINDHYATEL</t>
        </is>
      </c>
      <c r="D3" s="30" t="inlineStr">
        <is>
          <t>Vindhya Telelinks Limited</t>
        </is>
      </c>
      <c r="E3" s="30" t="inlineStr">
        <is>
          <t>realty</t>
        </is>
      </c>
      <c r="F3" s="30" t="inlineStr">
        <is>
          <t>construction</t>
        </is>
      </c>
      <c r="G3" s="30" t="inlineStr">
        <is>
          <t>smallcap</t>
        </is>
      </c>
      <c r="H3" s="31" t="n">
        <v>2878.57</v>
      </c>
      <c r="I3" s="31" t="n">
        <v>2582.7</v>
      </c>
      <c r="J3" s="31" t="n">
        <v>6.33</v>
      </c>
      <c r="K3" s="31" t="n">
        <v>174110</v>
      </c>
      <c r="L3" s="30" t="n">
        <v>93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68.73</v>
      </c>
      <c r="P3" s="31" t="n">
        <v>51.97</v>
      </c>
      <c r="Q3" s="31" t="n">
        <v>1821.11</v>
      </c>
      <c r="R3" s="30" t="inlineStr">
        <is>
          <t>Volume Spike &amp; Near 52W High Breakout</t>
        </is>
      </c>
      <c r="S3" s="30" t="inlineStr">
        <is>
          <t>Nifty Realty</t>
        </is>
      </c>
      <c r="T3" s="31" t="n">
        <v>-6.4</v>
      </c>
      <c r="U3" s="31" t="n">
        <v>64.43000000000001</v>
      </c>
      <c r="V3" s="31" t="n">
        <v>75.66</v>
      </c>
      <c r="W3" s="31" t="n">
        <v>38.27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IF(B4=0,"",RANK(B4,$B$2:$B$375,0))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BIRLACABLE</t>
        </is>
      </c>
      <c r="D4" s="30" t="inlineStr">
        <is>
          <t>Birla Cable Limited</t>
        </is>
      </c>
      <c r="E4" s="30" t="inlineStr">
        <is>
          <t>industrials</t>
        </is>
      </c>
      <c r="F4" s="30" t="inlineStr">
        <is>
          <t>cables - telephone</t>
        </is>
      </c>
      <c r="G4" s="30" t="inlineStr">
        <is>
          <t>smallcap</t>
        </is>
      </c>
      <c r="H4" s="31" t="n">
        <v>840.78</v>
      </c>
      <c r="I4" s="31" t="n">
        <v>294.17</v>
      </c>
      <c r="J4" s="31" t="n">
        <v>4.96</v>
      </c>
      <c r="K4" s="31" t="n">
        <v>290541</v>
      </c>
      <c r="L4" s="30" t="n">
        <v>91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73.55</v>
      </c>
      <c r="P4" s="31" t="n">
        <v>45.31</v>
      </c>
      <c r="Q4" s="31" t="n">
        <v>214.95</v>
      </c>
      <c r="R4" s="30" t="inlineStr">
        <is>
          <t>Volume Spike &amp; Near 52W High Breakout</t>
        </is>
      </c>
      <c r="S4" s="30" t="inlineStr">
        <is>
          <t>Nifty Infra</t>
        </is>
      </c>
      <c r="T4" s="31" t="n">
        <v>3.79</v>
      </c>
      <c r="U4" s="31" t="n">
        <v>72.90000000000001</v>
      </c>
      <c r="V4" s="31" t="n">
        <v>66.59999999999999</v>
      </c>
      <c r="W4" s="31" t="n">
        <v>34.91</v>
      </c>
      <c r="X4" s="30" t="inlineStr">
        <is>
          <t>Cyclical in an Upturn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IF(B5=0,"",RANK(B5,$B$2:$B$375,0))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BLUSPRING</t>
        </is>
      </c>
      <c r="D5" s="30" t="inlineStr">
        <is>
          <t>Bluspring Enterprises Ltd</t>
        </is>
      </c>
      <c r="E5" s="30" t="inlineStr">
        <is>
          <t>miscellaneous</t>
        </is>
      </c>
      <c r="F5" s="30" t="inlineStr">
        <is>
          <t>diversified - large</t>
        </is>
      </c>
      <c r="G5" s="30" t="inlineStr">
        <is>
          <t>smallcap</t>
        </is>
      </c>
      <c r="H5" s="31" t="n">
        <v>1761.16</v>
      </c>
      <c r="I5" s="31" t="n">
        <v>121.51</v>
      </c>
      <c r="J5" s="31" t="n">
        <v>3.11</v>
      </c>
      <c r="K5" s="31" t="n">
        <v>906199</v>
      </c>
      <c r="L5" s="30" t="n">
        <v>86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70.09999999999999</v>
      </c>
      <c r="P5" s="31" t="n">
        <v>58.49</v>
      </c>
      <c r="Q5" s="31" t="n">
        <v>85.94</v>
      </c>
      <c r="R5" s="30" t="inlineStr">
        <is>
          <t>Near 52W High Breakout</t>
        </is>
      </c>
      <c r="S5" s="30" t="inlineStr">
        <is>
          <t>Nifty 50</t>
        </is>
      </c>
      <c r="T5" s="31" t="n">
        <v>-0.79</v>
      </c>
      <c r="U5" s="31" t="n">
        <v>48.69</v>
      </c>
      <c r="V5" s="31" t="n">
        <v>49.88</v>
      </c>
      <c r="W5" s="31" t="n">
        <v>28.43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IF(B6=0,"",RANK(B6,$B$2:$B$375,0))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SANGHVIMOV</t>
        </is>
      </c>
      <c r="D6" s="30" t="inlineStr">
        <is>
          <t>Sanghvi Movers Limited</t>
        </is>
      </c>
      <c r="E6" s="30" t="inlineStr">
        <is>
          <t>miscellaneous</t>
        </is>
      </c>
      <c r="F6" s="30" t="inlineStr">
        <is>
          <t>miscellaneous</t>
        </is>
      </c>
      <c r="G6" s="30" t="inlineStr">
        <is>
          <t>smallcap</t>
        </is>
      </c>
      <c r="H6" s="31" t="n">
        <v>4475.55</v>
      </c>
      <c r="I6" s="31" t="n">
        <v>500.45</v>
      </c>
      <c r="J6" s="31" t="n">
        <v>-3.19</v>
      </c>
      <c r="K6" s="31" t="n">
        <v>360614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69.31999999999999</v>
      </c>
      <c r="P6" s="31" t="n">
        <v>40.67</v>
      </c>
      <c r="Q6" s="31" t="n">
        <v>373.07</v>
      </c>
      <c r="R6" s="30" t="inlineStr">
        <is>
          <t>Near 52W High Breakout</t>
        </is>
      </c>
      <c r="S6" s="30" t="inlineStr">
        <is>
          <t>Nifty 50</t>
        </is>
      </c>
      <c r="T6" s="31" t="n">
        <v>-0.79</v>
      </c>
      <c r="U6" s="31" t="n">
        <v>53.5</v>
      </c>
      <c r="V6" s="31" t="n">
        <v>54.73</v>
      </c>
      <c r="W6" s="31" t="n">
        <v>25.37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IF(B7=0,"",RANK(B7,$B$2:$B$375,0))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PIXTRANS</t>
        </is>
      </c>
      <c r="D7" s="30" t="inlineStr">
        <is>
          <t>Pix Transmission Ltd</t>
        </is>
      </c>
      <c r="E7" s="30" t="inlineStr">
        <is>
          <t>fmcg</t>
        </is>
      </c>
      <c r="F7" s="30" t="inlineStr">
        <is>
          <t>miscellaneous</t>
        </is>
      </c>
      <c r="G7" s="30" t="inlineStr">
        <is>
          <t>smallcap</t>
        </is>
      </c>
      <c r="H7" s="31" t="n">
        <v>2701.88</v>
      </c>
      <c r="I7" s="31" t="n">
        <v>1947</v>
      </c>
      <c r="J7" s="31" t="n">
        <v>-1.82</v>
      </c>
      <c r="K7" s="31" t="n">
        <v>35188</v>
      </c>
      <c r="L7" s="30" t="n">
        <v>54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71.84</v>
      </c>
      <c r="P7" s="31" t="n">
        <v>45.06</v>
      </c>
      <c r="Q7" s="31" t="n">
        <v>1535.3</v>
      </c>
      <c r="R7" s="30" t="inlineStr">
        <is>
          <t>Volume Spike &amp; Near 52W High Breakout</t>
        </is>
      </c>
      <c r="S7" s="30" t="inlineStr">
        <is>
          <t>Nifty FMCG</t>
        </is>
      </c>
      <c r="T7" s="31" t="n">
        <v>-11.27</v>
      </c>
      <c r="U7" s="31" t="n">
        <v>29.77</v>
      </c>
      <c r="V7" s="31" t="n">
        <v>46.25</v>
      </c>
      <c r="W7" s="31" t="n">
        <v>12.76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IF(B8=0,"",RANK(B8,$B$2:$B$375,0))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CHEMBONDCH</t>
        </is>
      </c>
      <c r="D8" s="30" t="inlineStr">
        <is>
          <t>Chembond Chemicals Ltd</t>
        </is>
      </c>
      <c r="E8" s="30" t="inlineStr">
        <is>
          <t>chemicals</t>
        </is>
      </c>
      <c r="F8" s="30" t="inlineStr">
        <is>
          <t>chemicals</t>
        </is>
      </c>
      <c r="G8" s="30" t="inlineStr">
        <is>
          <t>smallcap</t>
        </is>
      </c>
      <c r="H8" s="31" t="n">
        <v>704.02</v>
      </c>
      <c r="I8" s="31" t="n">
        <v>274.82</v>
      </c>
      <c r="J8" s="31" t="n">
        <v>4.99</v>
      </c>
      <c r="K8" s="31" t="n">
        <v>62296</v>
      </c>
      <c r="L8" s="30" t="n">
        <v>77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70.61</v>
      </c>
      <c r="P8" s="31" t="n">
        <v>44.45</v>
      </c>
      <c r="Q8" s="31" t="n">
        <v>192.51</v>
      </c>
      <c r="R8" s="30" t="inlineStr">
        <is>
          <t>Volume Spike &amp; Near 52W High Breakout</t>
        </is>
      </c>
      <c r="S8" s="30" t="inlineStr">
        <is>
          <t>Nifty 50</t>
        </is>
      </c>
      <c r="T8" s="31" t="n">
        <v>-0.79</v>
      </c>
      <c r="U8" s="31" t="n">
        <v>52.5</v>
      </c>
      <c r="V8" s="31" t="n">
        <v>53.72</v>
      </c>
      <c r="W8" s="31" t="n">
        <v>21.72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IF(B9=0,"",RANK(B9,$B$2:$B$375,0))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INDOBORAX</t>
        </is>
      </c>
      <c r="D9" s="30" t="inlineStr">
        <is>
          <t>Indo Borax &amp; Chemicals Ltd</t>
        </is>
      </c>
      <c r="E9" s="30" t="inlineStr">
        <is>
          <t>chemicals</t>
        </is>
      </c>
      <c r="F9" s="30" t="inlineStr">
        <is>
          <t>chemicals</t>
        </is>
      </c>
      <c r="G9" s="30" t="inlineStr">
        <is>
          <t>smallcap</t>
        </is>
      </c>
      <c r="H9" s="31" t="n">
        <v>1390.78</v>
      </c>
      <c r="I9" s="31" t="n">
        <v>449.05</v>
      </c>
      <c r="J9" s="31" t="n">
        <v>3.61</v>
      </c>
      <c r="K9" s="31" t="n">
        <v>505140</v>
      </c>
      <c r="L9" s="30" t="n">
        <v>90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76.01000000000001</v>
      </c>
      <c r="P9" s="31" t="n">
        <v>73.18000000000001</v>
      </c>
      <c r="Q9" s="31" t="n">
        <v>322.37</v>
      </c>
      <c r="R9" s="30" t="inlineStr">
        <is>
          <t>Near 52W High Breakout</t>
        </is>
      </c>
      <c r="S9" s="30" t="inlineStr">
        <is>
          <t>Nifty 50</t>
        </is>
      </c>
      <c r="T9" s="31" t="n">
        <v>-0.79</v>
      </c>
      <c r="U9" s="31" t="n">
        <v>91.19</v>
      </c>
      <c r="V9" s="31" t="n">
        <v>92.72</v>
      </c>
      <c r="W9" s="31" t="n">
        <v>32.97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IF(B10=0,"",RANK(B10,$B$2:$B$375,0))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MENONBE</t>
        </is>
      </c>
      <c r="D10" s="30" t="inlineStr">
        <is>
          <t>Menon Bearings Limited</t>
        </is>
      </c>
      <c r="E10" s="30" t="inlineStr">
        <is>
          <t>auto</t>
        </is>
      </c>
      <c r="F10" s="30" t="inlineStr">
        <is>
          <t>auto ancillaries</t>
        </is>
      </c>
      <c r="G10" s="30" t="inlineStr">
        <is>
          <t>smallcap</t>
        </is>
      </c>
      <c r="H10" s="31" t="n">
        <v>1329.38</v>
      </c>
      <c r="I10" s="31" t="n">
        <v>235.63</v>
      </c>
      <c r="J10" s="31" t="n">
        <v>-0.67</v>
      </c>
      <c r="K10" s="31" t="n">
        <v>35816</v>
      </c>
      <c r="L10" s="30" t="n">
        <v>94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79.79000000000001</v>
      </c>
      <c r="P10" s="31" t="n">
        <v>54.26</v>
      </c>
      <c r="Q10" s="31" t="n">
        <v>179.87</v>
      </c>
      <c r="R10" s="30" t="inlineStr">
        <is>
          <t>Near 52W High Breakout</t>
        </is>
      </c>
      <c r="S10" s="30" t="inlineStr">
        <is>
          <t>Nifty Auto</t>
        </is>
      </c>
      <c r="T10" s="31" t="n">
        <v>23.47</v>
      </c>
      <c r="U10" s="31" t="n">
        <v>85.40000000000001</v>
      </c>
      <c r="V10" s="31" t="n">
        <v>50.16</v>
      </c>
      <c r="W10" s="31" t="n">
        <v>38.59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IF(B11=0,"",RANK(B11,$B$2:$B$375,0))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FCL</t>
        </is>
      </c>
      <c r="D11" s="30" t="inlineStr">
        <is>
          <t>Fineotex Chemical Limited</t>
        </is>
      </c>
      <c r="E11" s="30" t="inlineStr">
        <is>
          <t>chemicals</t>
        </is>
      </c>
      <c r="F11" s="30" t="inlineStr">
        <is>
          <t>chemicals</t>
        </is>
      </c>
      <c r="G11" s="30" t="inlineStr">
        <is>
          <t>midcap</t>
        </is>
      </c>
      <c r="H11" s="31" t="n">
        <v>5006.19</v>
      </c>
      <c r="I11" s="31" t="n">
        <v>42.65</v>
      </c>
      <c r="J11" s="31" t="n">
        <v>-0.79</v>
      </c>
      <c r="K11" s="31" t="n">
        <v>20028758</v>
      </c>
      <c r="L11" s="30" t="n">
        <v>87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66.59999999999999</v>
      </c>
      <c r="P11" s="31" t="n">
        <v>50.1</v>
      </c>
      <c r="Q11" s="31" t="n">
        <v>30.71</v>
      </c>
      <c r="R11" s="30" t="inlineStr">
        <is>
          <t>Near 52W High Breakout</t>
        </is>
      </c>
      <c r="S11" s="30" t="inlineStr">
        <is>
          <t>Nifty 50</t>
        </is>
      </c>
      <c r="T11" s="31" t="n">
        <v>-0.79</v>
      </c>
      <c r="U11" s="31" t="n">
        <v>83.31</v>
      </c>
      <c r="V11" s="31" t="n">
        <v>84.78</v>
      </c>
      <c r="W11" s="31" t="n">
        <v>29.04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IF(B12=0,"",RANK(B12,$B$2:$B$375,0))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SYRMA</t>
        </is>
      </c>
      <c r="D12" s="30" t="inlineStr">
        <is>
          <t>Syrma SGS Technology Ltd</t>
        </is>
      </c>
      <c r="E12" s="30" t="inlineStr">
        <is>
          <t>consumer discretionary</t>
        </is>
      </c>
      <c r="F12" s="30" t="inlineStr">
        <is>
          <t>electronics - components</t>
        </is>
      </c>
      <c r="G12" s="30" t="inlineStr">
        <is>
          <t>largecap</t>
        </is>
      </c>
      <c r="H12" s="31" t="n">
        <v>28824.3</v>
      </c>
      <c r="I12" s="31" t="n">
        <v>1473.3</v>
      </c>
      <c r="J12" s="31" t="n">
        <v>-1.44</v>
      </c>
      <c r="K12" s="31" t="n">
        <v>749197</v>
      </c>
      <c r="L12" s="30" t="n">
        <v>83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69.67</v>
      </c>
      <c r="P12" s="31" t="n">
        <v>60.06</v>
      </c>
      <c r="Q12" s="31" t="n">
        <v>1135.99</v>
      </c>
      <c r="R12" s="30" t="inlineStr">
        <is>
          <t>Near 52W High Breakout</t>
        </is>
      </c>
      <c r="S12" s="30" t="inlineStr">
        <is>
          <t>Nifty 50</t>
        </is>
      </c>
      <c r="T12" s="31" t="n">
        <v>-0.79</v>
      </c>
      <c r="U12" s="31" t="n">
        <v>113.1</v>
      </c>
      <c r="V12" s="31" t="n">
        <v>114.8</v>
      </c>
      <c r="W12" s="31" t="n">
        <v>26.77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IF(B13=0,"",RANK(B13,$B$2:$B$375,0))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RPTECH</t>
        </is>
      </c>
      <c r="D13" s="30" t="inlineStr">
        <is>
          <t>Rashi Peripherals Ltd</t>
        </is>
      </c>
      <c r="E13" s="30" t="inlineStr">
        <is>
          <t>services</t>
        </is>
      </c>
      <c r="F13" s="30" t="inlineStr">
        <is>
          <t>trading</t>
        </is>
      </c>
      <c r="G13" s="30" t="inlineStr">
        <is>
          <t>midcap</t>
        </is>
      </c>
      <c r="H13" s="31" t="n">
        <v>5850.57</v>
      </c>
      <c r="I13" s="31" t="n">
        <v>854.9</v>
      </c>
      <c r="J13" s="31" t="n">
        <v>-3.71</v>
      </c>
      <c r="K13" s="31" t="n">
        <v>297069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76.33</v>
      </c>
      <c r="P13" s="31" t="n">
        <v>79.11</v>
      </c>
      <c r="Q13" s="31" t="n">
        <v>690.58</v>
      </c>
      <c r="R13" s="30" t="inlineStr">
        <is>
          <t>Near 52W High Breakout</t>
        </is>
      </c>
      <c r="S13" s="30" t="inlineStr">
        <is>
          <t>Nifty 50</t>
        </is>
      </c>
      <c r="T13" s="31" t="n">
        <v>-0.79</v>
      </c>
      <c r="U13" s="31" t="n">
        <v>201.71</v>
      </c>
      <c r="V13" s="31" t="n">
        <v>204.12</v>
      </c>
      <c r="W13" s="31" t="n">
        <v>40.63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IF(B14=0,"",RANK(B14,$B$2:$B$375,0))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CUPID</t>
        </is>
      </c>
      <c r="D14" s="30" t="inlineStr">
        <is>
          <t>Cupid Limited</t>
        </is>
      </c>
      <c r="E14" s="30" t="inlineStr">
        <is>
          <t>fmcg</t>
        </is>
      </c>
      <c r="F14" s="30" t="inlineStr">
        <is>
          <t>personal care - indian</t>
        </is>
      </c>
      <c r="G14" s="30" t="inlineStr">
        <is>
          <t>largecap</t>
        </is>
      </c>
      <c r="H14" s="31" t="n">
        <v>37200.04</v>
      </c>
      <c r="I14" s="31" t="n">
        <v>289.87</v>
      </c>
      <c r="J14" s="31" t="n">
        <v>4.78</v>
      </c>
      <c r="K14" s="31" t="n">
        <v>48203967</v>
      </c>
      <c r="L14" s="30" t="n">
        <v>99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93.29000000000001</v>
      </c>
      <c r="P14" s="31" t="n">
        <v>71.03</v>
      </c>
      <c r="Q14" s="31" t="n">
        <v>233.45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-11.27</v>
      </c>
      <c r="U14" s="31" t="n">
        <v>879.89</v>
      </c>
      <c r="V14" s="31" t="n">
        <v>1004.33</v>
      </c>
      <c r="W14" s="31" t="n">
        <v>96.58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IF(B15=0,"",RANK(B15,$B$2:$B$375,0))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GOKULAGRO</t>
        </is>
      </c>
      <c r="D15" s="30" t="inlineStr">
        <is>
          <t>Gokul Agro Resources Limited</t>
        </is>
      </c>
      <c r="E15" s="30" t="inlineStr">
        <is>
          <t>fmcg</t>
        </is>
      </c>
      <c r="F15" s="30" t="inlineStr">
        <is>
          <t>solvent extraction</t>
        </is>
      </c>
      <c r="G15" s="30" t="inlineStr">
        <is>
          <t>midcap</t>
        </is>
      </c>
      <c r="H15" s="31" t="n">
        <v>6669.85</v>
      </c>
      <c r="I15" s="31" t="n">
        <v>236.6</v>
      </c>
      <c r="J15" s="31" t="n">
        <v>4.68</v>
      </c>
      <c r="K15" s="31" t="n">
        <v>845538</v>
      </c>
      <c r="L15" s="30" t="n">
        <v>49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63.31</v>
      </c>
      <c r="P15" s="31" t="n">
        <v>26.94</v>
      </c>
      <c r="Q15" s="31" t="n">
        <v>184.96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-11.27</v>
      </c>
      <c r="U15" s="31" t="n">
        <v>53.29</v>
      </c>
      <c r="V15" s="31" t="n">
        <v>72.76000000000001</v>
      </c>
      <c r="W15" s="31" t="n">
        <v>11.28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IF(B16=0,"",RANK(B16,$B$2:$B$375,0))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SENORES</t>
        </is>
      </c>
      <c r="D16" s="30" t="inlineStr">
        <is>
          <t>Senores Pharmaceuticals Ltd</t>
        </is>
      </c>
      <c r="E16" s="30" t="inlineStr">
        <is>
          <t>healthcare</t>
        </is>
      </c>
      <c r="F16" s="30" t="inlineStr">
        <is>
          <t>pharmaceuticals - indian - formulations</t>
        </is>
      </c>
      <c r="G16" s="30" t="inlineStr">
        <is>
          <t>midcap</t>
        </is>
      </c>
      <c r="H16" s="31" t="n">
        <v>6796.13</v>
      </c>
      <c r="I16" s="31" t="n">
        <v>1492.4</v>
      </c>
      <c r="J16" s="31" t="n">
        <v>1.13</v>
      </c>
      <c r="K16" s="31" t="n">
        <v>267987</v>
      </c>
      <c r="L16" s="30" t="n">
        <v>84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73.39</v>
      </c>
      <c r="P16" s="31" t="n">
        <v>61.98</v>
      </c>
      <c r="Q16" s="31" t="n">
        <v>1146.47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20.81</v>
      </c>
      <c r="U16" s="31" t="n">
        <v>121.01</v>
      </c>
      <c r="V16" s="31" t="n">
        <v>82.94</v>
      </c>
      <c r="W16" s="31" t="n">
        <v>26.84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IF(B17=0,"",RANK(B17,$B$2:$B$375,0))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AJANTPHARM</t>
        </is>
      </c>
      <c r="D17" s="30" t="inlineStr">
        <is>
          <t>Ajanta Pharma Limited</t>
        </is>
      </c>
      <c r="E17" s="30" t="inlineStr">
        <is>
          <t>healthcare</t>
        </is>
      </c>
      <c r="F17" s="30" t="inlineStr">
        <is>
          <t>pharmaceuticals - indian - formulations</t>
        </is>
      </c>
      <c r="G17" s="30" t="inlineStr">
        <is>
          <t>largecap</t>
        </is>
      </c>
      <c r="H17" s="31" t="n">
        <v>43814.92</v>
      </c>
      <c r="I17" s="31" t="n">
        <v>3541</v>
      </c>
      <c r="J17" s="31" t="n">
        <v>0.97</v>
      </c>
      <c r="K17" s="31" t="n">
        <v>82946</v>
      </c>
      <c r="L17" s="30" t="n">
        <v>40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72.05</v>
      </c>
      <c r="P17" s="31" t="n">
        <v>45.48</v>
      </c>
      <c r="Q17" s="31" t="n">
        <v>2976.62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20.81</v>
      </c>
      <c r="U17" s="31" t="n">
        <v>34.54</v>
      </c>
      <c r="V17" s="31" t="n">
        <v>11.36</v>
      </c>
      <c r="W17" s="31" t="n">
        <v>8.890000000000001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IF(B18=0,"",RANK(B18,$B$2:$B$375,0))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EMCURE</t>
        </is>
      </c>
      <c r="D18" s="30" t="inlineStr">
        <is>
          <t>Emcure Pharmaceuticals Ltd</t>
        </is>
      </c>
      <c r="E18" s="30" t="inlineStr">
        <is>
          <t>healthcare</t>
        </is>
      </c>
      <c r="F18" s="30" t="inlineStr">
        <is>
          <t>pharmaceuticals - indian - bulk drugs &amp; formln</t>
        </is>
      </c>
      <c r="G18" s="30" t="inlineStr">
        <is>
          <t>largecap</t>
        </is>
      </c>
      <c r="H18" s="31" t="n">
        <v>37911.37</v>
      </c>
      <c r="I18" s="31" t="n">
        <v>2009.6</v>
      </c>
      <c r="J18" s="31" t="n">
        <v>0.55</v>
      </c>
      <c r="K18" s="31" t="n">
        <v>214106</v>
      </c>
      <c r="L18" s="30" t="n">
        <v>46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72.55</v>
      </c>
      <c r="P18" s="31" t="n">
        <v>62.08</v>
      </c>
      <c r="Q18" s="31" t="n">
        <v>1652.17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20.81</v>
      </c>
      <c r="U18" s="31" t="n">
        <v>38.14</v>
      </c>
      <c r="V18" s="31" t="n">
        <v>14.34</v>
      </c>
      <c r="W18" s="31" t="n">
        <v>10.62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IF(B19=0,"",RANK(B19,$B$2:$B$375,0))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AUROPHARMA</t>
        </is>
      </c>
      <c r="D19" s="30" t="inlineStr">
        <is>
          <t>Aurobindo Pharma Limited</t>
        </is>
      </c>
      <c r="E19" s="30" t="inlineStr">
        <is>
          <t>healthcare</t>
        </is>
      </c>
      <c r="F19" s="30" t="inlineStr">
        <is>
          <t>pharmaceuticals - indian - bulk drugs &amp; formln</t>
        </is>
      </c>
      <c r="G19" s="30" t="inlineStr">
        <is>
          <t>largecap</t>
        </is>
      </c>
      <c r="H19" s="31" t="n">
        <v>95397.66</v>
      </c>
      <c r="I19" s="31" t="n">
        <v>1667</v>
      </c>
      <c r="J19" s="31" t="n">
        <v>0.54</v>
      </c>
      <c r="K19" s="31" t="n">
        <v>796061</v>
      </c>
      <c r="L19" s="30" t="n">
        <v>51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72.45</v>
      </c>
      <c r="P19" s="31" t="n">
        <v>42.63</v>
      </c>
      <c r="Q19" s="31" t="n">
        <v>1429.38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20.81</v>
      </c>
      <c r="U19" s="31" t="n">
        <v>53.84</v>
      </c>
      <c r="V19" s="31" t="n">
        <v>27.34</v>
      </c>
      <c r="W19" s="31" t="n">
        <v>11.81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IF(B20=0,"",RANK(B20,$B$2:$B$375,0))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HFCL</t>
        </is>
      </c>
      <c r="D20" s="30" t="inlineStr">
        <is>
          <t>HFCL Ltd</t>
        </is>
      </c>
      <c r="E20" s="30" t="inlineStr">
        <is>
          <t>telecom</t>
        </is>
      </c>
      <c r="F20" s="30" t="inlineStr">
        <is>
          <t>cables - telephone</t>
        </is>
      </c>
      <c r="G20" s="30" t="inlineStr">
        <is>
          <t>largecap</t>
        </is>
      </c>
      <c r="H20" s="31" t="n">
        <v>32791.63</v>
      </c>
      <c r="I20" s="31" t="n">
        <v>221.52</v>
      </c>
      <c r="J20" s="31" t="n">
        <v>3.4</v>
      </c>
      <c r="K20" s="31" t="n">
        <v>28062533</v>
      </c>
      <c r="L20" s="30" t="n">
        <v>98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73.43000000000001</v>
      </c>
      <c r="P20" s="31" t="n">
        <v>66.20999999999999</v>
      </c>
      <c r="Q20" s="31" t="n">
        <v>162.59</v>
      </c>
      <c r="R20" s="30" t="inlineStr">
        <is>
          <t>Near 52W High Breakout</t>
        </is>
      </c>
      <c r="S20" s="30" t="inlineStr">
        <is>
          <t>Nifty Infra</t>
        </is>
      </c>
      <c r="T20" s="31" t="n">
        <v>3.79</v>
      </c>
      <c r="U20" s="31" t="n">
        <v>192.12</v>
      </c>
      <c r="V20" s="31" t="n">
        <v>181.46</v>
      </c>
      <c r="W20" s="31" t="n">
        <v>57.44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Oligopoly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IF(B21=0,"",RANK(B21,$B$2:$B$375,0))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QUESS</t>
        </is>
      </c>
      <c r="D21" s="30" t="inlineStr">
        <is>
          <t>Quess Corp Limited</t>
        </is>
      </c>
      <c r="E21" s="30" t="inlineStr">
        <is>
          <t>miscellaneous</t>
        </is>
      </c>
      <c r="F21" s="30" t="inlineStr">
        <is>
          <t>diversified - large</t>
        </is>
      </c>
      <c r="G21" s="30" t="inlineStr">
        <is>
          <t>smallcap</t>
        </is>
      </c>
      <c r="H21" s="31" t="n">
        <v>4842.25</v>
      </c>
      <c r="I21" s="31" t="n">
        <v>334.2</v>
      </c>
      <c r="J21" s="31" t="n">
        <v>3.08</v>
      </c>
      <c r="K21" s="31" t="n">
        <v>441540</v>
      </c>
      <c r="L21" s="30" t="n">
        <v>79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74.53</v>
      </c>
      <c r="P21" s="31" t="n">
        <v>50.04</v>
      </c>
      <c r="Q21" s="31" t="n">
        <v>260.65</v>
      </c>
      <c r="R21" s="30" t="inlineStr">
        <is>
          <t>Near 52W High Breakout</t>
        </is>
      </c>
      <c r="S21" s="30" t="inlineStr">
        <is>
          <t>Nifty 50</t>
        </is>
      </c>
      <c r="T21" s="31" t="n">
        <v>-0.79</v>
      </c>
      <c r="U21" s="31" t="n">
        <v>31.57</v>
      </c>
      <c r="V21" s="31" t="n">
        <v>32.63</v>
      </c>
      <c r="W21" s="31" t="n">
        <v>22.3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IF(B22=0,"",RANK(B22,$B$2:$B$375,0))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ATHERENERG</t>
        </is>
      </c>
      <c r="D22" s="30" t="inlineStr">
        <is>
          <t>Ather Energy Ltd</t>
        </is>
      </c>
      <c r="E22" s="30" t="inlineStr">
        <is>
          <t>auto</t>
        </is>
      </c>
      <c r="F22" s="30" t="inlineStr">
        <is>
          <t>automobiles - scooters and 3 - wheelers</t>
        </is>
      </c>
      <c r="G22" s="30" t="inlineStr">
        <is>
          <t>largecap</t>
        </is>
      </c>
      <c r="H22" s="31" t="n">
        <v>60119.87</v>
      </c>
      <c r="I22" s="31" t="n">
        <v>1569.4</v>
      </c>
      <c r="J22" s="31" t="n">
        <v>2.88</v>
      </c>
      <c r="K22" s="31" t="n">
        <v>4521175</v>
      </c>
      <c r="L22" s="30" t="n">
        <v>98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82</v>
      </c>
      <c r="P22" s="31" t="n">
        <v>60.28</v>
      </c>
      <c r="Q22" s="31" t="n">
        <v>1228.3</v>
      </c>
      <c r="R22" s="30" t="inlineStr">
        <is>
          <t>Near 52W High Breakout</t>
        </is>
      </c>
      <c r="S22" s="30" t="inlineStr">
        <is>
          <t>Nifty Auto</t>
        </is>
      </c>
      <c r="T22" s="31" t="n">
        <v>23.47</v>
      </c>
      <c r="U22" s="31" t="n">
        <v>369.46</v>
      </c>
      <c r="V22" s="31" t="n">
        <v>280.22</v>
      </c>
      <c r="W22" s="31" t="n">
        <v>59.37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IF(B23=0,"",RANK(B23,$B$2:$B$375,0))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PGIL</t>
        </is>
      </c>
      <c r="D23" s="30" t="inlineStr">
        <is>
          <t>Pearl Global Industries Limited</t>
        </is>
      </c>
      <c r="E23" s="30" t="inlineStr">
        <is>
          <t>consumer discretionary</t>
        </is>
      </c>
      <c r="F23" s="30" t="inlineStr">
        <is>
          <t>textiles - products</t>
        </is>
      </c>
      <c r="G23" s="30" t="inlineStr">
        <is>
          <t>midcap</t>
        </is>
      </c>
      <c r="H23" s="31" t="n">
        <v>11245.37</v>
      </c>
      <c r="I23" s="31" t="n">
        <v>2480.4</v>
      </c>
      <c r="J23" s="31" t="n">
        <v>1.87</v>
      </c>
      <c r="K23" s="31" t="n">
        <v>103039</v>
      </c>
      <c r="L23" s="30" t="n">
        <v>82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76.09999999999999</v>
      </c>
      <c r="P23" s="31" t="n">
        <v>53.76</v>
      </c>
      <c r="Q23" s="31" t="n">
        <v>1928.21</v>
      </c>
      <c r="R23" s="30" t="inlineStr">
        <is>
          <t>Near 52W High Breakout</t>
        </is>
      </c>
      <c r="S23" s="30" t="inlineStr">
        <is>
          <t>Nifty 50</t>
        </is>
      </c>
      <c r="T23" s="31" t="n">
        <v>-0.79</v>
      </c>
      <c r="U23" s="31" t="n">
        <v>99.13</v>
      </c>
      <c r="V23" s="31" t="n">
        <v>100.72</v>
      </c>
      <c r="W23" s="31" t="n">
        <v>26.47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IF(B24=0,"",RANK(B24,$B$2:$B$375,0))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SJS</t>
        </is>
      </c>
      <c r="D24" s="30" t="inlineStr">
        <is>
          <t>S J S Enterprises Ltd</t>
        </is>
      </c>
      <c r="E24" s="30" t="inlineStr">
        <is>
          <t>auto</t>
        </is>
      </c>
      <c r="F24" s="30" t="inlineStr">
        <is>
          <t>plastics products</t>
        </is>
      </c>
      <c r="G24" s="30" t="inlineStr">
        <is>
          <t>midcap</t>
        </is>
      </c>
      <c r="H24" s="31" t="n">
        <v>7690.2</v>
      </c>
      <c r="I24" s="31" t="n">
        <v>2436.8</v>
      </c>
      <c r="J24" s="31" t="n">
        <v>1.42</v>
      </c>
      <c r="K24" s="31" t="n">
        <v>152165</v>
      </c>
      <c r="L24" s="30" t="n">
        <v>82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71.12</v>
      </c>
      <c r="P24" s="31" t="n">
        <v>43.58</v>
      </c>
      <c r="Q24" s="31" t="n">
        <v>1962.03</v>
      </c>
      <c r="R24" s="30" t="inlineStr">
        <is>
          <t>Near 52W High Breakout</t>
        </is>
      </c>
      <c r="S24" s="30" t="inlineStr">
        <is>
          <t>Nifty Auto</t>
        </is>
      </c>
      <c r="T24" s="31" t="n">
        <v>23.47</v>
      </c>
      <c r="U24" s="31" t="n">
        <v>95.34999999999999</v>
      </c>
      <c r="V24" s="31" t="n">
        <v>58.22</v>
      </c>
      <c r="W24" s="31" t="n">
        <v>25.95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IF(B25=0,"",RANK(B25,$B$2:$B$375,0))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STYLAMIND</t>
        </is>
      </c>
      <c r="D25" s="30" t="inlineStr">
        <is>
          <t>Stylam Industries Ltd</t>
        </is>
      </c>
      <c r="E25" s="30" t="inlineStr">
        <is>
          <t>building materials</t>
        </is>
      </c>
      <c r="F25" s="30" t="inlineStr">
        <is>
          <t>miscellaneous</t>
        </is>
      </c>
      <c r="G25" s="30" t="inlineStr">
        <is>
          <t>midcap</t>
        </is>
      </c>
      <c r="H25" s="31" t="n">
        <v>6048.25</v>
      </c>
      <c r="I25" s="31" t="n">
        <v>3544.7</v>
      </c>
      <c r="J25" s="31" t="n">
        <v>-0.67</v>
      </c>
      <c r="K25" s="31" t="n">
        <v>16356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82.73</v>
      </c>
      <c r="P25" s="31" t="n">
        <v>73.95</v>
      </c>
      <c r="Q25" s="31" t="n">
        <v>2821.82</v>
      </c>
      <c r="R25" s="30" t="inlineStr">
        <is>
          <t>Near 52W High Breakout</t>
        </is>
      </c>
      <c r="S25" s="30" t="inlineStr">
        <is>
          <t>Nifty Infra</t>
        </is>
      </c>
      <c r="T25" s="31" t="n">
        <v>3.79</v>
      </c>
      <c r="U25" s="31" t="n">
        <v>88.45</v>
      </c>
      <c r="V25" s="31" t="n">
        <v>81.56999999999999</v>
      </c>
      <c r="W25" s="31" t="n">
        <v>27.09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IF(B26=0,"",RANK(B26,$B$2:$B$375,0))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KANORICHEM</t>
        </is>
      </c>
      <c r="D26" s="30" t="inlineStr">
        <is>
          <t>Kanoria Chemicals &amp; Industries Limited</t>
        </is>
      </c>
      <c r="E26" s="30" t="inlineStr">
        <is>
          <t>chemicals</t>
        </is>
      </c>
      <c r="F26" s="30" t="inlineStr">
        <is>
          <t>chemicals</t>
        </is>
      </c>
      <c r="G26" s="30" t="inlineStr">
        <is>
          <t>smallcap</t>
        </is>
      </c>
      <c r="H26" s="31" t="n">
        <v>701.8</v>
      </c>
      <c r="I26" s="31" t="n">
        <v>157.29</v>
      </c>
      <c r="J26" s="31" t="n">
        <v>-2.07</v>
      </c>
      <c r="K26" s="31" t="n">
        <v>44710</v>
      </c>
      <c r="L26" s="30" t="n">
        <v>85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72.56999999999999</v>
      </c>
      <c r="P26" s="31" t="n">
        <v>55.46</v>
      </c>
      <c r="Q26" s="31" t="n">
        <v>119.47</v>
      </c>
      <c r="R26" s="30" t="inlineStr">
        <is>
          <t>Near 52W High Breakout</t>
        </is>
      </c>
      <c r="S26" s="30" t="inlineStr">
        <is>
          <t>Nifty 50</t>
        </is>
      </c>
      <c r="T26" s="31" t="n">
        <v>-0.79</v>
      </c>
      <c r="U26" s="31" t="n">
        <v>86.83</v>
      </c>
      <c r="V26" s="31" t="n">
        <v>88.31999999999999</v>
      </c>
      <c r="W26" s="31" t="n">
        <v>27.73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IF(B27=0,"",RANK(B27,$B$2:$B$375,0))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MPSLTD</t>
        </is>
      </c>
      <c r="D27" s="30" t="inlineStr">
        <is>
          <t>Mps Limited</t>
        </is>
      </c>
      <c r="E27" s="30" t="inlineStr">
        <is>
          <t>i.t</t>
        </is>
      </c>
      <c r="F27" s="30" t="inlineStr">
        <is>
          <t>computers - software - medium / small</t>
        </is>
      </c>
      <c r="G27" s="30" t="inlineStr">
        <is>
          <t>smallcap</t>
        </is>
      </c>
      <c r="H27" s="31" t="n">
        <v>4873.79</v>
      </c>
      <c r="I27" s="31" t="n">
        <v>2871.9</v>
      </c>
      <c r="J27" s="31" t="n">
        <v>0.8</v>
      </c>
      <c r="K27" s="31" t="n">
        <v>27994</v>
      </c>
      <c r="L27" s="30" t="n">
        <v>77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74.48999999999999</v>
      </c>
      <c r="P27" s="31" t="n">
        <v>35.02</v>
      </c>
      <c r="Q27" s="31" t="n">
        <v>2317.15</v>
      </c>
      <c r="R27" s="30" t="inlineStr">
        <is>
          <t>Near 52W High Breakout</t>
        </is>
      </c>
      <c r="S27" s="30" t="inlineStr">
        <is>
          <t>Nifty IT</t>
        </is>
      </c>
      <c r="T27" s="31" t="n">
        <v>-10.05</v>
      </c>
      <c r="U27" s="31" t="n">
        <v>35.15</v>
      </c>
      <c r="V27" s="31" t="n">
        <v>50.25</v>
      </c>
      <c r="W27" s="31" t="n">
        <v>21.65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IF(B28=0,"",RANK(B28,$B$2:$B$375,0))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E2E</t>
        </is>
      </c>
      <c r="D28" s="30" t="inlineStr">
        <is>
          <t>E2E Networks Ltd</t>
        </is>
      </c>
      <c r="E28" s="30" t="inlineStr">
        <is>
          <t>i.t</t>
        </is>
      </c>
      <c r="F28" s="30" t="inlineStr">
        <is>
          <t>computers - software - medium / small</t>
        </is>
      </c>
      <c r="G28" s="30" t="inlineStr">
        <is>
          <t>midcap</t>
        </is>
      </c>
      <c r="H28" s="31" t="n">
        <v>12897.14</v>
      </c>
      <c r="I28" s="31" t="n">
        <v>631.4</v>
      </c>
      <c r="J28" s="31" t="n">
        <v>0.64</v>
      </c>
      <c r="K28" s="31" t="n">
        <v>1123508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75.8</v>
      </c>
      <c r="P28" s="31" t="n">
        <v>48.27</v>
      </c>
      <c r="Q28" s="31" t="n">
        <v>441.25</v>
      </c>
      <c r="R28" s="30" t="inlineStr">
        <is>
          <t>Near 52W High Breakout</t>
        </is>
      </c>
      <c r="S28" s="30" t="inlineStr">
        <is>
          <t>Nifty IT</t>
        </is>
      </c>
      <c r="T28" s="31" t="n">
        <v>-10.05</v>
      </c>
      <c r="U28" s="31" t="n">
        <v>205.97</v>
      </c>
      <c r="V28" s="31" t="n">
        <v>240.15</v>
      </c>
      <c r="W28" s="31" t="n">
        <v>50.55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IF(B29=0,"",RANK(B29,$B$2:$B$375,0))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RADICO</t>
        </is>
      </c>
      <c r="D29" s="30" t="inlineStr">
        <is>
          <t>Radico Khaitan Limited</t>
        </is>
      </c>
      <c r="E29" s="30" t="inlineStr">
        <is>
          <t>fmcg</t>
        </is>
      </c>
      <c r="F29" s="30" t="inlineStr">
        <is>
          <t>breweries &amp; distilleries</t>
        </is>
      </c>
      <c r="G29" s="30" t="inlineStr">
        <is>
          <t>largecap</t>
        </is>
      </c>
      <c r="H29" s="31" t="n">
        <v>60871.8</v>
      </c>
      <c r="I29" s="31" t="n">
        <v>4533</v>
      </c>
      <c r="J29" s="31" t="n">
        <v>-0.26</v>
      </c>
      <c r="K29" s="31" t="n">
        <v>236362</v>
      </c>
      <c r="L29" s="30" t="n">
        <v>76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85.86</v>
      </c>
      <c r="P29" s="31" t="n">
        <v>62.9</v>
      </c>
      <c r="Q29" s="31" t="n">
        <v>3886.1</v>
      </c>
      <c r="R29" s="30" t="inlineStr">
        <is>
          <t>Near 52W High Breakout</t>
        </is>
      </c>
      <c r="S29" s="30" t="inlineStr">
        <is>
          <t>Nifty FMCG</t>
        </is>
      </c>
      <c r="T29" s="31" t="n">
        <v>-11.27</v>
      </c>
      <c r="U29" s="31" t="n">
        <v>68.13</v>
      </c>
      <c r="V29" s="31" t="n">
        <v>89.48</v>
      </c>
      <c r="W29" s="31" t="n">
        <v>20.77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B2C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IF(B30=0,"",RANK(B30,$B$2:$B$375,0))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SAKAR</t>
        </is>
      </c>
      <c r="D30" s="30" t="inlineStr">
        <is>
          <t>Sakar Healthcare Ltd</t>
        </is>
      </c>
      <c r="E30" s="30" t="inlineStr">
        <is>
          <t>healthcare</t>
        </is>
      </c>
      <c r="F30" s="30" t="inlineStr">
        <is>
          <t>pharmaceuticals - indian - bulk drugs &amp; formln</t>
        </is>
      </c>
      <c r="G30" s="30" t="inlineStr">
        <is>
          <t>smallcap</t>
        </is>
      </c>
      <c r="H30" s="31" t="n">
        <v>2122.09</v>
      </c>
      <c r="I30" s="31" t="n">
        <v>935.8</v>
      </c>
      <c r="J30" s="31" t="n">
        <v>-1.88</v>
      </c>
      <c r="K30" s="31" t="n">
        <v>77546</v>
      </c>
      <c r="L30" s="30" t="n">
        <v>90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72.09999999999999</v>
      </c>
      <c r="P30" s="31" t="n">
        <v>55.96</v>
      </c>
      <c r="Q30" s="31" t="n">
        <v>670.2</v>
      </c>
      <c r="R30" s="30" t="inlineStr">
        <is>
          <t>Near 52W High Breakout</t>
        </is>
      </c>
      <c r="S30" s="30" t="inlineStr">
        <is>
          <t>Nifty Pharma</t>
        </is>
      </c>
      <c r="T30" s="31" t="n">
        <v>20.81</v>
      </c>
      <c r="U30" s="31" t="n">
        <v>187.36</v>
      </c>
      <c r="V30" s="31" t="n">
        <v>137.86</v>
      </c>
      <c r="W30" s="31" t="n">
        <v>31.8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IF(B31=0,"",RANK(B31,$B$2:$B$375,0))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WSTCSTPAPR</t>
        </is>
      </c>
      <c r="D31" s="30" t="inlineStr">
        <is>
          <t>West Coast Paper Mills Limited</t>
        </is>
      </c>
      <c r="E31" s="30" t="inlineStr">
        <is>
          <t>building materials</t>
        </is>
      </c>
      <c r="F31" s="30" t="inlineStr">
        <is>
          <t>paper</t>
        </is>
      </c>
      <c r="G31" s="30" t="inlineStr">
        <is>
          <t>smallcap</t>
        </is>
      </c>
      <c r="H31" s="31" t="n">
        <v>3943.78</v>
      </c>
      <c r="I31" s="31" t="n">
        <v>624.55</v>
      </c>
      <c r="J31" s="31" t="n">
        <v>4.6</v>
      </c>
      <c r="K31" s="31" t="n">
        <v>2906450</v>
      </c>
      <c r="L31" s="30" t="n">
        <v>46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71.65000000000001</v>
      </c>
      <c r="P31" s="31" t="n">
        <v>41.55</v>
      </c>
      <c r="Q31" s="31" t="n">
        <v>493.2</v>
      </c>
      <c r="R31" s="30" t="inlineStr">
        <is>
          <t>Volume Spike &amp; Near 52W High Breakout</t>
        </is>
      </c>
      <c r="S31" s="30" t="inlineStr">
        <is>
          <t>Nifty Infra</t>
        </is>
      </c>
      <c r="T31" s="31" t="n">
        <v>3.79</v>
      </c>
      <c r="U31" s="31" t="n">
        <v>16.88</v>
      </c>
      <c r="V31" s="31" t="n">
        <v>12.62</v>
      </c>
      <c r="W31" s="31" t="n">
        <v>10.82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Between 12 to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Between 1.5 to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IF(B32=0,"",RANK(B32,$B$2:$B$375,0))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KPIL</t>
        </is>
      </c>
      <c r="D32" s="30" t="inlineStr">
        <is>
          <t>Kalpataru Projects International Ltd</t>
        </is>
      </c>
      <c r="E32" s="30" t="inlineStr">
        <is>
          <t>realty</t>
        </is>
      </c>
      <c r="F32" s="30" t="inlineStr">
        <is>
          <t>transmisson line towers / equipment</t>
        </is>
      </c>
      <c r="G32" s="30" t="inlineStr">
        <is>
          <t>largecap</t>
        </is>
      </c>
      <c r="H32" s="31" t="n">
        <v>23015.02</v>
      </c>
      <c r="I32" s="31" t="n">
        <v>1396.8</v>
      </c>
      <c r="J32" s="31" t="n">
        <v>3.64</v>
      </c>
      <c r="K32" s="31" t="n">
        <v>3715117</v>
      </c>
      <c r="L32" s="30" t="n">
        <v>33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64.29000000000001</v>
      </c>
      <c r="P32" s="31" t="n">
        <v>30.05</v>
      </c>
      <c r="Q32" s="31" t="n">
        <v>1142.08</v>
      </c>
      <c r="R32" s="30" t="inlineStr">
        <is>
          <t>Volume Spike &amp; Near 52W High Breakout</t>
        </is>
      </c>
      <c r="S32" s="30" t="inlineStr">
        <is>
          <t>Nifty Realty</t>
        </is>
      </c>
      <c r="T32" s="31" t="n">
        <v>-6.4</v>
      </c>
      <c r="U32" s="31" t="n">
        <v>22.22</v>
      </c>
      <c r="V32" s="31" t="n">
        <v>30.57</v>
      </c>
      <c r="W32" s="31" t="n">
        <v>7.22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IF(B33=0,"",RANK(B33,$B$2:$B$375,0))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CPPLUS</t>
        </is>
      </c>
      <c r="D33" s="30" t="inlineStr">
        <is>
          <t>Aditya Infotech Ltd</t>
        </is>
      </c>
      <c r="E33" s="30" t="inlineStr">
        <is>
          <t>consumer discretionary</t>
        </is>
      </c>
      <c r="F33" s="30" t="inlineStr">
        <is>
          <t>trading</t>
        </is>
      </c>
      <c r="G33" s="30" t="inlineStr">
        <is>
          <t>largecap</t>
        </is>
      </c>
      <c r="H33" s="31" t="n">
        <v>44848</v>
      </c>
      <c r="I33" s="31" t="n">
        <v>3899.1</v>
      </c>
      <c r="J33" s="31" t="n">
        <v>2.46</v>
      </c>
      <c r="K33" s="31" t="n">
        <v>287366</v>
      </c>
      <c r="L33" s="30" t="n">
        <v>95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74.84</v>
      </c>
      <c r="P33" s="31" t="n">
        <v>69.75</v>
      </c>
      <c r="Q33" s="31" t="n">
        <v>3019.35</v>
      </c>
      <c r="R33" s="30" t="inlineStr">
        <is>
          <t>Near 52W High Breakout</t>
        </is>
      </c>
      <c r="S33" s="30" t="inlineStr">
        <is>
          <t>Nifty 50</t>
        </is>
      </c>
      <c r="T33" s="31" t="n">
        <v>-0.79</v>
      </c>
      <c r="U33" s="31" t="n">
        <v>269.03</v>
      </c>
      <c r="V33" s="31" t="n">
        <v>271.98</v>
      </c>
      <c r="W33" s="31" t="n">
        <v>44.73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IF(B34=0,"",RANK(B34,$B$2:$B$375,0))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UNIVCABLES</t>
        </is>
      </c>
      <c r="D34" s="30" t="inlineStr">
        <is>
          <t>Universal Cables Limited</t>
        </is>
      </c>
      <c r="E34" s="30" t="inlineStr">
        <is>
          <t>industrials</t>
        </is>
      </c>
      <c r="F34" s="30" t="inlineStr">
        <is>
          <t>cables - power</t>
        </is>
      </c>
      <c r="G34" s="30" t="inlineStr">
        <is>
          <t>midcap</t>
        </is>
      </c>
      <c r="H34" s="31" t="n">
        <v>5792.05</v>
      </c>
      <c r="I34" s="31" t="n">
        <v>1708.9</v>
      </c>
      <c r="J34" s="31" t="n">
        <v>2.37</v>
      </c>
      <c r="K34" s="31" t="n">
        <v>173152</v>
      </c>
      <c r="L34" s="30" t="n">
        <v>96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78.09</v>
      </c>
      <c r="P34" s="31" t="n">
        <v>58.23</v>
      </c>
      <c r="Q34" s="31" t="n">
        <v>1242.09</v>
      </c>
      <c r="R34" s="30" t="inlineStr">
        <is>
          <t>Volume Spike &amp; Near 52W High Breakout</t>
        </is>
      </c>
      <c r="S34" s="30" t="inlineStr">
        <is>
          <t>Nifty Energy</t>
        </is>
      </c>
      <c r="T34" s="31" t="n">
        <v>10</v>
      </c>
      <c r="U34" s="31" t="n">
        <v>131.29</v>
      </c>
      <c r="V34" s="31" t="n">
        <v>110.25</v>
      </c>
      <c r="W34" s="31" t="n">
        <v>46.24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IF(B35=0,"",RANK(B35,$B$2:$B$375,0))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BHARATSE</t>
        </is>
      </c>
      <c r="D35" s="30" t="inlineStr">
        <is>
          <t>Bharat Seats Ltd</t>
        </is>
      </c>
      <c r="E35" s="30" t="inlineStr">
        <is>
          <t>auto</t>
        </is>
      </c>
      <c r="F35" s="30" t="inlineStr">
        <is>
          <t>auto ancillaries</t>
        </is>
      </c>
      <c r="G35" s="30" t="inlineStr">
        <is>
          <t>smallcap</t>
        </is>
      </c>
      <c r="H35" s="31" t="n">
        <v>1454.32</v>
      </c>
      <c r="I35" s="31" t="n">
        <v>235.29</v>
      </c>
      <c r="J35" s="31" t="n">
        <v>1.6</v>
      </c>
      <c r="K35" s="31" t="n">
        <v>635306</v>
      </c>
      <c r="L35" s="30" t="n">
        <v>91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62.67</v>
      </c>
      <c r="P35" s="31" t="n">
        <v>33.56</v>
      </c>
      <c r="Q35" s="31" t="n">
        <v>166.36</v>
      </c>
      <c r="R35" s="30" t="inlineStr">
        <is>
          <t>Near 52W High Breakout</t>
        </is>
      </c>
      <c r="S35" s="30" t="inlineStr">
        <is>
          <t>Nifty Auto</t>
        </is>
      </c>
      <c r="T35" s="31" t="n">
        <v>23.47</v>
      </c>
      <c r="U35" s="31" t="n">
        <v>126.57</v>
      </c>
      <c r="V35" s="31" t="n">
        <v>83.5</v>
      </c>
      <c r="W35" s="31" t="n">
        <v>33.7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Between 12 to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Between 1.5 to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IF(B36=0,"",RANK(B36,$B$2:$B$375,0))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UNIPARTS</t>
        </is>
      </c>
      <c r="D36" s="30" t="inlineStr">
        <is>
          <t>Uniparts India Ltd</t>
        </is>
      </c>
      <c r="E36" s="30" t="inlineStr">
        <is>
          <t>industrials</t>
        </is>
      </c>
      <c r="F36" s="30" t="inlineStr">
        <is>
          <t>engineering</t>
        </is>
      </c>
      <c r="G36" s="30" t="inlineStr">
        <is>
          <t>smallcap</t>
        </is>
      </c>
      <c r="H36" s="31" t="n">
        <v>3639.44</v>
      </c>
      <c r="I36" s="31" t="n">
        <v>813.55</v>
      </c>
      <c r="J36" s="31" t="n">
        <v>0.91</v>
      </c>
      <c r="K36" s="31" t="n">
        <v>139656</v>
      </c>
      <c r="L36" s="30" t="n">
        <v>87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79.34</v>
      </c>
      <c r="P36" s="31" t="n">
        <v>61.7</v>
      </c>
      <c r="Q36" s="31" t="n">
        <v>651.38</v>
      </c>
      <c r="R36" s="30" t="inlineStr">
        <is>
          <t>Near 52W High Breakout</t>
        </is>
      </c>
      <c r="S36" s="30" t="inlineStr">
        <is>
          <t>Nifty 50</t>
        </is>
      </c>
      <c r="T36" s="31" t="n">
        <v>-0.79</v>
      </c>
      <c r="U36" s="31" t="n">
        <v>118.11</v>
      </c>
      <c r="V36" s="31" t="n">
        <v>119.85</v>
      </c>
      <c r="W36" s="31" t="n">
        <v>29.04</v>
      </c>
      <c r="X36" s="30" t="inlineStr">
        <is>
          <t>Cyclical in an Upturn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IF(B37=0,"",RANK(B37,$B$2:$B$375,0))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HSCL</t>
        </is>
      </c>
      <c r="D37" s="30" t="inlineStr">
        <is>
          <t>Himadri Speciality Chemical Limited</t>
        </is>
      </c>
      <c r="E37" s="30" t="inlineStr">
        <is>
          <t>chemicals</t>
        </is>
      </c>
      <c r="F37" s="30" t="inlineStr">
        <is>
          <t>chemicals</t>
        </is>
      </c>
      <c r="G37" s="30" t="inlineStr">
        <is>
          <t>largecap</t>
        </is>
      </c>
      <c r="H37" s="31" t="n">
        <v>38118.12</v>
      </c>
      <c r="I37" s="31" t="n">
        <v>762.4</v>
      </c>
      <c r="J37" s="31" t="n">
        <v>0.91</v>
      </c>
      <c r="K37" s="31" t="n">
        <v>2240303</v>
      </c>
      <c r="L37" s="30" t="n">
        <v>67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70.98999999999999</v>
      </c>
      <c r="P37" s="31" t="n">
        <v>44.32</v>
      </c>
      <c r="Q37" s="31" t="n">
        <v>623.91</v>
      </c>
      <c r="R37" s="30" t="inlineStr">
        <is>
          <t>Near 52W High Breakout</t>
        </is>
      </c>
      <c r="S37" s="30" t="inlineStr">
        <is>
          <t>Nifty 50</t>
        </is>
      </c>
      <c r="T37" s="31" t="n">
        <v>-0.79</v>
      </c>
      <c r="U37" s="31" t="n">
        <v>63.6</v>
      </c>
      <c r="V37" s="31" t="n">
        <v>64.91</v>
      </c>
      <c r="W37" s="31" t="n">
        <v>17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IF(B38=0,"",RANK(B38,$B$2:$B$375,0))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STOVEKRAFT</t>
        </is>
      </c>
      <c r="D38" s="30" t="inlineStr">
        <is>
          <t>Stove Kraft Ltd</t>
        </is>
      </c>
      <c r="E38" s="30" t="inlineStr">
        <is>
          <t>consumer discretionary</t>
        </is>
      </c>
      <c r="F38" s="30" t="inlineStr">
        <is>
          <t>domestic appliances</t>
        </is>
      </c>
      <c r="G38" s="30" t="inlineStr">
        <is>
          <t>smallcap</t>
        </is>
      </c>
      <c r="H38" s="31" t="n">
        <v>2624.91</v>
      </c>
      <c r="I38" s="31" t="n">
        <v>799.1</v>
      </c>
      <c r="J38" s="31" t="n">
        <v>0.79</v>
      </c>
      <c r="K38" s="31" t="n">
        <v>96008</v>
      </c>
      <c r="L38" s="30" t="n">
        <v>68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73.44</v>
      </c>
      <c r="P38" s="31" t="n">
        <v>47.93</v>
      </c>
      <c r="Q38" s="31" t="n">
        <v>620.04</v>
      </c>
      <c r="R38" s="30" t="inlineStr">
        <is>
          <t>Near 52W High Breakout</t>
        </is>
      </c>
      <c r="S38" s="30" t="inlineStr">
        <is>
          <t>Nifty 50</t>
        </is>
      </c>
      <c r="T38" s="31" t="n">
        <v>-0.79</v>
      </c>
      <c r="U38" s="31" t="n">
        <v>35.06</v>
      </c>
      <c r="V38" s="31" t="n">
        <v>36.14</v>
      </c>
      <c r="W38" s="31" t="n">
        <v>17.12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IF(B39=0,"",RANK(B39,$B$2:$B$375,0))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KDDL</t>
        </is>
      </c>
      <c r="D39" s="30" t="inlineStr">
        <is>
          <t>Kddl Limited</t>
        </is>
      </c>
      <c r="E39" s="30" t="inlineStr">
        <is>
          <t>consumer discretionary</t>
        </is>
      </c>
      <c r="F39" s="30" t="inlineStr">
        <is>
          <t>miscellaneous</t>
        </is>
      </c>
      <c r="G39" s="30" t="inlineStr">
        <is>
          <t>smallcap</t>
        </is>
      </c>
      <c r="H39" s="31" t="n">
        <v>4725.63</v>
      </c>
      <c r="I39" s="31" t="n">
        <v>3850.6</v>
      </c>
      <c r="J39" s="31" t="n">
        <v>0.22</v>
      </c>
      <c r="K39" s="31" t="n">
        <v>28584</v>
      </c>
      <c r="L39" s="30" t="n">
        <v>82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76.63</v>
      </c>
      <c r="P39" s="31" t="n">
        <v>40.69</v>
      </c>
      <c r="Q39" s="31" t="n">
        <v>2944.8</v>
      </c>
      <c r="R39" s="30" t="inlineStr">
        <is>
          <t>Near 52W High Breakout</t>
        </is>
      </c>
      <c r="S39" s="30" t="inlineStr">
        <is>
          <t>Nifty 50</t>
        </is>
      </c>
      <c r="T39" s="31" t="n">
        <v>-0.79</v>
      </c>
      <c r="U39" s="31" t="n">
        <v>49.81</v>
      </c>
      <c r="V39" s="31" t="n">
        <v>51.01</v>
      </c>
      <c r="W39" s="31" t="n">
        <v>25.92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IF(B40=0,"",RANK(B40,$B$2:$B$375,0))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BAJAJ-AUTO</t>
        </is>
      </c>
      <c r="D40" s="30" t="inlineStr">
        <is>
          <t>Bajaj Auto Limited</t>
        </is>
      </c>
      <c r="E40" s="30" t="inlineStr">
        <is>
          <t>auto</t>
        </is>
      </c>
      <c r="F40" s="30" t="inlineStr">
        <is>
          <t>automobiles - scooters and 3 - wheelers</t>
        </is>
      </c>
      <c r="G40" s="30" t="inlineStr">
        <is>
          <t>largecap</t>
        </is>
      </c>
      <c r="H40" s="31" t="n">
        <v>327487.62</v>
      </c>
      <c r="I40" s="31" t="n">
        <v>11700</v>
      </c>
      <c r="J40" s="31" t="n">
        <v>-0.15</v>
      </c>
      <c r="K40" s="31" t="n">
        <v>236192</v>
      </c>
      <c r="L40" s="30" t="n">
        <v>56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73.28</v>
      </c>
      <c r="P40" s="31" t="n">
        <v>23.43</v>
      </c>
      <c r="Q40" s="31" t="n">
        <v>10212.99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23.47</v>
      </c>
      <c r="U40" s="31" t="n">
        <v>46.92</v>
      </c>
      <c r="V40" s="31" t="n">
        <v>18.99</v>
      </c>
      <c r="W40" s="31" t="n">
        <v>13.13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IF(B41=0,"",RANK(B41,$B$2:$B$375,0))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RISHABH</t>
        </is>
      </c>
      <c r="D41" s="30" t="inlineStr">
        <is>
          <t>Rishabh Instruments Ltd</t>
        </is>
      </c>
      <c r="E41" s="30" t="inlineStr">
        <is>
          <t>industrials</t>
        </is>
      </c>
      <c r="F41" s="30" t="inlineStr">
        <is>
          <t>electric equipment</t>
        </is>
      </c>
      <c r="G41" s="30" t="inlineStr">
        <is>
          <t>smallcap</t>
        </is>
      </c>
      <c r="H41" s="31" t="n">
        <v>2616.7</v>
      </c>
      <c r="I41" s="31" t="n">
        <v>668.3</v>
      </c>
      <c r="J41" s="31" t="n">
        <v>-1.55</v>
      </c>
      <c r="K41" s="31" t="n">
        <v>343137</v>
      </c>
      <c r="L41" s="30" t="n">
        <v>86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69.2</v>
      </c>
      <c r="P41" s="31" t="n">
        <v>42.63</v>
      </c>
      <c r="Q41" s="31" t="n">
        <v>494.85</v>
      </c>
      <c r="R41" s="30" t="inlineStr">
        <is>
          <t>Near 52W High Breakout</t>
        </is>
      </c>
      <c r="S41" s="30" t="inlineStr">
        <is>
          <t>Nifty Infra</t>
        </is>
      </c>
      <c r="T41" s="31" t="n">
        <v>3.79</v>
      </c>
      <c r="U41" s="31" t="n">
        <v>135.28</v>
      </c>
      <c r="V41" s="31" t="n">
        <v>126.69</v>
      </c>
      <c r="W41" s="31" t="n">
        <v>28.42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IF(B42=0,"",RANK(B42,$B$2:$B$375,0))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NRL</t>
        </is>
      </c>
      <c r="D42" s="30" t="inlineStr">
        <is>
          <t>Nupur Recyclers Ltd</t>
        </is>
      </c>
      <c r="E42" s="30" t="inlineStr">
        <is>
          <t>services</t>
        </is>
      </c>
      <c r="F42" s="30" t="inlineStr">
        <is>
          <t>trading</t>
        </is>
      </c>
      <c r="G42" s="30" t="inlineStr">
        <is>
          <t>smallcap</t>
        </is>
      </c>
      <c r="H42" s="31" t="n">
        <v>810.3200000000001</v>
      </c>
      <c r="I42" s="31" t="n">
        <v>115.25</v>
      </c>
      <c r="J42" s="31" t="n">
        <v>-1.76</v>
      </c>
      <c r="K42" s="31" t="n">
        <v>23933</v>
      </c>
      <c r="L42" s="30" t="n">
        <v>95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81.98999999999999</v>
      </c>
      <c r="P42" s="31" t="n">
        <v>54.35</v>
      </c>
      <c r="Q42" s="31" t="n">
        <v>94.81</v>
      </c>
      <c r="R42" s="30" t="inlineStr">
        <is>
          <t>Near 52W High Breakout</t>
        </is>
      </c>
      <c r="S42" s="30" t="inlineStr">
        <is>
          <t>Nifty 50</t>
        </is>
      </c>
      <c r="T42" s="31" t="n">
        <v>-0.79</v>
      </c>
      <c r="U42" s="31" t="n">
        <v>64.56999999999999</v>
      </c>
      <c r="V42" s="31" t="n">
        <v>65.89</v>
      </c>
      <c r="W42" s="31" t="n">
        <v>41.07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IF(B43=0,"",RANK(B43,$B$2:$B$375,0))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REDINGTON</t>
        </is>
      </c>
      <c r="D43" s="30" t="inlineStr">
        <is>
          <t>Redington (india) Limited</t>
        </is>
      </c>
      <c r="E43" s="30" t="inlineStr">
        <is>
          <t>services</t>
        </is>
      </c>
      <c r="F43" s="30" t="inlineStr">
        <is>
          <t>trading</t>
        </is>
      </c>
      <c r="G43" s="30" t="inlineStr">
        <is>
          <t>largecap</t>
        </is>
      </c>
      <c r="H43" s="31" t="n">
        <v>27717.81</v>
      </c>
      <c r="I43" s="31" t="n">
        <v>339.4</v>
      </c>
      <c r="J43" s="31" t="n">
        <v>-4.27</v>
      </c>
      <c r="K43" s="31" t="n">
        <v>3024132</v>
      </c>
      <c r="L43" s="30" t="n">
        <v>79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67.75</v>
      </c>
      <c r="P43" s="31" t="n">
        <v>31.67</v>
      </c>
      <c r="Q43" s="31" t="n">
        <v>274.14</v>
      </c>
      <c r="R43" s="30" t="inlineStr">
        <is>
          <t>Near 52W High Breakout</t>
        </is>
      </c>
      <c r="S43" s="30" t="inlineStr">
        <is>
          <t>Nifty 50</t>
        </is>
      </c>
      <c r="T43" s="31" t="n">
        <v>-0.79</v>
      </c>
      <c r="U43" s="31" t="n">
        <v>46.29</v>
      </c>
      <c r="V43" s="31" t="n">
        <v>47.46</v>
      </c>
      <c r="W43" s="31" t="n">
        <v>22.23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IF(B44=0,"",RANK(B44,$B$2:$B$375,0))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MARKSANS</t>
        </is>
      </c>
      <c r="D44" s="30" t="inlineStr">
        <is>
          <t>Marksans Pharma Limited</t>
        </is>
      </c>
      <c r="E44" s="30" t="inlineStr">
        <is>
          <t>healthcare</t>
        </is>
      </c>
      <c r="F44" s="30" t="inlineStr">
        <is>
          <t>pharmaceuticals - indian - formulations</t>
        </is>
      </c>
      <c r="G44" s="30" t="inlineStr">
        <is>
          <t>midcap</t>
        </is>
      </c>
      <c r="H44" s="31" t="n">
        <v>12641</v>
      </c>
      <c r="I44" s="31" t="n">
        <v>312.6</v>
      </c>
      <c r="J44" s="31" t="n">
        <v>12.06</v>
      </c>
      <c r="K44" s="31" t="n">
        <v>47809908</v>
      </c>
      <c r="L44" s="30" t="n">
        <v>80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75.23999999999999</v>
      </c>
      <c r="P44" s="31" t="n">
        <v>54.52</v>
      </c>
      <c r="Q44" s="31" t="n">
        <v>243.95</v>
      </c>
      <c r="R44" s="30" t="inlineStr">
        <is>
          <t>Volume Spike &amp; Near 52W High Breakout</t>
        </is>
      </c>
      <c r="S44" s="30" t="inlineStr">
        <is>
          <t>Nifty Pharma</t>
        </is>
      </c>
      <c r="T44" s="31" t="n">
        <v>20.81</v>
      </c>
      <c r="U44" s="31" t="n">
        <v>75.05</v>
      </c>
      <c r="V44" s="31" t="n">
        <v>44.89</v>
      </c>
      <c r="W44" s="31" t="n">
        <v>23.54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IF(B45=0,"",RANK(B45,$B$2:$B$375,0))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INDSWFTLAB</t>
        </is>
      </c>
      <c r="D45" s="30" t="inlineStr">
        <is>
          <t>Ind-swift Laboratories Limited</t>
        </is>
      </c>
      <c r="E45" s="30" t="inlineStr">
        <is>
          <t>healthcare</t>
        </is>
      </c>
      <c r="F45" s="30" t="inlineStr">
        <is>
          <t>pharmaceuticals - indian - bulk drugs &amp; formln</t>
        </is>
      </c>
      <c r="G45" s="30" t="inlineStr">
        <is>
          <t>smallcap</t>
        </is>
      </c>
      <c r="H45" s="31" t="n">
        <v>2475.62</v>
      </c>
      <c r="I45" s="31" t="n">
        <v>300</v>
      </c>
      <c r="J45" s="31" t="n">
        <v>5.38</v>
      </c>
      <c r="K45" s="31" t="n">
        <v>8635452</v>
      </c>
      <c r="L45" s="30" t="n">
        <v>97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83.70999999999999</v>
      </c>
      <c r="P45" s="31" t="n">
        <v>60.53</v>
      </c>
      <c r="Q45" s="31" t="n">
        <v>225.99</v>
      </c>
      <c r="R45" s="30" t="inlineStr">
        <is>
          <t>Volume Spike &amp; Near 52W High Breakout</t>
        </is>
      </c>
      <c r="S45" s="30" t="inlineStr">
        <is>
          <t>Nifty Pharma</t>
        </is>
      </c>
      <c r="T45" s="31" t="n">
        <v>20.81</v>
      </c>
      <c r="U45" s="31" t="n">
        <v>195.74</v>
      </c>
      <c r="V45" s="31" t="n">
        <v>144.79</v>
      </c>
      <c r="W45" s="31" t="n">
        <v>55.99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IF(B46=0,"",RANK(B46,$B$2:$B$375,0))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NESTLEIND</t>
        </is>
      </c>
      <c r="D46" s="30" t="inlineStr">
        <is>
          <t>Nestle India Limited</t>
        </is>
      </c>
      <c r="E46" s="30" t="inlineStr">
        <is>
          <t>fmcg</t>
        </is>
      </c>
      <c r="F46" s="30" t="inlineStr">
        <is>
          <t>food - processing - mnc</t>
        </is>
      </c>
      <c r="G46" s="30" t="inlineStr">
        <is>
          <t>largecap</t>
        </is>
      </c>
      <c r="H46" s="31" t="n">
        <v>287935.89</v>
      </c>
      <c r="I46" s="31" t="n">
        <v>1507</v>
      </c>
      <c r="J46" s="31" t="n">
        <v>0.92</v>
      </c>
      <c r="K46" s="31" t="n">
        <v>1990581</v>
      </c>
      <c r="L46" s="30" t="n">
        <v>34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65.29000000000001</v>
      </c>
      <c r="P46" s="31" t="n">
        <v>34.39</v>
      </c>
      <c r="Q46" s="31" t="n">
        <v>1343.75</v>
      </c>
      <c r="R46" s="30" t="inlineStr">
        <is>
          <t>Near 52W High Breakout</t>
        </is>
      </c>
      <c r="S46" s="30" t="inlineStr">
        <is>
          <t>Nifty FMCG</t>
        </is>
      </c>
      <c r="T46" s="31" t="n">
        <v>-11.27</v>
      </c>
      <c r="U46" s="31" t="n">
        <v>33.86</v>
      </c>
      <c r="V46" s="31" t="n">
        <v>50.86</v>
      </c>
      <c r="W46" s="31" t="n">
        <v>7.43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B2C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Between 1.5 to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IF(B47=0,"",RANK(B47,$B$2:$B$375,0))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APARINDS</t>
        </is>
      </c>
      <c r="D47" s="30" t="inlineStr">
        <is>
          <t>Apar Industries Limited</t>
        </is>
      </c>
      <c r="E47" s="30" t="inlineStr">
        <is>
          <t>industrials</t>
        </is>
      </c>
      <c r="F47" s="30" t="inlineStr">
        <is>
          <t>electric equipment</t>
        </is>
      </c>
      <c r="G47" s="30" t="inlineStr">
        <is>
          <t>largecap</t>
        </is>
      </c>
      <c r="H47" s="31" t="n">
        <v>67283.81</v>
      </c>
      <c r="I47" s="31" t="n">
        <v>18000</v>
      </c>
      <c r="J47" s="31" t="n">
        <v>7.48</v>
      </c>
      <c r="K47" s="31" t="n">
        <v>378780</v>
      </c>
      <c r="L47" s="30" t="n">
        <v>82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75.13</v>
      </c>
      <c r="P47" s="31" t="n">
        <v>42.38</v>
      </c>
      <c r="Q47" s="31" t="n">
        <v>13858.15</v>
      </c>
      <c r="R47" s="30" t="inlineStr">
        <is>
          <t>Near 52W High Breakout</t>
        </is>
      </c>
      <c r="S47" s="30" t="inlineStr">
        <is>
          <t>Nifty 500</t>
        </is>
      </c>
      <c r="T47" s="31" t="n">
        <v>4.37</v>
      </c>
      <c r="U47" s="31" t="n">
        <v>110.15</v>
      </c>
      <c r="V47" s="31" t="n">
        <v>101.34</v>
      </c>
      <c r="W47" s="31" t="n">
        <v>25.67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IF(B48=0,"",RANK(B48,$B$2:$B$375,0))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HAPPYFORGE</t>
        </is>
      </c>
      <c r="D48" s="30" t="inlineStr">
        <is>
          <t>Happy Forgings Ltd</t>
        </is>
      </c>
      <c r="E48" s="30" t="inlineStr">
        <is>
          <t>industrials</t>
        </is>
      </c>
      <c r="F48" s="30" t="inlineStr">
        <is>
          <t>castings &amp; forgings</t>
        </is>
      </c>
      <c r="G48" s="30" t="inlineStr">
        <is>
          <t>midcap</t>
        </is>
      </c>
      <c r="H48" s="31" t="n">
        <v>18005.57</v>
      </c>
      <c r="I48" s="31" t="n">
        <v>2022.7</v>
      </c>
      <c r="J48" s="31" t="n">
        <v>6.02</v>
      </c>
      <c r="K48" s="31" t="n">
        <v>244242</v>
      </c>
      <c r="L48" s="30" t="n">
        <v>86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84.7</v>
      </c>
      <c r="P48" s="31" t="n">
        <v>52.92</v>
      </c>
      <c r="Q48" s="31" t="n">
        <v>1658.2</v>
      </c>
      <c r="R48" s="30" t="inlineStr">
        <is>
          <t>Near 52W High Breakout</t>
        </is>
      </c>
      <c r="S48" s="30" t="inlineStr">
        <is>
          <t>Nifty Infra</t>
        </is>
      </c>
      <c r="T48" s="31" t="n">
        <v>3.79</v>
      </c>
      <c r="U48" s="31" t="n">
        <v>111.01</v>
      </c>
      <c r="V48" s="31" t="n">
        <v>103.31</v>
      </c>
      <c r="W48" s="31" t="n">
        <v>28.48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IF(B49=0,"",RANK(B49,$B$2:$B$375,0))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STLTECH</t>
        </is>
      </c>
      <c r="D49" s="30" t="inlineStr">
        <is>
          <t>Sterlite Technologies Limited</t>
        </is>
      </c>
      <c r="E49" s="30" t="inlineStr">
        <is>
          <t>industrials</t>
        </is>
      </c>
      <c r="F49" s="30" t="inlineStr">
        <is>
          <t>cables - telephone</t>
        </is>
      </c>
      <c r="G49" s="30" t="inlineStr">
        <is>
          <t>largecap</t>
        </is>
      </c>
      <c r="H49" s="31" t="n">
        <v>31861.56</v>
      </c>
      <c r="I49" s="31" t="n">
        <v>651</v>
      </c>
      <c r="J49" s="31" t="n">
        <v>5</v>
      </c>
      <c r="K49" s="31" t="n">
        <v>2563401</v>
      </c>
      <c r="L49" s="30" t="n">
        <v>99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74.45</v>
      </c>
      <c r="P49" s="31" t="n">
        <v>80.19</v>
      </c>
      <c r="Q49" s="31" t="n">
        <v>459.88</v>
      </c>
      <c r="R49" s="30" t="inlineStr">
        <is>
          <t>Near 52W High Breakout</t>
        </is>
      </c>
      <c r="S49" s="30" t="inlineStr">
        <is>
          <t>Nifty Infra</t>
        </is>
      </c>
      <c r="T49" s="31" t="n">
        <v>3.79</v>
      </c>
      <c r="U49" s="31" t="n">
        <v>455.03</v>
      </c>
      <c r="V49" s="31" t="n">
        <v>434.79</v>
      </c>
      <c r="W49" s="31" t="n">
        <v>93.22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IF(B50=0,"",RANK(B50,$B$2:$B$375,0))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UNIVASTU</t>
        </is>
      </c>
      <c r="D50" s="30" t="inlineStr">
        <is>
          <t>Univastu India Ltd</t>
        </is>
      </c>
      <c r="E50" s="30" t="inlineStr">
        <is>
          <t>realty</t>
        </is>
      </c>
      <c r="F50" s="30" t="inlineStr">
        <is>
          <t>construction</t>
        </is>
      </c>
      <c r="G50" s="30" t="inlineStr">
        <is>
          <t>smallcap</t>
        </is>
      </c>
      <c r="H50" s="31" t="n">
        <v>524.6</v>
      </c>
      <c r="I50" s="31" t="n">
        <v>145.76</v>
      </c>
      <c r="J50" s="31" t="n">
        <v>5</v>
      </c>
      <c r="K50" s="31" t="n">
        <v>133985</v>
      </c>
      <c r="L50" s="30" t="n">
        <v>94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86.69</v>
      </c>
      <c r="P50" s="31" t="n">
        <v>67.65000000000001</v>
      </c>
      <c r="Q50" s="31" t="n">
        <v>111.76</v>
      </c>
      <c r="R50" s="30" t="inlineStr">
        <is>
          <t>Near 52W High Breakout</t>
        </is>
      </c>
      <c r="S50" s="30" t="inlineStr">
        <is>
          <t>Nifty Realty</t>
        </is>
      </c>
      <c r="T50" s="31" t="n">
        <v>-6.4</v>
      </c>
      <c r="U50" s="31" t="n">
        <v>62.19</v>
      </c>
      <c r="V50" s="31" t="n">
        <v>73.27</v>
      </c>
      <c r="W50" s="31" t="n">
        <v>40.18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IF(B51=0,"",RANK(B51,$B$2:$B$375,0))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SREEL</t>
        </is>
      </c>
      <c r="D51" s="30" t="inlineStr">
        <is>
          <t>Sreeleathers Limited</t>
        </is>
      </c>
      <c r="E51" s="30" t="inlineStr">
        <is>
          <t>consumer discretionary</t>
        </is>
      </c>
      <c r="F51" s="30" t="inlineStr">
        <is>
          <t>trading</t>
        </is>
      </c>
      <c r="G51" s="30" t="inlineStr">
        <is>
          <t>smallcap</t>
        </is>
      </c>
      <c r="H51" s="31" t="n">
        <v>534.1900000000001</v>
      </c>
      <c r="I51" s="31" t="n">
        <v>239.12</v>
      </c>
      <c r="J51" s="31" t="n">
        <v>3.65</v>
      </c>
      <c r="K51" s="31" t="n">
        <v>34299</v>
      </c>
      <c r="L51" s="30" t="n">
        <v>28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66.48999999999999</v>
      </c>
      <c r="P51" s="31" t="n">
        <v>39.19</v>
      </c>
      <c r="Q51" s="31" t="n">
        <v>188.1</v>
      </c>
      <c r="R51" s="30" t="inlineStr">
        <is>
          <t>Near 52W High Breakout</t>
        </is>
      </c>
      <c r="S51" s="30" t="inlineStr">
        <is>
          <t>Nifty 50</t>
        </is>
      </c>
      <c r="T51" s="31" t="n">
        <v>-0.79</v>
      </c>
      <c r="U51" s="31" t="n">
        <v>0.7</v>
      </c>
      <c r="V51" s="31" t="n">
        <v>1.5</v>
      </c>
      <c r="W51" s="31" t="n">
        <v>6.05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IF(B52=0,"",RANK(B52,$B$2:$B$375,0))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MTARTECH</t>
        </is>
      </c>
      <c r="D52" s="30" t="inlineStr">
        <is>
          <t>MTAR Technologies Ltd</t>
        </is>
      </c>
      <c r="E52" s="30" t="inlineStr">
        <is>
          <t>aerospace &amp; defence</t>
        </is>
      </c>
      <c r="F52" s="30" t="inlineStr">
        <is>
          <t>engineering</t>
        </is>
      </c>
      <c r="G52" s="30" t="inlineStr">
        <is>
          <t>largecap</t>
        </is>
      </c>
      <c r="H52" s="31" t="n">
        <v>21202.59</v>
      </c>
      <c r="I52" s="31" t="n">
        <v>7111.5</v>
      </c>
      <c r="J52" s="31" t="n">
        <v>3.17</v>
      </c>
      <c r="K52" s="31" t="n">
        <v>217622</v>
      </c>
      <c r="L52" s="30" t="n">
        <v>95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60.14</v>
      </c>
      <c r="P52" s="31" t="n">
        <v>40.49</v>
      </c>
      <c r="Q52" s="31" t="n">
        <v>5879.91</v>
      </c>
      <c r="R52" s="30" t="inlineStr">
        <is>
          <t>Earnings / Momentum Support</t>
        </is>
      </c>
      <c r="S52" s="30" t="inlineStr">
        <is>
          <t>Nifty 50</t>
        </is>
      </c>
      <c r="T52" s="31" t="n">
        <v>-0.79</v>
      </c>
      <c r="U52" s="31" t="n">
        <v>368.69</v>
      </c>
      <c r="V52" s="31" t="n">
        <v>372.44</v>
      </c>
      <c r="W52" s="31" t="n">
        <v>41.59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IF(B53=0,"",RANK(B53,$B$2:$B$375,0))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ORIENTBELL</t>
        </is>
      </c>
      <c r="D53" s="30" t="inlineStr">
        <is>
          <t>Orient Bell Limited</t>
        </is>
      </c>
      <c r="E53" s="30" t="inlineStr">
        <is>
          <t>building materials</t>
        </is>
      </c>
      <c r="F53" s="30" t="inlineStr">
        <is>
          <t>ceramics - tiles / sanitaryware</t>
        </is>
      </c>
      <c r="G53" s="30" t="inlineStr">
        <is>
          <t>smallcap</t>
        </is>
      </c>
      <c r="H53" s="31" t="n">
        <v>518.54</v>
      </c>
      <c r="I53" s="31" t="n">
        <v>361.95</v>
      </c>
      <c r="J53" s="31" t="n">
        <v>2.68</v>
      </c>
      <c r="K53" s="31" t="n">
        <v>104366</v>
      </c>
      <c r="L53" s="30" t="n">
        <v>44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64.23</v>
      </c>
      <c r="P53" s="31" t="n">
        <v>38.18</v>
      </c>
      <c r="Q53" s="31" t="n">
        <v>274.78</v>
      </c>
      <c r="R53" s="30" t="inlineStr">
        <is>
          <t>Volume Spike &amp; Near 52W High Breakout</t>
        </is>
      </c>
      <c r="S53" s="30" t="inlineStr">
        <is>
          <t>Nifty Infra</t>
        </is>
      </c>
      <c r="T53" s="31" t="n">
        <v>3.79</v>
      </c>
      <c r="U53" s="31" t="n">
        <v>18.39</v>
      </c>
      <c r="V53" s="31" t="n">
        <v>14.07</v>
      </c>
      <c r="W53" s="31" t="n">
        <v>10.12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IF(B54=0,"",RANK(B54,$B$2:$B$375,0))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KAJARIACER</t>
        </is>
      </c>
      <c r="D54" s="30" t="inlineStr">
        <is>
          <t>Kajaria Ceramics Limited</t>
        </is>
      </c>
      <c r="E54" s="30" t="inlineStr">
        <is>
          <t>building materials</t>
        </is>
      </c>
      <c r="F54" s="30" t="inlineStr">
        <is>
          <t>ceramics - tiles / sanitaryware</t>
        </is>
      </c>
      <c r="G54" s="30" t="inlineStr">
        <is>
          <t>midcap</t>
        </is>
      </c>
      <c r="H54" s="31" t="n">
        <v>19520.41</v>
      </c>
      <c r="I54" s="31" t="n">
        <v>1252.2</v>
      </c>
      <c r="J54" s="31" t="n">
        <v>2.17</v>
      </c>
      <c r="K54" s="31" t="n">
        <v>541562</v>
      </c>
      <c r="L54" s="30" t="n">
        <v>16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63.7</v>
      </c>
      <c r="P54" s="31" t="n">
        <v>25.31</v>
      </c>
      <c r="Q54" s="31" t="n">
        <v>1033.69</v>
      </c>
      <c r="R54" s="30" t="inlineStr">
        <is>
          <t>Near 52W High Breakout</t>
        </is>
      </c>
      <c r="S54" s="30" t="inlineStr">
        <is>
          <t>Nifty Infra</t>
        </is>
      </c>
      <c r="T54" s="31" t="n">
        <v>3.79</v>
      </c>
      <c r="U54" s="31" t="n">
        <v>8.029999999999999</v>
      </c>
      <c r="V54" s="31" t="n">
        <v>4.09</v>
      </c>
      <c r="W54" s="31" t="n">
        <v>3.6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IF(B55=0,"",RANK(B55,$B$2:$B$375,0))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GRWRHITECH</t>
        </is>
      </c>
      <c r="D55" s="30" t="inlineStr">
        <is>
          <t>Garware Hi Tech Films Ltd</t>
        </is>
      </c>
      <c r="E55" s="30" t="inlineStr">
        <is>
          <t>industrials</t>
        </is>
      </c>
      <c r="F55" s="30" t="inlineStr">
        <is>
          <t>packaging</t>
        </is>
      </c>
      <c r="G55" s="30" t="inlineStr">
        <is>
          <t>midcap</t>
        </is>
      </c>
      <c r="H55" s="31" t="n">
        <v>16310.3</v>
      </c>
      <c r="I55" s="31" t="n">
        <v>7132.5</v>
      </c>
      <c r="J55" s="31" t="n">
        <v>1.6</v>
      </c>
      <c r="K55" s="31" t="n">
        <v>46023</v>
      </c>
      <c r="L55" s="30" t="n">
        <v>85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77.98</v>
      </c>
      <c r="P55" s="31" t="n">
        <v>60.72</v>
      </c>
      <c r="Q55" s="31" t="n">
        <v>5462.38</v>
      </c>
      <c r="R55" s="30" t="inlineStr">
        <is>
          <t>Near 52W High Breakout</t>
        </is>
      </c>
      <c r="S55" s="30" t="inlineStr">
        <is>
          <t>Nifty 50</t>
        </is>
      </c>
      <c r="T55" s="31" t="n">
        <v>-0.79</v>
      </c>
      <c r="U55" s="31" t="n">
        <v>158.09</v>
      </c>
      <c r="V55" s="31" t="n">
        <v>160.15</v>
      </c>
      <c r="W55" s="31" t="n">
        <v>28.06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IF(B56=0,"",RANK(B56,$B$2:$B$375,0))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VERANDA</t>
        </is>
      </c>
      <c r="D56" s="30" t="inlineStr">
        <is>
          <t>Veranda Learning Solutions Ltd</t>
        </is>
      </c>
      <c r="E56" s="30" t="inlineStr">
        <is>
          <t>services</t>
        </is>
      </c>
      <c r="F56" s="30" t="inlineStr">
        <is>
          <t>miscellaneous</t>
        </is>
      </c>
      <c r="G56" s="30" t="inlineStr">
        <is>
          <t>smallcap</t>
        </is>
      </c>
      <c r="H56" s="31" t="n">
        <v>2390.2</v>
      </c>
      <c r="I56" s="31" t="n">
        <v>251.35</v>
      </c>
      <c r="J56" s="31" t="n">
        <v>1.29</v>
      </c>
      <c r="K56" s="31" t="n">
        <v>265678</v>
      </c>
      <c r="L56" s="30" t="n">
        <v>17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60.67</v>
      </c>
      <c r="P56" s="31" t="n">
        <v>29.03</v>
      </c>
      <c r="Q56" s="31" t="n">
        <v>189.14</v>
      </c>
      <c r="R56" s="30" t="inlineStr">
        <is>
          <t>Near 52W High Breakout</t>
        </is>
      </c>
      <c r="S56" s="30" t="inlineStr">
        <is>
          <t>Nifty 50</t>
        </is>
      </c>
      <c r="T56" s="31" t="n">
        <v>-0.79</v>
      </c>
      <c r="U56" s="31" t="n">
        <v>11.99</v>
      </c>
      <c r="V56" s="31" t="n">
        <v>12.89</v>
      </c>
      <c r="W56" s="31" t="n">
        <v>3.76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IF(B57=0,"",RANK(B57,$B$2:$B$375,0))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HITECHCORP</t>
        </is>
      </c>
      <c r="D57" s="30" t="inlineStr">
        <is>
          <t>Hitech Corporation</t>
        </is>
      </c>
      <c r="E57" s="30" t="inlineStr">
        <is>
          <t>industrials</t>
        </is>
      </c>
      <c r="F57" s="30" t="inlineStr">
        <is>
          <t>packaging</t>
        </is>
      </c>
      <c r="G57" s="30" t="inlineStr">
        <is>
          <t>smallcap</t>
        </is>
      </c>
      <c r="H57" s="31" t="n">
        <v>555.03</v>
      </c>
      <c r="I57" s="31" t="n">
        <v>326.25</v>
      </c>
      <c r="J57" s="31" t="n">
        <v>0.96</v>
      </c>
      <c r="K57" s="31" t="n">
        <v>14905</v>
      </c>
      <c r="L57" s="30" t="n">
        <v>97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80.94</v>
      </c>
      <c r="P57" s="31" t="n">
        <v>58.9</v>
      </c>
      <c r="Q57" s="31" t="n">
        <v>264.65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-0.79</v>
      </c>
      <c r="U57" s="31" t="n">
        <v>60.73</v>
      </c>
      <c r="V57" s="31" t="n">
        <v>62.02</v>
      </c>
      <c r="W57" s="31" t="n">
        <v>49.27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IF(B58=0,"",RANK(B58,$B$2:$B$375,0))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SETL</t>
        </is>
      </c>
      <c r="D58" s="30" t="inlineStr">
        <is>
          <t>Standard Enginnering Technology Ltd</t>
        </is>
      </c>
      <c r="E58" s="30" t="inlineStr">
        <is>
          <t>industrials</t>
        </is>
      </c>
      <c r="F58" s="30" t="inlineStr">
        <is>
          <t>engineering</t>
        </is>
      </c>
      <c r="G58" s="30" t="inlineStr">
        <is>
          <t>midcap</t>
        </is>
      </c>
      <c r="H58" s="31" t="n">
        <v>5930.89</v>
      </c>
      <c r="I58" s="31" t="n">
        <v>300.05</v>
      </c>
      <c r="J58" s="31" t="n">
        <v>0.93</v>
      </c>
      <c r="K58" s="31" t="n">
        <v>1920788</v>
      </c>
      <c r="L58" s="30" t="n">
        <v>96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80.77</v>
      </c>
      <c r="P58" s="31" t="n">
        <v>47.51</v>
      </c>
      <c r="Q58" s="31" t="n">
        <v>225.33</v>
      </c>
      <c r="R58" s="30" t="inlineStr">
        <is>
          <t>Near 52W High Breakout</t>
        </is>
      </c>
      <c r="S58" s="30" t="inlineStr">
        <is>
          <t>Nifty 50</t>
        </is>
      </c>
      <c r="T58" s="31" t="n">
        <v>-0.79</v>
      </c>
      <c r="U58" s="31" t="n">
        <v>85.19</v>
      </c>
      <c r="V58" s="31" t="n">
        <v>86.67</v>
      </c>
      <c r="W58" s="31" t="n">
        <v>45.19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IF(B59=0,"",RANK(B59,$B$2:$B$375,0))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GOCLCORP</t>
        </is>
      </c>
      <c r="D59" s="30" t="inlineStr">
        <is>
          <t>Gocl Corporation Limited</t>
        </is>
      </c>
      <c r="E59" s="30" t="inlineStr">
        <is>
          <t>miscellaneous</t>
        </is>
      </c>
      <c r="F59" s="30" t="inlineStr">
        <is>
          <t>diversified - medium / small</t>
        </is>
      </c>
      <c r="G59" s="30" t="inlineStr">
        <is>
          <t>smallcap</t>
        </is>
      </c>
      <c r="H59" s="31" t="n">
        <v>2129.39</v>
      </c>
      <c r="I59" s="31" t="n">
        <v>431.8</v>
      </c>
      <c r="J59" s="31" t="n">
        <v>0.52</v>
      </c>
      <c r="K59" s="31" t="n">
        <v>148130</v>
      </c>
      <c r="L59" s="30" t="n">
        <v>60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65.66</v>
      </c>
      <c r="P59" s="31" t="n">
        <v>42.84</v>
      </c>
      <c r="Q59" s="31" t="n">
        <v>333.73</v>
      </c>
      <c r="R59" s="30" t="inlineStr">
        <is>
          <t>Near 52W High Breakout</t>
        </is>
      </c>
      <c r="S59" s="30" t="inlineStr">
        <is>
          <t>Nifty 50</t>
        </is>
      </c>
      <c r="T59" s="31" t="n">
        <v>-0.79</v>
      </c>
      <c r="U59" s="31" t="n">
        <v>20.92</v>
      </c>
      <c r="V59" s="31" t="n">
        <v>21.89</v>
      </c>
      <c r="W59" s="31" t="n">
        <v>14.61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IF(B60=0,"",RANK(B60,$B$2:$B$375,0))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STEELCAS</t>
        </is>
      </c>
      <c r="D60" s="30" t="inlineStr">
        <is>
          <t>Steelcast Ltd</t>
        </is>
      </c>
      <c r="E60" s="30" t="inlineStr">
        <is>
          <t>industrials</t>
        </is>
      </c>
      <c r="F60" s="30" t="inlineStr">
        <is>
          <t>castings &amp; forgings</t>
        </is>
      </c>
      <c r="G60" s="30" t="inlineStr">
        <is>
          <t>smallcap</t>
        </is>
      </c>
      <c r="H60" s="31" t="n">
        <v>3323.41</v>
      </c>
      <c r="I60" s="31" t="n">
        <v>329.75</v>
      </c>
      <c r="J60" s="31" t="n">
        <v>0.41</v>
      </c>
      <c r="K60" s="31" t="n">
        <v>114037</v>
      </c>
      <c r="L60" s="30" t="n">
        <v>57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73.98</v>
      </c>
      <c r="P60" s="31" t="n">
        <v>40.43</v>
      </c>
      <c r="Q60" s="31" t="n">
        <v>255.56</v>
      </c>
      <c r="R60" s="30" t="inlineStr">
        <is>
          <t>Near 52W High Breakout</t>
        </is>
      </c>
      <c r="S60" s="30" t="inlineStr">
        <is>
          <t>Nifty 50</t>
        </is>
      </c>
      <c r="T60" s="31" t="n">
        <v>-0.79</v>
      </c>
      <c r="U60" s="31" t="n">
        <v>59.53</v>
      </c>
      <c r="V60" s="31" t="n">
        <v>60.8</v>
      </c>
      <c r="W60" s="31" t="n">
        <v>13.59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Between 12 to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IF(B61=0,"",RANK(B61,$B$2:$B$375,0))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FILATEX</t>
        </is>
      </c>
      <c r="D61" s="30" t="inlineStr">
        <is>
          <t>Filatex India Limited</t>
        </is>
      </c>
      <c r="E61" s="30" t="inlineStr">
        <is>
          <t>textiles</t>
        </is>
      </c>
      <c r="F61" s="30" t="inlineStr">
        <is>
          <t>textiles - manmade</t>
        </is>
      </c>
      <c r="G61" s="30" t="inlineStr">
        <is>
          <t>smallcap</t>
        </is>
      </c>
      <c r="H61" s="31" t="n">
        <v>3691.01</v>
      </c>
      <c r="I61" s="31" t="n">
        <v>83.31</v>
      </c>
      <c r="J61" s="31" t="n">
        <v>0.23</v>
      </c>
      <c r="K61" s="31" t="n">
        <v>2332120</v>
      </c>
      <c r="L61" s="30" t="n">
        <v>92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76.12</v>
      </c>
      <c r="P61" s="31" t="n">
        <v>34.22</v>
      </c>
      <c r="Q61" s="31" t="n">
        <v>63.3</v>
      </c>
      <c r="R61" s="30" t="inlineStr">
        <is>
          <t>Near 52W High Breakout</t>
        </is>
      </c>
      <c r="S61" s="30" t="inlineStr">
        <is>
          <t>Nifty 50</t>
        </is>
      </c>
      <c r="T61" s="31" t="n">
        <v>-0.79</v>
      </c>
      <c r="U61" s="31" t="n">
        <v>60.42</v>
      </c>
      <c r="V61" s="31" t="n">
        <v>61.7</v>
      </c>
      <c r="W61" s="31" t="n">
        <v>35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Between 12 to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IF(B62=0,"",RANK(B62,$B$2:$B$375,0))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CENTENKA</t>
        </is>
      </c>
      <c r="D62" s="30" t="inlineStr">
        <is>
          <t>Century Enka Limited</t>
        </is>
      </c>
      <c r="E62" s="30" t="inlineStr">
        <is>
          <t>textiles</t>
        </is>
      </c>
      <c r="F62" s="30" t="inlineStr">
        <is>
          <t>textiles - manmade</t>
        </is>
      </c>
      <c r="G62" s="30" t="inlineStr">
        <is>
          <t>smallcap</t>
        </is>
      </c>
      <c r="H62" s="31" t="n">
        <v>1319.99</v>
      </c>
      <c r="I62" s="31" t="n">
        <v>604.1</v>
      </c>
      <c r="J62" s="31" t="n">
        <v>0</v>
      </c>
      <c r="K62" s="31" t="n">
        <v>87960</v>
      </c>
      <c r="L62" s="30" t="n">
        <v>55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69.40000000000001</v>
      </c>
      <c r="P62" s="31" t="n">
        <v>64.03</v>
      </c>
      <c r="Q62" s="31" t="n">
        <v>473.77</v>
      </c>
      <c r="R62" s="30" t="inlineStr">
        <is>
          <t>Near 52W High Breakout</t>
        </is>
      </c>
      <c r="S62" s="30" t="inlineStr">
        <is>
          <t>Nifty 50</t>
        </is>
      </c>
      <c r="T62" s="31" t="n">
        <v>-0.79</v>
      </c>
      <c r="U62" s="31" t="n">
        <v>21.2</v>
      </c>
      <c r="V62" s="31" t="n">
        <v>22.16</v>
      </c>
      <c r="W62" s="31" t="n">
        <v>13.01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IF(B63=0,"",RANK(B63,$B$2:$B$375,0))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KRYSTAL</t>
        </is>
      </c>
      <c r="D63" s="30" t="inlineStr">
        <is>
          <t>Krystal Integrated Services Ltd</t>
        </is>
      </c>
      <c r="E63" s="30" t="inlineStr">
        <is>
          <t>miscellaneous</t>
        </is>
      </c>
      <c r="F63" s="30" t="inlineStr">
        <is>
          <t>miscellaneous</t>
        </is>
      </c>
      <c r="G63" s="30" t="inlineStr">
        <is>
          <t>smallcap</t>
        </is>
      </c>
      <c r="H63" s="31" t="n">
        <v>874.5700000000001</v>
      </c>
      <c r="I63" s="31" t="n">
        <v>620.5</v>
      </c>
      <c r="J63" s="31" t="n">
        <v>-0.87</v>
      </c>
      <c r="K63" s="31" t="n">
        <v>20395</v>
      </c>
      <c r="L63" s="30" t="n">
        <v>11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59.44</v>
      </c>
      <c r="P63" s="31" t="n">
        <v>24.77</v>
      </c>
      <c r="Q63" s="31" t="n">
        <v>527.01</v>
      </c>
      <c r="R63" s="30" t="inlineStr">
        <is>
          <t>Volume Spike / Accumulation</t>
        </is>
      </c>
      <c r="S63" s="30" t="inlineStr">
        <is>
          <t>Nifty 50</t>
        </is>
      </c>
      <c r="T63" s="31" t="n">
        <v>-0.79</v>
      </c>
      <c r="U63" s="31" t="n">
        <v>0.95</v>
      </c>
      <c r="V63" s="31" t="n">
        <v>1.75</v>
      </c>
      <c r="W63" s="31" t="n">
        <v>1.54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IF(B64=0,"",RANK(B64,$B$2:$B$375,0))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PLASTIBLEN</t>
        </is>
      </c>
      <c r="D64" s="30" t="inlineStr">
        <is>
          <t>Plastiblends India Limited</t>
        </is>
      </c>
      <c r="E64" s="30" t="inlineStr">
        <is>
          <t>chemicals</t>
        </is>
      </c>
      <c r="F64" s="30" t="inlineStr">
        <is>
          <t>chemicals</t>
        </is>
      </c>
      <c r="G64" s="30" t="inlineStr">
        <is>
          <t>smallcap</t>
        </is>
      </c>
      <c r="H64" s="31" t="n">
        <v>531.51</v>
      </c>
      <c r="I64" s="31" t="n">
        <v>201.48</v>
      </c>
      <c r="J64" s="31" t="n">
        <v>-1.48</v>
      </c>
      <c r="K64" s="31" t="n">
        <v>56867</v>
      </c>
      <c r="L64" s="30" t="n">
        <v>31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66.90000000000001</v>
      </c>
      <c r="P64" s="31" t="n">
        <v>28.04</v>
      </c>
      <c r="Q64" s="31" t="n">
        <v>157.61</v>
      </c>
      <c r="R64" s="30" t="inlineStr">
        <is>
          <t>Near 52W High Breakout</t>
        </is>
      </c>
      <c r="S64" s="30" t="inlineStr">
        <is>
          <t>Nifty 50</t>
        </is>
      </c>
      <c r="T64" s="31" t="n">
        <v>-0.79</v>
      </c>
      <c r="U64" s="31" t="n">
        <v>7.06</v>
      </c>
      <c r="V64" s="31" t="n">
        <v>7.91</v>
      </c>
      <c r="W64" s="31" t="n">
        <v>6.78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IF(B65=0,"",RANK(B65,$B$2:$B$375,0))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ADOR</t>
        </is>
      </c>
      <c r="D65" s="30" t="inlineStr">
        <is>
          <t>Ador Welding Ltd</t>
        </is>
      </c>
      <c r="E65" s="30" t="inlineStr">
        <is>
          <t>industrials</t>
        </is>
      </c>
      <c r="F65" s="30" t="inlineStr">
        <is>
          <t>electrodes - welding equipment</t>
        </is>
      </c>
      <c r="G65" s="30" t="inlineStr">
        <is>
          <t>smallcap</t>
        </is>
      </c>
      <c r="H65" s="31" t="n">
        <v>2620.17</v>
      </c>
      <c r="I65" s="31" t="n">
        <v>1478.7</v>
      </c>
      <c r="J65" s="31" t="n">
        <v>-1.79</v>
      </c>
      <c r="K65" s="31" t="n">
        <v>14554</v>
      </c>
      <c r="L65" s="30" t="n">
        <v>74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79.28</v>
      </c>
      <c r="P65" s="31" t="n">
        <v>50.64</v>
      </c>
      <c r="Q65" s="31" t="n">
        <v>1205.62</v>
      </c>
      <c r="R65" s="30" t="inlineStr">
        <is>
          <t>Near 52W High Breakout</t>
        </is>
      </c>
      <c r="S65" s="30" t="inlineStr">
        <is>
          <t>Nifty 50</t>
        </is>
      </c>
      <c r="T65" s="31" t="n">
        <v>-0.79</v>
      </c>
      <c r="U65" s="31" t="n">
        <v>65.88</v>
      </c>
      <c r="V65" s="31" t="n">
        <v>67.2</v>
      </c>
      <c r="W65" s="31" t="n">
        <v>20.41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IF(B66=0,"",RANK(B66,$B$2:$B$375,0))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RAMCOIND</t>
        </is>
      </c>
      <c r="D66" s="30" t="inlineStr">
        <is>
          <t>Ramco Industries Limited</t>
        </is>
      </c>
      <c r="E66" s="30" t="inlineStr">
        <is>
          <t>building materials</t>
        </is>
      </c>
      <c r="F66" s="30" t="inlineStr">
        <is>
          <t>cement products</t>
        </is>
      </c>
      <c r="G66" s="30" t="inlineStr">
        <is>
          <t>smallcap</t>
        </is>
      </c>
      <c r="H66" s="31" t="n">
        <v>3218.35</v>
      </c>
      <c r="I66" s="31" t="n">
        <v>359.1</v>
      </c>
      <c r="J66" s="31" t="n">
        <v>-3.1</v>
      </c>
      <c r="K66" s="31" t="n">
        <v>700935</v>
      </c>
      <c r="L66" s="30" t="n">
        <v>55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62.25</v>
      </c>
      <c r="P66" s="31" t="n">
        <v>32.6</v>
      </c>
      <c r="Q66" s="31" t="n">
        <v>276.99</v>
      </c>
      <c r="R66" s="30" t="inlineStr">
        <is>
          <t>Volume Spike / Accumulation</t>
        </is>
      </c>
      <c r="S66" s="30" t="inlineStr">
        <is>
          <t>Nifty Infra</t>
        </is>
      </c>
      <c r="T66" s="31" t="n">
        <v>3.79</v>
      </c>
      <c r="U66" s="31" t="n">
        <v>25.97</v>
      </c>
      <c r="V66" s="31" t="n">
        <v>21.37</v>
      </c>
      <c r="W66" s="31" t="n">
        <v>13.01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IF(B67=0,"",RANK(B67,$B$2:$B$375,0))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VIJAYA</t>
        </is>
      </c>
      <c r="D67" s="30" t="inlineStr">
        <is>
          <t>Vijaya Diagnostic Centre Ltd</t>
        </is>
      </c>
      <c r="E67" s="30" t="inlineStr">
        <is>
          <t>healthcare</t>
        </is>
      </c>
      <c r="F67" s="30" t="inlineStr">
        <is>
          <t>healthcare</t>
        </is>
      </c>
      <c r="G67" s="30" t="inlineStr">
        <is>
          <t>midcap</t>
        </is>
      </c>
      <c r="H67" s="31" t="n">
        <v>14695.71</v>
      </c>
      <c r="I67" s="31" t="n">
        <v>1510.6</v>
      </c>
      <c r="J67" s="31" t="n">
        <v>5.77</v>
      </c>
      <c r="K67" s="31" t="n">
        <v>1399910</v>
      </c>
      <c r="L67" s="30" t="n">
        <v>49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70.67</v>
      </c>
      <c r="P67" s="31" t="n">
        <v>56.06</v>
      </c>
      <c r="Q67" s="31" t="n">
        <v>1197.47</v>
      </c>
      <c r="R67" s="30" t="inlineStr">
        <is>
          <t>Volume Spike &amp; Near 52W High Breakout</t>
        </is>
      </c>
      <c r="S67" s="30" t="inlineStr">
        <is>
          <t>Nifty Pharma</t>
        </is>
      </c>
      <c r="T67" s="31" t="n">
        <v>20.81</v>
      </c>
      <c r="U67" s="31" t="n">
        <v>43.72</v>
      </c>
      <c r="V67" s="31" t="n">
        <v>18.96</v>
      </c>
      <c r="W67" s="31" t="n">
        <v>11.18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IF(B68=0,"",RANK(B68,$B$2:$B$375,0))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HESTERBIO</t>
        </is>
      </c>
      <c r="D68" s="30" t="inlineStr">
        <is>
          <t>Hester Biosciences Limited</t>
        </is>
      </c>
      <c r="E68" s="30" t="inlineStr">
        <is>
          <t>healthcare</t>
        </is>
      </c>
      <c r="F68" s="30" t="inlineStr">
        <is>
          <t>pharmaceuticals - indian - formulations</t>
        </is>
      </c>
      <c r="G68" s="30" t="inlineStr">
        <is>
          <t>smallcap</t>
        </is>
      </c>
      <c r="H68" s="31" t="n">
        <v>2116.34</v>
      </c>
      <c r="I68" s="31" t="n">
        <v>2465.3</v>
      </c>
      <c r="J68" s="31" t="n">
        <v>-0.9</v>
      </c>
      <c r="K68" s="31" t="n">
        <v>5159</v>
      </c>
      <c r="L68" s="30" t="n">
        <v>58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71.34</v>
      </c>
      <c r="P68" s="31" t="n">
        <v>60.76</v>
      </c>
      <c r="Q68" s="31" t="n">
        <v>1887.94</v>
      </c>
      <c r="R68" s="30" t="inlineStr">
        <is>
          <t>Near 52W High Breakout</t>
        </is>
      </c>
      <c r="S68" s="30" t="inlineStr">
        <is>
          <t>Nifty Pharma</t>
        </is>
      </c>
      <c r="T68" s="31" t="n">
        <v>20.81</v>
      </c>
      <c r="U68" s="31" t="n">
        <v>30.75</v>
      </c>
      <c r="V68" s="31" t="n">
        <v>8.220000000000001</v>
      </c>
      <c r="W68" s="31" t="n">
        <v>13.86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IF(B69=0,"",RANK(B69,$B$2:$B$375,0))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VADILALIND</t>
        </is>
      </c>
      <c r="D69" s="30" t="inlineStr">
        <is>
          <t>Vadilal Industries Limited</t>
        </is>
      </c>
      <c r="E69" s="30" t="inlineStr">
        <is>
          <t>fmcg</t>
        </is>
      </c>
      <c r="F69" s="30" t="inlineStr">
        <is>
          <t>food - processing - indian</t>
        </is>
      </c>
      <c r="G69" s="30" t="inlineStr">
        <is>
          <t>midcap</t>
        </is>
      </c>
      <c r="H69" s="31" t="n">
        <v>5290.96</v>
      </c>
      <c r="I69" s="31" t="n">
        <v>7246.5</v>
      </c>
      <c r="J69" s="31" t="n">
        <v>-1.56</v>
      </c>
      <c r="K69" s="31" t="n">
        <v>14261</v>
      </c>
      <c r="L69" s="30" t="n">
        <v>78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75.97</v>
      </c>
      <c r="P69" s="31" t="n">
        <v>40.77</v>
      </c>
      <c r="Q69" s="31" t="n">
        <v>5878.04</v>
      </c>
      <c r="R69" s="30" t="inlineStr">
        <is>
          <t>Near 52W High Breakout</t>
        </is>
      </c>
      <c r="S69" s="30" t="inlineStr">
        <is>
          <t>Nifty FMCG</t>
        </is>
      </c>
      <c r="T69" s="31" t="n">
        <v>-11.27</v>
      </c>
      <c r="U69" s="31" t="n">
        <v>32.47</v>
      </c>
      <c r="V69" s="31" t="n">
        <v>49.29</v>
      </c>
      <c r="W69" s="31" t="n">
        <v>22.05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IF(B70=0,"",RANK(B70,$B$2:$B$375,0))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NEULANDLAB</t>
        </is>
      </c>
      <c r="D70" s="30" t="inlineStr">
        <is>
          <t>Neuland Laboratories Limited</t>
        </is>
      </c>
      <c r="E70" s="30" t="inlineStr">
        <is>
          <t>healthcare</t>
        </is>
      </c>
      <c r="F70" s="30" t="inlineStr">
        <is>
          <t>pharmaceuticals - indian - bulk drugs</t>
        </is>
      </c>
      <c r="G70" s="30" t="inlineStr">
        <is>
          <t>largecap</t>
        </is>
      </c>
      <c r="H70" s="31" t="n">
        <v>29451.01</v>
      </c>
      <c r="I70" s="31" t="n">
        <v>22510</v>
      </c>
      <c r="J70" s="31" t="n">
        <v>-1.94</v>
      </c>
      <c r="K70" s="31" t="n">
        <v>53189</v>
      </c>
      <c r="L70" s="30" t="n">
        <v>76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74.29000000000001</v>
      </c>
      <c r="P70" s="31" t="n">
        <v>52.39</v>
      </c>
      <c r="Q70" s="31" t="n">
        <v>18376.61</v>
      </c>
      <c r="R70" s="30" t="inlineStr">
        <is>
          <t>Near 52W High Breakout</t>
        </is>
      </c>
      <c r="S70" s="30" t="inlineStr">
        <is>
          <t>Nifty Pharma</t>
        </is>
      </c>
      <c r="T70" s="31" t="n">
        <v>20.81</v>
      </c>
      <c r="U70" s="31" t="n">
        <v>69.84</v>
      </c>
      <c r="V70" s="31" t="n">
        <v>40.58</v>
      </c>
      <c r="W70" s="31" t="n">
        <v>21.04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IF(B71=0,"",RANK(B71,$B$2:$B$375,0))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SUVEN</t>
        </is>
      </c>
      <c r="D71" s="30" t="inlineStr">
        <is>
          <t>Suven Life Sciences Limited</t>
        </is>
      </c>
      <c r="E71" s="30" t="inlineStr">
        <is>
          <t>healthcare</t>
        </is>
      </c>
      <c r="F71" s="30" t="inlineStr">
        <is>
          <t>miscellaneous</t>
        </is>
      </c>
      <c r="G71" s="30" t="inlineStr">
        <is>
          <t>smallcap</t>
        </is>
      </c>
      <c r="H71" s="31" t="n">
        <v>657.8</v>
      </c>
      <c r="I71" s="31" t="n">
        <v>330.55</v>
      </c>
      <c r="J71" s="31" t="n">
        <v>-2.92</v>
      </c>
      <c r="K71" s="31" t="n">
        <v>466245</v>
      </c>
      <c r="L71" s="30" t="n">
        <v>79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65.95999999999999</v>
      </c>
      <c r="P71" s="31" t="n">
        <v>46.94</v>
      </c>
      <c r="Q71" s="31" t="n">
        <v>256.47</v>
      </c>
      <c r="R71" s="30" t="inlineStr">
        <is>
          <t>Earnings / Momentum Support</t>
        </is>
      </c>
      <c r="S71" s="30" t="inlineStr">
        <is>
          <t>Nifty Pharma</t>
        </is>
      </c>
      <c r="T71" s="31" t="n">
        <v>20.81</v>
      </c>
      <c r="U71" s="31" t="n">
        <v>40.54</v>
      </c>
      <c r="V71" s="31" t="n">
        <v>16.33</v>
      </c>
      <c r="W71" s="31" t="n">
        <v>22.6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IF(B72=0,"",RANK(B72,$B$2:$B$375,0))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DIVGIITTS</t>
        </is>
      </c>
      <c r="D72" s="30" t="inlineStr">
        <is>
          <t>Divgi Torqtransfer Systems Ltd</t>
        </is>
      </c>
      <c r="E72" s="30" t="inlineStr">
        <is>
          <t>auto</t>
        </is>
      </c>
      <c r="F72" s="30" t="inlineStr">
        <is>
          <t>auto ancillaries</t>
        </is>
      </c>
      <c r="G72" s="30" t="inlineStr">
        <is>
          <t>smallcap</t>
        </is>
      </c>
      <c r="H72" s="31" t="n">
        <v>3291.95</v>
      </c>
      <c r="I72" s="31" t="n">
        <v>1231.95</v>
      </c>
      <c r="J72" s="31" t="n">
        <v>14.45</v>
      </c>
      <c r="K72" s="31" t="n">
        <v>2717226</v>
      </c>
      <c r="L72" s="30" t="n">
        <v>88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76.17</v>
      </c>
      <c r="P72" s="31" t="n">
        <v>45.2</v>
      </c>
      <c r="Q72" s="31" t="n">
        <v>940.64</v>
      </c>
      <c r="R72" s="30" t="inlineStr">
        <is>
          <t>Volume Spike &amp; Near 52W High Breakout</t>
        </is>
      </c>
      <c r="S72" s="30" t="inlineStr">
        <is>
          <t>Nifty Auto</t>
        </is>
      </c>
      <c r="T72" s="31" t="n">
        <v>23.47</v>
      </c>
      <c r="U72" s="31" t="n">
        <v>91.73</v>
      </c>
      <c r="V72" s="31" t="n">
        <v>55.28</v>
      </c>
      <c r="W72" s="31" t="n">
        <v>29.27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IF(B73=0,"",RANK(B73,$B$2:$B$375,0))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KENNAMET</t>
        </is>
      </c>
      <c r="D73" s="30" t="inlineStr">
        <is>
          <t>Kennametal India Ltd</t>
        </is>
      </c>
      <c r="E73" s="30" t="inlineStr">
        <is>
          <t>industrials</t>
        </is>
      </c>
      <c r="F73" s="30" t="inlineStr">
        <is>
          <t>castings &amp; forgings</t>
        </is>
      </c>
      <c r="G73" s="30" t="inlineStr">
        <is>
          <t>midcap</t>
        </is>
      </c>
      <c r="H73" s="31" t="n">
        <v>7257</v>
      </c>
      <c r="I73" s="31" t="n">
        <v>3572.3</v>
      </c>
      <c r="J73" s="31" t="n">
        <v>8.19</v>
      </c>
      <c r="K73" s="31" t="n">
        <v>197969</v>
      </c>
      <c r="L73" s="30" t="n">
        <v>75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74.84999999999999</v>
      </c>
      <c r="P73" s="31" t="n">
        <v>43.75</v>
      </c>
      <c r="Q73" s="31" t="n">
        <v>2831.31</v>
      </c>
      <c r="R73" s="30" t="inlineStr">
        <is>
          <t>Near 52W High Breakout</t>
        </is>
      </c>
      <c r="S73" s="30" t="inlineStr">
        <is>
          <t>Nifty Infra</t>
        </is>
      </c>
      <c r="T73" s="31" t="n">
        <v>3.79</v>
      </c>
      <c r="U73" s="31" t="n">
        <v>58.09</v>
      </c>
      <c r="V73" s="31" t="n">
        <v>52.32</v>
      </c>
      <c r="W73" s="31" t="n">
        <v>20.67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IF(B74=0,"",RANK(B74,$B$2:$B$375,0))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FINCABLES</t>
        </is>
      </c>
      <c r="D74" s="30" t="inlineStr">
        <is>
          <t>Finolex Cables Limited</t>
        </is>
      </c>
      <c r="E74" s="30" t="inlineStr">
        <is>
          <t>industrials</t>
        </is>
      </c>
      <c r="F74" s="30" t="inlineStr">
        <is>
          <t>cables - power</t>
        </is>
      </c>
      <c r="G74" s="30" t="inlineStr">
        <is>
          <t>midcap</t>
        </is>
      </c>
      <c r="H74" s="31" t="n">
        <v>18472.78</v>
      </c>
      <c r="I74" s="31" t="n">
        <v>1280.05</v>
      </c>
      <c r="J74" s="31" t="n">
        <v>5.98</v>
      </c>
      <c r="K74" s="31" t="n">
        <v>20153531</v>
      </c>
      <c r="L74" s="30" t="n">
        <v>63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66.81</v>
      </c>
      <c r="P74" s="31" t="n">
        <v>35.43</v>
      </c>
      <c r="Q74" s="31" t="n">
        <v>953.37</v>
      </c>
      <c r="R74" s="30" t="inlineStr">
        <is>
          <t>Volume Spike &amp; Near 52W High Breakout</t>
        </is>
      </c>
      <c r="S74" s="30" t="inlineStr">
        <is>
          <t>Nifty Energy</t>
        </is>
      </c>
      <c r="T74" s="31" t="n">
        <v>10</v>
      </c>
      <c r="U74" s="31" t="n">
        <v>43.82</v>
      </c>
      <c r="V74" s="31" t="n">
        <v>30.74</v>
      </c>
      <c r="W74" s="31" t="n">
        <v>15.62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IF(B75=0,"",RANK(B75,$B$2:$B$375,0))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SANSERA</t>
        </is>
      </c>
      <c r="D75" s="30" t="inlineStr">
        <is>
          <t>Sansera Engineering Ltd</t>
        </is>
      </c>
      <c r="E75" s="30" t="inlineStr">
        <is>
          <t>auto</t>
        </is>
      </c>
      <c r="F75" s="30" t="inlineStr">
        <is>
          <t>auto ancillaries</t>
        </is>
      </c>
      <c r="G75" s="30" t="inlineStr">
        <is>
          <t>largecap</t>
        </is>
      </c>
      <c r="H75" s="31" t="n">
        <v>22996.34</v>
      </c>
      <c r="I75" s="31" t="n">
        <v>3878.3</v>
      </c>
      <c r="J75" s="31" t="n">
        <v>5.24</v>
      </c>
      <c r="K75" s="31" t="n">
        <v>328395</v>
      </c>
      <c r="L75" s="30" t="n">
        <v>92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82.95</v>
      </c>
      <c r="P75" s="31" t="n">
        <v>56.26</v>
      </c>
      <c r="Q75" s="31" t="n">
        <v>3114.16</v>
      </c>
      <c r="R75" s="30" t="inlineStr">
        <is>
          <t>Near 52W High Breakout</t>
        </is>
      </c>
      <c r="S75" s="30" t="inlineStr">
        <is>
          <t>Nifty Auto</t>
        </is>
      </c>
      <c r="T75" s="31" t="n">
        <v>23.47</v>
      </c>
      <c r="U75" s="31" t="n">
        <v>186.62</v>
      </c>
      <c r="V75" s="31" t="n">
        <v>132.14</v>
      </c>
      <c r="W75" s="31" t="n">
        <v>36.11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IF(B76=0,"",RANK(B76,$B$2:$B$375,0))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KRONOX</t>
        </is>
      </c>
      <c r="D76" s="30" t="inlineStr">
        <is>
          <t>Kronox Lab Sciences Ltd</t>
        </is>
      </c>
      <c r="E76" s="30" t="inlineStr">
        <is>
          <t>chemicals</t>
        </is>
      </c>
      <c r="F76" s="30" t="inlineStr">
        <is>
          <t>chemicals</t>
        </is>
      </c>
      <c r="G76" s="30" t="inlineStr">
        <is>
          <t>smallcap</t>
        </is>
      </c>
      <c r="H76" s="31" t="n">
        <v>620.16</v>
      </c>
      <c r="I76" s="31" t="n">
        <v>173.93</v>
      </c>
      <c r="J76" s="31" t="n">
        <v>4.06</v>
      </c>
      <c r="K76" s="31" t="n">
        <v>717477</v>
      </c>
      <c r="L76" s="30" t="n">
        <v>41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68.91</v>
      </c>
      <c r="P76" s="31" t="n">
        <v>25.06</v>
      </c>
      <c r="Q76" s="31" t="n">
        <v>129.49</v>
      </c>
      <c r="R76" s="30" t="inlineStr">
        <is>
          <t>Near 52W High Breakout</t>
        </is>
      </c>
      <c r="S76" s="30" t="inlineStr">
        <is>
          <t>Nifty 50</t>
        </is>
      </c>
      <c r="T76" s="31" t="n">
        <v>-0.79</v>
      </c>
      <c r="U76" s="31" t="n">
        <v>8.16</v>
      </c>
      <c r="V76" s="31" t="n">
        <v>9.02</v>
      </c>
      <c r="W76" s="31" t="n">
        <v>9.34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Between 50% to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IF(B77=0,"",RANK(B77,$B$2:$B$375,0))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DYCL</t>
        </is>
      </c>
      <c r="D77" s="30" t="inlineStr">
        <is>
          <t>Dynamic Cables Ltd</t>
        </is>
      </c>
      <c r="E77" s="30" t="inlineStr">
        <is>
          <t>industrials</t>
        </is>
      </c>
      <c r="F77" s="30" t="inlineStr">
        <is>
          <t>cables - power</t>
        </is>
      </c>
      <c r="G77" s="30" t="inlineStr">
        <is>
          <t>smallcap</t>
        </is>
      </c>
      <c r="H77" s="31" t="n">
        <v>2138</v>
      </c>
      <c r="I77" s="31" t="n">
        <v>454</v>
      </c>
      <c r="J77" s="31" t="n">
        <v>2.9</v>
      </c>
      <c r="K77" s="31" t="n">
        <v>1716733</v>
      </c>
      <c r="L77" s="30" t="n">
        <v>45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66.40000000000001</v>
      </c>
      <c r="P77" s="31" t="n">
        <v>22.2</v>
      </c>
      <c r="Q77" s="31" t="n">
        <v>319.06</v>
      </c>
      <c r="R77" s="30" t="inlineStr">
        <is>
          <t>Near 52W High Breakout</t>
        </is>
      </c>
      <c r="S77" s="30" t="inlineStr">
        <is>
          <t>Nifty Energy</t>
        </is>
      </c>
      <c r="T77" s="31" t="n">
        <v>10</v>
      </c>
      <c r="U77" s="31" t="n">
        <v>11.2</v>
      </c>
      <c r="V77" s="31" t="n">
        <v>1.08</v>
      </c>
      <c r="W77" s="31" t="n">
        <v>10.34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IF(B78=0,"",RANK(B78,$B$2:$B$375,0))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ACE</t>
        </is>
      </c>
      <c r="D78" s="30" t="inlineStr">
        <is>
          <t>Action Construction Equipment Limited</t>
        </is>
      </c>
      <c r="E78" s="30" t="inlineStr">
        <is>
          <t>industrials</t>
        </is>
      </c>
      <c r="F78" s="30" t="inlineStr">
        <is>
          <t>engineering</t>
        </is>
      </c>
      <c r="G78" s="30" t="inlineStr">
        <is>
          <t>midcap</t>
        </is>
      </c>
      <c r="H78" s="31" t="n">
        <v>12781.2</v>
      </c>
      <c r="I78" s="31" t="n">
        <v>1096.1</v>
      </c>
      <c r="J78" s="31" t="n">
        <v>2.12</v>
      </c>
      <c r="K78" s="31" t="n">
        <v>305682</v>
      </c>
      <c r="L78" s="30" t="n">
        <v>39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68.69</v>
      </c>
      <c r="P78" s="31" t="n">
        <v>22.45</v>
      </c>
      <c r="Q78" s="31" t="n">
        <v>889.08</v>
      </c>
      <c r="R78" s="30" t="inlineStr">
        <is>
          <t>Near 52W High Breakout</t>
        </is>
      </c>
      <c r="S78" s="30" t="inlineStr">
        <is>
          <t>Nifty 50</t>
        </is>
      </c>
      <c r="T78" s="31" t="n">
        <v>-0.79</v>
      </c>
      <c r="U78" s="31" t="n">
        <v>17.56</v>
      </c>
      <c r="V78" s="31" t="n">
        <v>18.5</v>
      </c>
      <c r="W78" s="31" t="n">
        <v>8.5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IF(B79=0,"",RANK(B79,$B$2:$B$375,0))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FIEMIND</t>
        </is>
      </c>
      <c r="D79" s="30" t="inlineStr">
        <is>
          <t>Fiem Industries Limited</t>
        </is>
      </c>
      <c r="E79" s="30" t="inlineStr">
        <is>
          <t>auto</t>
        </is>
      </c>
      <c r="F79" s="30" t="inlineStr">
        <is>
          <t>auto ancillaries</t>
        </is>
      </c>
      <c r="G79" s="30" t="inlineStr">
        <is>
          <t>midcap</t>
        </is>
      </c>
      <c r="H79" s="31" t="n">
        <v>6822.58</v>
      </c>
      <c r="I79" s="31" t="n">
        <v>2645.9</v>
      </c>
      <c r="J79" s="31" t="n">
        <v>2.07</v>
      </c>
      <c r="K79" s="31" t="n">
        <v>153129</v>
      </c>
      <c r="L79" s="30" t="n">
        <v>50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74.38</v>
      </c>
      <c r="P79" s="31" t="n">
        <v>27.06</v>
      </c>
      <c r="Q79" s="31" t="n">
        <v>2190.17</v>
      </c>
      <c r="R79" s="30" t="inlineStr">
        <is>
          <t>Near 52W High Breakout</t>
        </is>
      </c>
      <c r="S79" s="30" t="inlineStr">
        <is>
          <t>Nifty Auto</t>
        </is>
      </c>
      <c r="T79" s="31" t="n">
        <v>23.47</v>
      </c>
      <c r="U79" s="31" t="n">
        <v>35.48</v>
      </c>
      <c r="V79" s="31" t="n">
        <v>9.73</v>
      </c>
      <c r="W79" s="31" t="n">
        <v>11.36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IF(B80=0,"",RANK(B80,$B$2:$B$375,0))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WELCORP</t>
        </is>
      </c>
      <c r="D80" s="30" t="inlineStr">
        <is>
          <t>Welspun Corp Limited</t>
        </is>
      </c>
      <c r="E80" s="30" t="inlineStr">
        <is>
          <t>industrials</t>
        </is>
      </c>
      <c r="F80" s="30" t="inlineStr">
        <is>
          <t>steel - large</t>
        </is>
      </c>
      <c r="G80" s="30" t="inlineStr">
        <is>
          <t>largecap</t>
        </is>
      </c>
      <c r="H80" s="31" t="n">
        <v>48455.7</v>
      </c>
      <c r="I80" s="31" t="n">
        <v>1867.6</v>
      </c>
      <c r="J80" s="31" t="n">
        <v>1.67</v>
      </c>
      <c r="K80" s="31" t="n">
        <v>583807</v>
      </c>
      <c r="L80" s="30" t="n">
        <v>89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88.77</v>
      </c>
      <c r="P80" s="31" t="n">
        <v>70.73999999999999</v>
      </c>
      <c r="Q80" s="31" t="n">
        <v>1558.58</v>
      </c>
      <c r="R80" s="30" t="inlineStr">
        <is>
          <t>Near 52W High Breakout</t>
        </is>
      </c>
      <c r="S80" s="30" t="inlineStr">
        <is>
          <t>Nifty Metal</t>
        </is>
      </c>
      <c r="T80" s="31" t="n">
        <v>39.75</v>
      </c>
      <c r="U80" s="31" t="n">
        <v>111.28</v>
      </c>
      <c r="V80" s="31" t="n">
        <v>51.18</v>
      </c>
      <c r="W80" s="31" t="n">
        <v>31.46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IF(B81=0,"",RANK(B81,$B$2:$B$375,0))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NRBBEARING</t>
        </is>
      </c>
      <c r="D81" s="30" t="inlineStr">
        <is>
          <t>Nrb Bearing Limited</t>
        </is>
      </c>
      <c r="E81" s="30" t="inlineStr">
        <is>
          <t>industrials</t>
        </is>
      </c>
      <c r="F81" s="30" t="inlineStr">
        <is>
          <t>bearings</t>
        </is>
      </c>
      <c r="G81" s="30" t="inlineStr">
        <is>
          <t>smallcap</t>
        </is>
      </c>
      <c r="H81" s="31" t="n">
        <v>4412.4</v>
      </c>
      <c r="I81" s="31" t="n">
        <v>461.65</v>
      </c>
      <c r="J81" s="31" t="n">
        <v>1.41</v>
      </c>
      <c r="K81" s="31" t="n">
        <v>557944</v>
      </c>
      <c r="L81" s="30" t="n">
        <v>71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74.8</v>
      </c>
      <c r="P81" s="31" t="n">
        <v>49.51</v>
      </c>
      <c r="Q81" s="31" t="n">
        <v>355.54</v>
      </c>
      <c r="R81" s="30" t="inlineStr">
        <is>
          <t>Near 52W High Breakout</t>
        </is>
      </c>
      <c r="S81" s="30" t="inlineStr">
        <is>
          <t>Nifty 50</t>
        </is>
      </c>
      <c r="T81" s="31" t="n">
        <v>-0.79</v>
      </c>
      <c r="U81" s="31" t="n">
        <v>70.59999999999999</v>
      </c>
      <c r="V81" s="31" t="n">
        <v>71.95999999999999</v>
      </c>
      <c r="W81" s="31" t="n">
        <v>18.7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Between 12 to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IF(B82=0,"",RANK(B82,$B$2:$B$375,0))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SHRIPISTON</t>
        </is>
      </c>
      <c r="D82" s="30" t="inlineStr">
        <is>
          <t>Shriram Pistons &amp; Rings Limited</t>
        </is>
      </c>
      <c r="E82" s="30" t="inlineStr">
        <is>
          <t>auto</t>
        </is>
      </c>
      <c r="F82" s="30" t="inlineStr">
        <is>
          <t>auto ancillaries</t>
        </is>
      </c>
      <c r="G82" s="30" t="inlineStr">
        <is>
          <t>midcap</t>
        </is>
      </c>
      <c r="H82" s="31" t="n">
        <v>19466.06</v>
      </c>
      <c r="I82" s="31" t="n">
        <v>4478.7</v>
      </c>
      <c r="J82" s="31" t="n">
        <v>1.35</v>
      </c>
      <c r="K82" s="31" t="n">
        <v>82738</v>
      </c>
      <c r="L82" s="30" t="n">
        <v>73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74.27</v>
      </c>
      <c r="P82" s="31" t="n">
        <v>43.25</v>
      </c>
      <c r="Q82" s="31" t="n">
        <v>3590.22</v>
      </c>
      <c r="R82" s="30" t="inlineStr">
        <is>
          <t>Near 52W High Breakout</t>
        </is>
      </c>
      <c r="S82" s="30" t="inlineStr">
        <is>
          <t>Nifty Auto</t>
        </is>
      </c>
      <c r="T82" s="31" t="n">
        <v>23.47</v>
      </c>
      <c r="U82" s="31" t="n">
        <v>85.79000000000001</v>
      </c>
      <c r="V82" s="31" t="n">
        <v>50.47</v>
      </c>
      <c r="W82" s="31" t="n">
        <v>19.69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IF(B83=0,"",RANK(B83,$B$2:$B$375,0))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AVALON</t>
        </is>
      </c>
      <c r="D83" s="30" t="inlineStr">
        <is>
          <t>Avalon Technologies Ltd</t>
        </is>
      </c>
      <c r="E83" s="30" t="inlineStr">
        <is>
          <t>consumer discretionary</t>
        </is>
      </c>
      <c r="F83" s="30" t="inlineStr">
        <is>
          <t>electronics - components</t>
        </is>
      </c>
      <c r="G83" s="30" t="inlineStr">
        <is>
          <t>midcap</t>
        </is>
      </c>
      <c r="H83" s="31" t="n">
        <v>12950.12</v>
      </c>
      <c r="I83" s="31" t="n">
        <v>1963.9</v>
      </c>
      <c r="J83" s="31" t="n">
        <v>1.32</v>
      </c>
      <c r="K83" s="31" t="n">
        <v>406426</v>
      </c>
      <c r="L83" s="30" t="n">
        <v>88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79.73</v>
      </c>
      <c r="P83" s="31" t="n">
        <v>58.39</v>
      </c>
      <c r="Q83" s="31" t="n">
        <v>1508.18</v>
      </c>
      <c r="R83" s="30" t="inlineStr">
        <is>
          <t>Near 52W High Breakout</t>
        </is>
      </c>
      <c r="S83" s="30" t="inlineStr">
        <is>
          <t>Nifty 50</t>
        </is>
      </c>
      <c r="T83" s="31" t="n">
        <v>-0.79</v>
      </c>
      <c r="U83" s="31" t="n">
        <v>134.43</v>
      </c>
      <c r="V83" s="31" t="n">
        <v>136.3</v>
      </c>
      <c r="W83" s="31" t="n">
        <v>29.61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IF(B84=0,"",RANK(B84,$B$2:$B$375,0))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PDSL</t>
        </is>
      </c>
      <c r="D84" s="30" t="inlineStr">
        <is>
          <t>PDS Ltd</t>
        </is>
      </c>
      <c r="E84" s="30" t="inlineStr">
        <is>
          <t>textiles</t>
        </is>
      </c>
      <c r="F84" s="30" t="inlineStr">
        <is>
          <t>trading</t>
        </is>
      </c>
      <c r="G84" s="30" t="inlineStr">
        <is>
          <t>midcap</t>
        </is>
      </c>
      <c r="H84" s="31" t="n">
        <v>5325.3</v>
      </c>
      <c r="I84" s="31" t="n">
        <v>379.4</v>
      </c>
      <c r="J84" s="31" t="n">
        <v>0.77</v>
      </c>
      <c r="K84" s="31" t="n">
        <v>107810</v>
      </c>
      <c r="L84" s="30" t="n">
        <v>55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62.86</v>
      </c>
      <c r="P84" s="31" t="n">
        <v>33.83</v>
      </c>
      <c r="Q84" s="31" t="n">
        <v>280.89</v>
      </c>
      <c r="R84" s="30" t="inlineStr">
        <is>
          <t>Near 52W High Breakout</t>
        </is>
      </c>
      <c r="S84" s="30" t="inlineStr">
        <is>
          <t>Nifty 50</t>
        </is>
      </c>
      <c r="T84" s="31" t="n">
        <v>-0.79</v>
      </c>
      <c r="U84" s="31" t="n">
        <v>20.99</v>
      </c>
      <c r="V84" s="31" t="n">
        <v>21.96</v>
      </c>
      <c r="W84" s="31" t="n">
        <v>13.06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IF(B85=0,"",RANK(B85,$B$2:$B$375,0))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SONACOMS</t>
        </is>
      </c>
      <c r="D85" s="30" t="inlineStr">
        <is>
          <t>Sona BLW Precision Forgings Ltd</t>
        </is>
      </c>
      <c r="E85" s="30" t="inlineStr">
        <is>
          <t>auto</t>
        </is>
      </c>
      <c r="F85" s="30" t="inlineStr">
        <is>
          <t>auto ancillaries</t>
        </is>
      </c>
      <c r="G85" s="30" t="inlineStr">
        <is>
          <t>largecap</t>
        </is>
      </c>
      <c r="H85" s="31" t="n">
        <v>49762.79</v>
      </c>
      <c r="I85" s="31" t="n">
        <v>804.5</v>
      </c>
      <c r="J85" s="31" t="n">
        <v>0.5600000000000001</v>
      </c>
      <c r="K85" s="31" t="n">
        <v>1894549</v>
      </c>
      <c r="L85" s="30" t="n">
        <v>77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79.45999999999999</v>
      </c>
      <c r="P85" s="31" t="n">
        <v>49.59</v>
      </c>
      <c r="Q85" s="31" t="n">
        <v>695.87</v>
      </c>
      <c r="R85" s="30" t="inlineStr">
        <is>
          <t>Near 52W High Breakout</t>
        </is>
      </c>
      <c r="S85" s="30" t="inlineStr">
        <is>
          <t>Nifty Auto</t>
        </is>
      </c>
      <c r="T85" s="31" t="n">
        <v>23.47</v>
      </c>
      <c r="U85" s="31" t="n">
        <v>72.43000000000001</v>
      </c>
      <c r="V85" s="31" t="n">
        <v>39.65</v>
      </c>
      <c r="W85" s="31" t="n">
        <v>21.44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IF(B86=0,"",RANK(B86,$B$2:$B$375,0))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MODISONLTD</t>
        </is>
      </c>
      <c r="D86" s="30" t="inlineStr">
        <is>
          <t>Modison Ltd</t>
        </is>
      </c>
      <c r="E86" s="30" t="inlineStr">
        <is>
          <t>industrials</t>
        </is>
      </c>
      <c r="F86" s="30" t="inlineStr">
        <is>
          <t>electric equipment</t>
        </is>
      </c>
      <c r="G86" s="30" t="inlineStr">
        <is>
          <t>smallcap</t>
        </is>
      </c>
      <c r="H86" s="31" t="n">
        <v>997.6799999999999</v>
      </c>
      <c r="I86" s="31" t="n">
        <v>308.8</v>
      </c>
      <c r="J86" s="31" t="n">
        <v>0.44</v>
      </c>
      <c r="K86" s="31" t="n">
        <v>291029</v>
      </c>
      <c r="L86" s="30" t="n">
        <v>93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65.63</v>
      </c>
      <c r="P86" s="31" t="n">
        <v>55.84</v>
      </c>
      <c r="Q86" s="31" t="n">
        <v>264.65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-0.79</v>
      </c>
      <c r="U86" s="31" t="n">
        <v>100.77</v>
      </c>
      <c r="V86" s="31" t="n">
        <v>102.38</v>
      </c>
      <c r="W86" s="31" t="n">
        <v>38.06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IF(B87=0,"",RANK(B87,$B$2:$B$375,0))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ARVIND</t>
        </is>
      </c>
      <c r="D87" s="30" t="inlineStr">
        <is>
          <t>Arvind Limited</t>
        </is>
      </c>
      <c r="E87" s="30" t="inlineStr">
        <is>
          <t>textiles</t>
        </is>
      </c>
      <c r="F87" s="30" t="inlineStr">
        <is>
          <t>textiles - cotton/blended</t>
        </is>
      </c>
      <c r="G87" s="30" t="inlineStr">
        <is>
          <t>midcap</t>
        </is>
      </c>
      <c r="H87" s="31" t="n">
        <v>14880.36</v>
      </c>
      <c r="I87" s="31" t="n">
        <v>566.85</v>
      </c>
      <c r="J87" s="31" t="n">
        <v>-0.14</v>
      </c>
      <c r="K87" s="31" t="n">
        <v>405680</v>
      </c>
      <c r="L87" s="30" t="n">
        <v>74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70.45</v>
      </c>
      <c r="P87" s="31" t="n">
        <v>61.55</v>
      </c>
      <c r="Q87" s="31" t="n">
        <v>454.06</v>
      </c>
      <c r="R87" s="30" t="inlineStr">
        <is>
          <t>Near 52W High Breakout</t>
        </is>
      </c>
      <c r="S87" s="30" t="inlineStr">
        <is>
          <t>Nifty 50</t>
        </is>
      </c>
      <c r="T87" s="31" t="n">
        <v>-0.79</v>
      </c>
      <c r="U87" s="31" t="n">
        <v>97.47</v>
      </c>
      <c r="V87" s="31" t="n">
        <v>99.05</v>
      </c>
      <c r="W87" s="31" t="n">
        <v>20.03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IF(B88=0,"",RANK(B88,$B$2:$B$375,0))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NETWEB</t>
        </is>
      </c>
      <c r="D88" s="30" t="inlineStr">
        <is>
          <t>Netweb Technologies India Ltd</t>
        </is>
      </c>
      <c r="E88" s="30" t="inlineStr">
        <is>
          <t>i.t</t>
        </is>
      </c>
      <c r="F88" s="30" t="inlineStr">
        <is>
          <t>computers - hardware</t>
        </is>
      </c>
      <c r="G88" s="30" t="inlineStr">
        <is>
          <t>largecap</t>
        </is>
      </c>
      <c r="H88" s="31" t="n">
        <v>27672.04</v>
      </c>
      <c r="I88" s="31" t="n">
        <v>4837.4</v>
      </c>
      <c r="J88" s="31" t="n">
        <v>-0.46</v>
      </c>
      <c r="K88" s="31" t="n">
        <v>613049</v>
      </c>
      <c r="L88" s="30" t="n">
        <v>81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61.25</v>
      </c>
      <c r="P88" s="31" t="n">
        <v>39.31</v>
      </c>
      <c r="Q88" s="31" t="n">
        <v>3739.95</v>
      </c>
      <c r="R88" s="30" t="inlineStr">
        <is>
          <t>Near 52W High Breakout</t>
        </is>
      </c>
      <c r="S88" s="30" t="inlineStr">
        <is>
          <t>Nifty IT</t>
        </is>
      </c>
      <c r="T88" s="31" t="n">
        <v>-10.05</v>
      </c>
      <c r="U88" s="31" t="n">
        <v>128.06</v>
      </c>
      <c r="V88" s="31" t="n">
        <v>153.54</v>
      </c>
      <c r="W88" s="31" t="n">
        <v>25.63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IF(B89=0,"",RANK(B89,$B$2:$B$375,0))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NILKAMAL</t>
        </is>
      </c>
      <c r="D89" s="30" t="inlineStr">
        <is>
          <t>Nilkamal Limited</t>
        </is>
      </c>
      <c r="E89" s="30" t="inlineStr">
        <is>
          <t>plastic products</t>
        </is>
      </c>
      <c r="F89" s="30" t="inlineStr">
        <is>
          <t>plastics products</t>
        </is>
      </c>
      <c r="G89" s="30" t="inlineStr">
        <is>
          <t>smallcap</t>
        </is>
      </c>
      <c r="H89" s="31" t="n">
        <v>2788.42</v>
      </c>
      <c r="I89" s="31" t="n">
        <v>1859.3</v>
      </c>
      <c r="J89" s="31" t="n">
        <v>-0.5</v>
      </c>
      <c r="K89" s="31" t="n">
        <v>56775</v>
      </c>
      <c r="L89" s="30" t="n">
        <v>60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80.17</v>
      </c>
      <c r="P89" s="31" t="n">
        <v>29.29</v>
      </c>
      <c r="Q89" s="31" t="n">
        <v>1484.04</v>
      </c>
      <c r="R89" s="30" t="inlineStr">
        <is>
          <t>Near 52W High Breakout</t>
        </is>
      </c>
      <c r="S89" s="30" t="inlineStr">
        <is>
          <t>Nifty 50</t>
        </is>
      </c>
      <c r="T89" s="31" t="n">
        <v>-0.79</v>
      </c>
      <c r="U89" s="31" t="n">
        <v>20.34</v>
      </c>
      <c r="V89" s="31" t="n">
        <v>21.3</v>
      </c>
      <c r="W89" s="31" t="n">
        <v>14.83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IF(B90=0,"",RANK(B90,$B$2:$B$375,0))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RRKABEL</t>
        </is>
      </c>
      <c r="D90" s="30" t="inlineStr">
        <is>
          <t>R R Kabel Ltd</t>
        </is>
      </c>
      <c r="E90" s="30" t="inlineStr">
        <is>
          <t>industrials</t>
        </is>
      </c>
      <c r="F90" s="30" t="inlineStr">
        <is>
          <t>cables - power</t>
        </is>
      </c>
      <c r="G90" s="30" t="inlineStr">
        <is>
          <t>largecap</t>
        </is>
      </c>
      <c r="H90" s="31" t="n">
        <v>31814.32</v>
      </c>
      <c r="I90" s="31" t="n">
        <v>2789.6</v>
      </c>
      <c r="J90" s="31" t="n">
        <v>-0.82</v>
      </c>
      <c r="K90" s="31" t="n">
        <v>234123</v>
      </c>
      <c r="L90" s="30" t="n">
        <v>93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77.5</v>
      </c>
      <c r="P90" s="31" t="n">
        <v>67.23</v>
      </c>
      <c r="Q90" s="31" t="n">
        <v>2223.56</v>
      </c>
      <c r="R90" s="30" t="inlineStr">
        <is>
          <t>Near 52W High Breakout</t>
        </is>
      </c>
      <c r="S90" s="30" t="inlineStr">
        <is>
          <t>Nifty Energy</t>
        </is>
      </c>
      <c r="T90" s="31" t="n">
        <v>10</v>
      </c>
      <c r="U90" s="31" t="n">
        <v>100.88</v>
      </c>
      <c r="V90" s="31" t="n">
        <v>82.61</v>
      </c>
      <c r="W90" s="31" t="n">
        <v>38.51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IF(B91=0,"",RANK(B91,$B$2:$B$375,0))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AETHER</t>
        </is>
      </c>
      <c r="D91" s="30" t="inlineStr">
        <is>
          <t>Aether Industries Ltd</t>
        </is>
      </c>
      <c r="E91" s="30" t="inlineStr">
        <is>
          <t>chemicals</t>
        </is>
      </c>
      <c r="F91" s="30" t="inlineStr">
        <is>
          <t>chemicals</t>
        </is>
      </c>
      <c r="G91" s="30" t="inlineStr">
        <is>
          <t>largecap</t>
        </is>
      </c>
      <c r="H91" s="31" t="n">
        <v>21687.89</v>
      </c>
      <c r="I91" s="31" t="n">
        <v>1612.7</v>
      </c>
      <c r="J91" s="31" t="n">
        <v>-1.32</v>
      </c>
      <c r="K91" s="31" t="n">
        <v>106756</v>
      </c>
      <c r="L91" s="30" t="n">
        <v>83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75.63</v>
      </c>
      <c r="P91" s="31" t="n">
        <v>45.92</v>
      </c>
      <c r="Q91" s="31" t="n">
        <v>1301.54</v>
      </c>
      <c r="R91" s="30" t="inlineStr">
        <is>
          <t>Near 52W High Breakout</t>
        </is>
      </c>
      <c r="S91" s="30" t="inlineStr">
        <is>
          <t>Nifty 50</t>
        </is>
      </c>
      <c r="T91" s="31" t="n">
        <v>-0.79</v>
      </c>
      <c r="U91" s="31" t="n">
        <v>117.48</v>
      </c>
      <c r="V91" s="31" t="n">
        <v>119.22</v>
      </c>
      <c r="W91" s="31" t="n">
        <v>26.71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IF(B92=0,"",RANK(B92,$B$2:$B$375,0))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NAUKRI</t>
        </is>
      </c>
      <c r="D92" s="30" t="inlineStr">
        <is>
          <t>Info Edge (india) Limited</t>
        </is>
      </c>
      <c r="E92" s="30" t="inlineStr">
        <is>
          <t>i.t</t>
        </is>
      </c>
      <c r="F92" s="30" t="inlineStr">
        <is>
          <t>miscellaneous</t>
        </is>
      </c>
      <c r="G92" s="30" t="inlineStr">
        <is>
          <t>largecap</t>
        </is>
      </c>
      <c r="H92" s="31" t="n">
        <v>88185.2</v>
      </c>
      <c r="I92" s="31" t="n">
        <v>1339</v>
      </c>
      <c r="J92" s="31" t="n">
        <v>-1.54</v>
      </c>
      <c r="K92" s="31" t="n">
        <v>1787437</v>
      </c>
      <c r="L92" s="30" t="n">
        <v>47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69.31</v>
      </c>
      <c r="P92" s="31" t="n">
        <v>23.02</v>
      </c>
      <c r="Q92" s="31" t="n">
        <v>1078.79</v>
      </c>
      <c r="R92" s="30" t="inlineStr">
        <is>
          <t>Near 52W High Breakout</t>
        </is>
      </c>
      <c r="S92" s="30" t="inlineStr">
        <is>
          <t>Nifty IT</t>
        </is>
      </c>
      <c r="T92" s="31" t="n">
        <v>-10.05</v>
      </c>
      <c r="U92" s="31" t="n">
        <v>-1.24</v>
      </c>
      <c r="V92" s="31" t="n">
        <v>9.789999999999999</v>
      </c>
      <c r="W92" s="31" t="n">
        <v>10.85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IF(B93=0,"",RANK(B93,$B$2:$B$375,0))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SSWL</t>
        </is>
      </c>
      <c r="D93" s="30" t="inlineStr">
        <is>
          <t>Steel Strips Wheels Limited</t>
        </is>
      </c>
      <c r="E93" s="30" t="inlineStr">
        <is>
          <t>auto</t>
        </is>
      </c>
      <c r="F93" s="30" t="inlineStr">
        <is>
          <t>auto ancillaries</t>
        </is>
      </c>
      <c r="G93" s="30" t="inlineStr">
        <is>
          <t>smallcap</t>
        </is>
      </c>
      <c r="H93" s="31" t="n">
        <v>4988.91</v>
      </c>
      <c r="I93" s="31" t="n">
        <v>312.5</v>
      </c>
      <c r="J93" s="31" t="n">
        <v>-1.54</v>
      </c>
      <c r="K93" s="31" t="n">
        <v>369223</v>
      </c>
      <c r="L93" s="30" t="n">
        <v>69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76.15000000000001</v>
      </c>
      <c r="P93" s="31" t="n">
        <v>28.51</v>
      </c>
      <c r="Q93" s="31" t="n">
        <v>248.31</v>
      </c>
      <c r="R93" s="30" t="inlineStr">
        <is>
          <t>Near 52W High Breakout</t>
        </is>
      </c>
      <c r="S93" s="30" t="inlineStr">
        <is>
          <t>Nifty Auto</t>
        </is>
      </c>
      <c r="T93" s="31" t="n">
        <v>23.47</v>
      </c>
      <c r="U93" s="31" t="n">
        <v>30.48</v>
      </c>
      <c r="V93" s="31" t="n">
        <v>5.68</v>
      </c>
      <c r="W93" s="31" t="n">
        <v>17.97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IF(B94=0,"",RANK(B94,$B$2:$B$375,0))</f>
        <v/>
      </c>
      <c r="B94" s="31">
        <f>SUM(N94,Y94,AA94,AC94,AE94,AG94,AI94,AK94,AM94,AO94,AQ94,AS94,AU94,AW94,AY94,BA94,BC94,BE94,BG94,BI94,BK94,BM94,BO94,BQ94,BS94,BU94,BW94,BY94,CA94,CC94,CE94)</f>
        <v/>
      </c>
      <c r="C94" s="32" t="inlineStr">
        <is>
          <t>ROLEXRINGS</t>
        </is>
      </c>
      <c r="D94" s="32" t="inlineStr">
        <is>
          <t>Rolex Rings Ltd</t>
        </is>
      </c>
      <c r="E94" s="30" t="inlineStr">
        <is>
          <t>auto</t>
        </is>
      </c>
      <c r="F94" s="30" t="inlineStr">
        <is>
          <t>auto ancillaries</t>
        </is>
      </c>
      <c r="G94" s="30" t="inlineStr">
        <is>
          <t>smallcap</t>
        </is>
      </c>
      <c r="H94" s="31" t="n">
        <v>4828.19</v>
      </c>
      <c r="I94" s="31" t="n">
        <v>173.01</v>
      </c>
      <c r="J94" s="31" t="n">
        <v>-2.41</v>
      </c>
      <c r="K94" s="31" t="n">
        <v>14359357</v>
      </c>
      <c r="L94" s="30" t="n">
        <v>30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64.52</v>
      </c>
      <c r="P94" s="31" t="n">
        <v>35.53</v>
      </c>
      <c r="Q94" s="31" t="n">
        <v>131.43</v>
      </c>
      <c r="R94" s="30" t="inlineStr">
        <is>
          <t>Volume Spike &amp; Near 52W High Breakout</t>
        </is>
      </c>
      <c r="S94" s="30" t="inlineStr">
        <is>
          <t>Nifty Auto</t>
        </is>
      </c>
      <c r="T94" s="31" t="n">
        <v>23.47</v>
      </c>
      <c r="U94" s="31" t="n">
        <v>17.41</v>
      </c>
      <c r="V94" s="31" t="n">
        <v>-4.91</v>
      </c>
      <c r="W94" s="31" t="n">
        <v>6.59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IF(B95=0,"",RANK(B95,$B$2:$B$375,0))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PANACHE</t>
        </is>
      </c>
      <c r="D95" s="30" t="inlineStr">
        <is>
          <t>Panache Digilife Ltd</t>
        </is>
      </c>
      <c r="E95" s="30" t="inlineStr">
        <is>
          <t>i.t</t>
        </is>
      </c>
      <c r="F95" s="30" t="inlineStr">
        <is>
          <t>computers - hardware</t>
        </is>
      </c>
      <c r="G95" s="30" t="inlineStr">
        <is>
          <t>smallcap</t>
        </is>
      </c>
      <c r="H95" s="31" t="n">
        <v>805.58</v>
      </c>
      <c r="I95" s="31" t="n">
        <v>490.55</v>
      </c>
      <c r="J95" s="31" t="n">
        <v>-2.48</v>
      </c>
      <c r="K95" s="31" t="n">
        <v>13746</v>
      </c>
      <c r="L95" s="30" t="n">
        <v>85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69.17</v>
      </c>
      <c r="P95" s="31" t="n">
        <v>25.04</v>
      </c>
      <c r="Q95" s="31" t="n">
        <v>361.27</v>
      </c>
      <c r="R95" s="30" t="inlineStr">
        <is>
          <t>Near 52W High Breakout</t>
        </is>
      </c>
      <c r="S95" s="30" t="inlineStr">
        <is>
          <t>Nifty IT</t>
        </is>
      </c>
      <c r="T95" s="31" t="n">
        <v>-10.05</v>
      </c>
      <c r="U95" s="31" t="n">
        <v>103.8</v>
      </c>
      <c r="V95" s="31" t="n">
        <v>126.57</v>
      </c>
      <c r="W95" s="31" t="n">
        <v>27.21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IF(B96=0,"",RANK(B96,$B$2:$B$375,0))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UFBL</t>
        </is>
      </c>
      <c r="D96" s="30" t="inlineStr">
        <is>
          <t>United Foodbrands Ltd</t>
        </is>
      </c>
      <c r="E96" s="30" t="inlineStr">
        <is>
          <t>consumer discretionary</t>
        </is>
      </c>
      <c r="F96" s="30" t="inlineStr">
        <is>
          <t>hotels</t>
        </is>
      </c>
      <c r="G96" s="30" t="inlineStr">
        <is>
          <t>smallcap</t>
        </is>
      </c>
      <c r="H96" s="31" t="n">
        <v>3170.1</v>
      </c>
      <c r="I96" s="31" t="n">
        <v>779.8</v>
      </c>
      <c r="J96" s="31" t="n">
        <v>-3.85</v>
      </c>
      <c r="K96" s="31" t="n">
        <v>95262</v>
      </c>
      <c r="L96" s="30" t="n">
        <v>97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75.7</v>
      </c>
      <c r="P96" s="31" t="n">
        <v>56.36</v>
      </c>
      <c r="Q96" s="31" t="n">
        <v>598.1</v>
      </c>
      <c r="R96" s="30" t="inlineStr">
        <is>
          <t>Near 52W High Breakout</t>
        </is>
      </c>
      <c r="S96" s="30" t="inlineStr">
        <is>
          <t>Nifty 50</t>
        </is>
      </c>
      <c r="T96" s="31" t="n">
        <v>-0.79</v>
      </c>
      <c r="U96" s="31" t="n">
        <v>206.4</v>
      </c>
      <c r="V96" s="31" t="n">
        <v>208.85</v>
      </c>
      <c r="W96" s="31" t="n">
        <v>56.36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Between 1.5 to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More than 1.2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IF(B97=0,"",RANK(B97,$B$2:$B$375,0))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HNDFDS</t>
        </is>
      </c>
      <c r="D97" s="30" t="inlineStr">
        <is>
          <t>Hindustan Foods Ltd</t>
        </is>
      </c>
      <c r="E97" s="30" t="inlineStr">
        <is>
          <t>fmcg</t>
        </is>
      </c>
      <c r="F97" s="30" t="inlineStr">
        <is>
          <t>diversified - large</t>
        </is>
      </c>
      <c r="G97" s="30" t="inlineStr">
        <is>
          <t>midcap</t>
        </is>
      </c>
      <c r="H97" s="31" t="n">
        <v>7005.63</v>
      </c>
      <c r="I97" s="31" t="n">
        <v>595.25</v>
      </c>
      <c r="J97" s="31" t="n">
        <v>2.95</v>
      </c>
      <c r="K97" s="31" t="n">
        <v>123983</v>
      </c>
      <c r="L97" s="30" t="n">
        <v>31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66.37</v>
      </c>
      <c r="P97" s="31" t="n">
        <v>35.39</v>
      </c>
      <c r="Q97" s="31" t="n">
        <v>496.67</v>
      </c>
      <c r="R97" s="30" t="inlineStr">
        <is>
          <t>Near 52W High Breakout</t>
        </is>
      </c>
      <c r="S97" s="30" t="inlineStr">
        <is>
          <t>Nifty FMCG</t>
        </is>
      </c>
      <c r="T97" s="31" t="n">
        <v>-11.27</v>
      </c>
      <c r="U97" s="31" t="n">
        <v>8.470000000000001</v>
      </c>
      <c r="V97" s="31" t="n">
        <v>22.25</v>
      </c>
      <c r="W97" s="31" t="n">
        <v>6.82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B2C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IF(B98=0,"",RANK(B98,$B$2:$B$375,0))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ZYDUSLIFE</t>
        </is>
      </c>
      <c r="D98" s="30" t="inlineStr">
        <is>
          <t>Zydus Lifesciences Ltd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largecap</t>
        </is>
      </c>
      <c r="H98" s="31" t="n">
        <v>118802.71</v>
      </c>
      <c r="I98" s="31" t="n">
        <v>1205</v>
      </c>
      <c r="J98" s="31" t="n">
        <v>1.18</v>
      </c>
      <c r="K98" s="31" t="n">
        <v>4567528</v>
      </c>
      <c r="L98" s="30" t="n">
        <v>38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72.97</v>
      </c>
      <c r="P98" s="31" t="n">
        <v>41.81</v>
      </c>
      <c r="Q98" s="31" t="n">
        <v>1037.99</v>
      </c>
      <c r="R98" s="30" t="inlineStr">
        <is>
          <t>Volume Spike &amp; Near 52W High Breakout</t>
        </is>
      </c>
      <c r="S98" s="30" t="inlineStr">
        <is>
          <t>Nifty Pharma</t>
        </is>
      </c>
      <c r="T98" s="31" t="n">
        <v>20.81</v>
      </c>
      <c r="U98" s="31" t="n">
        <v>21.97</v>
      </c>
      <c r="V98" s="31" t="n">
        <v>0.96</v>
      </c>
      <c r="W98" s="31" t="n">
        <v>8.31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Less than 12%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IF(B99=0,"",RANK(B99,$B$2:$B$375,0))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63MOONS</t>
        </is>
      </c>
      <c r="D99" s="30" t="inlineStr">
        <is>
          <t>63 Moons Technologies Ltd</t>
        </is>
      </c>
      <c r="E99" s="30" t="inlineStr">
        <is>
          <t>i.t</t>
        </is>
      </c>
      <c r="F99" s="30" t="inlineStr">
        <is>
          <t>computers - software - medium / small</t>
        </is>
      </c>
      <c r="G99" s="30" t="inlineStr">
        <is>
          <t>smallcap</t>
        </is>
      </c>
      <c r="H99" s="31" t="n">
        <v>3956.53</v>
      </c>
      <c r="I99" s="31" t="n">
        <v>867.4</v>
      </c>
      <c r="J99" s="31" t="n">
        <v>1.02</v>
      </c>
      <c r="K99" s="31" t="n">
        <v>382822</v>
      </c>
      <c r="L99" s="30" t="n">
        <v>32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66.37</v>
      </c>
      <c r="P99" s="31" t="n">
        <v>20.21</v>
      </c>
      <c r="Q99" s="31" t="n">
        <v>635.41</v>
      </c>
      <c r="R99" s="30" t="inlineStr">
        <is>
          <t>Earnings / Momentum Support</t>
        </is>
      </c>
      <c r="S99" s="30" t="inlineStr">
        <is>
          <t>Nifty IT</t>
        </is>
      </c>
      <c r="T99" s="31" t="n">
        <v>-10.05</v>
      </c>
      <c r="U99" s="31" t="n">
        <v>-6.62</v>
      </c>
      <c r="V99" s="31" t="n">
        <v>3.81</v>
      </c>
      <c r="W99" s="31" t="n">
        <v>7.01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No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IF(B100=0,"",RANK(B100,$B$2:$B$375,0))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LAURUSLABS</t>
        </is>
      </c>
      <c r="D100" s="30" t="inlineStr">
        <is>
          <t>Laurus Labs Limited</t>
        </is>
      </c>
      <c r="E100" s="30" t="inlineStr">
        <is>
          <t>healthcare</t>
        </is>
      </c>
      <c r="F100" s="30" t="inlineStr">
        <is>
          <t>pharmaceuticals - indian - bulk drugs &amp; formln</t>
        </is>
      </c>
      <c r="G100" s="30" t="inlineStr">
        <is>
          <t>largecap</t>
        </is>
      </c>
      <c r="H100" s="31" t="n">
        <v>100378.37</v>
      </c>
      <c r="I100" s="31" t="n">
        <v>1850</v>
      </c>
      <c r="J100" s="31" t="n">
        <v>-0.43</v>
      </c>
      <c r="K100" s="31" t="n">
        <v>1088545</v>
      </c>
      <c r="L100" s="30" t="n">
        <v>81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86.43000000000001</v>
      </c>
      <c r="P100" s="31" t="n">
        <v>64.89</v>
      </c>
      <c r="Q100" s="31" t="n">
        <v>1598.28</v>
      </c>
      <c r="R100" s="30" t="inlineStr">
        <is>
          <t>Near 52W High Breakout</t>
        </is>
      </c>
      <c r="S100" s="30" t="inlineStr">
        <is>
          <t>Nifty Pharma</t>
        </is>
      </c>
      <c r="T100" s="31" t="n">
        <v>20.81</v>
      </c>
      <c r="U100" s="31" t="n">
        <v>115.58</v>
      </c>
      <c r="V100" s="31" t="n">
        <v>78.44</v>
      </c>
      <c r="W100" s="31" t="n">
        <v>25.62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Yes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IF(B101=0,"",RANK(B101,$B$2:$B$375,0))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2" t="inlineStr">
        <is>
          <t>INNOVACAP</t>
        </is>
      </c>
      <c r="D101" s="32" t="inlineStr">
        <is>
          <t>Innova Captab Ltd</t>
        </is>
      </c>
      <c r="E101" s="30" t="inlineStr">
        <is>
          <t>healthcare</t>
        </is>
      </c>
      <c r="F101" s="30" t="inlineStr">
        <is>
          <t>pharmaceuticals - indian - bulk drugs &amp; formln</t>
        </is>
      </c>
      <c r="G101" s="30" t="inlineStr">
        <is>
          <t>midcap</t>
        </is>
      </c>
      <c r="H101" s="31" t="n">
        <v>5830.65</v>
      </c>
      <c r="I101" s="31" t="n">
        <v>1012.2</v>
      </c>
      <c r="J101" s="31" t="n">
        <v>-0.66</v>
      </c>
      <c r="K101" s="31" t="n">
        <v>579709</v>
      </c>
      <c r="L101" s="30" t="n">
        <v>33</v>
      </c>
      <c r="M101" s="30" t="inlineStr">
        <is>
          <t>Underperforming</t>
        </is>
      </c>
      <c r="N101" s="31">
        <f>IF(M101="Underperforming",-5,IF(L101&gt;=95,15,IF(L101&gt;=90,10,IF(L101&gt;=80,5,0))))</f>
        <v/>
      </c>
      <c r="O101" s="31" t="n">
        <v>69.68000000000001</v>
      </c>
      <c r="P101" s="31" t="n">
        <v>58.98</v>
      </c>
      <c r="Q101" s="31" t="n">
        <v>788.02</v>
      </c>
      <c r="R101" s="30" t="inlineStr">
        <is>
          <t>Volume Spike &amp; Near 52W High Breakout</t>
        </is>
      </c>
      <c r="S101" s="30" t="inlineStr">
        <is>
          <t>Nifty Pharma</t>
        </is>
      </c>
      <c r="T101" s="31" t="n">
        <v>20.81</v>
      </c>
      <c r="U101" s="31" t="n">
        <v>12.1</v>
      </c>
      <c r="V101" s="31" t="n">
        <v>-7.22</v>
      </c>
      <c r="W101" s="31" t="n">
        <v>7.18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Yes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Between 50% to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IF(B102=0,"",RANK(B102,$B$2:$B$375,0))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THYROCARE</t>
        </is>
      </c>
      <c r="D102" s="30" t="inlineStr">
        <is>
          <t>Thyrocare Technologies Limited</t>
        </is>
      </c>
      <c r="E102" s="30" t="inlineStr">
        <is>
          <t>healthcare</t>
        </is>
      </c>
      <c r="F102" s="30" t="inlineStr">
        <is>
          <t>healthcare</t>
        </is>
      </c>
      <c r="G102" s="30" t="inlineStr">
        <is>
          <t>midcap</t>
        </is>
      </c>
      <c r="H102" s="31" t="n">
        <v>10335.4</v>
      </c>
      <c r="I102" s="31" t="n">
        <v>642.95</v>
      </c>
      <c r="J102" s="31" t="n">
        <v>-0.99</v>
      </c>
      <c r="K102" s="31" t="n">
        <v>1159737</v>
      </c>
      <c r="L102" s="30" t="n">
        <v>68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75.01000000000001</v>
      </c>
      <c r="P102" s="31" t="n">
        <v>57.48</v>
      </c>
      <c r="Q102" s="31" t="n">
        <v>499.42</v>
      </c>
      <c r="R102" s="30" t="inlineStr">
        <is>
          <t>Near 52W High Breakout</t>
        </is>
      </c>
      <c r="S102" s="30" t="inlineStr">
        <is>
          <t>Nifty Pharma</t>
        </is>
      </c>
      <c r="T102" s="31" t="n">
        <v>20.81</v>
      </c>
      <c r="U102" s="31" t="n">
        <v>42.01</v>
      </c>
      <c r="V102" s="31" t="n">
        <v>17.54</v>
      </c>
      <c r="W102" s="31" t="n">
        <v>17.5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Yes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Above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Between 1.5 to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IF(B103=0,"",RANK(B103,$B$2:$B$375,0))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TECHM</t>
        </is>
      </c>
      <c r="D103" s="30" t="inlineStr">
        <is>
          <t>Tech Mahindra Limited</t>
        </is>
      </c>
      <c r="E103" s="30" t="inlineStr">
        <is>
          <t>i.t</t>
        </is>
      </c>
      <c r="F103" s="30" t="inlineStr">
        <is>
          <t>computers - software - large</t>
        </is>
      </c>
      <c r="G103" s="30" t="inlineStr">
        <is>
          <t>largecap</t>
        </is>
      </c>
      <c r="H103" s="31" t="n">
        <v>161023.52</v>
      </c>
      <c r="I103" s="31" t="n">
        <v>1625</v>
      </c>
      <c r="J103" s="31" t="n">
        <v>-1.1</v>
      </c>
      <c r="K103" s="31" t="n">
        <v>3746023</v>
      </c>
      <c r="L103" s="30" t="n">
        <v>34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62.4</v>
      </c>
      <c r="P103" s="31" t="n">
        <v>15.75</v>
      </c>
      <c r="Q103" s="31" t="n">
        <v>1369.97</v>
      </c>
      <c r="R103" s="30" t="inlineStr">
        <is>
          <t>Near 52W High Breakout</t>
        </is>
      </c>
      <c r="S103" s="30" t="inlineStr">
        <is>
          <t>Nifty IT</t>
        </is>
      </c>
      <c r="T103" s="31" t="n">
        <v>-10.05</v>
      </c>
      <c r="U103" s="31" t="n">
        <v>13.32</v>
      </c>
      <c r="V103" s="31" t="n">
        <v>25.98</v>
      </c>
      <c r="W103" s="31" t="n">
        <v>7.41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Annuity, Lower One Time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0 to 20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IF(B104=0,"",RANK(B104,$B$2:$B$375,0))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GLAND</t>
        </is>
      </c>
      <c r="D104" s="30" t="inlineStr">
        <is>
          <t>Gland Pharma Ltd</t>
        </is>
      </c>
      <c r="E104" s="30" t="inlineStr">
        <is>
          <t>healthcare</t>
        </is>
      </c>
      <c r="F104" s="30" t="inlineStr">
        <is>
          <t>pharmaceuticals - indian - formulations</t>
        </is>
      </c>
      <c r="G104" s="30" t="inlineStr">
        <is>
          <t>largecap</t>
        </is>
      </c>
      <c r="H104" s="31" t="n">
        <v>48240.81</v>
      </c>
      <c r="I104" s="31" t="n">
        <v>2891.2</v>
      </c>
      <c r="J104" s="31" t="n">
        <v>-1.14</v>
      </c>
      <c r="K104" s="31" t="n">
        <v>732471</v>
      </c>
      <c r="L104" s="30" t="n">
        <v>76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78.69</v>
      </c>
      <c r="P104" s="31" t="n">
        <v>58.86</v>
      </c>
      <c r="Q104" s="31" t="n">
        <v>2361.15</v>
      </c>
      <c r="R104" s="30" t="inlineStr">
        <is>
          <t>Volume Spike &amp; Near 52W High Breakout</t>
        </is>
      </c>
      <c r="S104" s="30" t="inlineStr">
        <is>
          <t>Nifty Pharma</t>
        </is>
      </c>
      <c r="T104" s="31" t="n">
        <v>20.81</v>
      </c>
      <c r="U104" s="31" t="n">
        <v>47.44</v>
      </c>
      <c r="V104" s="31" t="n">
        <v>22.04</v>
      </c>
      <c r="W104" s="31" t="n">
        <v>21.34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Yes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Annuity, Lower One Time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Between 50% to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IF(B105=0,"",RANK(B105,$B$2:$B$375,0))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ORCHPHARMA</t>
        </is>
      </c>
      <c r="D105" s="30" t="inlineStr">
        <is>
          <t>Orchid Pharma Ltd</t>
        </is>
      </c>
      <c r="E105" s="30" t="inlineStr">
        <is>
          <t>healthcare</t>
        </is>
      </c>
      <c r="F105" s="30" t="inlineStr">
        <is>
          <t>pharmaceuticals - indian - bulk drugs &amp; formln</t>
        </is>
      </c>
      <c r="G105" s="30" t="inlineStr">
        <is>
          <t>midcap</t>
        </is>
      </c>
      <c r="H105" s="31" t="n">
        <v>5470.31</v>
      </c>
      <c r="I105" s="31" t="n">
        <v>1063.3</v>
      </c>
      <c r="J105" s="31" t="n">
        <v>-1.41</v>
      </c>
      <c r="K105" s="31" t="n">
        <v>49202</v>
      </c>
      <c r="L105" s="30" t="n">
        <v>72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73.04000000000001</v>
      </c>
      <c r="P105" s="31" t="n">
        <v>48.4</v>
      </c>
      <c r="Q105" s="31" t="n">
        <v>790.4400000000001</v>
      </c>
      <c r="R105" s="30" t="inlineStr">
        <is>
          <t>Near 52W High Breakout</t>
        </is>
      </c>
      <c r="S105" s="30" t="inlineStr">
        <is>
          <t>Nifty Pharma</t>
        </is>
      </c>
      <c r="T105" s="31" t="n">
        <v>20.81</v>
      </c>
      <c r="U105" s="31" t="n">
        <v>42.1</v>
      </c>
      <c r="V105" s="31" t="n">
        <v>17.62</v>
      </c>
      <c r="W105" s="31" t="n">
        <v>19.15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Yes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Annuity, Lower One Time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IF(B106=0,"",RANK(B106,$B$2:$B$375,0))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SHILPAMED</t>
        </is>
      </c>
      <c r="D106" s="30" t="inlineStr">
        <is>
          <t>Shilpa Medicare Limited</t>
        </is>
      </c>
      <c r="E106" s="30" t="inlineStr">
        <is>
          <t>healthcare</t>
        </is>
      </c>
      <c r="F106" s="30" t="inlineStr">
        <is>
          <t>pharmaceuticals - indian - formulations</t>
        </is>
      </c>
      <c r="G106" s="30" t="inlineStr">
        <is>
          <t>midcap</t>
        </is>
      </c>
      <c r="H106" s="31" t="n">
        <v>16031.84</v>
      </c>
      <c r="I106" s="31" t="n">
        <v>805.2</v>
      </c>
      <c r="J106" s="31" t="n">
        <v>-1.77</v>
      </c>
      <c r="K106" s="31" t="n">
        <v>977909</v>
      </c>
      <c r="L106" s="30" t="n">
        <v>88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88.38</v>
      </c>
      <c r="P106" s="31" t="n">
        <v>73.13</v>
      </c>
      <c r="Q106" s="31" t="n">
        <v>644.28</v>
      </c>
      <c r="R106" s="30" t="inlineStr">
        <is>
          <t>Near 52W High Breakout</t>
        </is>
      </c>
      <c r="S106" s="30" t="inlineStr">
        <is>
          <t>Nifty Pharma</t>
        </is>
      </c>
      <c r="T106" s="31" t="n">
        <v>20.81</v>
      </c>
      <c r="U106" s="31" t="n">
        <v>77.44</v>
      </c>
      <c r="V106" s="31" t="n">
        <v>46.87</v>
      </c>
      <c r="W106" s="31" t="n">
        <v>30.55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IF(B107=0,"",RANK(B107,$B$2:$B$375,0))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HTMEDIA</t>
        </is>
      </c>
      <c r="D107" s="30" t="inlineStr">
        <is>
          <t>Ht Media Limited</t>
        </is>
      </c>
      <c r="E107" s="30" t="inlineStr">
        <is>
          <t>media</t>
        </is>
      </c>
      <c r="F107" s="30" t="inlineStr">
        <is>
          <t>entertainment / electronic media software</t>
        </is>
      </c>
      <c r="G107" s="30" t="inlineStr">
        <is>
          <t>smallcap</t>
        </is>
      </c>
      <c r="H107" s="31" t="n">
        <v>636.63</v>
      </c>
      <c r="I107" s="31" t="n">
        <v>26.74</v>
      </c>
      <c r="J107" s="31" t="n">
        <v>-2.23</v>
      </c>
      <c r="K107" s="31" t="n">
        <v>93367</v>
      </c>
      <c r="L107" s="30" t="n">
        <v>35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61.47</v>
      </c>
      <c r="P107" s="31" t="n">
        <v>20.3</v>
      </c>
      <c r="Q107" s="31" t="n">
        <v>19.92</v>
      </c>
      <c r="R107" s="30" t="inlineStr">
        <is>
          <t>Near 52W High Breakout</t>
        </is>
      </c>
      <c r="S107" s="30" t="inlineStr">
        <is>
          <t>Nifty IT</t>
        </is>
      </c>
      <c r="T107" s="31" t="n">
        <v>-10.05</v>
      </c>
      <c r="U107" s="31" t="n">
        <v>8.039999999999999</v>
      </c>
      <c r="V107" s="31" t="n">
        <v>20.11</v>
      </c>
      <c r="W107" s="31" t="n">
        <v>7.62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IF(B108=0,"",RANK(B108,$B$2:$B$375,0))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ALIVUS</t>
        </is>
      </c>
      <c r="D108" s="30" t="inlineStr">
        <is>
          <t>Alivus Life Sciences Ltd</t>
        </is>
      </c>
      <c r="E108" s="30" t="inlineStr">
        <is>
          <t>healthcare</t>
        </is>
      </c>
      <c r="F108" s="30" t="inlineStr">
        <is>
          <t>pharmaceuticals - indian - bulk drugs &amp; formln</t>
        </is>
      </c>
      <c r="G108" s="30" t="inlineStr">
        <is>
          <t>midcap</t>
        </is>
      </c>
      <c r="H108" s="31" t="n">
        <v>17104.54</v>
      </c>
      <c r="I108" s="31" t="n">
        <v>1361</v>
      </c>
      <c r="J108" s="31" t="n">
        <v>-2.34</v>
      </c>
      <c r="K108" s="31" t="n">
        <v>82193</v>
      </c>
      <c r="L108" s="30" t="n">
        <v>60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77.43000000000001</v>
      </c>
      <c r="P108" s="31" t="n">
        <v>39.82</v>
      </c>
      <c r="Q108" s="31" t="n">
        <v>1105.14</v>
      </c>
      <c r="R108" s="30" t="inlineStr">
        <is>
          <t>Near 52W High Breakout</t>
        </is>
      </c>
      <c r="S108" s="30" t="inlineStr">
        <is>
          <t>Nifty Pharma</t>
        </is>
      </c>
      <c r="T108" s="31" t="n">
        <v>20.81</v>
      </c>
      <c r="U108" s="31" t="n">
        <v>44.93</v>
      </c>
      <c r="V108" s="31" t="n">
        <v>19.96</v>
      </c>
      <c r="W108" s="31" t="n">
        <v>14.43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Yes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IF(B109=0,"",RANK(B109,$B$2:$B$375,0))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ARVSMART</t>
        </is>
      </c>
      <c r="D109" s="30" t="inlineStr">
        <is>
          <t>Arvind Smartspaces Limited</t>
        </is>
      </c>
      <c r="E109" s="30" t="inlineStr">
        <is>
          <t>realty</t>
        </is>
      </c>
      <c r="F109" s="30" t="inlineStr">
        <is>
          <t>construction</t>
        </is>
      </c>
      <c r="G109" s="30" t="inlineStr">
        <is>
          <t>smallcap</t>
        </is>
      </c>
      <c r="H109" s="31" t="n">
        <v>2918.97</v>
      </c>
      <c r="I109" s="31" t="n">
        <v>665.55</v>
      </c>
      <c r="J109" s="31" t="n">
        <v>4.58</v>
      </c>
      <c r="K109" s="31" t="n">
        <v>261613</v>
      </c>
      <c r="L109" s="30" t="n">
        <v>17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62.08</v>
      </c>
      <c r="P109" s="31" t="n">
        <v>25.99</v>
      </c>
      <c r="Q109" s="31" t="n">
        <v>526.2</v>
      </c>
      <c r="R109" s="30" t="inlineStr">
        <is>
          <t>Near 52W High Breakout</t>
        </is>
      </c>
      <c r="S109" s="30" t="inlineStr">
        <is>
          <t>Nifty Realty</t>
        </is>
      </c>
      <c r="T109" s="31" t="n">
        <v>-6.4</v>
      </c>
      <c r="U109" s="31" t="n">
        <v>6.5</v>
      </c>
      <c r="V109" s="31" t="n">
        <v>13.77</v>
      </c>
      <c r="W109" s="31" t="n">
        <v>4.01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IF(B110=0,"",RANK(B110,$B$2:$B$375,0))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BELRISE</t>
        </is>
      </c>
      <c r="D110" s="30" t="inlineStr">
        <is>
          <t>Belrise Industries Ltd</t>
        </is>
      </c>
      <c r="E110" s="30" t="inlineStr">
        <is>
          <t>auto</t>
        </is>
      </c>
      <c r="F110" s="30" t="inlineStr">
        <is>
          <t>auto ancillaries</t>
        </is>
      </c>
      <c r="G110" s="30" t="inlineStr">
        <is>
          <t>largecap</t>
        </is>
      </c>
      <c r="H110" s="31" t="n">
        <v>24562.76</v>
      </c>
      <c r="I110" s="31" t="n">
        <v>261.35</v>
      </c>
      <c r="J110" s="31" t="n">
        <v>2.91</v>
      </c>
      <c r="K110" s="31" t="n">
        <v>9422315</v>
      </c>
      <c r="L110" s="30" t="n">
        <v>74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73.41</v>
      </c>
      <c r="P110" s="31" t="n">
        <v>45.86</v>
      </c>
      <c r="Q110" s="31" t="n">
        <v>213.06</v>
      </c>
      <c r="R110" s="30" t="inlineStr">
        <is>
          <t>Near 52W High Breakout</t>
        </is>
      </c>
      <c r="S110" s="30" t="inlineStr">
        <is>
          <t>Nifty Auto</t>
        </is>
      </c>
      <c r="T110" s="31" t="n">
        <v>23.47</v>
      </c>
      <c r="U110" s="31" t="n">
        <v>100.46</v>
      </c>
      <c r="V110" s="31" t="n">
        <v>62.36</v>
      </c>
      <c r="W110" s="31" t="n">
        <v>20.12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Less than 12%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IF(B111=0,"",RANK(B111,$B$2:$B$375,0))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CRAFTSMAN</t>
        </is>
      </c>
      <c r="D111" s="30" t="inlineStr">
        <is>
          <t>Craftsman Automation Ltd</t>
        </is>
      </c>
      <c r="E111" s="30" t="inlineStr">
        <is>
          <t>auto</t>
        </is>
      </c>
      <c r="F111" s="30" t="inlineStr">
        <is>
          <t>auto ancillaries</t>
        </is>
      </c>
      <c r="G111" s="30" t="inlineStr">
        <is>
          <t>largecap</t>
        </is>
      </c>
      <c r="H111" s="31" t="n">
        <v>26923.37</v>
      </c>
      <c r="I111" s="31" t="n">
        <v>10511</v>
      </c>
      <c r="J111" s="31" t="n">
        <v>2.11</v>
      </c>
      <c r="K111" s="31" t="n">
        <v>71285</v>
      </c>
      <c r="L111" s="30" t="n">
        <v>73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70.95</v>
      </c>
      <c r="P111" s="31" t="n">
        <v>62.39</v>
      </c>
      <c r="Q111" s="31" t="n">
        <v>8549.84</v>
      </c>
      <c r="R111" s="30" t="inlineStr">
        <is>
          <t>Near 52W High Breakout</t>
        </is>
      </c>
      <c r="S111" s="30" t="inlineStr">
        <is>
          <t>Nifty Auto</t>
        </is>
      </c>
      <c r="T111" s="31" t="n">
        <v>23.47</v>
      </c>
      <c r="U111" s="31" t="n">
        <v>67.67</v>
      </c>
      <c r="V111" s="31" t="n">
        <v>35.8</v>
      </c>
      <c r="W111" s="31" t="n">
        <v>19.5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Between 0.7 to 1.2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IF(B112=0,"",RANK(B112,$B$2:$B$375,0))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MINDACORP</t>
        </is>
      </c>
      <c r="D112" s="30" t="inlineStr">
        <is>
          <t>Minda Corporation Limited</t>
        </is>
      </c>
      <c r="E112" s="30" t="inlineStr">
        <is>
          <t>auto</t>
        </is>
      </c>
      <c r="F112" s="30" t="inlineStr">
        <is>
          <t>auto ancillaries</t>
        </is>
      </c>
      <c r="G112" s="30" t="inlineStr">
        <is>
          <t>midcap</t>
        </is>
      </c>
      <c r="H112" s="31" t="n">
        <v>17248.39</v>
      </c>
      <c r="I112" s="31" t="n">
        <v>736.3</v>
      </c>
      <c r="J112" s="31" t="n">
        <v>2.06</v>
      </c>
      <c r="K112" s="31" t="n">
        <v>507767</v>
      </c>
      <c r="L112" s="30" t="n">
        <v>66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72.3</v>
      </c>
      <c r="P112" s="31" t="n">
        <v>35.75</v>
      </c>
      <c r="Q112" s="31" t="n">
        <v>612.72</v>
      </c>
      <c r="R112" s="30" t="inlineStr">
        <is>
          <t>Near 52W High Breakout</t>
        </is>
      </c>
      <c r="S112" s="30" t="inlineStr">
        <is>
          <t>Nifty Auto</t>
        </is>
      </c>
      <c r="T112" s="31" t="n">
        <v>23.47</v>
      </c>
      <c r="U112" s="31" t="n">
        <v>44.52</v>
      </c>
      <c r="V112" s="31" t="n">
        <v>17.04</v>
      </c>
      <c r="W112" s="31" t="n">
        <v>16.65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IF(B113=0,"",RANK(B113,$B$2:$B$375,0))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SCI</t>
        </is>
      </c>
      <c r="D113" s="30" t="inlineStr">
        <is>
          <t>Shipping Corporation Of India Limited</t>
        </is>
      </c>
      <c r="E113" s="30" t="inlineStr">
        <is>
          <t>transportation</t>
        </is>
      </c>
      <c r="F113" s="30" t="inlineStr">
        <is>
          <t>shipping</t>
        </is>
      </c>
      <c r="G113" s="30" t="inlineStr">
        <is>
          <t>midcap</t>
        </is>
      </c>
      <c r="H113" s="31" t="n">
        <v>13692.16</v>
      </c>
      <c r="I113" s="31" t="n">
        <v>298.8</v>
      </c>
      <c r="J113" s="31" t="n">
        <v>1.65</v>
      </c>
      <c r="K113" s="31" t="n">
        <v>2156081</v>
      </c>
      <c r="L113" s="30" t="n">
        <v>36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55.53</v>
      </c>
      <c r="P113" s="31" t="n">
        <v>29.45</v>
      </c>
      <c r="Q113" s="31" t="n">
        <v>252.94</v>
      </c>
      <c r="R113" s="30" t="inlineStr">
        <is>
          <t>Earnings / Momentum Support</t>
        </is>
      </c>
      <c r="S113" s="30" t="inlineStr">
        <is>
          <t>Nifty 50</t>
        </is>
      </c>
      <c r="T113" s="31" t="n">
        <v>-0.79</v>
      </c>
      <c r="U113" s="31" t="n">
        <v>52.06</v>
      </c>
      <c r="V113" s="31" t="n">
        <v>53.27</v>
      </c>
      <c r="W113" s="31" t="n">
        <v>7.97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IF(B114=0,"",RANK(B114,$B$2:$B$375,0))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EXIDEIND</t>
        </is>
      </c>
      <c r="D114" s="30" t="inlineStr">
        <is>
          <t>Exide Industries Limited</t>
        </is>
      </c>
      <c r="E114" s="30" t="inlineStr">
        <is>
          <t>auto</t>
        </is>
      </c>
      <c r="F114" s="30" t="inlineStr">
        <is>
          <t>auto ancillaries</t>
        </is>
      </c>
      <c r="G114" s="30" t="inlineStr">
        <is>
          <t>largecap</t>
        </is>
      </c>
      <c r="H114" s="31" t="n">
        <v>41084.75</v>
      </c>
      <c r="I114" s="31" t="n">
        <v>490.65</v>
      </c>
      <c r="J114" s="31" t="n">
        <v>1.51</v>
      </c>
      <c r="K114" s="31" t="n">
        <v>4593999</v>
      </c>
      <c r="L114" s="30" t="n">
        <v>63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78.73</v>
      </c>
      <c r="P114" s="31" t="n">
        <v>42.53</v>
      </c>
      <c r="Q114" s="31" t="n">
        <v>409.64</v>
      </c>
      <c r="R114" s="30" t="inlineStr">
        <is>
          <t>Near 52W High Breakout</t>
        </is>
      </c>
      <c r="S114" s="30" t="inlineStr">
        <is>
          <t>Nifty Auto</t>
        </is>
      </c>
      <c r="T114" s="31" t="n">
        <v>23.47</v>
      </c>
      <c r="U114" s="31" t="n">
        <v>29.53</v>
      </c>
      <c r="V114" s="31" t="n">
        <v>4.91</v>
      </c>
      <c r="W114" s="31" t="n">
        <v>15.77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Between 1.5 to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IF(B115=0,"",RANK(B115,$B$2:$B$375,0))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PIDILITIND</t>
        </is>
      </c>
      <c r="D115" s="30" t="inlineStr">
        <is>
          <t>Pidilite Industries Limited</t>
        </is>
      </c>
      <c r="E115" s="30" t="inlineStr">
        <is>
          <t>chemicals</t>
        </is>
      </c>
      <c r="F115" s="30" t="inlineStr">
        <is>
          <t>chemicals</t>
        </is>
      </c>
      <c r="G115" s="30" t="inlineStr">
        <is>
          <t>largecap</t>
        </is>
      </c>
      <c r="H115" s="31" t="n">
        <v>171576.57</v>
      </c>
      <c r="I115" s="31" t="n">
        <v>1701.5</v>
      </c>
      <c r="J115" s="31" t="n">
        <v>0.93</v>
      </c>
      <c r="K115" s="31" t="n">
        <v>1724562</v>
      </c>
      <c r="L115" s="30" t="n">
        <v>26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74.11</v>
      </c>
      <c r="P115" s="31" t="n">
        <v>27.75</v>
      </c>
      <c r="Q115" s="31" t="n">
        <v>1500.28</v>
      </c>
      <c r="R115" s="30" t="inlineStr">
        <is>
          <t>Near 52W High Breakout</t>
        </is>
      </c>
      <c r="S115" s="30" t="inlineStr">
        <is>
          <t>Nifty 500</t>
        </is>
      </c>
      <c r="T115" s="31" t="n">
        <v>4.37</v>
      </c>
      <c r="U115" s="31" t="n">
        <v>11.09</v>
      </c>
      <c r="V115" s="31" t="n">
        <v>6.43</v>
      </c>
      <c r="W115" s="31" t="n">
        <v>5.74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IF(B116=0,"",RANK(B116,$B$2:$B$375,0))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IRISDOREME</t>
        </is>
      </c>
      <c r="D116" s="30" t="inlineStr">
        <is>
          <t>Iris Clothings Ltd</t>
        </is>
      </c>
      <c r="E116" s="30" t="inlineStr">
        <is>
          <t>consumer discretionary</t>
        </is>
      </c>
      <c r="F116" s="30" t="inlineStr">
        <is>
          <t>textiles - products</t>
        </is>
      </c>
      <c r="G116" s="30" t="inlineStr">
        <is>
          <t>smallcap</t>
        </is>
      </c>
      <c r="H116" s="31" t="n">
        <v>1071.95</v>
      </c>
      <c r="I116" s="31" t="n">
        <v>56.83</v>
      </c>
      <c r="J116" s="31" t="n">
        <v>0.91</v>
      </c>
      <c r="K116" s="31" t="n">
        <v>789276</v>
      </c>
      <c r="L116" s="30" t="n">
        <v>80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84.14</v>
      </c>
      <c r="P116" s="31" t="n">
        <v>39.35</v>
      </c>
      <c r="Q116" s="31" t="n">
        <v>43.86</v>
      </c>
      <c r="R116" s="30" t="inlineStr">
        <is>
          <t>Volume Spike &amp; Near 52W High Breakout</t>
        </is>
      </c>
      <c r="S116" s="30" t="inlineStr">
        <is>
          <t>Nifty 50</t>
        </is>
      </c>
      <c r="T116" s="31" t="n">
        <v>-0.79</v>
      </c>
      <c r="U116" s="31" t="n">
        <v>69.14</v>
      </c>
      <c r="V116" s="31" t="n">
        <v>70.48999999999999</v>
      </c>
      <c r="W116" s="31" t="n">
        <v>25.03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Above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IF(B117=0,"",RANK(B117,$B$2:$B$375,0))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MATRIMONY</t>
        </is>
      </c>
      <c r="D117" s="30" t="inlineStr">
        <is>
          <t>Matrimony.com Ltd</t>
        </is>
      </c>
      <c r="E117" s="30" t="inlineStr">
        <is>
          <t>miscellaneous</t>
        </is>
      </c>
      <c r="F117" s="30" t="inlineStr">
        <is>
          <t>miscellaneous</t>
        </is>
      </c>
      <c r="G117" s="30" t="inlineStr">
        <is>
          <t>smallcap</t>
        </is>
      </c>
      <c r="H117" s="31" t="n">
        <v>1110.37</v>
      </c>
      <c r="I117" s="31" t="n">
        <v>541.5</v>
      </c>
      <c r="J117" s="31" t="n">
        <v>0.82</v>
      </c>
      <c r="K117" s="31" t="n">
        <v>365358</v>
      </c>
      <c r="L117" s="30" t="n">
        <v>37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69.20999999999999</v>
      </c>
      <c r="P117" s="31" t="n">
        <v>20.64</v>
      </c>
      <c r="Q117" s="31" t="n">
        <v>422.66</v>
      </c>
      <c r="R117" s="30" t="inlineStr">
        <is>
          <t>Volume Spike &amp; Near 52W High Breakout</t>
        </is>
      </c>
      <c r="S117" s="30" t="inlineStr">
        <is>
          <t>Nifty 50</t>
        </is>
      </c>
      <c r="T117" s="31" t="n">
        <v>-0.79</v>
      </c>
      <c r="U117" s="31" t="n">
        <v>7.49</v>
      </c>
      <c r="V117" s="31" t="n">
        <v>8.34</v>
      </c>
      <c r="W117" s="31" t="n">
        <v>8.06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IF(B118=0,"",RANK(B118,$B$2:$B$375,0))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AZAD</t>
        </is>
      </c>
      <c r="D118" s="30" t="inlineStr">
        <is>
          <t>Azad Engineering Ltd</t>
        </is>
      </c>
      <c r="E118" s="30" t="inlineStr">
        <is>
          <t>aerospace &amp; defence</t>
        </is>
      </c>
      <c r="F118" s="30" t="inlineStr">
        <is>
          <t>engineering</t>
        </is>
      </c>
      <c r="G118" s="30" t="inlineStr">
        <is>
          <t>midcap</t>
        </is>
      </c>
      <c r="H118" s="31" t="n">
        <v>15965.25</v>
      </c>
      <c r="I118" s="31" t="n">
        <v>2479.5</v>
      </c>
      <c r="J118" s="31" t="n">
        <v>0.3</v>
      </c>
      <c r="K118" s="31" t="n">
        <v>218236</v>
      </c>
      <c r="L118" s="30" t="n">
        <v>59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63.16</v>
      </c>
      <c r="P118" s="31" t="n">
        <v>31.25</v>
      </c>
      <c r="Q118" s="31" t="n">
        <v>1861.9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-0.79</v>
      </c>
      <c r="U118" s="31" t="n">
        <v>59.89</v>
      </c>
      <c r="V118" s="31" t="n">
        <v>61.16</v>
      </c>
      <c r="W118" s="31" t="n">
        <v>14.23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IF(B119=0,"",RANK(B119,$B$2:$B$375,0))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MOTHERSON</t>
        </is>
      </c>
      <c r="D119" s="30" t="inlineStr">
        <is>
          <t>Samvardhana Motherson International Ltd</t>
        </is>
      </c>
      <c r="E119" s="30" t="inlineStr">
        <is>
          <t>auto</t>
        </is>
      </c>
      <c r="F119" s="30" t="inlineStr">
        <is>
          <t>auto ancillaries</t>
        </is>
      </c>
      <c r="G119" s="30" t="inlineStr">
        <is>
          <t>largecap</t>
        </is>
      </c>
      <c r="H119" s="31" t="n">
        <v>178644.5</v>
      </c>
      <c r="I119" s="31" t="n">
        <v>169.5</v>
      </c>
      <c r="J119" s="31" t="n">
        <v>0.14</v>
      </c>
      <c r="K119" s="31" t="n">
        <v>15747026</v>
      </c>
      <c r="L119" s="30" t="n">
        <v>71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74.94</v>
      </c>
      <c r="P119" s="31" t="n">
        <v>37.34</v>
      </c>
      <c r="Q119" s="31" t="n">
        <v>140.14</v>
      </c>
      <c r="R119" s="30" t="inlineStr">
        <is>
          <t>Near 52W High Breakout</t>
        </is>
      </c>
      <c r="S119" s="30" t="inlineStr">
        <is>
          <t>Nifty Auto</t>
        </is>
      </c>
      <c r="T119" s="31" t="n">
        <v>23.47</v>
      </c>
      <c r="U119" s="31" t="n">
        <v>69.73999999999999</v>
      </c>
      <c r="V119" s="31" t="n">
        <v>37.48</v>
      </c>
      <c r="W119" s="31" t="n">
        <v>18.88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IF(B120=0,"",RANK(B120,$B$2:$B$375,0))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HONASA</t>
        </is>
      </c>
      <c r="D120" s="30" t="inlineStr">
        <is>
          <t>Honasa Consumer Ltd</t>
        </is>
      </c>
      <c r="E120" s="30" t="inlineStr">
        <is>
          <t>services</t>
        </is>
      </c>
      <c r="F120" s="30" t="inlineStr">
        <is>
          <t>trading</t>
        </is>
      </c>
      <c r="G120" s="30" t="inlineStr">
        <is>
          <t>midcap</t>
        </is>
      </c>
      <c r="H120" s="31" t="n">
        <v>15235.11</v>
      </c>
      <c r="I120" s="31" t="n">
        <v>467.4</v>
      </c>
      <c r="J120" s="31" t="n">
        <v>0.02</v>
      </c>
      <c r="K120" s="31" t="n">
        <v>987009</v>
      </c>
      <c r="L120" s="30" t="n">
        <v>69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71.63</v>
      </c>
      <c r="P120" s="31" t="n">
        <v>57.85</v>
      </c>
      <c r="Q120" s="31" t="n">
        <v>389.65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-0.79</v>
      </c>
      <c r="U120" s="31" t="n">
        <v>67.23</v>
      </c>
      <c r="V120" s="31" t="n">
        <v>68.56</v>
      </c>
      <c r="W120" s="31" t="n">
        <v>17.84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Between 50% to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IF(B121=0,"",RANK(B121,$B$2:$B$375,0))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UNIMECH</t>
        </is>
      </c>
      <c r="D121" s="30" t="inlineStr">
        <is>
          <t>Unimech Aerospace and Manufacturing Ltd</t>
        </is>
      </c>
      <c r="E121" s="30" t="inlineStr">
        <is>
          <t>aerospace &amp; defence</t>
        </is>
      </c>
      <c r="F121" s="30" t="inlineStr">
        <is>
          <t>engineering</t>
        </is>
      </c>
      <c r="G121" s="30" t="inlineStr">
        <is>
          <t>midcap</t>
        </is>
      </c>
      <c r="H121" s="31" t="n">
        <v>7228.8</v>
      </c>
      <c r="I121" s="31" t="n">
        <v>1418.5</v>
      </c>
      <c r="J121" s="31" t="n">
        <v>-0.2</v>
      </c>
      <c r="K121" s="31" t="n">
        <v>89651</v>
      </c>
      <c r="L121" s="30" t="n">
        <v>69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68.34999999999999</v>
      </c>
      <c r="P121" s="31" t="n">
        <v>33.12</v>
      </c>
      <c r="Q121" s="31" t="n">
        <v>1087.06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-0.79</v>
      </c>
      <c r="U121" s="31" t="n">
        <v>33.02</v>
      </c>
      <c r="V121" s="31" t="n">
        <v>34.08</v>
      </c>
      <c r="W121" s="31" t="n">
        <v>17.87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IF(B122=0,"",RANK(B122,$B$2:$B$375,0))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SOLARINDS</t>
        </is>
      </c>
      <c r="D122" s="30" t="inlineStr">
        <is>
          <t>Solar Industries India Limited</t>
        </is>
      </c>
      <c r="E122" s="30" t="inlineStr">
        <is>
          <t>aerospace &amp; defence</t>
        </is>
      </c>
      <c r="F122" s="30" t="inlineStr">
        <is>
          <t>chemicals</t>
        </is>
      </c>
      <c r="G122" s="30" t="inlineStr">
        <is>
          <t>largecap</t>
        </is>
      </c>
      <c r="H122" s="31" t="n">
        <v>169849.83</v>
      </c>
      <c r="I122" s="31" t="n">
        <v>18730</v>
      </c>
      <c r="J122" s="31" t="n">
        <v>-0.21</v>
      </c>
      <c r="K122" s="31" t="n">
        <v>92222</v>
      </c>
      <c r="L122" s="30" t="n">
        <v>32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64.97</v>
      </c>
      <c r="P122" s="31" t="n">
        <v>39.15</v>
      </c>
      <c r="Q122" s="31" t="n">
        <v>15427.63</v>
      </c>
      <c r="R122" s="30" t="inlineStr">
        <is>
          <t>Near 52W High Breakout</t>
        </is>
      </c>
      <c r="S122" s="30" t="inlineStr">
        <is>
          <t>Nifty 50</t>
        </is>
      </c>
      <c r="T122" s="31" t="n">
        <v>-0.79</v>
      </c>
      <c r="U122" s="31" t="n">
        <v>24.11</v>
      </c>
      <c r="V122" s="31" t="n">
        <v>25.11</v>
      </c>
      <c r="W122" s="31" t="n">
        <v>7.02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Less than 50%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IF(B123=0,"",RANK(B123,$B$2:$B$375,0))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LODHA</t>
        </is>
      </c>
      <c r="D123" s="30" t="inlineStr">
        <is>
          <t>Lodha Developers Ltd</t>
        </is>
      </c>
      <c r="E123" s="30" t="inlineStr">
        <is>
          <t>realty</t>
        </is>
      </c>
      <c r="F123" s="30" t="inlineStr">
        <is>
          <t>construction</t>
        </is>
      </c>
      <c r="G123" s="30" t="inlineStr">
        <is>
          <t>largecap</t>
        </is>
      </c>
      <c r="H123" s="31" t="n">
        <v>121090.24</v>
      </c>
      <c r="I123" s="31" t="n">
        <v>1209</v>
      </c>
      <c r="J123" s="31" t="n">
        <v>-0.25</v>
      </c>
      <c r="K123" s="31" t="n">
        <v>1174178</v>
      </c>
      <c r="L123" s="30" t="n">
        <v>44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62.05</v>
      </c>
      <c r="P123" s="31" t="n">
        <v>20.54</v>
      </c>
      <c r="Q123" s="31" t="n">
        <v>967.89</v>
      </c>
      <c r="R123" s="30" t="inlineStr">
        <is>
          <t>Near 52W High Breakout</t>
        </is>
      </c>
      <c r="S123" s="30" t="inlineStr">
        <is>
          <t>Nifty Realty</t>
        </is>
      </c>
      <c r="T123" s="31" t="n">
        <v>-6.4</v>
      </c>
      <c r="U123" s="31" t="n">
        <v>-4.86</v>
      </c>
      <c r="V123" s="31" t="n">
        <v>1.64</v>
      </c>
      <c r="W123" s="31" t="n">
        <v>10.15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IF(B124=0,"",RANK(B124,$B$2:$B$375,0))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PARAS</t>
        </is>
      </c>
      <c r="D124" s="30" t="inlineStr">
        <is>
          <t>Paras Defence and Space Technologies Ltd</t>
        </is>
      </c>
      <c r="E124" s="30" t="inlineStr">
        <is>
          <t>aerospace &amp; defence</t>
        </is>
      </c>
      <c r="F124" s="30" t="inlineStr">
        <is>
          <t>engineering</t>
        </is>
      </c>
      <c r="G124" s="30" t="inlineStr">
        <is>
          <t>midcap</t>
        </is>
      </c>
      <c r="H124" s="31" t="n">
        <v>10347.41</v>
      </c>
      <c r="I124" s="31" t="n">
        <v>1280.7</v>
      </c>
      <c r="J124" s="31" t="n">
        <v>-0.26</v>
      </c>
      <c r="K124" s="31" t="n">
        <v>590759</v>
      </c>
      <c r="L124" s="30" t="n">
        <v>89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66.59</v>
      </c>
      <c r="P124" s="31" t="n">
        <v>59.93</v>
      </c>
      <c r="Q124" s="31" t="n">
        <v>1051.11</v>
      </c>
      <c r="R124" s="30" t="inlineStr">
        <is>
          <t>Earnings / Momentum Support</t>
        </is>
      </c>
      <c r="S124" s="30" t="inlineStr">
        <is>
          <t>Nifty 50</t>
        </is>
      </c>
      <c r="T124" s="31" t="n">
        <v>-0.79</v>
      </c>
      <c r="U124" s="31" t="n">
        <v>91.94</v>
      </c>
      <c r="V124" s="31" t="n">
        <v>93.47</v>
      </c>
      <c r="W124" s="31" t="n">
        <v>31.21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IF(B125=0,"",RANK(B125,$B$2:$B$375,0))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JKPAPER</t>
        </is>
      </c>
      <c r="D125" s="30" t="inlineStr">
        <is>
          <t>Jk Paper Limited</t>
        </is>
      </c>
      <c r="E125" s="30" t="inlineStr">
        <is>
          <t>building materials</t>
        </is>
      </c>
      <c r="F125" s="30" t="inlineStr">
        <is>
          <t>paper</t>
        </is>
      </c>
      <c r="G125" s="30" t="inlineStr">
        <is>
          <t>midcap</t>
        </is>
      </c>
      <c r="H125" s="31" t="n">
        <v>7083.22</v>
      </c>
      <c r="I125" s="31" t="n">
        <v>388.9</v>
      </c>
      <c r="J125" s="31" t="n">
        <v>-0.45</v>
      </c>
      <c r="K125" s="31" t="n">
        <v>376041</v>
      </c>
      <c r="L125" s="30" t="n">
        <v>15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58.03</v>
      </c>
      <c r="P125" s="31" t="n">
        <v>24.83</v>
      </c>
      <c r="Q125" s="31" t="n">
        <v>322.48</v>
      </c>
      <c r="R125" s="30" t="inlineStr">
        <is>
          <t>Earnings / Momentum Support</t>
        </is>
      </c>
      <c r="S125" s="30" t="inlineStr">
        <is>
          <t>Nifty Infra</t>
        </is>
      </c>
      <c r="T125" s="31" t="n">
        <v>3.79</v>
      </c>
      <c r="U125" s="31" t="n">
        <v>5.42</v>
      </c>
      <c r="V125" s="31" t="n">
        <v>1.58</v>
      </c>
      <c r="W125" s="31" t="n">
        <v>2.83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IF(B126=0,"",RANK(B126,$B$2:$B$375,0))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SHAILY</t>
        </is>
      </c>
      <c r="D126" s="30" t="inlineStr">
        <is>
          <t>Shaily Engineering Plastics Ltd</t>
        </is>
      </c>
      <c r="E126" s="30" t="inlineStr">
        <is>
          <t>plastic products</t>
        </is>
      </c>
      <c r="F126" s="30" t="inlineStr">
        <is>
          <t>plastics products</t>
        </is>
      </c>
      <c r="G126" s="30" t="inlineStr">
        <is>
          <t>midcap</t>
        </is>
      </c>
      <c r="H126" s="31" t="n">
        <v>15904.7</v>
      </c>
      <c r="I126" s="31" t="n">
        <v>3434</v>
      </c>
      <c r="J126" s="31" t="n">
        <v>-0.6899999999999999</v>
      </c>
      <c r="K126" s="31" t="n">
        <v>151320</v>
      </c>
      <c r="L126" s="30" t="n">
        <v>76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71.66</v>
      </c>
      <c r="P126" s="31" t="n">
        <v>29.37</v>
      </c>
      <c r="Q126" s="31" t="n">
        <v>2558.88</v>
      </c>
      <c r="R126" s="30" t="inlineStr">
        <is>
          <t>Near 52W High Breakout</t>
        </is>
      </c>
      <c r="S126" s="30" t="inlineStr">
        <is>
          <t>Nifty 50</t>
        </is>
      </c>
      <c r="T126" s="31" t="n">
        <v>-0.79</v>
      </c>
      <c r="U126" s="31" t="n">
        <v>87.44</v>
      </c>
      <c r="V126" s="31" t="n">
        <v>88.94</v>
      </c>
      <c r="W126" s="31" t="n">
        <v>21.16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IF(B127=0,"",RANK(B127,$B$2:$B$375,0))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KMEW</t>
        </is>
      </c>
      <c r="D127" s="30" t="inlineStr">
        <is>
          <t>Knowledge Marine &amp; Engineering Works Ltd</t>
        </is>
      </c>
      <c r="E127" s="30" t="inlineStr">
        <is>
          <t>transportation</t>
        </is>
      </c>
      <c r="F127" s="30" t="inlineStr">
        <is>
          <t>miscellaneous</t>
        </is>
      </c>
      <c r="G127" s="30" t="inlineStr">
        <is>
          <t>midcap</t>
        </is>
      </c>
      <c r="H127" s="31" t="n">
        <v>6407.05</v>
      </c>
      <c r="I127" s="31" t="n">
        <v>2599.8</v>
      </c>
      <c r="J127" s="31" t="n">
        <v>-0.8100000000000001</v>
      </c>
      <c r="K127" s="31" t="n">
        <v>41333</v>
      </c>
      <c r="L127" s="30" t="n">
        <v>91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74.66</v>
      </c>
      <c r="P127" s="31" t="n">
        <v>50.18</v>
      </c>
      <c r="Q127" s="31" t="n">
        <v>1909.2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-0.79</v>
      </c>
      <c r="U127" s="31" t="n">
        <v>211.52</v>
      </c>
      <c r="V127" s="31" t="n">
        <v>214.01</v>
      </c>
      <c r="W127" s="31" t="n">
        <v>33.28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Negative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IF(B128=0,"",RANK(B128,$B$2:$B$375,0))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THEJO</t>
        </is>
      </c>
      <c r="D128" s="30" t="inlineStr">
        <is>
          <t>Thejo Engineering Ltd</t>
        </is>
      </c>
      <c r="E128" s="30" t="inlineStr">
        <is>
          <t>industrials</t>
        </is>
      </c>
      <c r="F128" s="30" t="inlineStr">
        <is>
          <t>engineering</t>
        </is>
      </c>
      <c r="G128" s="30" t="inlineStr">
        <is>
          <t>smallcap</t>
        </is>
      </c>
      <c r="H128" s="31" t="n">
        <v>2337.09</v>
      </c>
      <c r="I128" s="31" t="n">
        <v>2122.8</v>
      </c>
      <c r="J128" s="31" t="n">
        <v>-1.47</v>
      </c>
      <c r="K128" s="31" t="n">
        <v>3576</v>
      </c>
      <c r="L128" s="30" t="n">
        <v>34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64.58</v>
      </c>
      <c r="P128" s="31" t="n">
        <v>25</v>
      </c>
      <c r="Q128" s="31" t="n">
        <v>1749.08</v>
      </c>
      <c r="R128" s="30" t="inlineStr">
        <is>
          <t>Near 52W High Breakout</t>
        </is>
      </c>
      <c r="S128" s="30" t="inlineStr">
        <is>
          <t>Nifty 50</t>
        </is>
      </c>
      <c r="T128" s="31" t="n">
        <v>-0.79</v>
      </c>
      <c r="U128" s="31" t="n">
        <v>12.41</v>
      </c>
      <c r="V128" s="31" t="n">
        <v>13.31</v>
      </c>
      <c r="W128" s="31" t="n">
        <v>7.58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IF(B129=0,"",RANK(B129,$B$2:$B$375,0))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MACPOWER</t>
        </is>
      </c>
      <c r="D129" s="30" t="inlineStr">
        <is>
          <t>Macpower CNC Machines Ltd</t>
        </is>
      </c>
      <c r="E129" s="30" t="inlineStr">
        <is>
          <t>industrials</t>
        </is>
      </c>
      <c r="F129" s="30" t="inlineStr">
        <is>
          <t>engineering</t>
        </is>
      </c>
      <c r="G129" s="30" t="inlineStr">
        <is>
          <t>smallcap</t>
        </is>
      </c>
      <c r="H129" s="31" t="n">
        <v>1755.03</v>
      </c>
      <c r="I129" s="31" t="n">
        <v>1726.3</v>
      </c>
      <c r="J129" s="31" t="n">
        <v>-1.6</v>
      </c>
      <c r="K129" s="31" t="n">
        <v>22812</v>
      </c>
      <c r="L129" s="30" t="n">
        <v>87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74.56</v>
      </c>
      <c r="P129" s="31" t="n">
        <v>31.31</v>
      </c>
      <c r="Q129" s="31" t="n">
        <v>1233.05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-0.79</v>
      </c>
      <c r="U129" s="31" t="n">
        <v>102.75</v>
      </c>
      <c r="V129" s="31" t="n">
        <v>104.37</v>
      </c>
      <c r="W129" s="31" t="n">
        <v>28.78</v>
      </c>
      <c r="X129" s="30" t="inlineStr">
        <is>
          <t>Cyclical in an Upturn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Blue sky scenario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IF(B130=0,"",RANK(B130,$B$2:$B$375,0))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SEAMECLTD</t>
        </is>
      </c>
      <c r="D130" s="30" t="inlineStr">
        <is>
          <t>Seamec Limited</t>
        </is>
      </c>
      <c r="E130" s="30" t="inlineStr">
        <is>
          <t>miscellaneous</t>
        </is>
      </c>
      <c r="F130" s="30" t="inlineStr">
        <is>
          <t>miscellaneous</t>
        </is>
      </c>
      <c r="G130" s="30" t="inlineStr">
        <is>
          <t>smallcap</t>
        </is>
      </c>
      <c r="H130" s="31" t="n">
        <v>3933.76</v>
      </c>
      <c r="I130" s="31" t="n">
        <v>1521.8</v>
      </c>
      <c r="J130" s="31" t="n">
        <v>-1.64</v>
      </c>
      <c r="K130" s="31" t="n">
        <v>603244</v>
      </c>
      <c r="L130" s="30" t="n">
        <v>58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58.45</v>
      </c>
      <c r="P130" s="31" t="n">
        <v>24.55</v>
      </c>
      <c r="Q130" s="31" t="n">
        <v>1247.12</v>
      </c>
      <c r="R130" s="30" t="inlineStr">
        <is>
          <t>Volume Spike / Accumulation</t>
        </is>
      </c>
      <c r="S130" s="30" t="inlineStr">
        <is>
          <t>Nifty 50</t>
        </is>
      </c>
      <c r="T130" s="31" t="n">
        <v>-0.79</v>
      </c>
      <c r="U130" s="31" t="n">
        <v>77.61</v>
      </c>
      <c r="V130" s="31" t="n">
        <v>79.03</v>
      </c>
      <c r="W130" s="31" t="n">
        <v>14.13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IF(B131=0,"",RANK(B131,$B$2:$B$375,0))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GABRIEL</t>
        </is>
      </c>
      <c r="D131" s="30" t="inlineStr">
        <is>
          <t>Gabriel India Limited</t>
        </is>
      </c>
      <c r="E131" s="30" t="inlineStr">
        <is>
          <t>auto</t>
        </is>
      </c>
      <c r="F131" s="30" t="inlineStr">
        <is>
          <t>auto ancillaries</t>
        </is>
      </c>
      <c r="G131" s="30" t="inlineStr">
        <is>
          <t>largecap</t>
        </is>
      </c>
      <c r="H131" s="31" t="n">
        <v>26609.32</v>
      </c>
      <c r="I131" s="31" t="n">
        <v>1476.8</v>
      </c>
      <c r="J131" s="31" t="n">
        <v>-1.64</v>
      </c>
      <c r="K131" s="31" t="n">
        <v>188740</v>
      </c>
      <c r="L131" s="30" t="n">
        <v>77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72.95999999999999</v>
      </c>
      <c r="P131" s="31" t="n">
        <v>35.95</v>
      </c>
      <c r="Q131" s="31" t="n">
        <v>1177.08</v>
      </c>
      <c r="R131" s="30" t="inlineStr">
        <is>
          <t>Near 52W High Breakout</t>
        </is>
      </c>
      <c r="S131" s="30" t="inlineStr">
        <is>
          <t>Nifty Auto</t>
        </is>
      </c>
      <c r="T131" s="31" t="n">
        <v>23.47</v>
      </c>
      <c r="U131" s="31" t="n">
        <v>49.69</v>
      </c>
      <c r="V131" s="31" t="n">
        <v>21.23</v>
      </c>
      <c r="W131" s="31" t="n">
        <v>22.01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IF(B132=0,"",RANK(B132,$B$2:$B$375,0))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KKCL</t>
        </is>
      </c>
      <c r="D132" s="30" t="inlineStr">
        <is>
          <t>Kewal Kiran Clothing Limited</t>
        </is>
      </c>
      <c r="E132" s="30" t="inlineStr">
        <is>
          <t>consumer discretionary</t>
        </is>
      </c>
      <c r="F132" s="30" t="inlineStr">
        <is>
          <t>textiles - products</t>
        </is>
      </c>
      <c r="G132" s="30" t="inlineStr">
        <is>
          <t>smallcap</t>
        </is>
      </c>
      <c r="H132" s="31" t="n">
        <v>3282.16</v>
      </c>
      <c r="I132" s="31" t="n">
        <v>523.6</v>
      </c>
      <c r="J132" s="31" t="n">
        <v>-1.69</v>
      </c>
      <c r="K132" s="31" t="n">
        <v>16973</v>
      </c>
      <c r="L132" s="30" t="n">
        <v>22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60.62</v>
      </c>
      <c r="P132" s="31" t="n">
        <v>20.05</v>
      </c>
      <c r="Q132" s="31" t="n">
        <v>422.74</v>
      </c>
      <c r="R132" s="30" t="inlineStr">
        <is>
          <t>Earnings / Momentum Support</t>
        </is>
      </c>
      <c r="S132" s="30" t="inlineStr">
        <is>
          <t>Nifty 50</t>
        </is>
      </c>
      <c r="T132" s="31" t="n">
        <v>-0.79</v>
      </c>
      <c r="U132" s="31" t="n">
        <v>6.98</v>
      </c>
      <c r="V132" s="31" t="n">
        <v>7.84</v>
      </c>
      <c r="W132" s="31" t="n">
        <v>5.04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IF(B133=0,"",RANK(B133,$B$2:$B$375,0))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CYIENTDLM</t>
        </is>
      </c>
      <c r="D133" s="30" t="inlineStr">
        <is>
          <t>Cyient DLM Ltd</t>
        </is>
      </c>
      <c r="E133" s="30" t="inlineStr">
        <is>
          <t>consumer discretionary</t>
        </is>
      </c>
      <c r="F133" s="30" t="inlineStr">
        <is>
          <t>electronics - components</t>
        </is>
      </c>
      <c r="G133" s="30" t="inlineStr">
        <is>
          <t>midcap</t>
        </is>
      </c>
      <c r="H133" s="31" t="n">
        <v>5628.28</v>
      </c>
      <c r="I133" s="31" t="n">
        <v>688.95</v>
      </c>
      <c r="J133" s="31" t="n">
        <v>-2.83</v>
      </c>
      <c r="K133" s="31" t="n">
        <v>370815</v>
      </c>
      <c r="L133" s="30" t="n">
        <v>83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83.88</v>
      </c>
      <c r="P133" s="31" t="n">
        <v>60.09</v>
      </c>
      <c r="Q133" s="31" t="n">
        <v>532.96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-0.79</v>
      </c>
      <c r="U133" s="31" t="n">
        <v>64.29000000000001</v>
      </c>
      <c r="V133" s="31" t="n">
        <v>65.59999999999999</v>
      </c>
      <c r="W133" s="31" t="n">
        <v>26.52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Above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IF(B134=0,"",RANK(B134,$B$2:$B$375,0))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TATVA</t>
        </is>
      </c>
      <c r="D134" s="30" t="inlineStr">
        <is>
          <t>Tatva Chintan Pharma Chem Ltd</t>
        </is>
      </c>
      <c r="E134" s="30" t="inlineStr">
        <is>
          <t>chemicals</t>
        </is>
      </c>
      <c r="F134" s="30" t="inlineStr">
        <is>
          <t>chemicals</t>
        </is>
      </c>
      <c r="G134" s="30" t="inlineStr">
        <is>
          <t>smallcap</t>
        </is>
      </c>
      <c r="H134" s="31" t="n">
        <v>4176.65</v>
      </c>
      <c r="I134" s="31" t="n">
        <v>1732</v>
      </c>
      <c r="J134" s="31" t="n">
        <v>-3</v>
      </c>
      <c r="K134" s="31" t="n">
        <v>53241</v>
      </c>
      <c r="L134" s="30" t="n">
        <v>72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70.87</v>
      </c>
      <c r="P134" s="31" t="n">
        <v>26.15</v>
      </c>
      <c r="Q134" s="31" t="n">
        <v>1364.45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-0.79</v>
      </c>
      <c r="U134" s="31" t="n">
        <v>65.94</v>
      </c>
      <c r="V134" s="31" t="n">
        <v>67.26000000000001</v>
      </c>
      <c r="W134" s="31" t="n">
        <v>19.24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IF(B135=0,"",RANK(B135,$B$2:$B$375,0))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CHENNPETRO</t>
        </is>
      </c>
      <c r="D135" s="30" t="inlineStr">
        <is>
          <t>Chennai Petroleum Corporation Limited</t>
        </is>
      </c>
      <c r="E135" s="30" t="inlineStr">
        <is>
          <t>energy</t>
        </is>
      </c>
      <c r="F135" s="30" t="inlineStr">
        <is>
          <t>refineries</t>
        </is>
      </c>
      <c r="G135" s="30" t="inlineStr">
        <is>
          <t>largecap</t>
        </is>
      </c>
      <c r="H135" s="31" t="n">
        <v>21236.25</v>
      </c>
      <c r="I135" s="31" t="n">
        <v>1379.5</v>
      </c>
      <c r="J135" s="31" t="n">
        <v>-3.27</v>
      </c>
      <c r="K135" s="31" t="n">
        <v>2824270</v>
      </c>
      <c r="L135" s="30" t="n">
        <v>80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74.73999999999999</v>
      </c>
      <c r="P135" s="31" t="n">
        <v>49.4</v>
      </c>
      <c r="Q135" s="31" t="n">
        <v>1026.2</v>
      </c>
      <c r="R135" s="30" t="inlineStr">
        <is>
          <t>Volume Spike &amp; Near 52W High Breakout</t>
        </is>
      </c>
      <c r="S135" s="30" t="inlineStr">
        <is>
          <t>Nifty Energy</t>
        </is>
      </c>
      <c r="T135" s="31" t="n">
        <v>10</v>
      </c>
      <c r="U135" s="31" t="n">
        <v>112.59</v>
      </c>
      <c r="V135" s="31" t="n">
        <v>93.26000000000001</v>
      </c>
      <c r="W135" s="31" t="n">
        <v>24.85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Oligopoly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Yes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Cyclical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Volatile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IF(B136=0,"",RANK(B136,$B$2:$B$375,0))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POLYPLEX</t>
        </is>
      </c>
      <c r="D136" s="30" t="inlineStr">
        <is>
          <t>Polyplex Corporation Limited</t>
        </is>
      </c>
      <c r="E136" s="30" t="inlineStr">
        <is>
          <t>industrials</t>
        </is>
      </c>
      <c r="F136" s="30" t="inlineStr">
        <is>
          <t>packaging</t>
        </is>
      </c>
      <c r="G136" s="30" t="inlineStr">
        <is>
          <t>smallcap</t>
        </is>
      </c>
      <c r="H136" s="31" t="n">
        <v>3860.02</v>
      </c>
      <c r="I136" s="31" t="n">
        <v>1185.5</v>
      </c>
      <c r="J136" s="31" t="n">
        <v>-3.59</v>
      </c>
      <c r="K136" s="31" t="n">
        <v>704313</v>
      </c>
      <c r="L136" s="30" t="n">
        <v>43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72.68000000000001</v>
      </c>
      <c r="P136" s="31" t="n">
        <v>48.62</v>
      </c>
      <c r="Q136" s="31" t="n">
        <v>953.41</v>
      </c>
      <c r="R136" s="30" t="inlineStr">
        <is>
          <t>Volume Spike &amp; Near 52W High Breakout</t>
        </is>
      </c>
      <c r="S136" s="30" t="inlineStr">
        <is>
          <t>Nifty 50</t>
        </is>
      </c>
      <c r="T136" s="31" t="n">
        <v>-0.79</v>
      </c>
      <c r="U136" s="31" t="n">
        <v>11.19</v>
      </c>
      <c r="V136" s="31" t="n">
        <v>12.08</v>
      </c>
      <c r="W136" s="31" t="n">
        <v>9.699999999999999</v>
      </c>
      <c r="X136" s="30" t="inlineStr">
        <is>
          <t>Cyclical in an Upturn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Above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IF(B137=0,"",RANK(B137,$B$2:$B$375,0))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HUHTAMAKI</t>
        </is>
      </c>
      <c r="D137" s="30" t="inlineStr">
        <is>
          <t>Huhtamaki India Ltd</t>
        </is>
      </c>
      <c r="E137" s="30" t="inlineStr">
        <is>
          <t>industrials</t>
        </is>
      </c>
      <c r="F137" s="30" t="inlineStr">
        <is>
          <t>packaging</t>
        </is>
      </c>
      <c r="G137" s="30" t="inlineStr">
        <is>
          <t>smallcap</t>
        </is>
      </c>
      <c r="H137" s="31" t="n">
        <v>2202.6</v>
      </c>
      <c r="I137" s="31" t="n">
        <v>278.4</v>
      </c>
      <c r="J137" s="31" t="n">
        <v>-4.54</v>
      </c>
      <c r="K137" s="31" t="n">
        <v>266172</v>
      </c>
      <c r="L137" s="30" t="n">
        <v>80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66.23</v>
      </c>
      <c r="P137" s="31" t="n">
        <v>33.37</v>
      </c>
      <c r="Q137" s="31" t="n">
        <v>240.53</v>
      </c>
      <c r="R137" s="30" t="inlineStr">
        <is>
          <t>Earnings / Momentum Support</t>
        </is>
      </c>
      <c r="S137" s="30" t="inlineStr">
        <is>
          <t>Nifty 50</t>
        </is>
      </c>
      <c r="T137" s="31" t="n">
        <v>-0.79</v>
      </c>
      <c r="U137" s="31" t="n">
        <v>32.36</v>
      </c>
      <c r="V137" s="31" t="n">
        <v>33.41</v>
      </c>
      <c r="W137" s="31" t="n">
        <v>23.27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IF(B138=0,"",RANK(B138,$B$2:$B$375,0))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ORBTEXP</t>
        </is>
      </c>
      <c r="D138" s="30" t="inlineStr">
        <is>
          <t>Orbit Exports Limited</t>
        </is>
      </c>
      <c r="E138" s="30" t="inlineStr">
        <is>
          <t>textiles</t>
        </is>
      </c>
      <c r="F138" s="30" t="inlineStr">
        <is>
          <t>textiles - processing</t>
        </is>
      </c>
      <c r="G138" s="30" t="inlineStr">
        <is>
          <t>smallcap</t>
        </is>
      </c>
      <c r="H138" s="31" t="n">
        <v>728.29</v>
      </c>
      <c r="I138" s="31" t="n">
        <v>260.98</v>
      </c>
      <c r="J138" s="31" t="n">
        <v>-5</v>
      </c>
      <c r="K138" s="31" t="n">
        <v>8420</v>
      </c>
      <c r="L138" s="30" t="n">
        <v>78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71.64</v>
      </c>
      <c r="P138" s="31" t="n">
        <v>41.65</v>
      </c>
      <c r="Q138" s="31" t="n">
        <v>191.49</v>
      </c>
      <c r="R138" s="30" t="inlineStr">
        <is>
          <t>Near 52W High Breakout</t>
        </is>
      </c>
      <c r="S138" s="30" t="inlineStr">
        <is>
          <t>Nifty 50</t>
        </is>
      </c>
      <c r="T138" s="31" t="n">
        <v>-0.79</v>
      </c>
      <c r="U138" s="31" t="n">
        <v>36.24</v>
      </c>
      <c r="V138" s="31" t="n">
        <v>37.33</v>
      </c>
      <c r="W138" s="31" t="n">
        <v>22.04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Less than 12%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IF(B139=0,"",RANK(B139,$B$2:$B$375,0))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KEI</t>
        </is>
      </c>
      <c r="D139" s="30" t="inlineStr">
        <is>
          <t>Kei Industries Limited</t>
        </is>
      </c>
      <c r="E139" s="30" t="inlineStr">
        <is>
          <t>industrials</t>
        </is>
      </c>
      <c r="F139" s="30" t="inlineStr">
        <is>
          <t>cables - power</t>
        </is>
      </c>
      <c r="G139" s="30" t="inlineStr">
        <is>
          <t>largecap</t>
        </is>
      </c>
      <c r="H139" s="31" t="n">
        <v>53966.54</v>
      </c>
      <c r="I139" s="31" t="n">
        <v>5754</v>
      </c>
      <c r="J139" s="31" t="n">
        <v>1.93</v>
      </c>
      <c r="K139" s="31" t="n">
        <v>454178</v>
      </c>
      <c r="L139" s="30" t="n">
        <v>54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66.29000000000001</v>
      </c>
      <c r="P139" s="31" t="n">
        <v>25.55</v>
      </c>
      <c r="Q139" s="31" t="n">
        <v>4651.31</v>
      </c>
      <c r="R139" s="30" t="inlineStr">
        <is>
          <t>Near 52W High Breakout</t>
        </is>
      </c>
      <c r="S139" s="30" t="inlineStr">
        <is>
          <t>Nifty Energy</t>
        </is>
      </c>
      <c r="T139" s="31" t="n">
        <v>10</v>
      </c>
      <c r="U139" s="31" t="n">
        <v>48.41</v>
      </c>
      <c r="V139" s="31" t="n">
        <v>34.91</v>
      </c>
      <c r="W139" s="31" t="n">
        <v>12.83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Fully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Yes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Yes, More Than 10%</t>
        </is>
      </c>
      <c r="CE139" s="30">
        <f>IF(CD139="Yes, more than 10%",-10,IF(CD139="No",10,0))</f>
        <v/>
      </c>
    </row>
    <row r="140">
      <c r="A140" s="30">
        <f>IF(B140=0,"",RANK(B140,$B$2:$B$375,0))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DALMIASUG</t>
        </is>
      </c>
      <c r="D140" s="30" t="inlineStr">
        <is>
          <t>Dalmia Bharat Sugar And Industries Limited</t>
        </is>
      </c>
      <c r="E140" s="30" t="inlineStr">
        <is>
          <t>fmcg</t>
        </is>
      </c>
      <c r="F140" s="30" t="inlineStr">
        <is>
          <t>sugar</t>
        </is>
      </c>
      <c r="G140" s="30" t="inlineStr">
        <is>
          <t>smallcap</t>
        </is>
      </c>
      <c r="H140" s="31" t="n">
        <v>3304.75</v>
      </c>
      <c r="I140" s="31" t="n">
        <v>410.1</v>
      </c>
      <c r="J140" s="31" t="n">
        <v>0.44</v>
      </c>
      <c r="K140" s="31" t="n">
        <v>210455</v>
      </c>
      <c r="L140" s="30" t="n">
        <v>26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65.90000000000001</v>
      </c>
      <c r="P140" s="31" t="n">
        <v>23.48</v>
      </c>
      <c r="Q140" s="31" t="n">
        <v>307.61</v>
      </c>
      <c r="R140" s="30" t="inlineStr">
        <is>
          <t>Near 52W High Breakout</t>
        </is>
      </c>
      <c r="S140" s="30" t="inlineStr">
        <is>
          <t>Nifty FMCG</t>
        </is>
      </c>
      <c r="T140" s="31" t="n">
        <v>-11.27</v>
      </c>
      <c r="U140" s="31" t="n">
        <v>10.47</v>
      </c>
      <c r="V140" s="31" t="n">
        <v>24.5</v>
      </c>
      <c r="W140" s="31" t="n">
        <v>5.8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B2C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IF(B141=0,"",RANK(B141,$B$2:$B$375,0))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DIVISLAB</t>
        </is>
      </c>
      <c r="D141" s="30" t="inlineStr">
        <is>
          <t>Divi's Laboratories Limited</t>
        </is>
      </c>
      <c r="E141" s="30" t="inlineStr">
        <is>
          <t>healthcare</t>
        </is>
      </c>
      <c r="F141" s="30" t="inlineStr">
        <is>
          <t>pharmaceuticals - indian - bulk drugs</t>
        </is>
      </c>
      <c r="G141" s="30" t="inlineStr">
        <is>
          <t>largecap</t>
        </is>
      </c>
      <c r="H141" s="31" t="n">
        <v>227732.22</v>
      </c>
      <c r="I141" s="31" t="n">
        <v>8600</v>
      </c>
      <c r="J141" s="31" t="n">
        <v>0.25</v>
      </c>
      <c r="K141" s="31" t="n">
        <v>559195</v>
      </c>
      <c r="L141" s="30" t="n">
        <v>56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84.41</v>
      </c>
      <c r="P141" s="31" t="n">
        <v>31.42</v>
      </c>
      <c r="Q141" s="31" t="n">
        <v>7484.83</v>
      </c>
      <c r="R141" s="30" t="inlineStr">
        <is>
          <t>Near 52W High Breakout</t>
        </is>
      </c>
      <c r="S141" s="30" t="inlineStr">
        <is>
          <t>Nifty Pharma</t>
        </is>
      </c>
      <c r="T141" s="31" t="n">
        <v>20.81</v>
      </c>
      <c r="U141" s="31" t="n">
        <v>40.81</v>
      </c>
      <c r="V141" s="31" t="n">
        <v>16.56</v>
      </c>
      <c r="W141" s="31" t="n">
        <v>13.2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IF(B142=0,"",RANK(B142,$B$2:$B$375,0))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BLSE</t>
        </is>
      </c>
      <c r="D142" s="30" t="inlineStr">
        <is>
          <t>BLS E-Services Ltd</t>
        </is>
      </c>
      <c r="E142" s="30" t="inlineStr">
        <is>
          <t>i.t</t>
        </is>
      </c>
      <c r="F142" s="30" t="inlineStr">
        <is>
          <t>computers - software - medium / small</t>
        </is>
      </c>
      <c r="G142" s="30" t="inlineStr">
        <is>
          <t>smallcap</t>
        </is>
      </c>
      <c r="H142" s="31" t="n">
        <v>2886.06</v>
      </c>
      <c r="I142" s="31" t="n">
        <v>316.65</v>
      </c>
      <c r="J142" s="31" t="n">
        <v>-0.31</v>
      </c>
      <c r="K142" s="31" t="n">
        <v>743991</v>
      </c>
      <c r="L142" s="30" t="n">
        <v>86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83.64</v>
      </c>
      <c r="P142" s="31" t="n">
        <v>45.88</v>
      </c>
      <c r="Q142" s="31" t="n">
        <v>251.99</v>
      </c>
      <c r="R142" s="30" t="inlineStr">
        <is>
          <t>Near 52W High Breakout</t>
        </is>
      </c>
      <c r="S142" s="30" t="inlineStr">
        <is>
          <t>Nifty IT</t>
        </is>
      </c>
      <c r="T142" s="31" t="n">
        <v>-10.05</v>
      </c>
      <c r="U142" s="31" t="n">
        <v>77.64</v>
      </c>
      <c r="V142" s="31" t="n">
        <v>97.48999999999999</v>
      </c>
      <c r="W142" s="31" t="n">
        <v>28.56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IF(B143=0,"",RANK(B143,$B$2:$B$375,0))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2" t="inlineStr">
        <is>
          <t>ENTERO</t>
        </is>
      </c>
      <c r="D143" s="32" t="inlineStr">
        <is>
          <t>Entero Healthcare Solutions Ltd</t>
        </is>
      </c>
      <c r="E143" s="30" t="inlineStr">
        <is>
          <t>healthcare</t>
        </is>
      </c>
      <c r="F143" s="30" t="inlineStr">
        <is>
          <t>trading</t>
        </is>
      </c>
      <c r="G143" s="30" t="inlineStr">
        <is>
          <t>midcap</t>
        </is>
      </c>
      <c r="H143" s="31" t="n">
        <v>6211.61</v>
      </c>
      <c r="I143" s="31" t="n">
        <v>1420.3</v>
      </c>
      <c r="J143" s="31" t="n">
        <v>-0.48</v>
      </c>
      <c r="K143" s="31" t="n">
        <v>234703</v>
      </c>
      <c r="L143" s="30" t="n">
        <v>34</v>
      </c>
      <c r="M143" s="30" t="inlineStr">
        <is>
          <t>Underperforming</t>
        </is>
      </c>
      <c r="N143" s="31">
        <f>IF(M143="Underperforming",-5,IF(L143&gt;=95,15,IF(L143&gt;=90,10,IF(L143&gt;=80,5,0))))</f>
        <v/>
      </c>
      <c r="O143" s="31" t="n">
        <v>65.15000000000001</v>
      </c>
      <c r="P143" s="31" t="n">
        <v>22.43</v>
      </c>
      <c r="Q143" s="31" t="n">
        <v>1093.25</v>
      </c>
      <c r="R143" s="30" t="inlineStr">
        <is>
          <t>Volume Spike &amp; Near 52W High Breakout</t>
        </is>
      </c>
      <c r="S143" s="30" t="inlineStr">
        <is>
          <t>Nifty Pharma</t>
        </is>
      </c>
      <c r="T143" s="31" t="n">
        <v>20.81</v>
      </c>
      <c r="U143" s="31" t="n">
        <v>17.73</v>
      </c>
      <c r="V143" s="31" t="n">
        <v>-2.55</v>
      </c>
      <c r="W143" s="31" t="n">
        <v>7.49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Yes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IF(B144=0,"",RANK(B144,$B$2:$B$375,0))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NGLFINE</t>
        </is>
      </c>
      <c r="D144" s="30" t="inlineStr">
        <is>
          <t>NGL Fine Chem Ltd</t>
        </is>
      </c>
      <c r="E144" s="30" t="inlineStr">
        <is>
          <t>healthcare</t>
        </is>
      </c>
      <c r="F144" s="30" t="inlineStr">
        <is>
          <t>pharmaceuticals - indian - bulk drugs</t>
        </is>
      </c>
      <c r="G144" s="30" t="inlineStr">
        <is>
          <t>smallcap</t>
        </is>
      </c>
      <c r="H144" s="31" t="n">
        <v>2130</v>
      </c>
      <c r="I144" s="31" t="n">
        <v>3409</v>
      </c>
      <c r="J144" s="31" t="n">
        <v>-1.12</v>
      </c>
      <c r="K144" s="31" t="n">
        <v>11567</v>
      </c>
      <c r="L144" s="30" t="n">
        <v>89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79.88</v>
      </c>
      <c r="P144" s="31" t="n">
        <v>68.16</v>
      </c>
      <c r="Q144" s="31" t="n">
        <v>2463.58</v>
      </c>
      <c r="R144" s="30" t="inlineStr">
        <is>
          <t>Near 52W High Breakout</t>
        </is>
      </c>
      <c r="S144" s="30" t="inlineStr">
        <is>
          <t>Nifty Pharma</t>
        </is>
      </c>
      <c r="T144" s="31" t="n">
        <v>20.81</v>
      </c>
      <c r="U144" s="31" t="n">
        <v>148.25</v>
      </c>
      <c r="V144" s="31" t="n">
        <v>105.48</v>
      </c>
      <c r="W144" s="31" t="n">
        <v>31.67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Yes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Above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IF(B145=0,"",RANK(B145,$B$2:$B$375,0))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SBCL</t>
        </is>
      </c>
      <c r="D145" s="30" t="inlineStr">
        <is>
          <t>Shivalik Bimetal Controls Ltd</t>
        </is>
      </c>
      <c r="E145" s="30" t="inlineStr">
        <is>
          <t>metals &amp; mining</t>
        </is>
      </c>
      <c r="F145" s="30" t="inlineStr">
        <is>
          <t>mining / minerals / metals</t>
        </is>
      </c>
      <c r="G145" s="30" t="inlineStr">
        <is>
          <t>midcap</t>
        </is>
      </c>
      <c r="H145" s="31" t="n">
        <v>5986.23</v>
      </c>
      <c r="I145" s="31" t="n">
        <v>1026.65</v>
      </c>
      <c r="J145" s="31" t="n">
        <v>-1.21</v>
      </c>
      <c r="K145" s="31" t="n">
        <v>469720</v>
      </c>
      <c r="L145" s="30" t="n">
        <v>90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80.28</v>
      </c>
      <c r="P145" s="31" t="n">
        <v>46.52</v>
      </c>
      <c r="Q145" s="31" t="n">
        <v>783.85</v>
      </c>
      <c r="R145" s="30" t="inlineStr">
        <is>
          <t>Volume Spike &amp; Near 52W High Breakout</t>
        </is>
      </c>
      <c r="S145" s="30" t="inlineStr">
        <is>
          <t>Nifty Metal</t>
        </is>
      </c>
      <c r="T145" s="31" t="n">
        <v>39.75</v>
      </c>
      <c r="U145" s="31" t="n">
        <v>86.65000000000001</v>
      </c>
      <c r="V145" s="31" t="n">
        <v>33.56</v>
      </c>
      <c r="W145" s="31" t="n">
        <v>32.67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Monopoly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Shallow Cyclical (2 to 3 Years Growth)</t>
        </is>
      </c>
      <c r="AG145" s="30">
        <f>IF(AF145="Structural (10 Years Consistency)",10,IF(AF145="Shallow Cyclical (2 to 3 years growth)",5,0))</f>
        <v/>
      </c>
      <c r="AH145" s="30" t="inlineStr">
        <is>
          <t>Yes due to Product Mix change or Operating Leverage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Fully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Yes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Between 1.5 to 2</t>
        </is>
      </c>
      <c r="BU145" s="30">
        <f>IF(BT145="Above 2",0,IF(BT145="Between 1.5 to 2",5,IF(BT145="Less than 1.5",10,0)))</f>
        <v/>
      </c>
      <c r="BV145" s="30" t="inlineStr">
        <is>
          <t>Less than 50%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IF(B146=0,"",RANK(B146,$B$2:$B$375,0))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DIAMONDYD</t>
        </is>
      </c>
      <c r="D146" s="30" t="inlineStr">
        <is>
          <t>Prataap Snacks Ltd</t>
        </is>
      </c>
      <c r="E146" s="30" t="inlineStr">
        <is>
          <t>fmcg</t>
        </is>
      </c>
      <c r="F146" s="30" t="inlineStr">
        <is>
          <t>food - processing - indian</t>
        </is>
      </c>
      <c r="G146" s="30" t="inlineStr">
        <is>
          <t>smallcap</t>
        </is>
      </c>
      <c r="H146" s="31" t="n">
        <v>2887.2</v>
      </c>
      <c r="I146" s="31" t="n">
        <v>1192.6</v>
      </c>
      <c r="J146" s="31" t="n">
        <v>-1.23</v>
      </c>
      <c r="K146" s="31" t="n">
        <v>27823</v>
      </c>
      <c r="L146" s="30" t="n">
        <v>37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59.22</v>
      </c>
      <c r="P146" s="31" t="n">
        <v>27.1</v>
      </c>
      <c r="Q146" s="31" t="n">
        <v>985.77</v>
      </c>
      <c r="R146" s="30" t="inlineStr">
        <is>
          <t>Near 52W High Breakout</t>
        </is>
      </c>
      <c r="S146" s="30" t="inlineStr">
        <is>
          <t>Nifty FMCG</t>
        </is>
      </c>
      <c r="T146" s="31" t="n">
        <v>-11.27</v>
      </c>
      <c r="U146" s="31" t="n">
        <v>19.9</v>
      </c>
      <c r="V146" s="31" t="n">
        <v>35.12</v>
      </c>
      <c r="W146" s="31" t="n">
        <v>8.130000000000001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B2C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IF(B147=0,"",RANK(B147,$B$2:$B$375,0))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AKUMS</t>
        </is>
      </c>
      <c r="D147" s="30" t="inlineStr">
        <is>
          <t>Akums Drugs &amp; Pharmaceuticals Ltd</t>
        </is>
      </c>
      <c r="E147" s="30" t="inlineStr">
        <is>
          <t>healthcare</t>
        </is>
      </c>
      <c r="F147" s="30" t="inlineStr">
        <is>
          <t>pharmaceuticals - indian - bulk drugs &amp; formln</t>
        </is>
      </c>
      <c r="G147" s="30" t="inlineStr">
        <is>
          <t>midcap</t>
        </is>
      </c>
      <c r="H147" s="31" t="n">
        <v>11976.9</v>
      </c>
      <c r="I147" s="31" t="n">
        <v>749.95</v>
      </c>
      <c r="J147" s="31" t="n">
        <v>-1.45</v>
      </c>
      <c r="K147" s="31" t="n">
        <v>359719</v>
      </c>
      <c r="L147" s="30" t="n">
        <v>75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72.86</v>
      </c>
      <c r="P147" s="31" t="n">
        <v>50.75</v>
      </c>
      <c r="Q147" s="31" t="n">
        <v>604.92</v>
      </c>
      <c r="R147" s="30" t="inlineStr">
        <is>
          <t>Volume Spike &amp; Near 52W High Breakout</t>
        </is>
      </c>
      <c r="S147" s="30" t="inlineStr">
        <is>
          <t>Nifty Pharma</t>
        </is>
      </c>
      <c r="T147" s="31" t="n">
        <v>20.81</v>
      </c>
      <c r="U147" s="31" t="n">
        <v>60.1</v>
      </c>
      <c r="V147" s="31" t="n">
        <v>32.52</v>
      </c>
      <c r="W147" s="31" t="n">
        <v>20.52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IF(B148=0,"",RANK(B148,$B$2:$B$375,0))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BAFNAPH</t>
        </is>
      </c>
      <c r="D148" s="30" t="inlineStr">
        <is>
          <t>Bafna Pharmaceuticals Ltd</t>
        </is>
      </c>
      <c r="E148" s="30" t="inlineStr">
        <is>
          <t>healthcare</t>
        </is>
      </c>
      <c r="F148" s="30" t="inlineStr">
        <is>
          <t>pharmaceuticals - indian - formulations</t>
        </is>
      </c>
      <c r="G148" s="30" t="inlineStr">
        <is>
          <t>smallcap</t>
        </is>
      </c>
      <c r="H148" s="31" t="n">
        <v>647.59</v>
      </c>
      <c r="I148" s="31" t="n">
        <v>268.3</v>
      </c>
      <c r="J148" s="31" t="n">
        <v>-1.99</v>
      </c>
      <c r="K148" s="31" t="n">
        <v>3321</v>
      </c>
      <c r="L148" s="30" t="n">
        <v>96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72.45</v>
      </c>
      <c r="P148" s="31" t="n">
        <v>52.35</v>
      </c>
      <c r="Q148" s="31" t="n">
        <v>218.33</v>
      </c>
      <c r="R148" s="30" t="inlineStr">
        <is>
          <t>Earnings / Momentum Support</t>
        </is>
      </c>
      <c r="S148" s="30" t="inlineStr">
        <is>
          <t>Nifty Pharma</t>
        </is>
      </c>
      <c r="T148" s="31" t="n">
        <v>20.81</v>
      </c>
      <c r="U148" s="31" t="n">
        <v>145.2</v>
      </c>
      <c r="V148" s="31" t="n">
        <v>102.96</v>
      </c>
      <c r="W148" s="31" t="n">
        <v>47.96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IF(B149=0,"",RANK(B149,$B$2:$B$375,0))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SUBEXLTD</t>
        </is>
      </c>
      <c r="D149" s="30" t="inlineStr">
        <is>
          <t>Subex Ltd</t>
        </is>
      </c>
      <c r="E149" s="30" t="inlineStr">
        <is>
          <t>i.t</t>
        </is>
      </c>
      <c r="F149" s="30" t="inlineStr">
        <is>
          <t>computers - software - medium / small</t>
        </is>
      </c>
      <c r="G149" s="30" t="inlineStr">
        <is>
          <t>smallcap</t>
        </is>
      </c>
      <c r="H149" s="31" t="n">
        <v>785.12</v>
      </c>
      <c r="I149" s="31" t="n">
        <v>13.47</v>
      </c>
      <c r="J149" s="31" t="n">
        <v>-3.58</v>
      </c>
      <c r="K149" s="31" t="n">
        <v>1101623</v>
      </c>
      <c r="L149" s="30" t="n">
        <v>30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60.68</v>
      </c>
      <c r="P149" s="31" t="n">
        <v>24.62</v>
      </c>
      <c r="Q149" s="31" t="n">
        <v>9.6</v>
      </c>
      <c r="R149" s="30" t="inlineStr">
        <is>
          <t>Near 52W High Breakout</t>
        </is>
      </c>
      <c r="S149" s="30" t="inlineStr">
        <is>
          <t>Nifty IT</t>
        </is>
      </c>
      <c r="T149" s="31" t="n">
        <v>-10.05</v>
      </c>
      <c r="U149" s="31" t="n">
        <v>-2.04</v>
      </c>
      <c r="V149" s="31" t="n">
        <v>8.91</v>
      </c>
      <c r="W149" s="31" t="n">
        <v>6.62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Between 12 to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IF(B150=0,"",RANK(B150,$B$2:$B$375,0))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2" t="inlineStr">
        <is>
          <t>VALIANTORG</t>
        </is>
      </c>
      <c r="D150" s="32" t="inlineStr">
        <is>
          <t>Valiant Organics Ltd</t>
        </is>
      </c>
      <c r="E150" s="30" t="inlineStr">
        <is>
          <t>chemicals</t>
        </is>
      </c>
      <c r="F150" s="30" t="inlineStr">
        <is>
          <t>chemicals</t>
        </is>
      </c>
      <c r="G150" s="30" t="inlineStr">
        <is>
          <t>smallcap</t>
        </is>
      </c>
      <c r="H150" s="31" t="n">
        <v>868.65</v>
      </c>
      <c r="I150" s="31" t="n">
        <v>325.3</v>
      </c>
      <c r="J150" s="31" t="n">
        <v>4.99</v>
      </c>
      <c r="K150" s="31" t="n">
        <v>165655</v>
      </c>
      <c r="L150" s="30" t="n">
        <v>6</v>
      </c>
      <c r="M150" s="30" t="inlineStr">
        <is>
          <t>Underperforming</t>
        </is>
      </c>
      <c r="N150" s="31">
        <f>IF(M150="Underperforming",-5,IF(L150&gt;=95,15,IF(L150&gt;=90,10,IF(L150&gt;=80,5,0))))</f>
        <v/>
      </c>
      <c r="O150" s="31" t="n">
        <v>61.59</v>
      </c>
      <c r="P150" s="31" t="n">
        <v>30.23</v>
      </c>
      <c r="Q150" s="31" t="n">
        <v>236.56</v>
      </c>
      <c r="R150" s="30" t="inlineStr">
        <is>
          <t>Volume Spike / Accumulation</t>
        </is>
      </c>
      <c r="S150" s="30" t="inlineStr">
        <is>
          <t>Nifty IT</t>
        </is>
      </c>
      <c r="T150" s="31" t="n">
        <v>-10.05</v>
      </c>
      <c r="U150" s="31" t="n">
        <v>-11.74</v>
      </c>
      <c r="V150" s="31" t="n">
        <v>-1.87</v>
      </c>
      <c r="W150" s="31" t="n">
        <v>0.27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IF(B151=0,"",RANK(B151,$B$2:$B$375,0))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BERGEPAINT</t>
        </is>
      </c>
      <c r="D151" s="32" t="inlineStr">
        <is>
          <t>Berger Paints (i) Limited</t>
        </is>
      </c>
      <c r="E151" s="30" t="inlineStr">
        <is>
          <t>building materials</t>
        </is>
      </c>
      <c r="F151" s="30" t="inlineStr">
        <is>
          <t>paints / varnishes</t>
        </is>
      </c>
      <c r="G151" s="30" t="inlineStr">
        <is>
          <t>largecap</t>
        </is>
      </c>
      <c r="H151" s="31" t="n">
        <v>62375.32</v>
      </c>
      <c r="I151" s="31" t="n">
        <v>559.8</v>
      </c>
      <c r="J151" s="31" t="n">
        <v>4.65</v>
      </c>
      <c r="K151" s="31" t="n">
        <v>1847256</v>
      </c>
      <c r="L151" s="30" t="n">
        <v>25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63</v>
      </c>
      <c r="P151" s="31" t="n">
        <v>20.3</v>
      </c>
      <c r="Q151" s="31" t="n">
        <v>458.65</v>
      </c>
      <c r="R151" s="30" t="inlineStr">
        <is>
          <t>Near 52W High Breakout</t>
        </is>
      </c>
      <c r="S151" s="30" t="inlineStr">
        <is>
          <t>Nifty Infra</t>
        </is>
      </c>
      <c r="T151" s="31" t="n">
        <v>3.79</v>
      </c>
      <c r="U151" s="31" t="n">
        <v>1.76</v>
      </c>
      <c r="V151" s="31" t="n">
        <v>-1.95</v>
      </c>
      <c r="W151" s="31" t="n">
        <v>5.44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Between 1.5 to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IF(B152=0,"",RANK(B152,$B$2:$B$375,0))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KINGFA</t>
        </is>
      </c>
      <c r="D152" s="30" t="inlineStr">
        <is>
          <t>Kingfa Science &amp; Technology (india) Limited</t>
        </is>
      </c>
      <c r="E152" s="30" t="inlineStr">
        <is>
          <t>plastic products</t>
        </is>
      </c>
      <c r="F152" s="30" t="inlineStr">
        <is>
          <t>plastics products</t>
        </is>
      </c>
      <c r="G152" s="30" t="inlineStr">
        <is>
          <t>midcap</t>
        </is>
      </c>
      <c r="H152" s="31" t="n">
        <v>7735.13</v>
      </c>
      <c r="I152" s="31" t="n">
        <v>5949.5</v>
      </c>
      <c r="J152" s="31" t="n">
        <v>4.23</v>
      </c>
      <c r="K152" s="31" t="n">
        <v>53262</v>
      </c>
      <c r="L152" s="30" t="n">
        <v>64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69.22</v>
      </c>
      <c r="P152" s="31" t="n">
        <v>31.21</v>
      </c>
      <c r="Q152" s="31" t="n">
        <v>4750.7</v>
      </c>
      <c r="R152" s="30" t="inlineStr">
        <is>
          <t>Volume Spike &amp; Near 52W High Breakout</t>
        </is>
      </c>
      <c r="S152" s="30" t="inlineStr">
        <is>
          <t>Nifty Infra</t>
        </is>
      </c>
      <c r="T152" s="31" t="n">
        <v>3.79</v>
      </c>
      <c r="U152" s="31" t="n">
        <v>64.7</v>
      </c>
      <c r="V152" s="31" t="n">
        <v>58.69</v>
      </c>
      <c r="W152" s="31" t="n">
        <v>16.04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Between 1.5 to 2</t>
        </is>
      </c>
      <c r="BU152" s="30">
        <f>IF(BT152="Above 2",0,IF(BT152="Between 1.5 to 2",5,IF(BT152="Less than 1.5",10,0)))</f>
        <v/>
      </c>
      <c r="BV152" s="30" t="inlineStr">
        <is>
          <t>Less than 50%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IF(B153=0,"",RANK(B153,$B$2:$B$375,0))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PRECWIRE</t>
        </is>
      </c>
      <c r="D153" s="30" t="inlineStr">
        <is>
          <t>Precision Wires India Limited</t>
        </is>
      </c>
      <c r="E153" s="30" t="inlineStr">
        <is>
          <t>metals &amp; mining</t>
        </is>
      </c>
      <c r="F153" s="30" t="inlineStr">
        <is>
          <t>mining / minerals / metals</t>
        </is>
      </c>
      <c r="G153" s="30" t="inlineStr">
        <is>
          <t>midcap</t>
        </is>
      </c>
      <c r="H153" s="31" t="n">
        <v>7571.91</v>
      </c>
      <c r="I153" s="31" t="n">
        <v>422.3</v>
      </c>
      <c r="J153" s="31" t="n">
        <v>1.96</v>
      </c>
      <c r="K153" s="31" t="n">
        <v>652034</v>
      </c>
      <c r="L153" s="30" t="n">
        <v>79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61.97</v>
      </c>
      <c r="P153" s="31" t="n">
        <v>43.37</v>
      </c>
      <c r="Q153" s="31" t="n">
        <v>303.37</v>
      </c>
      <c r="R153" s="30" t="inlineStr">
        <is>
          <t>Volume Spike &amp; Near 52W High Breakout</t>
        </is>
      </c>
      <c r="S153" s="30" t="inlineStr">
        <is>
          <t>Nifty Metal</t>
        </is>
      </c>
      <c r="T153" s="31" t="n">
        <v>39.75</v>
      </c>
      <c r="U153" s="31" t="n">
        <v>133.08</v>
      </c>
      <c r="V153" s="31" t="n">
        <v>66.79000000000001</v>
      </c>
      <c r="W153" s="31" t="n">
        <v>23.23</v>
      </c>
      <c r="X153" s="30" t="inlineStr">
        <is>
          <t>Cyclical in an Upturn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Cyclical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Volatile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IF(B154=0,"",RANK(B154,$B$2:$B$375,0))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HAL</t>
        </is>
      </c>
      <c r="D154" s="30" t="inlineStr">
        <is>
          <t>Hindustan Aeronautics Ltd</t>
        </is>
      </c>
      <c r="E154" s="30" t="inlineStr">
        <is>
          <t>aerospace &amp; defence</t>
        </is>
      </c>
      <c r="F154" s="30" t="inlineStr">
        <is>
          <t>engineering</t>
        </is>
      </c>
      <c r="G154" s="30" t="inlineStr">
        <is>
          <t>largecap</t>
        </is>
      </c>
      <c r="H154" s="31" t="n">
        <v>328301.65</v>
      </c>
      <c r="I154" s="31" t="n">
        <v>4995</v>
      </c>
      <c r="J154" s="31" t="n">
        <v>1.75</v>
      </c>
      <c r="K154" s="31" t="n">
        <v>2901166</v>
      </c>
      <c r="L154" s="30" t="n">
        <v>23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67.02</v>
      </c>
      <c r="P154" s="31" t="n">
        <v>23.41</v>
      </c>
      <c r="Q154" s="31" t="n">
        <v>4251.79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-0.79</v>
      </c>
      <c r="U154" s="31" t="n">
        <v>10.94</v>
      </c>
      <c r="V154" s="31" t="n">
        <v>11.83</v>
      </c>
      <c r="W154" s="31" t="n">
        <v>5.2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IF(B155=0,"",RANK(B155,$B$2:$B$375,0))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LMW</t>
        </is>
      </c>
      <c r="D155" s="30" t="inlineStr">
        <is>
          <t>LMW Ltd</t>
        </is>
      </c>
      <c r="E155" s="30" t="inlineStr">
        <is>
          <t>industrials</t>
        </is>
      </c>
      <c r="F155" s="30" t="inlineStr">
        <is>
          <t>textile machinery</t>
        </is>
      </c>
      <c r="G155" s="30" t="inlineStr">
        <is>
          <t>midcap</t>
        </is>
      </c>
      <c r="H155" s="31" t="n">
        <v>18506.16</v>
      </c>
      <c r="I155" s="31" t="n">
        <v>17550</v>
      </c>
      <c r="J155" s="31" t="n">
        <v>1.31</v>
      </c>
      <c r="K155" s="31" t="n">
        <v>6027</v>
      </c>
      <c r="L155" s="30" t="n">
        <v>36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66.5</v>
      </c>
      <c r="P155" s="31" t="n">
        <v>33.62</v>
      </c>
      <c r="Q155" s="31" t="n">
        <v>14415.77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-0.79</v>
      </c>
      <c r="U155" s="31" t="n">
        <v>18.35</v>
      </c>
      <c r="V155" s="31" t="n">
        <v>19.29</v>
      </c>
      <c r="W155" s="31" t="n">
        <v>7.95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IF(B156=0,"",RANK(B156,$B$2:$B$375,0))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ATUL</t>
        </is>
      </c>
      <c r="D156" s="30" t="inlineStr">
        <is>
          <t>Atul Limited</t>
        </is>
      </c>
      <c r="E156" s="30" t="inlineStr">
        <is>
          <t>chemicals</t>
        </is>
      </c>
      <c r="F156" s="30" t="inlineStr">
        <is>
          <t>chemicals</t>
        </is>
      </c>
      <c r="G156" s="30" t="inlineStr">
        <is>
          <t>largecap</t>
        </is>
      </c>
      <c r="H156" s="31" t="n">
        <v>20167.6</v>
      </c>
      <c r="I156" s="31" t="n">
        <v>6896.5</v>
      </c>
      <c r="J156" s="31" t="n">
        <v>0.68</v>
      </c>
      <c r="K156" s="31" t="n">
        <v>54244</v>
      </c>
      <c r="L156" s="30" t="n">
        <v>10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59.39</v>
      </c>
      <c r="P156" s="31" t="n">
        <v>12.41</v>
      </c>
      <c r="Q156" s="31" t="n">
        <v>5969.32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-0.79</v>
      </c>
      <c r="U156" s="31" t="n">
        <v>9.16</v>
      </c>
      <c r="V156" s="31" t="n">
        <v>10.03</v>
      </c>
      <c r="W156" s="31" t="n">
        <v>1.51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0 to 20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IF(B157=0,"",RANK(B157,$B$2:$B$375,0))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EICHERMOT</t>
        </is>
      </c>
      <c r="D157" s="30" t="inlineStr">
        <is>
          <t>Eicher Motors Limited</t>
        </is>
      </c>
      <c r="E157" s="30" t="inlineStr">
        <is>
          <t>auto</t>
        </is>
      </c>
      <c r="F157" s="30" t="inlineStr">
        <is>
          <t>automobiles - motorcycles / mopeds</t>
        </is>
      </c>
      <c r="G157" s="30" t="inlineStr">
        <is>
          <t>largecap</t>
        </is>
      </c>
      <c r="H157" s="31" t="n">
        <v>219598.02</v>
      </c>
      <c r="I157" s="31" t="n">
        <v>8049</v>
      </c>
      <c r="J157" s="31" t="n">
        <v>0.61</v>
      </c>
      <c r="K157" s="31" t="n">
        <v>317282</v>
      </c>
      <c r="L157" s="30" t="n">
        <v>52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65.36</v>
      </c>
      <c r="P157" s="31" t="n">
        <v>8.76</v>
      </c>
      <c r="Q157" s="31" t="n">
        <v>6936.47</v>
      </c>
      <c r="R157" s="30" t="inlineStr">
        <is>
          <t>Near 52W High Breakout</t>
        </is>
      </c>
      <c r="S157" s="30" t="inlineStr">
        <is>
          <t>Nifty Auto</t>
        </is>
      </c>
      <c r="T157" s="31" t="n">
        <v>23.47</v>
      </c>
      <c r="U157" s="31" t="n">
        <v>51.64</v>
      </c>
      <c r="V157" s="31" t="n">
        <v>22.82</v>
      </c>
      <c r="W157" s="31" t="n">
        <v>12.04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0 to 20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Between 1.5 to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IF(B158=0,"",RANK(B158,$B$2:$B$375,0))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NRAIL</t>
        </is>
      </c>
      <c r="D158" s="30" t="inlineStr">
        <is>
          <t>N R Agarwal Industries Ltd</t>
        </is>
      </c>
      <c r="E158" s="30" t="inlineStr">
        <is>
          <t>building materials</t>
        </is>
      </c>
      <c r="F158" s="30" t="inlineStr">
        <is>
          <t>paper</t>
        </is>
      </c>
      <c r="G158" s="30" t="inlineStr">
        <is>
          <t>smallcap</t>
        </is>
      </c>
      <c r="H158" s="31" t="n">
        <v>884.8200000000001</v>
      </c>
      <c r="I158" s="31" t="n">
        <v>522.6</v>
      </c>
      <c r="J158" s="31" t="n">
        <v>0.52</v>
      </c>
      <c r="K158" s="31" t="n">
        <v>5025</v>
      </c>
      <c r="L158" s="30" t="n">
        <v>51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58.91</v>
      </c>
      <c r="P158" s="31" t="n">
        <v>23.65</v>
      </c>
      <c r="Q158" s="31" t="n">
        <v>390.43</v>
      </c>
      <c r="R158" s="30" t="inlineStr">
        <is>
          <t>Near 52W High Breakout</t>
        </is>
      </c>
      <c r="S158" s="30" t="inlineStr">
        <is>
          <t>Nifty Infra</t>
        </is>
      </c>
      <c r="T158" s="31" t="n">
        <v>3.79</v>
      </c>
      <c r="U158" s="31" t="n">
        <v>51.81</v>
      </c>
      <c r="V158" s="31" t="n">
        <v>46.27</v>
      </c>
      <c r="W158" s="31" t="n">
        <v>11.88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Between 0.7 to 1.2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IF(B159=0,"",RANK(B159,$B$2:$B$375,0))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KRISHANA</t>
        </is>
      </c>
      <c r="D159" s="30" t="inlineStr">
        <is>
          <t>Krishana Phoschem Ltd</t>
        </is>
      </c>
      <c r="E159" s="30" t="inlineStr">
        <is>
          <t>chemicals</t>
        </is>
      </c>
      <c r="F159" s="30" t="inlineStr">
        <is>
          <t>fertilizers</t>
        </is>
      </c>
      <c r="G159" s="30" t="inlineStr">
        <is>
          <t>smallcap</t>
        </is>
      </c>
      <c r="H159" s="31" t="n">
        <v>1152.78</v>
      </c>
      <c r="I159" s="31" t="n">
        <v>186.45</v>
      </c>
      <c r="J159" s="31" t="n">
        <v>0</v>
      </c>
      <c r="K159" s="31" t="n">
        <v>388061</v>
      </c>
      <c r="L159" s="30" t="n">
        <v>75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78.48999999999999</v>
      </c>
      <c r="P159" s="31" t="n">
        <v>46.26</v>
      </c>
      <c r="Q159" s="31" t="n">
        <v>146.39</v>
      </c>
      <c r="R159" s="30" t="inlineStr">
        <is>
          <t>Near 52W High Breakout</t>
        </is>
      </c>
      <c r="S159" s="30" t="inlineStr">
        <is>
          <t>Nifty 50</t>
        </is>
      </c>
      <c r="T159" s="31" t="n">
        <v>-0.79</v>
      </c>
      <c r="U159" s="31" t="n">
        <v>71.5</v>
      </c>
      <c r="V159" s="31" t="n">
        <v>72.87</v>
      </c>
      <c r="W159" s="31" t="n">
        <v>20.69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More than 1.2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IF(B160=0,"",RANK(B160,$B$2:$B$375,0))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ENRIN</t>
        </is>
      </c>
      <c r="D160" s="30" t="inlineStr">
        <is>
          <t>Siemens Energy India Ltd</t>
        </is>
      </c>
      <c r="E160" s="30" t="inlineStr">
        <is>
          <t>power &amp; utilities</t>
        </is>
      </c>
      <c r="F160" s="30" t="inlineStr">
        <is>
          <t>power generation and supply</t>
        </is>
      </c>
      <c r="G160" s="30" t="inlineStr">
        <is>
          <t>largecap</t>
        </is>
      </c>
      <c r="H160" s="31" t="n">
        <v>126914.23</v>
      </c>
      <c r="I160" s="31" t="n">
        <v>3562.1</v>
      </c>
      <c r="J160" s="31" t="n">
        <v>-0.05</v>
      </c>
      <c r="K160" s="31" t="n">
        <v>445189</v>
      </c>
      <c r="L160" s="30" t="n">
        <v>28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56.56</v>
      </c>
      <c r="P160" s="31" t="n">
        <v>23.54</v>
      </c>
      <c r="Q160" s="31" t="n">
        <v>2973.2</v>
      </c>
      <c r="R160" s="30" t="inlineStr">
        <is>
          <t>Earnings / Momentum Support</t>
        </is>
      </c>
      <c r="S160" s="30" t="inlineStr">
        <is>
          <t>Nifty IT</t>
        </is>
      </c>
      <c r="T160" s="31" t="n">
        <v>-10.05</v>
      </c>
      <c r="U160" s="31" t="n">
        <v>12.43</v>
      </c>
      <c r="V160" s="31" t="n">
        <v>25</v>
      </c>
      <c r="W160" s="31" t="n">
        <v>6.08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IF(B161=0,"",RANK(B161,$B$2:$B$375,0))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HEG</t>
        </is>
      </c>
      <c r="D161" s="30" t="inlineStr">
        <is>
          <t>Heg Limited</t>
        </is>
      </c>
      <c r="E161" s="30" t="inlineStr">
        <is>
          <t>industrials</t>
        </is>
      </c>
      <c r="F161" s="30" t="inlineStr">
        <is>
          <t>electrodes - graphites</t>
        </is>
      </c>
      <c r="G161" s="30" t="inlineStr">
        <is>
          <t>midcap</t>
        </is>
      </c>
      <c r="H161" s="31" t="n">
        <v>13088.7</v>
      </c>
      <c r="I161" s="31" t="n">
        <v>674.35</v>
      </c>
      <c r="J161" s="31" t="n">
        <v>-0.58</v>
      </c>
      <c r="K161" s="31" t="n">
        <v>861879</v>
      </c>
      <c r="L161" s="30" t="n">
        <v>36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65.52</v>
      </c>
      <c r="P161" s="31" t="n">
        <v>26.81</v>
      </c>
      <c r="Q161" s="31" t="n">
        <v>522.29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-0.79</v>
      </c>
      <c r="U161" s="31" t="n">
        <v>34.48</v>
      </c>
      <c r="V161" s="31" t="n">
        <v>35.55</v>
      </c>
      <c r="W161" s="31" t="n">
        <v>8.029999999999999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Between 12 to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IF(B162=0,"",RANK(B162,$B$2:$B$375,0))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NAHARSPING</t>
        </is>
      </c>
      <c r="D162" s="30" t="inlineStr">
        <is>
          <t>Nahar Spinning Mills Limited</t>
        </is>
      </c>
      <c r="E162" s="30" t="inlineStr">
        <is>
          <t>textiles</t>
        </is>
      </c>
      <c r="F162" s="30" t="inlineStr">
        <is>
          <t>textiles - cotton/blended</t>
        </is>
      </c>
      <c r="G162" s="30" t="inlineStr">
        <is>
          <t>smallcap</t>
        </is>
      </c>
      <c r="H162" s="31" t="n">
        <v>1111.35</v>
      </c>
      <c r="I162" s="31" t="n">
        <v>305.55</v>
      </c>
      <c r="J162" s="31" t="n">
        <v>-0.84</v>
      </c>
      <c r="K162" s="31" t="n">
        <v>37219</v>
      </c>
      <c r="L162" s="30" t="n">
        <v>56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66.86</v>
      </c>
      <c r="P162" s="31" t="n">
        <v>27.64</v>
      </c>
      <c r="Q162" s="31" t="n">
        <v>244.1</v>
      </c>
      <c r="R162" s="30" t="inlineStr">
        <is>
          <t>Near 52W High Breakout</t>
        </is>
      </c>
      <c r="S162" s="30" t="inlineStr">
        <is>
          <t>Nifty 50</t>
        </is>
      </c>
      <c r="T162" s="31" t="n">
        <v>-0.79</v>
      </c>
      <c r="U162" s="31" t="n">
        <v>53.78</v>
      </c>
      <c r="V162" s="31" t="n">
        <v>55.01</v>
      </c>
      <c r="W162" s="31" t="n">
        <v>13.2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IF(B163=0,"",RANK(B163,$B$2:$B$375,0))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KALYANKJIL</t>
        </is>
      </c>
      <c r="D163" s="30" t="inlineStr">
        <is>
          <t>Kalyan Jewellers India Ltd</t>
        </is>
      </c>
      <c r="E163" s="30" t="inlineStr">
        <is>
          <t>consumer discretionary</t>
        </is>
      </c>
      <c r="F163" s="30" t="inlineStr">
        <is>
          <t>diamond cutting / jewellery</t>
        </is>
      </c>
      <c r="G163" s="30" t="inlineStr">
        <is>
          <t>largecap</t>
        </is>
      </c>
      <c r="H163" s="31" t="n">
        <v>62191.62</v>
      </c>
      <c r="I163" s="31" t="n">
        <v>596.7</v>
      </c>
      <c r="J163" s="31" t="n">
        <v>-0.91</v>
      </c>
      <c r="K163" s="31" t="n">
        <v>9251306</v>
      </c>
      <c r="L163" s="30" t="n">
        <v>74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69.73999999999999</v>
      </c>
      <c r="P163" s="31" t="n">
        <v>33.13</v>
      </c>
      <c r="Q163" s="31" t="n">
        <v>464.4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-0.79</v>
      </c>
      <c r="U163" s="31" t="n">
        <v>12.17</v>
      </c>
      <c r="V163" s="31" t="n">
        <v>13.07</v>
      </c>
      <c r="W163" s="31" t="n">
        <v>20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IF(B164=0,"",RANK(B164,$B$2:$B$375,0))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AYMSYNTEX</t>
        </is>
      </c>
      <c r="D164" s="30" t="inlineStr">
        <is>
          <t>Aym Syntex Limited</t>
        </is>
      </c>
      <c r="E164" s="30" t="inlineStr">
        <is>
          <t>textiles</t>
        </is>
      </c>
      <c r="F164" s="30" t="inlineStr">
        <is>
          <t>textiles - processing</t>
        </is>
      </c>
      <c r="G164" s="30" t="inlineStr">
        <is>
          <t>smallcap</t>
        </is>
      </c>
      <c r="H164" s="31" t="n">
        <v>1502.71</v>
      </c>
      <c r="I164" s="31" t="n">
        <v>253.2</v>
      </c>
      <c r="J164" s="31" t="n">
        <v>-1.04</v>
      </c>
      <c r="K164" s="31" t="n">
        <v>98725</v>
      </c>
      <c r="L164" s="30" t="n">
        <v>38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60.73</v>
      </c>
      <c r="P164" s="31" t="n">
        <v>32.11</v>
      </c>
      <c r="Q164" s="31" t="n">
        <v>183.34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-0.79</v>
      </c>
      <c r="U164" s="31" t="n">
        <v>31.7</v>
      </c>
      <c r="V164" s="31" t="n">
        <v>32.76</v>
      </c>
      <c r="W164" s="31" t="n">
        <v>8.48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IF(B165=0,"",RANK(B165,$B$2:$B$375,0))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ANDHRSUGAR</t>
        </is>
      </c>
      <c r="D165" s="30" t="inlineStr">
        <is>
          <t>The Andhra Sugars Limited</t>
        </is>
      </c>
      <c r="E165" s="30" t="inlineStr">
        <is>
          <t>chemicals</t>
        </is>
      </c>
      <c r="F165" s="30" t="inlineStr">
        <is>
          <t>chlor alkali / soda ash</t>
        </is>
      </c>
      <c r="G165" s="30" t="inlineStr">
        <is>
          <t>smallcap</t>
        </is>
      </c>
      <c r="H165" s="31" t="n">
        <v>1344.51</v>
      </c>
      <c r="I165" s="31" t="n">
        <v>98.09999999999999</v>
      </c>
      <c r="J165" s="31" t="n">
        <v>-1.11</v>
      </c>
      <c r="K165" s="31" t="n">
        <v>679444</v>
      </c>
      <c r="L165" s="30" t="n">
        <v>28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63.59</v>
      </c>
      <c r="P165" s="31" t="n">
        <v>13.36</v>
      </c>
      <c r="Q165" s="31" t="n">
        <v>73.40000000000001</v>
      </c>
      <c r="R165" s="30" t="inlineStr">
        <is>
          <t>Volume Spike &amp; Near 52W High Breakout</t>
        </is>
      </c>
      <c r="S165" s="30" t="inlineStr">
        <is>
          <t>Nifty 50</t>
        </is>
      </c>
      <c r="T165" s="31" t="n">
        <v>-0.79</v>
      </c>
      <c r="U165" s="31" t="n">
        <v>22.45</v>
      </c>
      <c r="V165" s="31" t="n">
        <v>23.43</v>
      </c>
      <c r="W165" s="31" t="n">
        <v>6.2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0 to 20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IF(B166=0,"",RANK(B166,$B$2:$B$375,0))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SUPRAJIT</t>
        </is>
      </c>
      <c r="D166" s="32" t="inlineStr">
        <is>
          <t>Suprajit Engineering Limited</t>
        </is>
      </c>
      <c r="E166" s="30" t="inlineStr">
        <is>
          <t>auto</t>
        </is>
      </c>
      <c r="F166" s="30" t="inlineStr">
        <is>
          <t>auto ancillaries</t>
        </is>
      </c>
      <c r="G166" s="30" t="inlineStr">
        <is>
          <t>midcap</t>
        </is>
      </c>
      <c r="H166" s="31" t="n">
        <v>7287.22</v>
      </c>
      <c r="I166" s="31" t="n">
        <v>523.45</v>
      </c>
      <c r="J166" s="31" t="n">
        <v>-1.47</v>
      </c>
      <c r="K166" s="31" t="n">
        <v>74691</v>
      </c>
      <c r="L166" s="30" t="n">
        <v>37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64.48</v>
      </c>
      <c r="P166" s="31" t="n">
        <v>42.82</v>
      </c>
      <c r="Q166" s="31" t="n">
        <v>421.06</v>
      </c>
      <c r="R166" s="30" t="inlineStr">
        <is>
          <t>Near 52W High Breakout</t>
        </is>
      </c>
      <c r="S166" s="30" t="inlineStr">
        <is>
          <t>Nifty Auto</t>
        </is>
      </c>
      <c r="T166" s="31" t="n">
        <v>23.47</v>
      </c>
      <c r="U166" s="31" t="n">
        <v>13.02</v>
      </c>
      <c r="V166" s="31" t="n">
        <v>-8.470000000000001</v>
      </c>
      <c r="W166" s="31" t="n">
        <v>8.16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Less than 12%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IF(B167=0,"",RANK(B167,$B$2:$B$375,0))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YASHO</t>
        </is>
      </c>
      <c r="D167" s="30" t="inlineStr">
        <is>
          <t>Yasho Industries Ltd</t>
        </is>
      </c>
      <c r="E167" s="30" t="inlineStr">
        <is>
          <t>chemicals</t>
        </is>
      </c>
      <c r="F167" s="30" t="inlineStr">
        <is>
          <t>chemicals</t>
        </is>
      </c>
      <c r="G167" s="30" t="inlineStr">
        <is>
          <t>midcap</t>
        </is>
      </c>
      <c r="H167" s="31" t="n">
        <v>5192.27</v>
      </c>
      <c r="I167" s="31" t="n">
        <v>4213</v>
      </c>
      <c r="J167" s="31" t="n">
        <v>-2.17</v>
      </c>
      <c r="K167" s="31" t="n">
        <v>20489</v>
      </c>
      <c r="L167" s="30" t="n">
        <v>98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91.78</v>
      </c>
      <c r="P167" s="31" t="n">
        <v>65.09</v>
      </c>
      <c r="Q167" s="31" t="n">
        <v>3224.45</v>
      </c>
      <c r="R167" s="30" t="inlineStr">
        <is>
          <t>Near 52W High Breakout</t>
        </is>
      </c>
      <c r="S167" s="30" t="inlineStr">
        <is>
          <t>Nifty 50</t>
        </is>
      </c>
      <c r="T167" s="31" t="n">
        <v>-0.79</v>
      </c>
      <c r="U167" s="31" t="n">
        <v>141.73</v>
      </c>
      <c r="V167" s="31" t="n">
        <v>143.67</v>
      </c>
      <c r="W167" s="31" t="n">
        <v>59.84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Above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More than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IF(B168=0,"",RANK(B168,$B$2:$B$375,0))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SIGMAADV</t>
        </is>
      </c>
      <c r="D168" s="30" t="inlineStr">
        <is>
          <t>Sigma Advanced System Ltd</t>
        </is>
      </c>
      <c r="E168" s="30" t="inlineStr">
        <is>
          <t>aerospace &amp; defence</t>
        </is>
      </c>
      <c r="F168" s="30" t="inlineStr">
        <is>
          <t>electronics - components</t>
        </is>
      </c>
      <c r="G168" s="30" t="inlineStr">
        <is>
          <t>midcap</t>
        </is>
      </c>
      <c r="H168" s="31" t="n">
        <v>13292.21</v>
      </c>
      <c r="I168" s="31" t="n">
        <v>683.85</v>
      </c>
      <c r="J168" s="31" t="n">
        <v>-2.51</v>
      </c>
      <c r="K168" s="31" t="n">
        <v>289657</v>
      </c>
      <c r="L168" s="30" t="n">
        <v>98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75.81</v>
      </c>
      <c r="P168" s="31" t="n">
        <v>67.42</v>
      </c>
      <c r="Q168" s="31" t="n">
        <v>521.85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-0.79</v>
      </c>
      <c r="U168" s="31" t="n">
        <v>505.55</v>
      </c>
      <c r="V168" s="31" t="n">
        <v>510.39</v>
      </c>
      <c r="W168" s="31" t="n">
        <v>74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Negative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Between 0.7 to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IF(B169=0,"",RANK(B169,$B$2:$B$375,0))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2" t="inlineStr">
        <is>
          <t>DPABHUSHAN</t>
        </is>
      </c>
      <c r="D169" s="32" t="inlineStr">
        <is>
          <t>D.P. Abhushan Ltd</t>
        </is>
      </c>
      <c r="E169" s="30" t="inlineStr">
        <is>
          <t>consumer discretionary</t>
        </is>
      </c>
      <c r="F169" s="30" t="inlineStr">
        <is>
          <t>diamond cutting / jewellery</t>
        </is>
      </c>
      <c r="G169" s="30" t="inlineStr">
        <is>
          <t>smallcap</t>
        </is>
      </c>
      <c r="H169" s="31" t="n">
        <v>3348.63</v>
      </c>
      <c r="I169" s="31" t="n">
        <v>1417.1</v>
      </c>
      <c r="J169" s="31" t="n">
        <v>-3.39</v>
      </c>
      <c r="K169" s="31" t="n">
        <v>56163</v>
      </c>
      <c r="L169" s="30" t="n">
        <v>49</v>
      </c>
      <c r="M169" s="30" t="inlineStr">
        <is>
          <t>Underperforming</t>
        </is>
      </c>
      <c r="N169" s="31">
        <f>IF(M169="Underperforming",-5,IF(L169&gt;=95,15,IF(L169&gt;=90,10,IF(L169&gt;=80,5,0))))</f>
        <v/>
      </c>
      <c r="O169" s="31" t="n">
        <v>64.70999999999999</v>
      </c>
      <c r="P169" s="31" t="n">
        <v>33.87</v>
      </c>
      <c r="Q169" s="31" t="n">
        <v>1044.26</v>
      </c>
      <c r="R169" s="30" t="inlineStr">
        <is>
          <t>Earnings / Momentum Support</t>
        </is>
      </c>
      <c r="S169" s="30" t="inlineStr">
        <is>
          <t>Nifty 50</t>
        </is>
      </c>
      <c r="T169" s="31" t="n">
        <v>-0.79</v>
      </c>
      <c r="U169" s="31" t="n">
        <v>-12.52</v>
      </c>
      <c r="V169" s="31" t="n">
        <v>-11.83</v>
      </c>
      <c r="W169" s="31" t="n">
        <v>11.22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IF(B170=0,"",RANK(B170,$B$2:$B$375,0))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ARTEMISMED</t>
        </is>
      </c>
      <c r="D170" s="30" t="inlineStr">
        <is>
          <t>Artemis Medicare Services Ltd</t>
        </is>
      </c>
      <c r="E170" s="30" t="inlineStr">
        <is>
          <t>healthcare</t>
        </is>
      </c>
      <c r="F170" s="30" t="inlineStr">
        <is>
          <t>healthcare</t>
        </is>
      </c>
      <c r="G170" s="30" t="inlineStr">
        <is>
          <t>smallcap</t>
        </is>
      </c>
      <c r="H170" s="31" t="n">
        <v>4959.73</v>
      </c>
      <c r="I170" s="31" t="n">
        <v>316.3</v>
      </c>
      <c r="J170" s="31" t="n">
        <v>0.96</v>
      </c>
      <c r="K170" s="31" t="n">
        <v>724360</v>
      </c>
      <c r="L170" s="30" t="n">
        <v>40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71.33</v>
      </c>
      <c r="P170" s="31" t="n">
        <v>27.85</v>
      </c>
      <c r="Q170" s="31" t="n">
        <v>255.91</v>
      </c>
      <c r="R170" s="30" t="inlineStr">
        <is>
          <t>Near 52W High Breakout</t>
        </is>
      </c>
      <c r="S170" s="30" t="inlineStr">
        <is>
          <t>Nifty Pharma</t>
        </is>
      </c>
      <c r="T170" s="31" t="n">
        <v>20.81</v>
      </c>
      <c r="U170" s="31" t="n">
        <v>31.82</v>
      </c>
      <c r="V170" s="31" t="n">
        <v>9.109999999999999</v>
      </c>
      <c r="W170" s="31" t="n">
        <v>8.859999999999999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IF(B171=0,"",RANK(B171,$B$2:$B$375,0))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GRANULES</t>
        </is>
      </c>
      <c r="D171" s="30" t="inlineStr">
        <is>
          <t>Granules India Limited</t>
        </is>
      </c>
      <c r="E171" s="30" t="inlineStr">
        <is>
          <t>healthcare</t>
        </is>
      </c>
      <c r="F171" s="30" t="inlineStr">
        <is>
          <t>pharmaceuticals - indian - bulk drugs &amp; formln</t>
        </is>
      </c>
      <c r="G171" s="30" t="inlineStr">
        <is>
          <t>largecap</t>
        </is>
      </c>
      <c r="H171" s="31" t="n">
        <v>21335.31</v>
      </c>
      <c r="I171" s="31" t="n">
        <v>864.8</v>
      </c>
      <c r="J171" s="31" t="n">
        <v>0.44</v>
      </c>
      <c r="K171" s="31" t="n">
        <v>283049</v>
      </c>
      <c r="L171" s="30" t="n">
        <v>68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68.55</v>
      </c>
      <c r="P171" s="31" t="n">
        <v>48.21</v>
      </c>
      <c r="Q171" s="31" t="n">
        <v>741.17</v>
      </c>
      <c r="R171" s="30" t="inlineStr">
        <is>
          <t>Near 52W High Breakout</t>
        </is>
      </c>
      <c r="S171" s="30" t="inlineStr">
        <is>
          <t>Nifty Pharma</t>
        </is>
      </c>
      <c r="T171" s="31" t="n">
        <v>20.81</v>
      </c>
      <c r="U171" s="31" t="n">
        <v>88.64</v>
      </c>
      <c r="V171" s="31" t="n">
        <v>56.14</v>
      </c>
      <c r="W171" s="31" t="n">
        <v>17.65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Yes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Negative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IF(B172=0,"",RANK(B172,$B$2:$B$375,0))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2" t="inlineStr">
        <is>
          <t>LALPATHLAB</t>
        </is>
      </c>
      <c r="D172" s="32" t="inlineStr">
        <is>
          <t>Dr. Lal Path Labs Ltd.</t>
        </is>
      </c>
      <c r="E172" s="30" t="inlineStr">
        <is>
          <t>healthcare</t>
        </is>
      </c>
      <c r="F172" s="30" t="inlineStr">
        <is>
          <t>healthcare</t>
        </is>
      </c>
      <c r="G172" s="30" t="inlineStr">
        <is>
          <t>largecap</t>
        </is>
      </c>
      <c r="H172" s="31" t="n">
        <v>32687.69</v>
      </c>
      <c r="I172" s="31" t="n">
        <v>1953.3</v>
      </c>
      <c r="J172" s="31" t="n">
        <v>0.17</v>
      </c>
      <c r="K172" s="31" t="n">
        <v>351481</v>
      </c>
      <c r="L172" s="30" t="n">
        <v>39</v>
      </c>
      <c r="M172" s="30" t="inlineStr">
        <is>
          <t>Underperforming</t>
        </is>
      </c>
      <c r="N172" s="31">
        <f>IF(M172="Underperforming",-5,IF(L172&gt;=95,15,IF(L172&gt;=90,10,IF(L172&gt;=80,5,0))))</f>
        <v/>
      </c>
      <c r="O172" s="31" t="n">
        <v>75.55</v>
      </c>
      <c r="P172" s="31" t="n">
        <v>41.93</v>
      </c>
      <c r="Q172" s="31" t="n">
        <v>1629.28</v>
      </c>
      <c r="R172" s="30" t="inlineStr">
        <is>
          <t>Near 52W High Breakout</t>
        </is>
      </c>
      <c r="S172" s="30" t="inlineStr">
        <is>
          <t>Nifty Pharma</t>
        </is>
      </c>
      <c r="T172" s="31" t="n">
        <v>20.81</v>
      </c>
      <c r="U172" s="31" t="n">
        <v>17.84</v>
      </c>
      <c r="V172" s="31" t="n">
        <v>-2.46</v>
      </c>
      <c r="W172" s="31" t="n">
        <v>8.58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Yes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Above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IF(B173=0,"",RANK(B173,$B$2:$B$375,0))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UNITDSPR</t>
        </is>
      </c>
      <c r="D173" s="30" t="inlineStr">
        <is>
          <t>United Spirits Ltd</t>
        </is>
      </c>
      <c r="E173" s="30" t="inlineStr">
        <is>
          <t>fmcg</t>
        </is>
      </c>
      <c r="F173" s="30" t="inlineStr">
        <is>
          <t>breweries &amp; distilleries</t>
        </is>
      </c>
      <c r="G173" s="30" t="inlineStr">
        <is>
          <t>largecap</t>
        </is>
      </c>
      <c r="H173" s="31" t="n">
        <v>112644.83</v>
      </c>
      <c r="I173" s="31" t="n">
        <v>1535</v>
      </c>
      <c r="J173" s="31" t="n">
        <v>-0.88</v>
      </c>
      <c r="K173" s="31" t="n">
        <v>450036</v>
      </c>
      <c r="L173" s="30" t="n">
        <v>27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67.53</v>
      </c>
      <c r="P173" s="31" t="n">
        <v>21.63</v>
      </c>
      <c r="Q173" s="31" t="n">
        <v>1329.8</v>
      </c>
      <c r="R173" s="30" t="inlineStr">
        <is>
          <t>Near 52W High Breakout</t>
        </is>
      </c>
      <c r="S173" s="30" t="inlineStr">
        <is>
          <t>Nifty FMCG</t>
        </is>
      </c>
      <c r="T173" s="31" t="n">
        <v>-11.27</v>
      </c>
      <c r="U173" s="31" t="n">
        <v>19.36</v>
      </c>
      <c r="V173" s="31" t="n">
        <v>34.52</v>
      </c>
      <c r="W173" s="31" t="n">
        <v>5.93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B2C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Annuity, Lower One Time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IF(B174=0,"",RANK(B174,$B$2:$B$375,0))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PPLPHARMA</t>
        </is>
      </c>
      <c r="D174" s="32" t="inlineStr">
        <is>
          <t>Piramal Pharma Ltd</t>
        </is>
      </c>
      <c r="E174" s="30" t="inlineStr">
        <is>
          <t>healthcare</t>
        </is>
      </c>
      <c r="F174" s="30" t="inlineStr">
        <is>
          <t>pharmaceuticals - indian - bulk drugs &amp; formln</t>
        </is>
      </c>
      <c r="G174" s="30" t="inlineStr">
        <is>
          <t>largecap</t>
        </is>
      </c>
      <c r="H174" s="31" t="n">
        <v>28516.15</v>
      </c>
      <c r="I174" s="31" t="n">
        <v>210.24</v>
      </c>
      <c r="J174" s="31" t="n">
        <v>-1.84</v>
      </c>
      <c r="K174" s="31" t="n">
        <v>2720946</v>
      </c>
      <c r="L174" s="30" t="n">
        <v>30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71.42</v>
      </c>
      <c r="P174" s="31" t="n">
        <v>25.59</v>
      </c>
      <c r="Q174" s="31" t="n">
        <v>167.81</v>
      </c>
      <c r="R174" s="30" t="inlineStr">
        <is>
          <t>Near 52W High Breakout</t>
        </is>
      </c>
      <c r="S174" s="30" t="inlineStr">
        <is>
          <t>Nifty Pharma</t>
        </is>
      </c>
      <c r="T174" s="31" t="n">
        <v>20.81</v>
      </c>
      <c r="U174" s="31" t="n">
        <v>10.63</v>
      </c>
      <c r="V174" s="31" t="n">
        <v>-8.43</v>
      </c>
      <c r="W174" s="31" t="n">
        <v>6.69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Yes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IF(B175=0,"",RANK(B175,$B$2:$B$375,0))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JBCHEPHARM</t>
        </is>
      </c>
      <c r="D175" s="30" t="inlineStr">
        <is>
          <t>Jb Chemicals &amp; Pharmaceuticals Limited</t>
        </is>
      </c>
      <c r="E175" s="30" t="inlineStr">
        <is>
          <t>healthcare</t>
        </is>
      </c>
      <c r="F175" s="30" t="inlineStr">
        <is>
          <t>pharmaceuticals - indian - bulk drugs &amp; formln</t>
        </is>
      </c>
      <c r="G175" s="30" t="inlineStr">
        <is>
          <t>largecap</t>
        </is>
      </c>
      <c r="H175" s="31" t="n">
        <v>38676.99</v>
      </c>
      <c r="I175" s="31" t="n">
        <v>2408.9</v>
      </c>
      <c r="J175" s="31" t="n">
        <v>-3.87</v>
      </c>
      <c r="K175" s="31" t="n">
        <v>9558448</v>
      </c>
      <c r="L175" s="30" t="n">
        <v>51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73.05</v>
      </c>
      <c r="P175" s="31" t="n">
        <v>47.41</v>
      </c>
      <c r="Q175" s="31" t="n">
        <v>2117.26</v>
      </c>
      <c r="R175" s="30" t="inlineStr">
        <is>
          <t>Near 52W High Breakout</t>
        </is>
      </c>
      <c r="S175" s="30" t="inlineStr">
        <is>
          <t>Nifty Pharma</t>
        </is>
      </c>
      <c r="T175" s="31" t="n">
        <v>12.73</v>
      </c>
      <c r="U175" s="31" t="n">
        <v>43.13</v>
      </c>
      <c r="V175" s="31" t="n">
        <v>26.97</v>
      </c>
      <c r="W175" s="31" t="n">
        <v>11.82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Between 50% to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IF(B176=0,"",RANK(B176,$B$2:$B$375,0))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MOREPENLAB</t>
        </is>
      </c>
      <c r="D176" s="30" t="inlineStr">
        <is>
          <t>Morepen Laboratories Limited</t>
        </is>
      </c>
      <c r="E176" s="30" t="inlineStr">
        <is>
          <t>healthcare</t>
        </is>
      </c>
      <c r="F176" s="30" t="inlineStr">
        <is>
          <t>pharmaceuticals - indian - bulk drugs &amp; formln</t>
        </is>
      </c>
      <c r="G176" s="30" t="inlineStr">
        <is>
          <t>smallcap</t>
        </is>
      </c>
      <c r="H176" s="31" t="n">
        <v>4213.22</v>
      </c>
      <c r="I176" s="31" t="n">
        <v>73.45999999999999</v>
      </c>
      <c r="J176" s="31" t="n">
        <v>-4.46</v>
      </c>
      <c r="K176" s="31" t="n">
        <v>13287951</v>
      </c>
      <c r="L176" s="30" t="n">
        <v>86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69.31</v>
      </c>
      <c r="P176" s="31" t="n">
        <v>34.43</v>
      </c>
      <c r="Q176" s="31" t="n">
        <v>58.74</v>
      </c>
      <c r="R176" s="30" t="inlineStr">
        <is>
          <t>Earnings / Momentum Support</t>
        </is>
      </c>
      <c r="S176" s="30" t="inlineStr">
        <is>
          <t>Nifty Pharma</t>
        </is>
      </c>
      <c r="T176" s="31" t="n">
        <v>20.81</v>
      </c>
      <c r="U176" s="31" t="n">
        <v>59.03</v>
      </c>
      <c r="V176" s="31" t="n">
        <v>31.63</v>
      </c>
      <c r="W176" s="31" t="n">
        <v>28.52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Yes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IF(B177=0,"",RANK(B177,$B$2:$B$375,0))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TDPOWERSYS</t>
        </is>
      </c>
      <c r="D177" s="30" t="inlineStr">
        <is>
          <t>Td Power Systems Limited</t>
        </is>
      </c>
      <c r="E177" s="30" t="inlineStr">
        <is>
          <t>industrials</t>
        </is>
      </c>
      <c r="F177" s="30" t="inlineStr">
        <is>
          <t>electric equipment</t>
        </is>
      </c>
      <c r="G177" s="30" t="inlineStr">
        <is>
          <t>midcap</t>
        </is>
      </c>
      <c r="H177" s="31" t="n">
        <v>19928.5</v>
      </c>
      <c r="I177" s="31" t="n">
        <v>1480.1</v>
      </c>
      <c r="J177" s="31" t="n">
        <v>16.03</v>
      </c>
      <c r="K177" s="31" t="n">
        <v>11127581</v>
      </c>
      <c r="L177" s="30" t="n">
        <v>87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69.91</v>
      </c>
      <c r="P177" s="31" t="n">
        <v>32.5</v>
      </c>
      <c r="Q177" s="31" t="n">
        <v>1054.21</v>
      </c>
      <c r="R177" s="30" t="inlineStr">
        <is>
          <t>Volume Spike &amp; Near 52W High Breakout</t>
        </is>
      </c>
      <c r="S177" s="30" t="inlineStr">
        <is>
          <t>Nifty 50</t>
        </is>
      </c>
      <c r="T177" s="31" t="n">
        <v>-0.79</v>
      </c>
      <c r="U177" s="31" t="n">
        <v>191.68</v>
      </c>
      <c r="V177" s="31" t="n">
        <v>194.01</v>
      </c>
      <c r="W177" s="31" t="n">
        <v>28.8</v>
      </c>
      <c r="X177" s="30" t="inlineStr">
        <is>
          <t>Cyclical in an Upturn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Blue sky scenario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Less than 50%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IF(B178=0,"",RANK(B178,$B$2:$B$375,0))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NATIONALUM</t>
        </is>
      </c>
      <c r="D178" s="30" t="inlineStr">
        <is>
          <t>National Aluminium Company Limited</t>
        </is>
      </c>
      <c r="E178" s="30" t="inlineStr">
        <is>
          <t>metals &amp; mining</t>
        </is>
      </c>
      <c r="F178" s="30" t="inlineStr">
        <is>
          <t>aluminium and aluminium products</t>
        </is>
      </c>
      <c r="G178" s="30" t="inlineStr">
        <is>
          <t>largecap</t>
        </is>
      </c>
      <c r="H178" s="31" t="n">
        <v>71261.31</v>
      </c>
      <c r="I178" s="31" t="n">
        <v>420</v>
      </c>
      <c r="J178" s="31" t="n">
        <v>8.25</v>
      </c>
      <c r="K178" s="31" t="n">
        <v>34388331</v>
      </c>
      <c r="L178" s="30" t="n">
        <v>72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63.07</v>
      </c>
      <c r="P178" s="31" t="n">
        <v>25</v>
      </c>
      <c r="Q178" s="31" t="n">
        <v>332.43</v>
      </c>
      <c r="R178" s="30" t="inlineStr">
        <is>
          <t>Near 52W High Breakout</t>
        </is>
      </c>
      <c r="S178" s="30" t="inlineStr">
        <is>
          <t>Nifty Metal</t>
        </is>
      </c>
      <c r="T178" s="31" t="n">
        <v>39.75</v>
      </c>
      <c r="U178" s="31" t="n">
        <v>126.67</v>
      </c>
      <c r="V178" s="31" t="n">
        <v>62.2</v>
      </c>
      <c r="W178" s="31" t="n">
        <v>19.05</v>
      </c>
      <c r="X178" s="30" t="inlineStr">
        <is>
          <t>Cyclical in an Upturn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Cyclical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Volatile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IF(B179=0,"",RANK(B179,$B$2:$B$375,0))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MANINDS</t>
        </is>
      </c>
      <c r="D179" s="30" t="inlineStr">
        <is>
          <t>Man Industries (india) Limited</t>
        </is>
      </c>
      <c r="E179" s="30" t="inlineStr">
        <is>
          <t>metals &amp; mining</t>
        </is>
      </c>
      <c r="F179" s="30" t="inlineStr">
        <is>
          <t>steel - medium / small</t>
        </is>
      </c>
      <c r="G179" s="30" t="inlineStr">
        <is>
          <t>smallcap</t>
        </is>
      </c>
      <c r="H179" s="31" t="n">
        <v>4193.79</v>
      </c>
      <c r="I179" s="31" t="n">
        <v>598.65</v>
      </c>
      <c r="J179" s="31" t="n">
        <v>7.07</v>
      </c>
      <c r="K179" s="31" t="n">
        <v>10838305</v>
      </c>
      <c r="L179" s="30" t="n">
        <v>55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62.7</v>
      </c>
      <c r="P179" s="31" t="n">
        <v>28.21</v>
      </c>
      <c r="Q179" s="31" t="n">
        <v>435.85</v>
      </c>
      <c r="R179" s="30" t="inlineStr">
        <is>
          <t>Volume Spike &amp; Near 52W High Breakout</t>
        </is>
      </c>
      <c r="S179" s="30" t="inlineStr">
        <is>
          <t>Nifty Metal</t>
        </is>
      </c>
      <c r="T179" s="31" t="n">
        <v>39.75</v>
      </c>
      <c r="U179" s="31" t="n">
        <v>40.51</v>
      </c>
      <c r="V179" s="31" t="n">
        <v>0.55</v>
      </c>
      <c r="W179" s="31" t="n">
        <v>13.09</v>
      </c>
      <c r="X179" s="30" t="inlineStr">
        <is>
          <t>Cyclical in an Upturn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Cyclical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Volatile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IF(B180=0,"",RANK(B180,$B$2:$B$375,0))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SKYGOLD</t>
        </is>
      </c>
      <c r="D180" s="30" t="inlineStr">
        <is>
          <t>Sky Gold Ltd</t>
        </is>
      </c>
      <c r="E180" s="30" t="inlineStr">
        <is>
          <t>consumer discretionary</t>
        </is>
      </c>
      <c r="F180" s="30" t="inlineStr">
        <is>
          <t>diamond cutting / jewellery</t>
        </is>
      </c>
      <c r="G180" s="30" t="inlineStr">
        <is>
          <t>midcap</t>
        </is>
      </c>
      <c r="H180" s="31" t="n">
        <v>12235.81</v>
      </c>
      <c r="I180" s="31" t="n">
        <v>833.1</v>
      </c>
      <c r="J180" s="31" t="n">
        <v>5.45</v>
      </c>
      <c r="K180" s="31" t="n">
        <v>1979236</v>
      </c>
      <c r="L180" s="30" t="n">
        <v>96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82.45999999999999</v>
      </c>
      <c r="P180" s="31" t="n">
        <v>61.11</v>
      </c>
      <c r="Q180" s="31" t="n">
        <v>645.14</v>
      </c>
      <c r="R180" s="30" t="inlineStr">
        <is>
          <t>Volume Spike &amp; Near 52W High Breakout</t>
        </is>
      </c>
      <c r="S180" s="30" t="inlineStr">
        <is>
          <t>Nifty 50</t>
        </is>
      </c>
      <c r="T180" s="31" t="n">
        <v>-0.79</v>
      </c>
      <c r="U180" s="31" t="n">
        <v>205</v>
      </c>
      <c r="V180" s="31" t="n">
        <v>207.44</v>
      </c>
      <c r="W180" s="31" t="n">
        <v>45.51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Above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Negative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IF(B181=0,"",RANK(B181,$B$2:$B$375,0))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AARTIIND</t>
        </is>
      </c>
      <c r="D181" s="30" t="inlineStr">
        <is>
          <t>Aarti Industries Limited</t>
        </is>
      </c>
      <c r="E181" s="30" t="inlineStr">
        <is>
          <t>chemicals</t>
        </is>
      </c>
      <c r="F181" s="30" t="inlineStr">
        <is>
          <t>chemicals</t>
        </is>
      </c>
      <c r="G181" s="30" t="inlineStr">
        <is>
          <t>midcap</t>
        </is>
      </c>
      <c r="H181" s="31" t="n">
        <v>18328.58</v>
      </c>
      <c r="I181" s="31" t="n">
        <v>530.9</v>
      </c>
      <c r="J181" s="31" t="n">
        <v>5.07</v>
      </c>
      <c r="K181" s="31" t="n">
        <v>5378998</v>
      </c>
      <c r="L181" s="30" t="n">
        <v>44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65.75</v>
      </c>
      <c r="P181" s="31" t="n">
        <v>22.79</v>
      </c>
      <c r="Q181" s="31" t="n">
        <v>423.19</v>
      </c>
      <c r="R181" s="30" t="inlineStr">
        <is>
          <t>Near 52W High Breakout</t>
        </is>
      </c>
      <c r="S181" s="30" t="inlineStr">
        <is>
          <t>Nifty 50</t>
        </is>
      </c>
      <c r="T181" s="31" t="n">
        <v>-0.79</v>
      </c>
      <c r="U181" s="31" t="n">
        <v>41.54</v>
      </c>
      <c r="V181" s="31" t="n">
        <v>42.67</v>
      </c>
      <c r="W181" s="31" t="n">
        <v>10.11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Between 0.7 to 1.2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IF(B182=0,"",RANK(B182,$B$2:$B$375,0))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BOSCHLTD</t>
        </is>
      </c>
      <c r="D182" s="30" t="inlineStr">
        <is>
          <t>Bosch Limited</t>
        </is>
      </c>
      <c r="E182" s="30" t="inlineStr">
        <is>
          <t>auto</t>
        </is>
      </c>
      <c r="F182" s="30" t="inlineStr">
        <is>
          <t>auto ancillaries</t>
        </is>
      </c>
      <c r="G182" s="30" t="inlineStr">
        <is>
          <t>largecap</t>
        </is>
      </c>
      <c r="H182" s="31" t="n">
        <v>133278.13</v>
      </c>
      <c r="I182" s="31" t="n">
        <v>46480</v>
      </c>
      <c r="J182" s="31" t="n">
        <v>2.87</v>
      </c>
      <c r="K182" s="31" t="n">
        <v>96508</v>
      </c>
      <c r="L182" s="30" t="n">
        <v>46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73.45999999999999</v>
      </c>
      <c r="P182" s="31" t="n">
        <v>31.08</v>
      </c>
      <c r="Q182" s="31" t="n">
        <v>39333.43</v>
      </c>
      <c r="R182" s="30" t="inlineStr">
        <is>
          <t>Volume Spike &amp; Near 52W High Breakout</t>
        </is>
      </c>
      <c r="S182" s="30" t="inlineStr">
        <is>
          <t>Nifty Auto</t>
        </is>
      </c>
      <c r="T182" s="31" t="n">
        <v>23.47</v>
      </c>
      <c r="U182" s="31" t="n">
        <v>25.35</v>
      </c>
      <c r="V182" s="31" t="n">
        <v>1.52</v>
      </c>
      <c r="W182" s="31" t="n">
        <v>10.77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IF(B183=0,"",RANK(B183,$B$2:$B$375,0))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POWERINDIA</t>
        </is>
      </c>
      <c r="D183" s="30" t="inlineStr">
        <is>
          <t>Hitachi Energy India Ltd</t>
        </is>
      </c>
      <c r="E183" s="30" t="inlineStr">
        <is>
          <t>industrials</t>
        </is>
      </c>
      <c r="F183" s="30" t="inlineStr">
        <is>
          <t>electric equipment</t>
        </is>
      </c>
      <c r="G183" s="30" t="inlineStr">
        <is>
          <t>largecap</t>
        </is>
      </c>
      <c r="H183" s="31" t="n">
        <v>156003.27</v>
      </c>
      <c r="I183" s="31" t="n">
        <v>35800</v>
      </c>
      <c r="J183" s="31" t="n">
        <v>2.29</v>
      </c>
      <c r="K183" s="31" t="n">
        <v>180600</v>
      </c>
      <c r="L183" s="30" t="n">
        <v>61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62.61</v>
      </c>
      <c r="P183" s="31" t="n">
        <v>41.57</v>
      </c>
      <c r="Q183" s="31" t="n">
        <v>30282.66</v>
      </c>
      <c r="R183" s="30" t="inlineStr">
        <is>
          <t>Earnings / Momentum Support</t>
        </is>
      </c>
      <c r="S183" s="30" t="inlineStr">
        <is>
          <t>Nifty 500</t>
        </is>
      </c>
      <c r="T183" s="31" t="n">
        <v>4.37</v>
      </c>
      <c r="U183" s="31" t="n">
        <v>75.53</v>
      </c>
      <c r="V183" s="31" t="n">
        <v>68.18000000000001</v>
      </c>
      <c r="W183" s="31" t="n">
        <v>14.98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Above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IF(B184=0,"",RANK(B184,$B$2:$B$375,0))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DIACABS</t>
        </is>
      </c>
      <c r="D184" s="30" t="inlineStr">
        <is>
          <t>Diamond Power Infrastructure Ltd</t>
        </is>
      </c>
      <c r="E184" s="30" t="inlineStr">
        <is>
          <t>industrials</t>
        </is>
      </c>
      <c r="F184" s="30" t="inlineStr">
        <is>
          <t>cables - power</t>
        </is>
      </c>
      <c r="G184" s="30" t="inlineStr">
        <is>
          <t>midcap</t>
        </is>
      </c>
      <c r="H184" s="31" t="n">
        <v>19076.35</v>
      </c>
      <c r="I184" s="31" t="n">
        <v>367.95</v>
      </c>
      <c r="J184" s="31" t="n">
        <v>1.64</v>
      </c>
      <c r="K184" s="31" t="n">
        <v>1355550</v>
      </c>
      <c r="L184" s="30" t="n">
        <v>97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88.81999999999999</v>
      </c>
      <c r="P184" s="31" t="n">
        <v>62.77</v>
      </c>
      <c r="Q184" s="31" t="n">
        <v>283.48</v>
      </c>
      <c r="R184" s="30" t="inlineStr">
        <is>
          <t>Near 52W High Breakout</t>
        </is>
      </c>
      <c r="S184" s="30" t="inlineStr">
        <is>
          <t>Nifty Energy</t>
        </is>
      </c>
      <c r="T184" s="31" t="n">
        <v>10</v>
      </c>
      <c r="U184" s="31" t="n">
        <v>125.92</v>
      </c>
      <c r="V184" s="31" t="n">
        <v>105.37</v>
      </c>
      <c r="W184" s="31" t="n">
        <v>52.04</v>
      </c>
      <c r="X184" s="30" t="inlineStr">
        <is>
          <t>Cyclical in an Upturn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Negative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IF(B185=0,"",RANK(B185,$B$2:$B$375,0))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JSWINFRA</t>
        </is>
      </c>
      <c r="D185" s="30" t="inlineStr">
        <is>
          <t>JSW Infrastructure Ltd</t>
        </is>
      </c>
      <c r="E185" s="30" t="inlineStr">
        <is>
          <t>transportation</t>
        </is>
      </c>
      <c r="F185" s="30" t="inlineStr">
        <is>
          <t>miscellaneous</t>
        </is>
      </c>
      <c r="G185" s="30" t="inlineStr">
        <is>
          <t>largecap</t>
        </is>
      </c>
      <c r="H185" s="31" t="n">
        <v>79651.10000000001</v>
      </c>
      <c r="I185" s="31" t="n">
        <v>346.6</v>
      </c>
      <c r="J185" s="31" t="n">
        <v>1.39</v>
      </c>
      <c r="K185" s="31" t="n">
        <v>8419123</v>
      </c>
      <c r="L185" s="30" t="n">
        <v>43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67.98999999999999</v>
      </c>
      <c r="P185" s="31" t="n">
        <v>38.41</v>
      </c>
      <c r="Q185" s="31" t="n">
        <v>280.93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-0.79</v>
      </c>
      <c r="U185" s="31" t="n">
        <v>14.79</v>
      </c>
      <c r="V185" s="31" t="n">
        <v>15.71</v>
      </c>
      <c r="W185" s="31" t="n">
        <v>9.69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IF(B186=0,"",RANK(B186,$B$2:$B$375,0))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PARACABLES</t>
        </is>
      </c>
      <c r="D186" s="30" t="inlineStr">
        <is>
          <t>Paramount Communications Limited</t>
        </is>
      </c>
      <c r="E186" s="30" t="inlineStr">
        <is>
          <t>industrials</t>
        </is>
      </c>
      <c r="F186" s="30" t="inlineStr">
        <is>
          <t>cables - power</t>
        </is>
      </c>
      <c r="G186" s="30" t="inlineStr">
        <is>
          <t>smallcap</t>
        </is>
      </c>
      <c r="H186" s="31" t="n">
        <v>2221.41</v>
      </c>
      <c r="I186" s="31" t="n">
        <v>68.22</v>
      </c>
      <c r="J186" s="31" t="n">
        <v>0.49</v>
      </c>
      <c r="K186" s="31" t="n">
        <v>1708709</v>
      </c>
      <c r="L186" s="30" t="n">
        <v>84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63.63</v>
      </c>
      <c r="P186" s="31" t="n">
        <v>54.09</v>
      </c>
      <c r="Q186" s="31" t="n">
        <v>52.31</v>
      </c>
      <c r="R186" s="30" t="inlineStr">
        <is>
          <t>Earnings / Momentum Support</t>
        </is>
      </c>
      <c r="S186" s="30" t="inlineStr">
        <is>
          <t>Nifty Energy</t>
        </is>
      </c>
      <c r="T186" s="31" t="n">
        <v>10</v>
      </c>
      <c r="U186" s="31" t="n">
        <v>17.42</v>
      </c>
      <c r="V186" s="31" t="n">
        <v>6.74</v>
      </c>
      <c r="W186" s="31" t="n">
        <v>27.08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Above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IF(B187=0,"",RANK(B187,$B$2:$B$375,0))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2" t="inlineStr">
        <is>
          <t>TNPL</t>
        </is>
      </c>
      <c r="D187" s="32" t="inlineStr">
        <is>
          <t>Tamil Nadu Newsprint &amp; Papers Limited</t>
        </is>
      </c>
      <c r="E187" s="30" t="inlineStr">
        <is>
          <t>building materials</t>
        </is>
      </c>
      <c r="F187" s="30" t="inlineStr">
        <is>
          <t>paper</t>
        </is>
      </c>
      <c r="G187" s="30" t="inlineStr">
        <is>
          <t>smallcap</t>
        </is>
      </c>
      <c r="H187" s="31" t="n">
        <v>1065.98</v>
      </c>
      <c r="I187" s="31" t="n">
        <v>154.5</v>
      </c>
      <c r="J187" s="31" t="n">
        <v>0.31</v>
      </c>
      <c r="K187" s="31" t="n">
        <v>636200</v>
      </c>
      <c r="L187" s="30" t="n">
        <v>10</v>
      </c>
      <c r="M187" s="30" t="inlineStr">
        <is>
          <t>Underperforming</t>
        </is>
      </c>
      <c r="N187" s="31">
        <f>IF(M187="Underperforming",-5,IF(L187&gt;=95,15,IF(L187&gt;=90,10,IF(L187&gt;=80,5,0))))</f>
        <v/>
      </c>
      <c r="O187" s="31" t="n">
        <v>59.44</v>
      </c>
      <c r="P187" s="31" t="n">
        <v>13.6</v>
      </c>
      <c r="Q187" s="31" t="n">
        <v>128.81</v>
      </c>
      <c r="R187" s="30" t="inlineStr">
        <is>
          <t>Near 52W High Breakout</t>
        </is>
      </c>
      <c r="S187" s="30" t="inlineStr">
        <is>
          <t>Nifty Infra</t>
        </is>
      </c>
      <c r="T187" s="31" t="n">
        <v>3.79</v>
      </c>
      <c r="U187" s="31" t="n">
        <v>-4.59</v>
      </c>
      <c r="V187" s="31" t="n">
        <v>-8.07</v>
      </c>
      <c r="W187" s="31" t="n">
        <v>1.42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IF(B188=0,"",RANK(B188,$B$2:$B$375,0))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EBGNG</t>
        </is>
      </c>
      <c r="D188" s="30" t="inlineStr">
        <is>
          <t>GNG Electronics Ltd</t>
        </is>
      </c>
      <c r="E188" s="30" t="inlineStr">
        <is>
          <t>services</t>
        </is>
      </c>
      <c r="F188" s="30" t="inlineStr">
        <is>
          <t>trading</t>
        </is>
      </c>
      <c r="G188" s="30" t="inlineStr">
        <is>
          <t>midcap</t>
        </is>
      </c>
      <c r="H188" s="31" t="n">
        <v>6527.73</v>
      </c>
      <c r="I188" s="31" t="n">
        <v>574.35</v>
      </c>
      <c r="J188" s="31" t="n">
        <v>0.31</v>
      </c>
      <c r="K188" s="31" t="n">
        <v>395288</v>
      </c>
      <c r="L188" s="30" t="n">
        <v>75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62.74</v>
      </c>
      <c r="P188" s="31" t="n">
        <v>32.73</v>
      </c>
      <c r="Q188" s="31" t="n">
        <v>462.54</v>
      </c>
      <c r="R188" s="30" t="inlineStr">
        <is>
          <t>Earnings / Momentum Support</t>
        </is>
      </c>
      <c r="S188" s="30" t="inlineStr">
        <is>
          <t>Nifty 50</t>
        </is>
      </c>
      <c r="T188" s="31" t="n">
        <v>-0.79</v>
      </c>
      <c r="U188" s="31" t="n">
        <v>78.34</v>
      </c>
      <c r="V188" s="31" t="n">
        <v>79.77</v>
      </c>
      <c r="W188" s="31" t="n">
        <v>20.62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Between 1.5 to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IF(B189=0,"",RANK(B189,$B$2:$B$375,0))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SIS</t>
        </is>
      </c>
      <c r="D189" s="30" t="inlineStr">
        <is>
          <t>Security &amp; Intelligence Services India</t>
        </is>
      </c>
      <c r="E189" s="30" t="inlineStr">
        <is>
          <t>miscellaneous</t>
        </is>
      </c>
      <c r="F189" s="30" t="inlineStr">
        <is>
          <t>miscellaneous</t>
        </is>
      </c>
      <c r="G189" s="30" t="inlineStr">
        <is>
          <t>midcap</t>
        </is>
      </c>
      <c r="H189" s="31" t="n">
        <v>6182.61</v>
      </c>
      <c r="I189" s="31" t="n">
        <v>438.8</v>
      </c>
      <c r="J189" s="31" t="n">
        <v>0.29</v>
      </c>
      <c r="K189" s="31" t="n">
        <v>120755</v>
      </c>
      <c r="L189" s="30" t="n">
        <v>35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70.31</v>
      </c>
      <c r="P189" s="31" t="n">
        <v>56.3</v>
      </c>
      <c r="Q189" s="31" t="n">
        <v>358.25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-0.79</v>
      </c>
      <c r="U189" s="31" t="n">
        <v>27.05</v>
      </c>
      <c r="V189" s="31" t="n">
        <v>28.07</v>
      </c>
      <c r="W189" s="31" t="n">
        <v>7.77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Between 0.7 to 1.2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IF(B190=0,"",RANK(B190,$B$2:$B$375,0))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SIEMENS</t>
        </is>
      </c>
      <c r="D190" s="30" t="inlineStr">
        <is>
          <t>Siemens Limited</t>
        </is>
      </c>
      <c r="E190" s="30" t="inlineStr">
        <is>
          <t>industrials</t>
        </is>
      </c>
      <c r="F190" s="30" t="inlineStr">
        <is>
          <t>electric equipment</t>
        </is>
      </c>
      <c r="G190" s="30" t="inlineStr">
        <is>
          <t>largecap</t>
        </is>
      </c>
      <c r="H190" s="31" t="n">
        <v>142839.93</v>
      </c>
      <c r="I190" s="31" t="n">
        <v>4019</v>
      </c>
      <c r="J190" s="31" t="n">
        <v>0.2</v>
      </c>
      <c r="K190" s="31" t="n">
        <v>716413</v>
      </c>
      <c r="L190" s="30" t="n">
        <v>35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65.19</v>
      </c>
      <c r="P190" s="31" t="n">
        <v>23.43</v>
      </c>
      <c r="Q190" s="31" t="n">
        <v>3289.5</v>
      </c>
      <c r="R190" s="30" t="inlineStr">
        <is>
          <t>Near 52W High Breakout</t>
        </is>
      </c>
      <c r="S190" s="30" t="inlineStr">
        <is>
          <t>Nifty 50</t>
        </is>
      </c>
      <c r="T190" s="31" t="n">
        <v>-0.79</v>
      </c>
      <c r="U190" s="31" t="n">
        <v>27.45</v>
      </c>
      <c r="V190" s="31" t="n">
        <v>28.46</v>
      </c>
      <c r="W190" s="31" t="n">
        <v>7.73</v>
      </c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IF(B191=0,"",RANK(B191,$B$2:$B$375,0))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SPECIALITY</t>
        </is>
      </c>
      <c r="D191" s="30" t="inlineStr">
        <is>
          <t>Speciality Restaurants Limited</t>
        </is>
      </c>
      <c r="E191" s="30" t="inlineStr">
        <is>
          <t>services</t>
        </is>
      </c>
      <c r="F191" s="30" t="inlineStr">
        <is>
          <t>hotels</t>
        </is>
      </c>
      <c r="G191" s="30" t="inlineStr">
        <is>
          <t>smallcap</t>
        </is>
      </c>
      <c r="H191" s="31" t="n">
        <v>765.02</v>
      </c>
      <c r="I191" s="31" t="n">
        <v>158.38</v>
      </c>
      <c r="J191" s="31" t="n">
        <v>-0.14</v>
      </c>
      <c r="K191" s="31" t="n">
        <v>114955</v>
      </c>
      <c r="L191" s="30" t="n">
        <v>73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73.05</v>
      </c>
      <c r="P191" s="31" t="n">
        <v>26.46</v>
      </c>
      <c r="Q191" s="31" t="n">
        <v>118.32</v>
      </c>
      <c r="R191" s="30" t="inlineStr">
        <is>
          <t>Volume Spike &amp; Near 52W High Breakout</t>
        </is>
      </c>
      <c r="S191" s="30" t="inlineStr">
        <is>
          <t>Nifty 50</t>
        </is>
      </c>
      <c r="T191" s="31" t="n">
        <v>-0.79</v>
      </c>
      <c r="U191" s="31" t="n">
        <v>29.17</v>
      </c>
      <c r="V191" s="31" t="n">
        <v>30.2</v>
      </c>
      <c r="W191" s="31" t="n">
        <v>19.55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Less than 12%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IF(B192=0,"",RANK(B192,$B$2:$B$375,0))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TITAN</t>
        </is>
      </c>
      <c r="D192" s="30" t="inlineStr">
        <is>
          <t>Titan Company Limited</t>
        </is>
      </c>
      <c r="E192" s="30" t="inlineStr">
        <is>
          <t>consumer discretionary</t>
        </is>
      </c>
      <c r="F192" s="30" t="inlineStr">
        <is>
          <t>diamond cutting / jewellery</t>
        </is>
      </c>
      <c r="G192" s="30" t="inlineStr">
        <is>
          <t>largecap</t>
        </is>
      </c>
      <c r="H192" s="31" t="n">
        <v>455256.74</v>
      </c>
      <c r="I192" s="31" t="n">
        <v>5099</v>
      </c>
      <c r="J192" s="31" t="n">
        <v>-0.57</v>
      </c>
      <c r="K192" s="31" t="n">
        <v>1105157</v>
      </c>
      <c r="L192" s="30" t="n">
        <v>54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72.43000000000001</v>
      </c>
      <c r="P192" s="31" t="n">
        <v>23.92</v>
      </c>
      <c r="Q192" s="31" t="n">
        <v>4450.37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-0.79</v>
      </c>
      <c r="U192" s="31" t="n">
        <v>46.61</v>
      </c>
      <c r="V192" s="31" t="n">
        <v>47.78</v>
      </c>
      <c r="W192" s="31" t="n">
        <v>12.81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More than 1.2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IF(B193=0,"",RANK(B193,$B$2:$B$375,0))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CENTUM</t>
        </is>
      </c>
      <c r="D193" s="30" t="inlineStr">
        <is>
          <t>Centum Electronics Limited</t>
        </is>
      </c>
      <c r="E193" s="30" t="inlineStr">
        <is>
          <t>aerospace &amp; defence</t>
        </is>
      </c>
      <c r="F193" s="30" t="inlineStr">
        <is>
          <t>electronics - components</t>
        </is>
      </c>
      <c r="G193" s="30" t="inlineStr">
        <is>
          <t>midcap</t>
        </is>
      </c>
      <c r="H193" s="31" t="n">
        <v>5639.72</v>
      </c>
      <c r="I193" s="31" t="n">
        <v>3794.7</v>
      </c>
      <c r="J193" s="31" t="n">
        <v>-0.6899999999999999</v>
      </c>
      <c r="K193" s="31" t="n">
        <v>41184</v>
      </c>
      <c r="L193" s="30" t="n">
        <v>62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65.84999999999999</v>
      </c>
      <c r="P193" s="31" t="n">
        <v>59.64</v>
      </c>
      <c r="Q193" s="31" t="n">
        <v>2932.14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-0.79</v>
      </c>
      <c r="U193" s="31" t="n">
        <v>52.98</v>
      </c>
      <c r="V193" s="31" t="n">
        <v>54.2</v>
      </c>
      <c r="W193" s="31" t="n">
        <v>15.14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Less than 50%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IF(B194=0,"",RANK(B194,$B$2:$B$375,0))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VRLLOG</t>
        </is>
      </c>
      <c r="D194" s="30" t="inlineStr">
        <is>
          <t>Vrl Logistics Limited</t>
        </is>
      </c>
      <c r="E194" s="30" t="inlineStr">
        <is>
          <t>transportation</t>
        </is>
      </c>
      <c r="F194" s="30" t="inlineStr">
        <is>
          <t>miscellaneous</t>
        </is>
      </c>
      <c r="G194" s="30" t="inlineStr">
        <is>
          <t>midcap</t>
        </is>
      </c>
      <c r="H194" s="31" t="n">
        <v>5339.95</v>
      </c>
      <c r="I194" s="31" t="n">
        <v>300.9</v>
      </c>
      <c r="J194" s="31" t="n">
        <v>-1.43</v>
      </c>
      <c r="K194" s="31" t="n">
        <v>581608</v>
      </c>
      <c r="L194" s="30" t="n">
        <v>30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67.91</v>
      </c>
      <c r="P194" s="31" t="n">
        <v>13.17</v>
      </c>
      <c r="Q194" s="31" t="n">
        <v>245.13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-0.79</v>
      </c>
      <c r="U194" s="31" t="n">
        <v>9.18</v>
      </c>
      <c r="V194" s="31" t="n">
        <v>10.05</v>
      </c>
      <c r="W194" s="31" t="n">
        <v>6.69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Less than 1.5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Between 0.7 to 1.2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IF(B195=0,"",RANK(B195,$B$2:$B$375,0))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VISAKAIND</t>
        </is>
      </c>
      <c r="D195" s="30" t="inlineStr">
        <is>
          <t>Visaka Industries Limited</t>
        </is>
      </c>
      <c r="E195" s="30" t="inlineStr">
        <is>
          <t>building materials</t>
        </is>
      </c>
      <c r="F195" s="30" t="inlineStr">
        <is>
          <t>cement products</t>
        </is>
      </c>
      <c r="G195" s="30" t="inlineStr">
        <is>
          <t>smallcap</t>
        </is>
      </c>
      <c r="H195" s="31" t="n">
        <v>865.86</v>
      </c>
      <c r="I195" s="31" t="n">
        <v>98.76000000000001</v>
      </c>
      <c r="J195" s="31" t="n">
        <v>-1.45</v>
      </c>
      <c r="K195" s="31" t="n">
        <v>498772</v>
      </c>
      <c r="L195" s="30" t="n">
        <v>68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79.48999999999999</v>
      </c>
      <c r="P195" s="31" t="n">
        <v>41.36</v>
      </c>
      <c r="Q195" s="31" t="n">
        <v>77.79000000000001</v>
      </c>
      <c r="R195" s="30" t="inlineStr">
        <is>
          <t>Volume Spike &amp; Near 52W High Breakout</t>
        </is>
      </c>
      <c r="S195" s="30" t="inlineStr">
        <is>
          <t>Nifty Infra</t>
        </is>
      </c>
      <c r="T195" s="31" t="n">
        <v>3.79</v>
      </c>
      <c r="U195" s="31" t="n">
        <v>20.73</v>
      </c>
      <c r="V195" s="31" t="n">
        <v>16.32</v>
      </c>
      <c r="W195" s="31" t="n">
        <v>17.75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Above 40</t>
        </is>
      </c>
      <c r="AY195" s="30">
        <f>IF(AX195="Above 40",20,IF(AX195="20 to 40",10,IF(AX195="0 to 20",-5,0)))</f>
        <v/>
      </c>
      <c r="AZ195" s="30" t="inlineStr">
        <is>
          <t>Above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IF(B196=0,"",RANK(B196,$B$2:$B$375,0))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JINDALSAW</t>
        </is>
      </c>
      <c r="D196" s="32" t="inlineStr">
        <is>
          <t>Jindal Saw Limited</t>
        </is>
      </c>
      <c r="E196" s="30" t="inlineStr">
        <is>
          <t>industrials</t>
        </is>
      </c>
      <c r="F196" s="30" t="inlineStr">
        <is>
          <t>steel - large</t>
        </is>
      </c>
      <c r="G196" s="30" t="inlineStr">
        <is>
          <t>midcap</t>
        </is>
      </c>
      <c r="H196" s="31" t="n">
        <v>17493.75</v>
      </c>
      <c r="I196" s="31" t="n">
        <v>269.55</v>
      </c>
      <c r="J196" s="31" t="n">
        <v>-1.46</v>
      </c>
      <c r="K196" s="31" t="n">
        <v>898986</v>
      </c>
      <c r="L196" s="30" t="n">
        <v>38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62.69</v>
      </c>
      <c r="P196" s="31" t="n">
        <v>40.34</v>
      </c>
      <c r="Q196" s="31" t="n">
        <v>214.29</v>
      </c>
      <c r="R196" s="30" t="inlineStr">
        <is>
          <t>Near 52W High Breakout</t>
        </is>
      </c>
      <c r="S196" s="30" t="inlineStr">
        <is>
          <t>Nifty Metal</t>
        </is>
      </c>
      <c r="T196" s="31" t="n">
        <v>39.75</v>
      </c>
      <c r="U196" s="31" t="n">
        <v>22.08</v>
      </c>
      <c r="V196" s="31" t="n">
        <v>-12.65</v>
      </c>
      <c r="W196" s="31" t="n">
        <v>8.27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Above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IF(B197=0,"",RANK(B197,$B$2:$B$375,0))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BEPL</t>
        </is>
      </c>
      <c r="D197" s="30" t="inlineStr">
        <is>
          <t>Bhansali Engineering Polymers Limited</t>
        </is>
      </c>
      <c r="E197" s="30" t="inlineStr">
        <is>
          <t>energy</t>
        </is>
      </c>
      <c r="F197" s="30" t="inlineStr">
        <is>
          <t>petrochemicals</t>
        </is>
      </c>
      <c r="G197" s="30" t="inlineStr">
        <is>
          <t>smallcap</t>
        </is>
      </c>
      <c r="H197" s="31" t="n">
        <v>3049.26</v>
      </c>
      <c r="I197" s="31" t="n">
        <v>120.54</v>
      </c>
      <c r="J197" s="31" t="n">
        <v>-1.62</v>
      </c>
      <c r="K197" s="31" t="n">
        <v>779985</v>
      </c>
      <c r="L197" s="30" t="n">
        <v>41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65.88</v>
      </c>
      <c r="P197" s="31" t="n">
        <v>47.25</v>
      </c>
      <c r="Q197" s="31" t="n">
        <v>95.8</v>
      </c>
      <c r="R197" s="30" t="inlineStr">
        <is>
          <t>Near 52W High Breakout</t>
        </is>
      </c>
      <c r="S197" s="30" t="inlineStr">
        <is>
          <t>Nifty Energy</t>
        </is>
      </c>
      <c r="T197" s="31" t="n">
        <v>10</v>
      </c>
      <c r="U197" s="31" t="n">
        <v>16.81</v>
      </c>
      <c r="V197" s="31" t="n">
        <v>6.19</v>
      </c>
      <c r="W197" s="31" t="n">
        <v>9.050000000000001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Oligopoly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Yes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Cyclical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Volatile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IF(B198=0,"",RANK(B198,$B$2:$B$375,0))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CARBORUNIV</t>
        </is>
      </c>
      <c r="D198" s="30" t="inlineStr">
        <is>
          <t>Carborundum Universal Limited</t>
        </is>
      </c>
      <c r="E198" s="30" t="inlineStr">
        <is>
          <t>industrials</t>
        </is>
      </c>
      <c r="F198" s="30" t="inlineStr">
        <is>
          <t>abrasives and grinding wheels</t>
        </is>
      </c>
      <c r="G198" s="30" t="inlineStr">
        <is>
          <t>largecap</t>
        </is>
      </c>
      <c r="H198" s="31" t="n">
        <v>22360.13</v>
      </c>
      <c r="I198" s="31" t="n">
        <v>1154.2</v>
      </c>
      <c r="J198" s="31" t="n">
        <v>-1.67</v>
      </c>
      <c r="K198" s="31" t="n">
        <v>282309</v>
      </c>
      <c r="L198" s="30" t="n">
        <v>38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63.47</v>
      </c>
      <c r="P198" s="31" t="n">
        <v>47.41</v>
      </c>
      <c r="Q198" s="31" t="n">
        <v>985.49</v>
      </c>
      <c r="R198" s="30" t="inlineStr">
        <is>
          <t>Earnings / Momentum Support</t>
        </is>
      </c>
      <c r="S198" s="30" t="inlineStr">
        <is>
          <t>Nifty 50</t>
        </is>
      </c>
      <c r="T198" s="31" t="n">
        <v>-0.79</v>
      </c>
      <c r="U198" s="31" t="n">
        <v>36.18</v>
      </c>
      <c r="V198" s="31" t="n">
        <v>37.27</v>
      </c>
      <c r="W198" s="31" t="n">
        <v>8.17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Above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IF(B199=0,"",RANK(B199,$B$2:$B$375,0))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NELCO</t>
        </is>
      </c>
      <c r="D199" s="30" t="inlineStr">
        <is>
          <t>Nelco Limited</t>
        </is>
      </c>
      <c r="E199" s="30" t="inlineStr">
        <is>
          <t>telecom</t>
        </is>
      </c>
      <c r="F199" s="30" t="inlineStr">
        <is>
          <t>telecommunications - service provider</t>
        </is>
      </c>
      <c r="G199" s="30" t="inlineStr">
        <is>
          <t>smallcap</t>
        </is>
      </c>
      <c r="H199" s="31" t="n">
        <v>2270.66</v>
      </c>
      <c r="I199" s="31" t="n">
        <v>974.1</v>
      </c>
      <c r="J199" s="31" t="n">
        <v>-2.11</v>
      </c>
      <c r="K199" s="31" t="n">
        <v>161030</v>
      </c>
      <c r="L199" s="30" t="n">
        <v>59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63.81</v>
      </c>
      <c r="P199" s="31" t="n">
        <v>32.13</v>
      </c>
      <c r="Q199" s="31" t="n">
        <v>768.86</v>
      </c>
      <c r="R199" s="30" t="inlineStr">
        <is>
          <t>Near 52W High Breakout</t>
        </is>
      </c>
      <c r="S199" s="30" t="inlineStr">
        <is>
          <t>Nifty 50</t>
        </is>
      </c>
      <c r="T199" s="31" t="n">
        <v>-0.79</v>
      </c>
      <c r="U199" s="31" t="n">
        <v>14.99</v>
      </c>
      <c r="V199" s="31" t="n">
        <v>15.91</v>
      </c>
      <c r="W199" s="31" t="n">
        <v>14.22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Oligopoly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IF(B200=0,"",RANK(B200,$B$2:$B$375,0))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KABRAEXTRU</t>
        </is>
      </c>
      <c r="D200" s="30" t="inlineStr">
        <is>
          <t>Kabra Extrusion Technik Limited</t>
        </is>
      </c>
      <c r="E200" s="30" t="inlineStr">
        <is>
          <t>industrials</t>
        </is>
      </c>
      <c r="F200" s="30" t="inlineStr">
        <is>
          <t>engineering</t>
        </is>
      </c>
      <c r="G200" s="30" t="inlineStr">
        <is>
          <t>smallcap</t>
        </is>
      </c>
      <c r="H200" s="31" t="n">
        <v>1779.07</v>
      </c>
      <c r="I200" s="31" t="n">
        <v>494.9</v>
      </c>
      <c r="J200" s="31" t="n">
        <v>-2.71</v>
      </c>
      <c r="K200" s="31" t="n">
        <v>170668</v>
      </c>
      <c r="L200" s="30" t="n">
        <v>94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83.68000000000001</v>
      </c>
      <c r="P200" s="31" t="n">
        <v>33.69</v>
      </c>
      <c r="Q200" s="31" t="n">
        <v>367.67</v>
      </c>
      <c r="R200" s="30" t="inlineStr">
        <is>
          <t>Volume Spike &amp; Near 52W High Breakout</t>
        </is>
      </c>
      <c r="S200" s="30" t="inlineStr">
        <is>
          <t>Nifty Infra</t>
        </is>
      </c>
      <c r="T200" s="31" t="n">
        <v>3.79</v>
      </c>
      <c r="U200" s="31" t="n">
        <v>70.19</v>
      </c>
      <c r="V200" s="31" t="n">
        <v>63.98</v>
      </c>
      <c r="W200" s="31" t="n">
        <v>39.16</v>
      </c>
      <c r="X200" s="30" t="inlineStr">
        <is>
          <t>Cyclical in an Upturn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IF(B201=0,"",RANK(B201,$B$2:$B$375,0))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2" t="inlineStr">
        <is>
          <t>LTFOODS</t>
        </is>
      </c>
      <c r="D201" s="32" t="inlineStr">
        <is>
          <t>L T Foods Ltd</t>
        </is>
      </c>
      <c r="E201" s="30" t="inlineStr">
        <is>
          <t>fmcg</t>
        </is>
      </c>
      <c r="F201" s="30" t="inlineStr">
        <is>
          <t>food - processing - indian</t>
        </is>
      </c>
      <c r="G201" s="30" t="inlineStr">
        <is>
          <t>midcap</t>
        </is>
      </c>
      <c r="H201" s="31" t="n">
        <v>14560.32</v>
      </c>
      <c r="I201" s="31" t="n">
        <v>426.7</v>
      </c>
      <c r="J201" s="31" t="n">
        <v>1.76</v>
      </c>
      <c r="K201" s="31" t="n">
        <v>502746</v>
      </c>
      <c r="L201" s="30" t="n">
        <v>2</v>
      </c>
      <c r="M201" s="30" t="inlineStr">
        <is>
          <t>Underperforming</t>
        </is>
      </c>
      <c r="N201" s="31">
        <f>IF(M201="Underperforming",-5,IF(L201&gt;=95,15,IF(L201&gt;=90,10,IF(L201&gt;=80,5,0))))</f>
        <v/>
      </c>
      <c r="O201" s="31" t="n">
        <v>59.5</v>
      </c>
      <c r="P201" s="31" t="n">
        <v>14.68</v>
      </c>
      <c r="Q201" s="31" t="n">
        <v>348.12</v>
      </c>
      <c r="R201" s="30" t="inlineStr">
        <is>
          <t>Earnings / Momentum Support</t>
        </is>
      </c>
      <c r="S201" s="30" t="inlineStr">
        <is>
          <t>Nifty FMCG</t>
        </is>
      </c>
      <c r="T201" s="31" t="n">
        <v>-11.27</v>
      </c>
      <c r="U201" s="31" t="n">
        <v>-12</v>
      </c>
      <c r="V201" s="31" t="n">
        <v>-0.83</v>
      </c>
      <c r="W201" s="31" t="n">
        <v>-1.25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B2C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0 to 20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Less than 1.5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IF(B202=0,"",RANK(B202,$B$2:$B$375,0))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SAILIFE</t>
        </is>
      </c>
      <c r="D202" s="30" t="inlineStr">
        <is>
          <t>Sai Life Sciences Ltd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largecap</t>
        </is>
      </c>
      <c r="H202" s="31" t="n">
        <v>30662.59</v>
      </c>
      <c r="I202" s="31" t="n">
        <v>1463.6</v>
      </c>
      <c r="J202" s="31" t="n">
        <v>1.33</v>
      </c>
      <c r="K202" s="31" t="n">
        <v>430058</v>
      </c>
      <c r="L202" s="30" t="n">
        <v>69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80.79000000000001</v>
      </c>
      <c r="P202" s="31" t="n">
        <v>31.25</v>
      </c>
      <c r="Q202" s="31" t="n">
        <v>1212.57</v>
      </c>
      <c r="R202" s="30" t="inlineStr">
        <is>
          <t>Volume Spike &amp; Near 52W High Breakout</t>
        </is>
      </c>
      <c r="S202" s="30" t="inlineStr">
        <is>
          <t>Nifty Pharma</t>
        </is>
      </c>
      <c r="T202" s="31" t="n">
        <v>20.81</v>
      </c>
      <c r="U202" s="31" t="n">
        <v>64.88</v>
      </c>
      <c r="V202" s="31" t="n">
        <v>36.48</v>
      </c>
      <c r="W202" s="31" t="n">
        <v>18.14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IF(B203=0,"",RANK(B203,$B$2:$B$375,0))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AARTIPHARM</t>
        </is>
      </c>
      <c r="D203" s="32" t="inlineStr">
        <is>
          <t>Aarti Pharmalabs Ltd</t>
        </is>
      </c>
      <c r="E203" s="30" t="inlineStr">
        <is>
          <t>healthcare</t>
        </is>
      </c>
      <c r="F203" s="30" t="inlineStr">
        <is>
          <t>pharmaceuticals - indian - bulk drugs &amp; formln</t>
        </is>
      </c>
      <c r="G203" s="30" t="inlineStr">
        <is>
          <t>midcap</t>
        </is>
      </c>
      <c r="H203" s="31" t="n">
        <v>8013.38</v>
      </c>
      <c r="I203" s="31" t="n">
        <v>888.7</v>
      </c>
      <c r="J203" s="31" t="n">
        <v>0.57</v>
      </c>
      <c r="K203" s="31" t="n">
        <v>3552033</v>
      </c>
      <c r="L203" s="30" t="n">
        <v>40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69.23999999999999</v>
      </c>
      <c r="P203" s="31" t="n">
        <v>10.38</v>
      </c>
      <c r="Q203" s="31" t="n">
        <v>688.08</v>
      </c>
      <c r="R203" s="30" t="inlineStr">
        <is>
          <t>Volume Spike &amp; Near 52W High Breakout</t>
        </is>
      </c>
      <c r="S203" s="30" t="inlineStr">
        <is>
          <t>Nifty Pharma</t>
        </is>
      </c>
      <c r="T203" s="31" t="n">
        <v>20.81</v>
      </c>
      <c r="U203" s="31" t="n">
        <v>17.88</v>
      </c>
      <c r="V203" s="31" t="n">
        <v>-2.43</v>
      </c>
      <c r="W203" s="31" t="n">
        <v>8.83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IF(B204=0,"",RANK(B204,$B$2:$B$375,0))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YATHARTH</t>
        </is>
      </c>
      <c r="D204" s="30" t="inlineStr">
        <is>
          <t>Yatharth Hospital &amp; Trauma Care Services Ltd</t>
        </is>
      </c>
      <c r="E204" s="30" t="inlineStr">
        <is>
          <t>healthcare</t>
        </is>
      </c>
      <c r="F204" s="30" t="inlineStr">
        <is>
          <t>healthcare</t>
        </is>
      </c>
      <c r="G204" s="30" t="inlineStr">
        <is>
          <t>midcap</t>
        </is>
      </c>
      <c r="H204" s="31" t="n">
        <v>8341.4</v>
      </c>
      <c r="I204" s="31" t="n">
        <v>868.85</v>
      </c>
      <c r="J204" s="31" t="n">
        <v>0.36</v>
      </c>
      <c r="K204" s="31" t="n">
        <v>431376</v>
      </c>
      <c r="L204" s="30" t="n">
        <v>28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60.39</v>
      </c>
      <c r="P204" s="31" t="n">
        <v>34.44</v>
      </c>
      <c r="Q204" s="31" t="n">
        <v>689.12</v>
      </c>
      <c r="R204" s="30" t="inlineStr">
        <is>
          <t>Volume Spike &amp; Near 52W High Breakout</t>
        </is>
      </c>
      <c r="S204" s="30" t="inlineStr">
        <is>
          <t>Nifty Pharma</t>
        </is>
      </c>
      <c r="T204" s="31" t="n">
        <v>20.81</v>
      </c>
      <c r="U204" s="31" t="n">
        <v>21.97</v>
      </c>
      <c r="V204" s="31" t="n">
        <v>0.96</v>
      </c>
      <c r="W204" s="31" t="n">
        <v>5.97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Yes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IF(B205=0,"",RANK(B205,$B$2:$B$375,0))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KILITCH</t>
        </is>
      </c>
      <c r="D205" s="32" t="inlineStr">
        <is>
          <t>Kilitch Drugs (india) Limited</t>
        </is>
      </c>
      <c r="E205" s="30" t="inlineStr">
        <is>
          <t>healthcare</t>
        </is>
      </c>
      <c r="F205" s="30" t="inlineStr">
        <is>
          <t>pharmaceuticals - indian - formulations</t>
        </is>
      </c>
      <c r="G205" s="30" t="inlineStr">
        <is>
          <t>smallcap</t>
        </is>
      </c>
      <c r="H205" s="31" t="n">
        <v>669.37</v>
      </c>
      <c r="I205" s="31" t="n">
        <v>191.21</v>
      </c>
      <c r="J205" s="31" t="n">
        <v>-0.13</v>
      </c>
      <c r="K205" s="31" t="n">
        <v>33559</v>
      </c>
      <c r="L205" s="30" t="n">
        <v>16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59.2</v>
      </c>
      <c r="P205" s="31" t="n">
        <v>30.8</v>
      </c>
      <c r="Q205" s="31" t="n">
        <v>137.29</v>
      </c>
      <c r="R205" s="30" t="inlineStr">
        <is>
          <t>Earnings / Momentum Support</t>
        </is>
      </c>
      <c r="S205" s="30" t="inlineStr">
        <is>
          <t>Nifty Pharma</t>
        </is>
      </c>
      <c r="T205" s="31" t="n">
        <v>20.81</v>
      </c>
      <c r="U205" s="31" t="n">
        <v>-10.11</v>
      </c>
      <c r="V205" s="31" t="n">
        <v>-25.6</v>
      </c>
      <c r="W205" s="31" t="n">
        <v>3.66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Between 50% to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IF(B206=0,"",RANK(B206,$B$2:$B$375,0))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DBOL</t>
        </is>
      </c>
      <c r="D206" s="30" t="inlineStr">
        <is>
          <t>Dhampur Bio Organics Ltd</t>
        </is>
      </c>
      <c r="E206" s="30" t="inlineStr">
        <is>
          <t>fmcg</t>
        </is>
      </c>
      <c r="F206" s="30" t="inlineStr">
        <is>
          <t>sugar</t>
        </is>
      </c>
      <c r="G206" s="30" t="inlineStr">
        <is>
          <t>smallcap</t>
        </is>
      </c>
      <c r="H206" s="31" t="n">
        <v>761.0700000000001</v>
      </c>
      <c r="I206" s="31" t="n">
        <v>114.11</v>
      </c>
      <c r="J206" s="31" t="n">
        <v>-0.46</v>
      </c>
      <c r="K206" s="31" t="n">
        <v>36778</v>
      </c>
      <c r="L206" s="30" t="n">
        <v>27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57.16</v>
      </c>
      <c r="P206" s="31" t="n">
        <v>34.44</v>
      </c>
      <c r="Q206" s="31" t="n">
        <v>83.04000000000001</v>
      </c>
      <c r="R206" s="30" t="inlineStr">
        <is>
          <t>Earnings / Momentum Support</t>
        </is>
      </c>
      <c r="S206" s="30" t="inlineStr">
        <is>
          <t>Nifty FMCG</t>
        </is>
      </c>
      <c r="T206" s="31" t="n">
        <v>-11.27</v>
      </c>
      <c r="U206" s="31" t="n">
        <v>30.88</v>
      </c>
      <c r="V206" s="31" t="n">
        <v>47.5</v>
      </c>
      <c r="W206" s="31" t="n">
        <v>5.82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B2C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Annuity, Lower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Between 0.7 to 1.2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IF(B207=0,"",RANK(B207,$B$2:$B$375,0))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COFORGE</t>
        </is>
      </c>
      <c r="D207" s="30" t="inlineStr">
        <is>
          <t>Coforge (Niit Tech) Ltd</t>
        </is>
      </c>
      <c r="E207" s="30" t="inlineStr">
        <is>
          <t>i.t</t>
        </is>
      </c>
      <c r="F207" s="30" t="inlineStr">
        <is>
          <t>computers - software - large</t>
        </is>
      </c>
      <c r="G207" s="30" t="inlineStr">
        <is>
          <t>largecap</t>
        </is>
      </c>
      <c r="H207" s="31" t="n">
        <v>80525.46000000001</v>
      </c>
      <c r="I207" s="31" t="n">
        <v>1801.5</v>
      </c>
      <c r="J207" s="31" t="n">
        <v>-0.96</v>
      </c>
      <c r="K207" s="31" t="n">
        <v>1592301</v>
      </c>
      <c r="L207" s="30" t="n">
        <v>53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67.61</v>
      </c>
      <c r="P207" s="31" t="n">
        <v>11.26</v>
      </c>
      <c r="Q207" s="31" t="n">
        <v>1425.4</v>
      </c>
      <c r="R207" s="30" t="inlineStr">
        <is>
          <t>Earnings / Momentum Support</t>
        </is>
      </c>
      <c r="S207" s="30" t="inlineStr">
        <is>
          <t>Nifty IT</t>
        </is>
      </c>
      <c r="T207" s="31" t="n">
        <v>-10.05</v>
      </c>
      <c r="U207" s="31" t="n">
        <v>10.73</v>
      </c>
      <c r="V207" s="31" t="n">
        <v>23.1</v>
      </c>
      <c r="W207" s="31" t="n">
        <v>12.43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IF(B208=0,"",RANK(B208,$B$2:$B$375,0))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GUFICBIO</t>
        </is>
      </c>
      <c r="D208" s="32" t="inlineStr">
        <is>
          <t>Gufic Biosciences Limited</t>
        </is>
      </c>
      <c r="E208" s="30" t="inlineStr">
        <is>
          <t>healthcare</t>
        </is>
      </c>
      <c r="F208" s="30" t="inlineStr">
        <is>
          <t>pharmaceuticals - indian - bulk drugs &amp; formln</t>
        </is>
      </c>
      <c r="G208" s="30" t="inlineStr">
        <is>
          <t>smallcap</t>
        </is>
      </c>
      <c r="H208" s="31" t="n">
        <v>4323.18</v>
      </c>
      <c r="I208" s="31" t="n">
        <v>424.9</v>
      </c>
      <c r="J208" s="31" t="n">
        <v>-1.44</v>
      </c>
      <c r="K208" s="31" t="n">
        <v>112334</v>
      </c>
      <c r="L208" s="30" t="n">
        <v>64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71.28</v>
      </c>
      <c r="P208" s="31" t="n">
        <v>47.86</v>
      </c>
      <c r="Q208" s="31" t="n">
        <v>331.86</v>
      </c>
      <c r="R208" s="30" t="inlineStr">
        <is>
          <t>Near 52W High Breakout</t>
        </is>
      </c>
      <c r="S208" s="30" t="inlineStr">
        <is>
          <t>Nifty Pharma</t>
        </is>
      </c>
      <c r="T208" s="31" t="n">
        <v>20.81</v>
      </c>
      <c r="U208" s="31" t="n">
        <v>19.22</v>
      </c>
      <c r="V208" s="31" t="n">
        <v>-1.32</v>
      </c>
      <c r="W208" s="31" t="n">
        <v>15.8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Less than 50%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IF(B209=0,"",RANK(B209,$B$2:$B$375,0))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TATATECH</t>
        </is>
      </c>
      <c r="D209" s="30" t="inlineStr">
        <is>
          <t>Tata Technologies Ltd</t>
        </is>
      </c>
      <c r="E209" s="30" t="inlineStr">
        <is>
          <t>i.t</t>
        </is>
      </c>
      <c r="F209" s="30" t="inlineStr">
        <is>
          <t>computers - software - medium / small</t>
        </is>
      </c>
      <c r="G209" s="30" t="inlineStr">
        <is>
          <t>largecap</t>
        </is>
      </c>
      <c r="H209" s="31" t="n">
        <v>35131.6</v>
      </c>
      <c r="I209" s="31" t="n">
        <v>842.1</v>
      </c>
      <c r="J209" s="31" t="n">
        <v>-2.67</v>
      </c>
      <c r="K209" s="31" t="n">
        <v>1473993</v>
      </c>
      <c r="L209" s="30" t="n">
        <v>58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67.73</v>
      </c>
      <c r="P209" s="31" t="n">
        <v>33.2</v>
      </c>
      <c r="Q209" s="31" t="n">
        <v>697.5700000000001</v>
      </c>
      <c r="R209" s="30" t="inlineStr">
        <is>
          <t>Near 52W High Breakout</t>
        </is>
      </c>
      <c r="S209" s="30" t="inlineStr">
        <is>
          <t>Nifty IT</t>
        </is>
      </c>
      <c r="T209" s="31" t="n">
        <v>-10.05</v>
      </c>
      <c r="U209" s="31" t="n">
        <v>28.9</v>
      </c>
      <c r="V209" s="31" t="n">
        <v>43.3</v>
      </c>
      <c r="W209" s="31" t="n">
        <v>13.96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IF(B210=0,"",RANK(B210,$B$2:$B$375,0))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TCPLPACK</t>
        </is>
      </c>
      <c r="D210" s="30" t="inlineStr">
        <is>
          <t>TCPL Packaging Ltd</t>
        </is>
      </c>
      <c r="E210" s="30" t="inlineStr">
        <is>
          <t>industrials</t>
        </is>
      </c>
      <c r="F210" s="30" t="inlineStr">
        <is>
          <t>packaging</t>
        </is>
      </c>
      <c r="G210" s="30" t="inlineStr">
        <is>
          <t>smallcap</t>
        </is>
      </c>
      <c r="H210" s="31" t="n">
        <v>3344.98</v>
      </c>
      <c r="I210" s="31" t="n">
        <v>4394.9</v>
      </c>
      <c r="J210" s="31" t="n">
        <v>19.56</v>
      </c>
      <c r="K210" s="31" t="n">
        <v>481743</v>
      </c>
      <c r="L210" s="30" t="n">
        <v>79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79.81</v>
      </c>
      <c r="P210" s="31" t="n">
        <v>25.56</v>
      </c>
      <c r="Q210" s="31" t="n">
        <v>3426.71</v>
      </c>
      <c r="R210" s="30" t="inlineStr">
        <is>
          <t>Volume Spike &amp; Near 52W High Breakout</t>
        </is>
      </c>
      <c r="S210" s="30" t="inlineStr">
        <is>
          <t>Nifty 50</t>
        </is>
      </c>
      <c r="T210" s="31" t="n">
        <v>-0.79</v>
      </c>
      <c r="U210" s="31" t="n">
        <v>32.11</v>
      </c>
      <c r="V210" s="31" t="n">
        <v>33.17</v>
      </c>
      <c r="W210" s="31" t="n">
        <v>22.24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Between 0.7 to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IF(B211=0,"",RANK(B211,$B$2:$B$375,0))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KANPRPLA</t>
        </is>
      </c>
      <c r="D211" s="30" t="inlineStr">
        <is>
          <t>Kanpur Plastipack Ltd</t>
        </is>
      </c>
      <c r="E211" s="30" t="inlineStr">
        <is>
          <t>industrials</t>
        </is>
      </c>
      <c r="F211" s="30" t="inlineStr">
        <is>
          <t>packaging</t>
        </is>
      </c>
      <c r="G211" s="30" t="inlineStr">
        <is>
          <t>smallcap</t>
        </is>
      </c>
      <c r="H211" s="31" t="n">
        <v>528.55</v>
      </c>
      <c r="I211" s="31" t="n">
        <v>232.45</v>
      </c>
      <c r="J211" s="31" t="n">
        <v>7.66</v>
      </c>
      <c r="K211" s="31" t="n">
        <v>101318</v>
      </c>
      <c r="L211" s="30" t="n">
        <v>23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64.04000000000001</v>
      </c>
      <c r="P211" s="31" t="n">
        <v>14.16</v>
      </c>
      <c r="Q211" s="31" t="n">
        <v>162.8</v>
      </c>
      <c r="R211" s="30" t="inlineStr">
        <is>
          <t>Near 52W High Breakout</t>
        </is>
      </c>
      <c r="S211" s="30" t="inlineStr">
        <is>
          <t>Nifty 50</t>
        </is>
      </c>
      <c r="T211" s="31" t="n">
        <v>-0.79</v>
      </c>
      <c r="U211" s="31" t="n">
        <v>8.109999999999999</v>
      </c>
      <c r="V211" s="31" t="n">
        <v>8.970000000000001</v>
      </c>
      <c r="W211" s="31" t="n">
        <v>5.08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IF(B212=0,"",RANK(B212,$B$2:$B$375,0))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SICALLOG</t>
        </is>
      </c>
      <c r="D212" s="30" t="inlineStr">
        <is>
          <t>Sical Logistics Ltd</t>
        </is>
      </c>
      <c r="E212" s="30" t="inlineStr">
        <is>
          <t>transportation</t>
        </is>
      </c>
      <c r="F212" s="30" t="inlineStr">
        <is>
          <t>miscellaneous</t>
        </is>
      </c>
      <c r="G212" s="30" t="inlineStr">
        <is>
          <t>smallcap</t>
        </is>
      </c>
      <c r="H212" s="31" t="n">
        <v>855.05</v>
      </c>
      <c r="I212" s="31" t="n">
        <v>111.81</v>
      </c>
      <c r="J212" s="31" t="n">
        <v>4.33</v>
      </c>
      <c r="K212" s="31" t="n">
        <v>47048</v>
      </c>
      <c r="L212" s="30" t="n">
        <v>74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65.39</v>
      </c>
      <c r="P212" s="31" t="n">
        <v>29.09</v>
      </c>
      <c r="Q212" s="31" t="n">
        <v>86</v>
      </c>
      <c r="R212" s="30" t="inlineStr">
        <is>
          <t>Near 52W High Breakout</t>
        </is>
      </c>
      <c r="S212" s="30" t="inlineStr">
        <is>
          <t>Nifty 50</t>
        </is>
      </c>
      <c r="T212" s="31" t="n">
        <v>-0.79</v>
      </c>
      <c r="U212" s="31" t="n">
        <v>6.54</v>
      </c>
      <c r="V212" s="31" t="n">
        <v>7.39</v>
      </c>
      <c r="W212" s="31" t="n">
        <v>20.49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More than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IF(B213=0,"",RANK(B213,$B$2:$B$375,0))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BHEL</t>
        </is>
      </c>
      <c r="D213" s="30" t="inlineStr">
        <is>
          <t>Bharat Heavy Electricals Limited</t>
        </is>
      </c>
      <c r="E213" s="30" t="inlineStr">
        <is>
          <t>industrials</t>
        </is>
      </c>
      <c r="F213" s="30" t="inlineStr">
        <is>
          <t>electric equipment</t>
        </is>
      </c>
      <c r="G213" s="30" t="inlineStr">
        <is>
          <t>largecap</t>
        </is>
      </c>
      <c r="H213" s="31" t="n">
        <v>140327.15</v>
      </c>
      <c r="I213" s="31" t="n">
        <v>420</v>
      </c>
      <c r="J213" s="31" t="n">
        <v>4.22</v>
      </c>
      <c r="K213" s="31" t="n">
        <v>14607097</v>
      </c>
      <c r="L213" s="30" t="n">
        <v>67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65.37</v>
      </c>
      <c r="P213" s="31" t="n">
        <v>41.88</v>
      </c>
      <c r="Q213" s="31" t="n">
        <v>339.24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-0.79</v>
      </c>
      <c r="U213" s="31" t="n">
        <v>90.37</v>
      </c>
      <c r="V213" s="31" t="n">
        <v>91.90000000000001</v>
      </c>
      <c r="W213" s="31" t="n">
        <v>17.07</v>
      </c>
      <c r="X213" s="30" t="inlineStr">
        <is>
          <t>Cyclical in an Upturn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Above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IF(B214=0,"",RANK(B214,$B$2:$B$375,0))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WELSPUNLIV</t>
        </is>
      </c>
      <c r="D214" s="30" t="inlineStr">
        <is>
          <t>Welspun Living Ltd</t>
        </is>
      </c>
      <c r="E214" s="30" t="inlineStr">
        <is>
          <t>textiles</t>
        </is>
      </c>
      <c r="F214" s="30" t="inlineStr">
        <is>
          <t>textiles - products</t>
        </is>
      </c>
      <c r="G214" s="30" t="inlineStr">
        <is>
          <t>midcap</t>
        </is>
      </c>
      <c r="H214" s="31" t="n">
        <v>15083.92</v>
      </c>
      <c r="I214" s="31" t="n">
        <v>165.23</v>
      </c>
      <c r="J214" s="31" t="n">
        <v>3.49</v>
      </c>
      <c r="K214" s="31" t="n">
        <v>2292744</v>
      </c>
      <c r="L214" s="30" t="n">
        <v>50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63.98</v>
      </c>
      <c r="P214" s="31" t="n">
        <v>32.44</v>
      </c>
      <c r="Q214" s="31" t="n">
        <v>134.74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-0.79</v>
      </c>
      <c r="U214" s="31" t="n">
        <v>45.09</v>
      </c>
      <c r="V214" s="31" t="n">
        <v>46.25</v>
      </c>
      <c r="W214" s="31" t="n">
        <v>11.56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IF(B215=0,"",RANK(B215,$B$2:$B$375,0))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GNA</t>
        </is>
      </c>
      <c r="D215" s="30" t="inlineStr">
        <is>
          <t>Gna Axles Limited</t>
        </is>
      </c>
      <c r="E215" s="30" t="inlineStr">
        <is>
          <t>auto</t>
        </is>
      </c>
      <c r="F215" s="30" t="inlineStr">
        <is>
          <t>auto ancillaries</t>
        </is>
      </c>
      <c r="G215" s="30" t="inlineStr">
        <is>
          <t>smallcap</t>
        </is>
      </c>
      <c r="H215" s="31" t="n">
        <v>2306.89</v>
      </c>
      <c r="I215" s="31" t="n">
        <v>552.6</v>
      </c>
      <c r="J215" s="31" t="n">
        <v>2.84</v>
      </c>
      <c r="K215" s="31" t="n">
        <v>341130</v>
      </c>
      <c r="L215" s="30" t="n">
        <v>71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68.28</v>
      </c>
      <c r="P215" s="31" t="n">
        <v>30.6</v>
      </c>
      <c r="Q215" s="31" t="n">
        <v>419.82</v>
      </c>
      <c r="R215" s="30" t="inlineStr">
        <is>
          <t>Near 52W High Breakout</t>
        </is>
      </c>
      <c r="S215" s="30" t="inlineStr">
        <is>
          <t>Nifty Auto</t>
        </is>
      </c>
      <c r="T215" s="31" t="n">
        <v>23.47</v>
      </c>
      <c r="U215" s="31" t="n">
        <v>77.7</v>
      </c>
      <c r="V215" s="31" t="n">
        <v>43.92</v>
      </c>
      <c r="W215" s="31" t="n">
        <v>18.78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Negative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IF(B216=0,"",RANK(B216,$B$2:$B$375,0))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FINEORG</t>
        </is>
      </c>
      <c r="D216" s="30" t="inlineStr">
        <is>
          <t>Fine Organic Industries Ltd</t>
        </is>
      </c>
      <c r="E216" s="30" t="inlineStr">
        <is>
          <t>chemicals</t>
        </is>
      </c>
      <c r="F216" s="30" t="inlineStr">
        <is>
          <t>chemicals</t>
        </is>
      </c>
      <c r="G216" s="30" t="inlineStr">
        <is>
          <t>midcap</t>
        </is>
      </c>
      <c r="H216" s="31" t="n">
        <v>15700.05</v>
      </c>
      <c r="I216" s="31" t="n">
        <v>5265.1</v>
      </c>
      <c r="J216" s="31" t="n">
        <v>2.82</v>
      </c>
      <c r="K216" s="31" t="n">
        <v>108822</v>
      </c>
      <c r="L216" s="30" t="n">
        <v>21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62.34</v>
      </c>
      <c r="P216" s="31" t="n">
        <v>11.94</v>
      </c>
      <c r="Q216" s="31" t="n">
        <v>4244.15</v>
      </c>
      <c r="R216" s="30" t="inlineStr">
        <is>
          <t>Volume Spike &amp; Near 52W High Breakout</t>
        </is>
      </c>
      <c r="S216" s="30" t="inlineStr">
        <is>
          <t>Nifty 50</t>
        </is>
      </c>
      <c r="T216" s="31" t="n">
        <v>-0.79</v>
      </c>
      <c r="U216" s="31" t="n">
        <v>9.880000000000001</v>
      </c>
      <c r="V216" s="31" t="n">
        <v>10.76</v>
      </c>
      <c r="W216" s="31" t="n">
        <v>4.91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Between 12 to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IF(B217=0,"",RANK(B217,$B$2:$B$375,0))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INDNIPPON</t>
        </is>
      </c>
      <c r="D217" s="30" t="inlineStr">
        <is>
          <t>India Nippon Electricals Limited</t>
        </is>
      </c>
      <c r="E217" s="30" t="inlineStr">
        <is>
          <t>auto</t>
        </is>
      </c>
      <c r="F217" s="30" t="inlineStr">
        <is>
          <t>auto ancillaries</t>
        </is>
      </c>
      <c r="G217" s="30" t="inlineStr">
        <is>
          <t>smallcap</t>
        </is>
      </c>
      <c r="H217" s="31" t="n">
        <v>2560.97</v>
      </c>
      <c r="I217" s="31" t="n">
        <v>1163.2</v>
      </c>
      <c r="J217" s="31" t="n">
        <v>2.75</v>
      </c>
      <c r="K217" s="31" t="n">
        <v>29074</v>
      </c>
      <c r="L217" s="30" t="n">
        <v>78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70.97</v>
      </c>
      <c r="P217" s="31" t="n">
        <v>39.97</v>
      </c>
      <c r="Q217" s="31" t="n">
        <v>956.51</v>
      </c>
      <c r="R217" s="30" t="inlineStr">
        <is>
          <t>Near 52W High Breakout</t>
        </is>
      </c>
      <c r="S217" s="30" t="inlineStr">
        <is>
          <t>Nifty Auto</t>
        </is>
      </c>
      <c r="T217" s="31" t="n">
        <v>23.47</v>
      </c>
      <c r="U217" s="31" t="n">
        <v>53.06</v>
      </c>
      <c r="V217" s="31" t="n">
        <v>23.97</v>
      </c>
      <c r="W217" s="31" t="n">
        <v>22.1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IF(B218=0,"",RANK(B218,$B$2:$B$375,0))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KAPSTON</t>
        </is>
      </c>
      <c r="D218" s="30" t="inlineStr">
        <is>
          <t>Kapston Services Ltd</t>
        </is>
      </c>
      <c r="E218" s="30" t="inlineStr">
        <is>
          <t>miscellaneous</t>
        </is>
      </c>
      <c r="F218" s="30" t="inlineStr">
        <is>
          <t>miscellaneous</t>
        </is>
      </c>
      <c r="G218" s="30" t="inlineStr">
        <is>
          <t>smallcap</t>
        </is>
      </c>
      <c r="H218" s="31" t="n">
        <v>1714.55</v>
      </c>
      <c r="I218" s="31" t="n">
        <v>578.2</v>
      </c>
      <c r="J218" s="31" t="n">
        <v>2.63</v>
      </c>
      <c r="K218" s="31" t="n">
        <v>88955</v>
      </c>
      <c r="L218" s="30" t="n">
        <v>93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83.81</v>
      </c>
      <c r="P218" s="31" t="n">
        <v>30.19</v>
      </c>
      <c r="Q218" s="31" t="n">
        <v>453.74</v>
      </c>
      <c r="R218" s="30" t="inlineStr">
        <is>
          <t>Volume Spike &amp; Near 52W High Breakout</t>
        </is>
      </c>
      <c r="S218" s="30" t="inlineStr">
        <is>
          <t>Nifty 50</t>
        </is>
      </c>
      <c r="T218" s="31" t="n">
        <v>-0.79</v>
      </c>
      <c r="U218" s="31" t="n">
        <v>136.13</v>
      </c>
      <c r="V218" s="31" t="n">
        <v>138.01</v>
      </c>
      <c r="W218" s="31" t="n">
        <v>37.99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Above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Between 1.5 to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More than 1.2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IF(B219=0,"",RANK(B219,$B$2:$B$375,0))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KROSS</t>
        </is>
      </c>
      <c r="D219" s="32" t="inlineStr">
        <is>
          <t>Kross Ltd</t>
        </is>
      </c>
      <c r="E219" s="30" t="inlineStr">
        <is>
          <t>auto</t>
        </is>
      </c>
      <c r="F219" s="30" t="inlineStr">
        <is>
          <t>auto ancillaries</t>
        </is>
      </c>
      <c r="G219" s="30" t="inlineStr">
        <is>
          <t>smallcap</t>
        </is>
      </c>
      <c r="H219" s="31" t="n">
        <v>1304.19</v>
      </c>
      <c r="I219" s="31" t="n">
        <v>204.77</v>
      </c>
      <c r="J219" s="31" t="n">
        <v>1.29</v>
      </c>
      <c r="K219" s="31" t="n">
        <v>948369</v>
      </c>
      <c r="L219" s="30" t="n">
        <v>18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55.72</v>
      </c>
      <c r="P219" s="31" t="n">
        <v>24.11</v>
      </c>
      <c r="Q219" s="31" t="n">
        <v>152.7</v>
      </c>
      <c r="R219" s="30" t="inlineStr">
        <is>
          <t>Earnings / Momentum Support</t>
        </is>
      </c>
      <c r="S219" s="30" t="inlineStr">
        <is>
          <t>Nifty Auto</t>
        </is>
      </c>
      <c r="T219" s="31" t="n">
        <v>23.47</v>
      </c>
      <c r="U219" s="31" t="n">
        <v>9.779999999999999</v>
      </c>
      <c r="V219" s="31" t="n">
        <v>-11.09</v>
      </c>
      <c r="W219" s="31" t="n">
        <v>4.23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Headwind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IF(B220=0,"",RANK(B220,$B$2:$B$375,0))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PAYTM</t>
        </is>
      </c>
      <c r="D220" s="30" t="inlineStr">
        <is>
          <t>One 97 Communications Ltd</t>
        </is>
      </c>
      <c r="E220" s="30" t="inlineStr">
        <is>
          <t>i.t</t>
        </is>
      </c>
      <c r="F220" s="30" t="inlineStr">
        <is>
          <t>miscellaneous</t>
        </is>
      </c>
      <c r="G220" s="30" t="inlineStr">
        <is>
          <t>largecap</t>
        </is>
      </c>
      <c r="H220" s="31" t="n">
        <v>102050.51</v>
      </c>
      <c r="I220" s="31" t="n">
        <v>1610</v>
      </c>
      <c r="J220" s="31" t="n">
        <v>1.02</v>
      </c>
      <c r="K220" s="31" t="n">
        <v>2609810</v>
      </c>
      <c r="L220" s="30" t="n">
        <v>67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73.70999999999999</v>
      </c>
      <c r="P220" s="31" t="n">
        <v>18.51</v>
      </c>
      <c r="Q220" s="31" t="n">
        <v>1287.66</v>
      </c>
      <c r="R220" s="30" t="inlineStr">
        <is>
          <t>Volume Spike &amp; Near 52W High Breakout</t>
        </is>
      </c>
      <c r="S220" s="30" t="inlineStr">
        <is>
          <t>Nifty IT</t>
        </is>
      </c>
      <c r="T220" s="31" t="n">
        <v>-10.05</v>
      </c>
      <c r="U220" s="31" t="n">
        <v>39.84</v>
      </c>
      <c r="V220" s="31" t="n">
        <v>55.47</v>
      </c>
      <c r="W220" s="31" t="n">
        <v>16.93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IF(B221=0,"",RANK(B221,$B$2:$B$375,0))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BOSCH-HCIL</t>
        </is>
      </c>
      <c r="D221" s="30" t="inlineStr">
        <is>
          <t>Bosch Home Comfort India Ltd</t>
        </is>
      </c>
      <c r="E221" s="30" t="inlineStr">
        <is>
          <t>consumer discretionary</t>
        </is>
      </c>
      <c r="F221" s="30" t="inlineStr">
        <is>
          <t>air-conditioners</t>
        </is>
      </c>
      <c r="G221" s="30" t="inlineStr">
        <is>
          <t>smallcap</t>
        </is>
      </c>
      <c r="H221" s="31" t="n">
        <v>4613.75</v>
      </c>
      <c r="I221" s="31" t="n">
        <v>1713.8</v>
      </c>
      <c r="J221" s="31" t="n">
        <v>1</v>
      </c>
      <c r="K221" s="31" t="n">
        <v>45514</v>
      </c>
      <c r="L221" s="30" t="n">
        <v>25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69.45</v>
      </c>
      <c r="P221" s="31" t="n">
        <v>17.51</v>
      </c>
      <c r="Q221" s="31" t="n">
        <v>1384.82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-0.79</v>
      </c>
      <c r="U221" s="31" t="n">
        <v>-0.49</v>
      </c>
      <c r="V221" s="31" t="n">
        <v>0.3</v>
      </c>
      <c r="W221" s="31" t="n">
        <v>5.58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IF(B222=0,"",RANK(B222,$B$2:$B$375,0))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POKARNA</t>
        </is>
      </c>
      <c r="D222" s="30" t="inlineStr">
        <is>
          <t>Pokarna Limited</t>
        </is>
      </c>
      <c r="E222" s="30" t="inlineStr">
        <is>
          <t>consumer discretionary</t>
        </is>
      </c>
      <c r="F222" s="30" t="inlineStr">
        <is>
          <t>miscellaneous</t>
        </is>
      </c>
      <c r="G222" s="30" t="inlineStr">
        <is>
          <t>smallcap</t>
        </is>
      </c>
      <c r="H222" s="31" t="n">
        <v>3036.38</v>
      </c>
      <c r="I222" s="31" t="n">
        <v>988.95</v>
      </c>
      <c r="J222" s="31" t="n">
        <v>0.98</v>
      </c>
      <c r="K222" s="31" t="n">
        <v>152763</v>
      </c>
      <c r="L222" s="30" t="n">
        <v>30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55.36</v>
      </c>
      <c r="P222" s="31" t="n">
        <v>19.98</v>
      </c>
      <c r="Q222" s="31" t="n">
        <v>791.75</v>
      </c>
      <c r="R222" s="30" t="inlineStr">
        <is>
          <t>Volume Spike / Accumulation</t>
        </is>
      </c>
      <c r="S222" s="30" t="inlineStr">
        <is>
          <t>Nifty 50</t>
        </is>
      </c>
      <c r="T222" s="31" t="n">
        <v>-0.79</v>
      </c>
      <c r="U222" s="31" t="n">
        <v>7.58</v>
      </c>
      <c r="V222" s="31" t="n">
        <v>8.44</v>
      </c>
      <c r="W222" s="31" t="n">
        <v>6.48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Headwind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IF(B223=0,"",RANK(B223,$B$2:$B$375,0))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ARROWGREEN</t>
        </is>
      </c>
      <c r="D223" s="30" t="inlineStr">
        <is>
          <t>Arrow Greentech Limited</t>
        </is>
      </c>
      <c r="E223" s="30" t="inlineStr">
        <is>
          <t>plastic products</t>
        </is>
      </c>
      <c r="F223" s="30" t="inlineStr">
        <is>
          <t>plastics products</t>
        </is>
      </c>
      <c r="G223" s="30" t="inlineStr">
        <is>
          <t>smallcap</t>
        </is>
      </c>
      <c r="H223" s="31" t="n">
        <v>1172.41</v>
      </c>
      <c r="I223" s="31" t="n">
        <v>784.6</v>
      </c>
      <c r="J223" s="31" t="n">
        <v>0.97</v>
      </c>
      <c r="K223" s="31" t="n">
        <v>37391</v>
      </c>
      <c r="L223" s="30" t="n">
        <v>60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72.5</v>
      </c>
      <c r="P223" s="31" t="n">
        <v>35.2</v>
      </c>
      <c r="Q223" s="31" t="n">
        <v>585.9299999999999</v>
      </c>
      <c r="R223" s="30" t="inlineStr">
        <is>
          <t>Near 52W High Breakout</t>
        </is>
      </c>
      <c r="S223" s="30" t="inlineStr">
        <is>
          <t>Nifty Infra</t>
        </is>
      </c>
      <c r="T223" s="31" t="n">
        <v>3.79</v>
      </c>
      <c r="U223" s="31" t="n">
        <v>4.01</v>
      </c>
      <c r="V223" s="31" t="n">
        <v>0.22</v>
      </c>
      <c r="W223" s="31" t="n">
        <v>14.69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IF(B224=0,"",RANK(B224,$B$2:$B$375,0))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COMSYN</t>
        </is>
      </c>
      <c r="D224" s="30" t="inlineStr">
        <is>
          <t>Commercial Syn Bags Ltd</t>
        </is>
      </c>
      <c r="E224" s="30" t="inlineStr">
        <is>
          <t>industrials</t>
        </is>
      </c>
      <c r="F224" s="30" t="inlineStr">
        <is>
          <t>packaging</t>
        </is>
      </c>
      <c r="G224" s="30" t="inlineStr">
        <is>
          <t>smallcap</t>
        </is>
      </c>
      <c r="H224" s="31" t="n">
        <v>1079.28</v>
      </c>
      <c r="I224" s="31" t="n">
        <v>269.25</v>
      </c>
      <c r="J224" s="31" t="n">
        <v>0.64</v>
      </c>
      <c r="K224" s="31" t="n">
        <v>480470</v>
      </c>
      <c r="L224" s="30" t="n">
        <v>90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79.53</v>
      </c>
      <c r="P224" s="31" t="n">
        <v>59.52</v>
      </c>
      <c r="Q224" s="31" t="n">
        <v>200</v>
      </c>
      <c r="R224" s="30" t="inlineStr">
        <is>
          <t>Volume Spike &amp; Near 52W High Breakout</t>
        </is>
      </c>
      <c r="S224" s="30" t="inlineStr">
        <is>
          <t>Nifty 50</t>
        </is>
      </c>
      <c r="T224" s="31" t="n">
        <v>-0.79</v>
      </c>
      <c r="U224" s="31" t="n">
        <v>90.75</v>
      </c>
      <c r="V224" s="31" t="n">
        <v>92.27</v>
      </c>
      <c r="W224" s="31" t="n">
        <v>33.07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Above 40</t>
        </is>
      </c>
      <c r="AY224" s="30">
        <f>IF(AX224="Above 40",20,IF(AX224="20 to 40",10,IF(AX224="0 to 20",-5,0)))</f>
        <v/>
      </c>
      <c r="AZ224" s="30" t="inlineStr">
        <is>
          <t>Above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Between 0.7 to 1.2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IF(B225=0,"",RANK(B225,$B$2:$B$375,0))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ARE&amp;M</t>
        </is>
      </c>
      <c r="D225" s="32" t="inlineStr">
        <is>
          <t>Amara Raja Energy &amp; Mobility Ltd</t>
        </is>
      </c>
      <c r="E225" s="30" t="inlineStr">
        <is>
          <t>auto</t>
        </is>
      </c>
      <c r="F225" s="30" t="inlineStr">
        <is>
          <t>auto ancillaries</t>
        </is>
      </c>
      <c r="G225" s="30" t="inlineStr">
        <is>
          <t>midcap</t>
        </is>
      </c>
      <c r="H225" s="31" t="n">
        <v>17758.04</v>
      </c>
      <c r="I225" s="31" t="n">
        <v>969.4</v>
      </c>
      <c r="J225" s="31" t="n">
        <v>-0.09</v>
      </c>
      <c r="K225" s="31" t="n">
        <v>5108022</v>
      </c>
      <c r="L225" s="30" t="n">
        <v>13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63.12</v>
      </c>
      <c r="P225" s="31" t="n">
        <v>14.76</v>
      </c>
      <c r="Q225" s="31" t="n">
        <v>785.71</v>
      </c>
      <c r="R225" s="30" t="inlineStr">
        <is>
          <t>Volume Spike &amp; Near 52W High Breakout</t>
        </is>
      </c>
      <c r="S225" s="30" t="inlineStr">
        <is>
          <t>Nifty Auto</t>
        </is>
      </c>
      <c r="T225" s="31" t="n">
        <v>23.47</v>
      </c>
      <c r="U225" s="31" t="n">
        <v>-0.87</v>
      </c>
      <c r="V225" s="31" t="n">
        <v>-19.72</v>
      </c>
      <c r="W225" s="31" t="n">
        <v>2.42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Between 12 to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IF(B226=0,"",RANK(B226,$B$2:$B$375,0))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PRIMO</t>
        </is>
      </c>
      <c r="D226" s="32" t="inlineStr">
        <is>
          <t>Primo Chemicals Ltd</t>
        </is>
      </c>
      <c r="E226" s="30" t="inlineStr">
        <is>
          <t>chemicals</t>
        </is>
      </c>
      <c r="F226" s="30" t="inlineStr">
        <is>
          <t>chlor alkali / soda ash</t>
        </is>
      </c>
      <c r="G226" s="30" t="inlineStr">
        <is>
          <t>smallcap</t>
        </is>
      </c>
      <c r="H226" s="31" t="n">
        <v>591.08</v>
      </c>
      <c r="I226" s="31" t="n">
        <v>24.29</v>
      </c>
      <c r="J226" s="31" t="n">
        <v>-0.41</v>
      </c>
      <c r="K226" s="31" t="n">
        <v>195358</v>
      </c>
      <c r="L226" s="30" t="n">
        <v>2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52.35</v>
      </c>
      <c r="P226" s="31" t="n">
        <v>22.07</v>
      </c>
      <c r="Q226" s="31" t="n">
        <v>18.28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-0.79</v>
      </c>
      <c r="U226" s="31" t="n">
        <v>-10.7</v>
      </c>
      <c r="V226" s="31" t="n">
        <v>-9.98</v>
      </c>
      <c r="W226" s="31" t="n">
        <v>-1.69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IF(B227=0,"",RANK(B227,$B$2:$B$375,0))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ASKAUTOLTD</t>
        </is>
      </c>
      <c r="D227" s="30" t="inlineStr">
        <is>
          <t>ASK Automotive Ltd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midcap</t>
        </is>
      </c>
      <c r="H227" s="31" t="n">
        <v>12898.05</v>
      </c>
      <c r="I227" s="31" t="n">
        <v>651.2</v>
      </c>
      <c r="J227" s="31" t="n">
        <v>-0.47</v>
      </c>
      <c r="K227" s="31" t="n">
        <v>185247</v>
      </c>
      <c r="L227" s="30" t="n">
        <v>69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80.73999999999999</v>
      </c>
      <c r="P227" s="31" t="n">
        <v>19.56</v>
      </c>
      <c r="Q227" s="31" t="n">
        <v>526.66</v>
      </c>
      <c r="R227" s="30" t="inlineStr">
        <is>
          <t>Near 52W High Breakout</t>
        </is>
      </c>
      <c r="S227" s="30" t="inlineStr">
        <is>
          <t>Nifty Auto</t>
        </is>
      </c>
      <c r="T227" s="31" t="n">
        <v>23.47</v>
      </c>
      <c r="U227" s="31" t="n">
        <v>28.58</v>
      </c>
      <c r="V227" s="31" t="n">
        <v>4.14</v>
      </c>
      <c r="W227" s="31" t="n">
        <v>17.81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Above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IF(B228=0,"",RANK(B228,$B$2:$B$375,0))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VSSL</t>
        </is>
      </c>
      <c r="D228" s="32" t="inlineStr">
        <is>
          <t>Vardhman Special Steels Limited</t>
        </is>
      </c>
      <c r="E228" s="30" t="inlineStr">
        <is>
          <t>metals &amp; mining</t>
        </is>
      </c>
      <c r="F228" s="30" t="inlineStr">
        <is>
          <t>steel - medium / small</t>
        </is>
      </c>
      <c r="G228" s="30" t="inlineStr">
        <is>
          <t>smallcap</t>
        </is>
      </c>
      <c r="H228" s="31" t="n">
        <v>3216.73</v>
      </c>
      <c r="I228" s="31" t="n">
        <v>331.1</v>
      </c>
      <c r="J228" s="31" t="n">
        <v>-0.48</v>
      </c>
      <c r="K228" s="31" t="n">
        <v>123427</v>
      </c>
      <c r="L228" s="30" t="n">
        <v>50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68.97</v>
      </c>
      <c r="P228" s="31" t="n">
        <v>25.44</v>
      </c>
      <c r="Q228" s="31" t="n">
        <v>271.88</v>
      </c>
      <c r="R228" s="30" t="inlineStr">
        <is>
          <t>Near 52W High Breakout</t>
        </is>
      </c>
      <c r="S228" s="30" t="inlineStr">
        <is>
          <t>Nifty Metal</t>
        </is>
      </c>
      <c r="T228" s="31" t="n">
        <v>39.75</v>
      </c>
      <c r="U228" s="31" t="n">
        <v>29.75</v>
      </c>
      <c r="V228" s="31" t="n">
        <v>-7.15</v>
      </c>
      <c r="W228" s="31" t="n">
        <v>11.64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Cyclical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Volatile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IF(B229=0,"",RANK(B229,$B$2:$B$375,0))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VARROC</t>
        </is>
      </c>
      <c r="D229" s="30" t="inlineStr">
        <is>
          <t>Varroc Engineering Ltd</t>
        </is>
      </c>
      <c r="E229" s="30" t="inlineStr">
        <is>
          <t>auto</t>
        </is>
      </c>
      <c r="F229" s="30" t="inlineStr">
        <is>
          <t>auto ancillaries</t>
        </is>
      </c>
      <c r="G229" s="30" t="inlineStr">
        <is>
          <t>midcap</t>
        </is>
      </c>
      <c r="H229" s="31" t="n">
        <v>12866.91</v>
      </c>
      <c r="I229" s="31" t="n">
        <v>836.15</v>
      </c>
      <c r="J229" s="31" t="n">
        <v>-0.71</v>
      </c>
      <c r="K229" s="31" t="n">
        <v>467591</v>
      </c>
      <c r="L229" s="30" t="n">
        <v>80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80.73</v>
      </c>
      <c r="P229" s="31" t="n">
        <v>39.33</v>
      </c>
      <c r="Q229" s="31" t="n">
        <v>679.27</v>
      </c>
      <c r="R229" s="30" t="inlineStr">
        <is>
          <t>Near 52W High Breakout</t>
        </is>
      </c>
      <c r="S229" s="30" t="inlineStr">
        <is>
          <t>Nifty Auto</t>
        </is>
      </c>
      <c r="T229" s="31" t="n">
        <v>23.47</v>
      </c>
      <c r="U229" s="31" t="n">
        <v>55.9</v>
      </c>
      <c r="V229" s="31" t="n">
        <v>26.27</v>
      </c>
      <c r="W229" s="31" t="n">
        <v>24.76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Above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IF(B230=0,"",RANK(B230,$B$2:$B$375,0))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GULFOILLUB</t>
        </is>
      </c>
      <c r="D230" s="30" t="inlineStr">
        <is>
          <t>Gulf Oil Lubricants India Limited</t>
        </is>
      </c>
      <c r="E230" s="30" t="inlineStr">
        <is>
          <t>chemicals</t>
        </is>
      </c>
      <c r="F230" s="30" t="inlineStr">
        <is>
          <t>chemicals</t>
        </is>
      </c>
      <c r="G230" s="30" t="inlineStr">
        <is>
          <t>midcap</t>
        </is>
      </c>
      <c r="H230" s="31" t="n">
        <v>5891.51</v>
      </c>
      <c r="I230" s="31" t="n">
        <v>1181.2</v>
      </c>
      <c r="J230" s="31" t="n">
        <v>-0.72</v>
      </c>
      <c r="K230" s="31" t="n">
        <v>27354</v>
      </c>
      <c r="L230" s="30" t="n">
        <v>33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62.89</v>
      </c>
      <c r="P230" s="31" t="n">
        <v>19.81</v>
      </c>
      <c r="Q230" s="31" t="n">
        <v>971.66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-0.79</v>
      </c>
      <c r="U230" s="31" t="n">
        <v>5.93</v>
      </c>
      <c r="V230" s="31" t="n">
        <v>6.77</v>
      </c>
      <c r="W230" s="31" t="n">
        <v>7.14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IF(B231=0,"",RANK(B231,$B$2:$B$375,0))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MARINE</t>
        </is>
      </c>
      <c r="D231" s="30" t="inlineStr">
        <is>
          <t>Marine Electricals (India) Ltd</t>
        </is>
      </c>
      <c r="E231" s="30" t="inlineStr">
        <is>
          <t>industrials</t>
        </is>
      </c>
      <c r="F231" s="30" t="inlineStr">
        <is>
          <t>electric equipment</t>
        </is>
      </c>
      <c r="G231" s="30" t="inlineStr">
        <is>
          <t>smallcap</t>
        </is>
      </c>
      <c r="H231" s="31" t="n">
        <v>4893.86</v>
      </c>
      <c r="I231" s="31" t="n">
        <v>347</v>
      </c>
      <c r="J231" s="31" t="n">
        <v>-0.77</v>
      </c>
      <c r="K231" s="31" t="n">
        <v>870386</v>
      </c>
      <c r="L231" s="30" t="n">
        <v>90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73.03</v>
      </c>
      <c r="P231" s="31" t="n">
        <v>33.62</v>
      </c>
      <c r="Q231" s="31" t="n">
        <v>255.19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-0.79</v>
      </c>
      <c r="U231" s="31" t="n">
        <v>109.6</v>
      </c>
      <c r="V231" s="31" t="n">
        <v>111.28</v>
      </c>
      <c r="W231" s="31" t="n">
        <v>32.23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Negative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IF(B232=0,"",RANK(B232,$B$2:$B$375,0))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NAZARA</t>
        </is>
      </c>
      <c r="D232" s="30" t="inlineStr">
        <is>
          <t>Nazara Technologies Ltd</t>
        </is>
      </c>
      <c r="E232" s="30" t="inlineStr">
        <is>
          <t>i.t</t>
        </is>
      </c>
      <c r="F232" s="30" t="inlineStr">
        <is>
          <t>telecommunications - service provider</t>
        </is>
      </c>
      <c r="G232" s="30" t="inlineStr">
        <is>
          <t>midcap</t>
        </is>
      </c>
      <c r="H232" s="31" t="n">
        <v>13640.11</v>
      </c>
      <c r="I232" s="31" t="n">
        <v>352.2</v>
      </c>
      <c r="J232" s="31" t="n">
        <v>-0.9</v>
      </c>
      <c r="K232" s="31" t="n">
        <v>674988</v>
      </c>
      <c r="L232" s="30" t="n">
        <v>19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72.39</v>
      </c>
      <c r="P232" s="31" t="n">
        <v>19.55</v>
      </c>
      <c r="Q232" s="31" t="n">
        <v>285.8</v>
      </c>
      <c r="R232" s="30" t="inlineStr">
        <is>
          <t>Near 52W High Breakout</t>
        </is>
      </c>
      <c r="S232" s="30" t="inlineStr">
        <is>
          <t>Nifty IT</t>
        </is>
      </c>
      <c r="T232" s="31" t="n">
        <v>-10.05</v>
      </c>
      <c r="U232" s="31" t="n">
        <v>-0.41</v>
      </c>
      <c r="V232" s="31" t="n">
        <v>10.72</v>
      </c>
      <c r="W232" s="31" t="n">
        <v>4.34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Oligopoly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IF(B233=0,"",RANK(B233,$B$2:$B$375,0))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2" t="inlineStr">
        <is>
          <t>DMCC</t>
        </is>
      </c>
      <c r="D233" s="32" t="inlineStr">
        <is>
          <t>DMCC Speciality Chemicals Ltd</t>
        </is>
      </c>
      <c r="E233" s="30" t="inlineStr">
        <is>
          <t>chemicals</t>
        </is>
      </c>
      <c r="F233" s="30" t="inlineStr">
        <is>
          <t>chemicals</t>
        </is>
      </c>
      <c r="G233" s="30" t="inlineStr">
        <is>
          <t>smallcap</t>
        </is>
      </c>
      <c r="H233" s="31" t="n">
        <v>753.5599999999999</v>
      </c>
      <c r="I233" s="31" t="n">
        <v>299.3</v>
      </c>
      <c r="J233" s="31" t="n">
        <v>-0.9399999999999999</v>
      </c>
      <c r="K233" s="31" t="n">
        <v>120683</v>
      </c>
      <c r="L233" s="30" t="n">
        <v>1</v>
      </c>
      <c r="M233" s="30" t="inlineStr">
        <is>
          <t>Underperforming</t>
        </is>
      </c>
      <c r="N233" s="31">
        <f>IF(M233="Underperforming",-5,IF(L233&gt;=95,15,IF(L233&gt;=90,10,IF(L233&gt;=80,5,0))))</f>
        <v/>
      </c>
      <c r="O233" s="31" t="n">
        <v>60.33</v>
      </c>
      <c r="P233" s="31" t="n">
        <v>24.92</v>
      </c>
      <c r="Q233" s="31" t="n">
        <v>227.37</v>
      </c>
      <c r="R233" s="30" t="inlineStr">
        <is>
          <t>Volume Spike / Accumulation</t>
        </is>
      </c>
      <c r="S233" s="30" t="inlineStr">
        <is>
          <t>Nifty 50</t>
        </is>
      </c>
      <c r="T233" s="31" t="n">
        <v>-0.79</v>
      </c>
      <c r="U233" s="31" t="n">
        <v>-12.15</v>
      </c>
      <c r="V233" s="31" t="n">
        <v>-11.45</v>
      </c>
      <c r="W233" s="31" t="n">
        <v>-2.37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IF(B234=0,"",RANK(B234,$B$2:$B$375,0))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MMFL</t>
        </is>
      </c>
      <c r="D234" s="30" t="inlineStr">
        <is>
          <t>Mm Forgings Limited</t>
        </is>
      </c>
      <c r="E234" s="30" t="inlineStr">
        <is>
          <t>industrials</t>
        </is>
      </c>
      <c r="F234" s="30" t="inlineStr">
        <is>
          <t>castings &amp; forgings</t>
        </is>
      </c>
      <c r="G234" s="30" t="inlineStr">
        <is>
          <t>smallcap</t>
        </is>
      </c>
      <c r="H234" s="31" t="n">
        <v>3105.23</v>
      </c>
      <c r="I234" s="31" t="n">
        <v>636.85</v>
      </c>
      <c r="J234" s="31" t="n">
        <v>-0.98</v>
      </c>
      <c r="K234" s="31" t="n">
        <v>100275</v>
      </c>
      <c r="L234" s="30" t="n">
        <v>85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77.22</v>
      </c>
      <c r="P234" s="31" t="n">
        <v>21.15</v>
      </c>
      <c r="Q234" s="31" t="n">
        <v>499.69</v>
      </c>
      <c r="R234" s="30" t="inlineStr">
        <is>
          <t>Near 52W High Breakout</t>
        </is>
      </c>
      <c r="S234" s="30" t="inlineStr">
        <is>
          <t>Nifty 50</t>
        </is>
      </c>
      <c r="T234" s="31" t="n">
        <v>-0.79</v>
      </c>
      <c r="U234" s="31" t="n">
        <v>115.46</v>
      </c>
      <c r="V234" s="31" t="n">
        <v>117.19</v>
      </c>
      <c r="W234" s="31" t="n">
        <v>27.87</v>
      </c>
      <c r="X234" s="30" t="inlineStr">
        <is>
          <t>Cyclical in an Upturn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Above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More than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IF(B235=0,"",RANK(B235,$B$2:$B$375,0))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MOLDTECH</t>
        </is>
      </c>
      <c r="D235" s="30" t="inlineStr">
        <is>
          <t>Mold-tek Technologies Limited</t>
        </is>
      </c>
      <c r="E235" s="30" t="inlineStr">
        <is>
          <t>realty</t>
        </is>
      </c>
      <c r="F235" s="30" t="inlineStr">
        <is>
          <t>engineering - turnkey services</t>
        </is>
      </c>
      <c r="G235" s="30" t="inlineStr">
        <is>
          <t>smallcap</t>
        </is>
      </c>
      <c r="H235" s="31" t="n">
        <v>526.41</v>
      </c>
      <c r="I235" s="31" t="n">
        <v>180.65</v>
      </c>
      <c r="J235" s="31" t="n">
        <v>-1.15</v>
      </c>
      <c r="K235" s="31" t="n">
        <v>138008</v>
      </c>
      <c r="L235" s="30" t="n">
        <v>62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66.37</v>
      </c>
      <c r="P235" s="31" t="n">
        <v>27.71</v>
      </c>
      <c r="Q235" s="31" t="n">
        <v>138.04</v>
      </c>
      <c r="R235" s="30" t="inlineStr">
        <is>
          <t>Earnings / Momentum Support</t>
        </is>
      </c>
      <c r="S235" s="30" t="inlineStr">
        <is>
          <t>Nifty Realty</t>
        </is>
      </c>
      <c r="T235" s="31" t="n">
        <v>-6.4</v>
      </c>
      <c r="U235" s="31" t="n">
        <v>20.17</v>
      </c>
      <c r="V235" s="31" t="n">
        <v>28.38</v>
      </c>
      <c r="W235" s="31" t="n">
        <v>15.12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IF(B236=0,"",RANK(B236,$B$2:$B$375,0))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VMART</t>
        </is>
      </c>
      <c r="D236" s="30" t="inlineStr">
        <is>
          <t>V-mart Retail Limited</t>
        </is>
      </c>
      <c r="E236" s="30" t="inlineStr">
        <is>
          <t>consumer discretionary</t>
        </is>
      </c>
      <c r="F236" s="30" t="inlineStr">
        <is>
          <t>trading</t>
        </is>
      </c>
      <c r="G236" s="30" t="inlineStr">
        <is>
          <t>midcap</t>
        </is>
      </c>
      <c r="H236" s="31" t="n">
        <v>6480.78</v>
      </c>
      <c r="I236" s="31" t="n">
        <v>801.1</v>
      </c>
      <c r="J236" s="31" t="n">
        <v>-1.67</v>
      </c>
      <c r="K236" s="31" t="n">
        <v>98907</v>
      </c>
      <c r="L236" s="30" t="n">
        <v>37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62.43</v>
      </c>
      <c r="P236" s="31" t="n">
        <v>26.8</v>
      </c>
      <c r="Q236" s="31" t="n">
        <v>624.42</v>
      </c>
      <c r="R236" s="30" t="inlineStr">
        <is>
          <t>Earnings / Momentum Support</t>
        </is>
      </c>
      <c r="S236" s="30" t="inlineStr">
        <is>
          <t>Nifty 50</t>
        </is>
      </c>
      <c r="T236" s="31" t="n">
        <v>-0.79</v>
      </c>
      <c r="U236" s="31" t="n">
        <v>8.23</v>
      </c>
      <c r="V236" s="31" t="n">
        <v>9.09</v>
      </c>
      <c r="W236" s="31" t="n">
        <v>8.140000000000001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IF(B237=0,"",RANK(B237,$B$2:$B$375,0))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LUMAXTECH</t>
        </is>
      </c>
      <c r="D237" s="30" t="inlineStr">
        <is>
          <t>Lumax Auto Technologies Limited</t>
        </is>
      </c>
      <c r="E237" s="30" t="inlineStr">
        <is>
          <t>auto</t>
        </is>
      </c>
      <c r="F237" s="30" t="inlineStr">
        <is>
          <t>auto ancillaries</t>
        </is>
      </c>
      <c r="G237" s="30" t="inlineStr">
        <is>
          <t>midcap</t>
        </is>
      </c>
      <c r="H237" s="31" t="n">
        <v>14151.58</v>
      </c>
      <c r="I237" s="31" t="n">
        <v>2039.3</v>
      </c>
      <c r="J237" s="31" t="n">
        <v>-1.78</v>
      </c>
      <c r="K237" s="31" t="n">
        <v>1053290</v>
      </c>
      <c r="L237" s="30" t="n">
        <v>71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67.97</v>
      </c>
      <c r="P237" s="31" t="n">
        <v>14.45</v>
      </c>
      <c r="Q237" s="31" t="n">
        <v>1529.67</v>
      </c>
      <c r="R237" s="30" t="inlineStr">
        <is>
          <t>Volume Spike &amp; Near 52W High Breakout</t>
        </is>
      </c>
      <c r="S237" s="30" t="inlineStr">
        <is>
          <t>Nifty Auto</t>
        </is>
      </c>
      <c r="T237" s="31" t="n">
        <v>23.47</v>
      </c>
      <c r="U237" s="31" t="n">
        <v>98.16</v>
      </c>
      <c r="V237" s="31" t="n">
        <v>60.49</v>
      </c>
      <c r="W237" s="31" t="n">
        <v>18.7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Between 0.7 to 1.2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IF(B238=0,"",RANK(B238,$B$2:$B$375,0))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JGCHEM</t>
        </is>
      </c>
      <c r="D238" s="30" t="inlineStr">
        <is>
          <t>J.G.Chemicals Ltd</t>
        </is>
      </c>
      <c r="E238" s="30" t="inlineStr">
        <is>
          <t>chemicals</t>
        </is>
      </c>
      <c r="F238" s="30" t="inlineStr">
        <is>
          <t>chemicals</t>
        </is>
      </c>
      <c r="G238" s="30" t="inlineStr">
        <is>
          <t>smallcap</t>
        </is>
      </c>
      <c r="H238" s="31" t="n">
        <v>2438.74</v>
      </c>
      <c r="I238" s="31" t="n">
        <v>605.7</v>
      </c>
      <c r="J238" s="31" t="n">
        <v>-2.68</v>
      </c>
      <c r="K238" s="31" t="n">
        <v>555453</v>
      </c>
      <c r="L238" s="30" t="n">
        <v>67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77.61</v>
      </c>
      <c r="P238" s="31" t="n">
        <v>31.29</v>
      </c>
      <c r="Q238" s="31" t="n">
        <v>470.73</v>
      </c>
      <c r="R238" s="30" t="inlineStr">
        <is>
          <t>Volume Spike &amp; Near 52W High Breakout</t>
        </is>
      </c>
      <c r="S238" s="30" t="inlineStr">
        <is>
          <t>Nifty 50</t>
        </is>
      </c>
      <c r="T238" s="31" t="n">
        <v>-0.79</v>
      </c>
      <c r="U238" s="31" t="n">
        <v>19.19</v>
      </c>
      <c r="V238" s="31" t="n">
        <v>20.14</v>
      </c>
      <c r="W238" s="31" t="n">
        <v>17.03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Between 12 to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Between 50% to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IF(B239=0,"",RANK(B239,$B$2:$B$375,0))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UEL</t>
        </is>
      </c>
      <c r="D239" s="30" t="inlineStr">
        <is>
          <t>Ujaas Energy Ltd</t>
        </is>
      </c>
      <c r="E239" s="30" t="inlineStr">
        <is>
          <t>power &amp; utilities</t>
        </is>
      </c>
      <c r="F239" s="30" t="inlineStr">
        <is>
          <t>power generation and supply</t>
        </is>
      </c>
      <c r="G239" s="30" t="inlineStr">
        <is>
          <t>smallcap</t>
        </is>
      </c>
      <c r="H239" s="31" t="n">
        <v>3643.36</v>
      </c>
      <c r="I239" s="31" t="n">
        <v>259.47</v>
      </c>
      <c r="J239" s="31" t="n">
        <v>-5</v>
      </c>
      <c r="K239" s="31" t="n">
        <v>13502</v>
      </c>
      <c r="L239" s="30" t="n">
        <v>92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78.05</v>
      </c>
      <c r="P239" s="31" t="n">
        <v>15.59</v>
      </c>
      <c r="Q239" s="31" t="n">
        <v>186.57</v>
      </c>
      <c r="R239" s="30" t="inlineStr">
        <is>
          <t>Volume Spike &amp; Near 52W High Breakout</t>
        </is>
      </c>
      <c r="S239" s="30" t="inlineStr">
        <is>
          <t>Nifty IT</t>
        </is>
      </c>
      <c r="T239" s="31" t="n">
        <v>-10.05</v>
      </c>
      <c r="U239" s="31" t="n">
        <v>112.3</v>
      </c>
      <c r="V239" s="31" t="n">
        <v>136.02</v>
      </c>
      <c r="W239" s="31" t="n">
        <v>36.53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Above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IF(B240=0,"",RANK(B240,$B$2:$B$375,0))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GLAXO</t>
        </is>
      </c>
      <c r="D240" s="32" t="inlineStr">
        <is>
          <t>Glaxosmithkline Pharmaceuticals Limited</t>
        </is>
      </c>
      <c r="E240" s="30" t="inlineStr">
        <is>
          <t>healthcare</t>
        </is>
      </c>
      <c r="F240" s="30" t="inlineStr">
        <is>
          <t>pharmaceuticals - multinational</t>
        </is>
      </c>
      <c r="G240" s="30" t="inlineStr">
        <is>
          <t>largecap</t>
        </is>
      </c>
      <c r="H240" s="31" t="n">
        <v>44077.76</v>
      </c>
      <c r="I240" s="31" t="n">
        <v>2620.2</v>
      </c>
      <c r="J240" s="31" t="n">
        <v>0.7</v>
      </c>
      <c r="K240" s="31" t="n">
        <v>64718</v>
      </c>
      <c r="L240" s="30" t="n">
        <v>11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60.96</v>
      </c>
      <c r="P240" s="31" t="n">
        <v>20.48</v>
      </c>
      <c r="Q240" s="31" t="n">
        <v>2247.86</v>
      </c>
      <c r="R240" s="30" t="inlineStr">
        <is>
          <t>Near 52W High Breakout</t>
        </is>
      </c>
      <c r="S240" s="30" t="inlineStr">
        <is>
          <t>Nifty Pharma</t>
        </is>
      </c>
      <c r="T240" s="31" t="n">
        <v>20.81</v>
      </c>
      <c r="U240" s="31" t="n">
        <v>-2.99</v>
      </c>
      <c r="V240" s="31" t="n">
        <v>-19.7</v>
      </c>
      <c r="W240" s="31" t="n">
        <v>1.7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Annuity, Lower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Between 12 to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IF(B241=0,"",RANK(B241,$B$2:$B$375,0))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GLENMARK</t>
        </is>
      </c>
      <c r="D241" s="32" t="inlineStr">
        <is>
          <t>Glenmark Pharmaceuticals Limited</t>
        </is>
      </c>
      <c r="E241" s="30" t="inlineStr">
        <is>
          <t>healthcare</t>
        </is>
      </c>
      <c r="F241" s="30" t="inlineStr">
        <is>
          <t>pharmaceuticals - indian - bulk drugs &amp; formln</t>
        </is>
      </c>
      <c r="G241" s="30" t="inlineStr">
        <is>
          <t>largecap</t>
        </is>
      </c>
      <c r="H241" s="31" t="n">
        <v>64228.9</v>
      </c>
      <c r="I241" s="31" t="n">
        <v>2290</v>
      </c>
      <c r="J241" s="31" t="n">
        <v>0.62</v>
      </c>
      <c r="K241" s="31" t="n">
        <v>464575</v>
      </c>
      <c r="L241" s="30" t="n">
        <v>13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58.27</v>
      </c>
      <c r="P241" s="31" t="n">
        <v>17.99</v>
      </c>
      <c r="Q241" s="31" t="n">
        <v>1962.03</v>
      </c>
      <c r="R241" s="30" t="inlineStr">
        <is>
          <t>Near 52W High Breakout</t>
        </is>
      </c>
      <c r="S241" s="30" t="inlineStr">
        <is>
          <t>Nifty Pharma</t>
        </is>
      </c>
      <c r="T241" s="31" t="n">
        <v>20.81</v>
      </c>
      <c r="U241" s="31" t="n">
        <v>12.28</v>
      </c>
      <c r="V241" s="31" t="n">
        <v>-7.07</v>
      </c>
      <c r="W241" s="31" t="n">
        <v>2.33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Annuity, Lower One Time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IF(B242=0,"",RANK(B242,$B$2:$B$375,0))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3IINFOLTD</t>
        </is>
      </c>
      <c r="D242" s="30" t="inlineStr">
        <is>
          <t>3i Infotech Ltd</t>
        </is>
      </c>
      <c r="E242" s="30" t="inlineStr">
        <is>
          <t>i.t</t>
        </is>
      </c>
      <c r="F242" s="30" t="inlineStr">
        <is>
          <t>computers - software - medium / small</t>
        </is>
      </c>
      <c r="G242" s="30" t="inlineStr">
        <is>
          <t>smallcap</t>
        </is>
      </c>
      <c r="H242" s="31" t="n">
        <v>572.4299999999999</v>
      </c>
      <c r="I242" s="31" t="n">
        <v>27.47</v>
      </c>
      <c r="J242" s="31" t="n">
        <v>-0.47</v>
      </c>
      <c r="K242" s="31" t="n">
        <v>960631</v>
      </c>
      <c r="L242" s="30" t="n">
        <v>70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82.84999999999999</v>
      </c>
      <c r="P242" s="31" t="n">
        <v>39.86</v>
      </c>
      <c r="Q242" s="31" t="n">
        <v>22.39</v>
      </c>
      <c r="R242" s="30" t="inlineStr">
        <is>
          <t>Near 52W High Breakout</t>
        </is>
      </c>
      <c r="S242" s="30" t="inlineStr">
        <is>
          <t>Nifty IT</t>
        </is>
      </c>
      <c r="T242" s="31" t="n">
        <v>-10.05</v>
      </c>
      <c r="U242" s="31" t="n">
        <v>23.74</v>
      </c>
      <c r="V242" s="31" t="n">
        <v>37.56</v>
      </c>
      <c r="W242" s="31" t="n">
        <v>18.48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Annuity, Lower One Time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Above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IF(B243=0,"",RANK(B243,$B$2:$B$375,0))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ANTHEM</t>
        </is>
      </c>
      <c r="D243" s="32" t="inlineStr">
        <is>
          <t>Anthem Biosciences Ltd</t>
        </is>
      </c>
      <c r="E243" s="30" t="inlineStr">
        <is>
          <t>healthcare</t>
        </is>
      </c>
      <c r="F243" s="30" t="inlineStr">
        <is>
          <t>pharmaceuticals - indian - bulk drugs &amp; formln</t>
        </is>
      </c>
      <c r="G243" s="30" t="inlineStr">
        <is>
          <t>largecap</t>
        </is>
      </c>
      <c r="H243" s="31" t="n">
        <v>50234.2</v>
      </c>
      <c r="I243" s="31" t="n">
        <v>878.4</v>
      </c>
      <c r="J243" s="31" t="n">
        <v>-1.49</v>
      </c>
      <c r="K243" s="31" t="n">
        <v>425829</v>
      </c>
      <c r="L243" s="30" t="n">
        <v>19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69.68000000000001</v>
      </c>
      <c r="P243" s="31" t="n">
        <v>37.4</v>
      </c>
      <c r="Q243" s="31" t="n">
        <v>733.51</v>
      </c>
      <c r="R243" s="30" t="inlineStr">
        <is>
          <t>Near 52W High Breakout</t>
        </is>
      </c>
      <c r="S243" s="30" t="inlineStr">
        <is>
          <t>Nifty Pharma</t>
        </is>
      </c>
      <c r="T243" s="31" t="n">
        <v>20.81</v>
      </c>
      <c r="U243" s="31" t="n">
        <v>6.76</v>
      </c>
      <c r="V243" s="31" t="n">
        <v>-11.64</v>
      </c>
      <c r="W243" s="31" t="n">
        <v>4.46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IF(B244=0,"",RANK(B244,$B$2:$B$375,0))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UGARSUGAR</t>
        </is>
      </c>
      <c r="D244" s="30" t="inlineStr">
        <is>
          <t>The Ugar Sugar Works Limited</t>
        </is>
      </c>
      <c r="E244" s="30" t="inlineStr">
        <is>
          <t>fmcg</t>
        </is>
      </c>
      <c r="F244" s="30" t="inlineStr">
        <is>
          <t>sugar</t>
        </is>
      </c>
      <c r="G244" s="30" t="inlineStr">
        <is>
          <t>smallcap</t>
        </is>
      </c>
      <c r="H244" s="31" t="n">
        <v>511.99</v>
      </c>
      <c r="I244" s="31" t="n">
        <v>44.15</v>
      </c>
      <c r="J244" s="31" t="n">
        <v>-2.99</v>
      </c>
      <c r="K244" s="31" t="n">
        <v>219969</v>
      </c>
      <c r="L244" s="30" t="n">
        <v>8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60.94</v>
      </c>
      <c r="P244" s="31" t="n">
        <v>13.75</v>
      </c>
      <c r="Q244" s="31" t="n">
        <v>34.27</v>
      </c>
      <c r="R244" s="30" t="inlineStr">
        <is>
          <t>Near 52W High Breakout</t>
        </is>
      </c>
      <c r="S244" s="30" t="inlineStr">
        <is>
          <t>Nifty FMCG</t>
        </is>
      </c>
      <c r="T244" s="31" t="n">
        <v>-11.27</v>
      </c>
      <c r="U244" s="31" t="n">
        <v>-1.76</v>
      </c>
      <c r="V244" s="31" t="n">
        <v>10.72</v>
      </c>
      <c r="W244" s="31" t="n">
        <v>0.88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B2C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Annuity, Lower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Less than 1.5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IF(B245=0,"",RANK(B245,$B$2:$B$375,0))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DOLPHIN</t>
        </is>
      </c>
      <c r="D245" s="30" t="inlineStr">
        <is>
          <t>Dolphin Offshore Enterprises (India) Ltd</t>
        </is>
      </c>
      <c r="E245" s="30" t="inlineStr">
        <is>
          <t>energy</t>
        </is>
      </c>
      <c r="F245" s="30" t="inlineStr">
        <is>
          <t>oil drilling / allied services</t>
        </is>
      </c>
      <c r="G245" s="30" t="inlineStr">
        <is>
          <t>smallcap</t>
        </is>
      </c>
      <c r="H245" s="31" t="n">
        <v>1762.4</v>
      </c>
      <c r="I245" s="31" t="n">
        <v>494.35</v>
      </c>
      <c r="J245" s="31" t="n">
        <v>12.21</v>
      </c>
      <c r="K245" s="31" t="n">
        <v>654932</v>
      </c>
      <c r="L245" s="30" t="n">
        <v>32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70.34</v>
      </c>
      <c r="P245" s="31" t="n">
        <v>27.56</v>
      </c>
      <c r="Q245" s="31" t="n">
        <v>369.24</v>
      </c>
      <c r="R245" s="30" t="inlineStr">
        <is>
          <t>Volume Spike &amp; Near 52W High Breakout</t>
        </is>
      </c>
      <c r="S245" s="30" t="inlineStr">
        <is>
          <t>Nifty Energy</t>
        </is>
      </c>
      <c r="T245" s="31" t="n">
        <v>10</v>
      </c>
      <c r="U245" s="31" t="n">
        <v>11.88</v>
      </c>
      <c r="V245" s="31" t="n">
        <v>1.71</v>
      </c>
      <c r="W245" s="31" t="n">
        <v>6.93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Oligopoly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IF(B246=0,"",RANK(B246,$B$2:$B$375,0))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PITTIENG</t>
        </is>
      </c>
      <c r="D246" s="30" t="inlineStr">
        <is>
          <t>Pitti Engineering Ltd</t>
        </is>
      </c>
      <c r="E246" s="30" t="inlineStr">
        <is>
          <t>industrials</t>
        </is>
      </c>
      <c r="F246" s="30" t="inlineStr">
        <is>
          <t>engineering</t>
        </is>
      </c>
      <c r="G246" s="30" t="inlineStr">
        <is>
          <t>smallcap</t>
        </is>
      </c>
      <c r="H246" s="31" t="n">
        <v>3616.06</v>
      </c>
      <c r="I246" s="31" t="n">
        <v>1044.1</v>
      </c>
      <c r="J246" s="31" t="n">
        <v>8.720000000000001</v>
      </c>
      <c r="K246" s="31" t="n">
        <v>696512</v>
      </c>
      <c r="L246" s="30" t="n">
        <v>29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62.99</v>
      </c>
      <c r="P246" s="31" t="n">
        <v>6.42</v>
      </c>
      <c r="Q246" s="31" t="n">
        <v>824.08</v>
      </c>
      <c r="R246" s="30" t="inlineStr">
        <is>
          <t>Volume Spike &amp; Near 52W High Breakout</t>
        </is>
      </c>
      <c r="S246" s="30" t="inlineStr">
        <is>
          <t>Nifty Infra</t>
        </is>
      </c>
      <c r="T246" s="31" t="n">
        <v>3.79</v>
      </c>
      <c r="U246" s="31" t="n">
        <v>10.84</v>
      </c>
      <c r="V246" s="31" t="n">
        <v>6.79</v>
      </c>
      <c r="W246" s="31" t="n">
        <v>6.28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Less than 1.5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IF(B247=0,"",RANK(B247,$B$2:$B$375,0))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KRN</t>
        </is>
      </c>
      <c r="D247" s="30" t="inlineStr">
        <is>
          <t>KRN Heat Exchanger and Refrigeration Ltd</t>
        </is>
      </c>
      <c r="E247" s="30" t="inlineStr">
        <is>
          <t>industrials</t>
        </is>
      </c>
      <c r="F247" s="30" t="inlineStr">
        <is>
          <t>engineering</t>
        </is>
      </c>
      <c r="G247" s="30" t="inlineStr">
        <is>
          <t>midcap</t>
        </is>
      </c>
      <c r="H247" s="31" t="n">
        <v>8429.09</v>
      </c>
      <c r="I247" s="31" t="n">
        <v>1331.9</v>
      </c>
      <c r="J247" s="31" t="n">
        <v>3.43</v>
      </c>
      <c r="K247" s="31" t="n">
        <v>341240</v>
      </c>
      <c r="L247" s="30" t="n">
        <v>61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64.68000000000001</v>
      </c>
      <c r="P247" s="31" t="n">
        <v>28.54</v>
      </c>
      <c r="Q247" s="31" t="n">
        <v>960.13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-0.79</v>
      </c>
      <c r="U247" s="31" t="n">
        <v>56.14</v>
      </c>
      <c r="V247" s="31" t="n">
        <v>57.39</v>
      </c>
      <c r="W247" s="31" t="n">
        <v>14.91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Blue sky scenario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Between 1.5 to 2</t>
        </is>
      </c>
      <c r="BU247" s="30">
        <f>IF(BT247="Above 2",0,IF(BT247="Between 1.5 to 2",5,IF(BT247="Less than 1.5",10,0)))</f>
        <v/>
      </c>
      <c r="BV247" s="30" t="inlineStr">
        <is>
          <t>Negative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IF(B248=0,"",RANK(B248,$B$2:$B$375,0))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HINDALCO</t>
        </is>
      </c>
      <c r="D248" s="30" t="inlineStr">
        <is>
          <t>Hindalco Industries Limited</t>
        </is>
      </c>
      <c r="E248" s="30" t="inlineStr">
        <is>
          <t>metals &amp; mining</t>
        </is>
      </c>
      <c r="F248" s="30" t="inlineStr">
        <is>
          <t>aluminium and aluminium products</t>
        </is>
      </c>
      <c r="G248" s="30" t="inlineStr">
        <is>
          <t>largecap</t>
        </is>
      </c>
      <c r="H248" s="31" t="n">
        <v>235756.53</v>
      </c>
      <c r="I248" s="31" t="n">
        <v>1078.5</v>
      </c>
      <c r="J248" s="31" t="n">
        <v>2.8</v>
      </c>
      <c r="K248" s="31" t="n">
        <v>8786842</v>
      </c>
      <c r="L248" s="30" t="n">
        <v>45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63.15</v>
      </c>
      <c r="P248" s="31" t="n">
        <v>34.86</v>
      </c>
      <c r="Q248" s="31" t="n">
        <v>945.1900000000001</v>
      </c>
      <c r="R248" s="30" t="inlineStr">
        <is>
          <t>Near 52W High Breakout</t>
        </is>
      </c>
      <c r="S248" s="30" t="inlineStr">
        <is>
          <t>Nifty Metal</t>
        </is>
      </c>
      <c r="T248" s="31" t="n">
        <v>39.75</v>
      </c>
      <c r="U248" s="31" t="n">
        <v>57.48</v>
      </c>
      <c r="V248" s="31" t="n">
        <v>12.69</v>
      </c>
      <c r="W248" s="31" t="n">
        <v>10.43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Cyclical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Volatile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Between 0.7 to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IF(B249=0,"",RANK(B249,$B$2:$B$375,0))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ROSSTECH</t>
        </is>
      </c>
      <c r="D249" s="30" t="inlineStr">
        <is>
          <t>Rossell Techsys Ltd</t>
        </is>
      </c>
      <c r="E249" s="30" t="inlineStr">
        <is>
          <t>aerospace &amp; defence</t>
        </is>
      </c>
      <c r="F249" s="30" t="inlineStr">
        <is>
          <t>engineering</t>
        </is>
      </c>
      <c r="G249" s="30" t="inlineStr">
        <is>
          <t>smallcap</t>
        </is>
      </c>
      <c r="H249" s="31" t="n">
        <v>4020.89</v>
      </c>
      <c r="I249" s="31" t="n">
        <v>1089.5</v>
      </c>
      <c r="J249" s="31" t="n">
        <v>2.14</v>
      </c>
      <c r="K249" s="31" t="n">
        <v>183289</v>
      </c>
      <c r="L249" s="30" t="n">
        <v>68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62.88</v>
      </c>
      <c r="P249" s="31" t="n">
        <v>28.79</v>
      </c>
      <c r="Q249" s="31" t="n">
        <v>754.3099999999999</v>
      </c>
      <c r="R249" s="30" t="inlineStr">
        <is>
          <t>Near 52W High Breakout</t>
        </is>
      </c>
      <c r="S249" s="30" t="inlineStr">
        <is>
          <t>Nifty 50</t>
        </is>
      </c>
      <c r="T249" s="31" t="n">
        <v>-0.79</v>
      </c>
      <c r="U249" s="31" t="n">
        <v>78.44</v>
      </c>
      <c r="V249" s="31" t="n">
        <v>79.86</v>
      </c>
      <c r="W249" s="31" t="n">
        <v>17.23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More than 1.2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IF(B250=0,"",RANK(B250,$B$2:$B$375,0))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MMP</t>
        </is>
      </c>
      <c r="D250" s="32" t="inlineStr">
        <is>
          <t>MMP Industries Ltd</t>
        </is>
      </c>
      <c r="E250" s="30" t="inlineStr">
        <is>
          <t>metals &amp; mining</t>
        </is>
      </c>
      <c r="F250" s="30" t="inlineStr">
        <is>
          <t>aluminium and aluminium products</t>
        </is>
      </c>
      <c r="G250" s="30" t="inlineStr">
        <is>
          <t>smallcap</t>
        </is>
      </c>
      <c r="H250" s="31" t="n">
        <v>639.8099999999999</v>
      </c>
      <c r="I250" s="31" t="n">
        <v>345.2</v>
      </c>
      <c r="J250" s="31" t="n">
        <v>2.08</v>
      </c>
      <c r="K250" s="31" t="n">
        <v>48700</v>
      </c>
      <c r="L250" s="30" t="n">
        <v>57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71.54000000000001</v>
      </c>
      <c r="P250" s="31" t="n">
        <v>38.26</v>
      </c>
      <c r="Q250" s="31" t="n">
        <v>262.22</v>
      </c>
      <c r="R250" s="30" t="inlineStr">
        <is>
          <t>Volume Spike &amp; Near 52W High Breakout</t>
        </is>
      </c>
      <c r="S250" s="30" t="inlineStr">
        <is>
          <t>Nifty Metal</t>
        </is>
      </c>
      <c r="T250" s="31" t="n">
        <v>39.75</v>
      </c>
      <c r="U250" s="31" t="n">
        <v>27.61</v>
      </c>
      <c r="V250" s="31" t="n">
        <v>-8.68</v>
      </c>
      <c r="W250" s="31" t="n">
        <v>13.63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Cyclical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Volatile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IF(B251=0,"",RANK(B251,$B$2:$B$375,0))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TTKHLTCARE</t>
        </is>
      </c>
      <c r="D251" s="32" t="inlineStr">
        <is>
          <t>Ttk Healthcare Limited</t>
        </is>
      </c>
      <c r="E251" s="30" t="inlineStr">
        <is>
          <t>miscellaneous</t>
        </is>
      </c>
      <c r="F251" s="30" t="inlineStr">
        <is>
          <t>diversified - medium / small</t>
        </is>
      </c>
      <c r="G251" s="30" t="inlineStr">
        <is>
          <t>smallcap</t>
        </is>
      </c>
      <c r="H251" s="31" t="n">
        <v>1533.57</v>
      </c>
      <c r="I251" s="31" t="n">
        <v>1103.4</v>
      </c>
      <c r="J251" s="31" t="n">
        <v>1.67</v>
      </c>
      <c r="K251" s="31" t="n">
        <v>33426</v>
      </c>
      <c r="L251" s="30" t="n">
        <v>25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67.23999999999999</v>
      </c>
      <c r="P251" s="31" t="n">
        <v>18.85</v>
      </c>
      <c r="Q251" s="31" t="n">
        <v>851.39</v>
      </c>
      <c r="R251" s="30" t="inlineStr">
        <is>
          <t>Earnings / Momentum Support</t>
        </is>
      </c>
      <c r="S251" s="30" t="inlineStr">
        <is>
          <t>Nifty 50</t>
        </is>
      </c>
      <c r="T251" s="31" t="n">
        <v>-0.79</v>
      </c>
      <c r="U251" s="31" t="n">
        <v>-1.43</v>
      </c>
      <c r="V251" s="31" t="n">
        <v>-0.64</v>
      </c>
      <c r="W251" s="31" t="n">
        <v>5.44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Less than 1.5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IF(B252=0,"",RANK(B252,$B$2:$B$375,0))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ABB</t>
        </is>
      </c>
      <c r="D252" s="30" t="inlineStr">
        <is>
          <t>Abb India Limited</t>
        </is>
      </c>
      <c r="E252" s="30" t="inlineStr">
        <is>
          <t>industrials</t>
        </is>
      </c>
      <c r="F252" s="30" t="inlineStr">
        <is>
          <t>electric equipment</t>
        </is>
      </c>
      <c r="G252" s="30" t="inlineStr">
        <is>
          <t>largecap</t>
        </is>
      </c>
      <c r="H252" s="31" t="n">
        <v>161294.06</v>
      </c>
      <c r="I252" s="31" t="n">
        <v>7710</v>
      </c>
      <c r="J252" s="31" t="n">
        <v>1.29</v>
      </c>
      <c r="K252" s="31" t="n">
        <v>224512</v>
      </c>
      <c r="L252" s="30" t="n">
        <v>58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65.14</v>
      </c>
      <c r="P252" s="31" t="n">
        <v>29.29</v>
      </c>
      <c r="Q252" s="31" t="n">
        <v>6285.73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-0.79</v>
      </c>
      <c r="U252" s="31" t="n">
        <v>55.72</v>
      </c>
      <c r="V252" s="31" t="n">
        <v>56.96</v>
      </c>
      <c r="W252" s="31" t="n">
        <v>14.1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IF(B253=0,"",RANK(B253,$B$2:$B$375,0))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RBA</t>
        </is>
      </c>
      <c r="D253" s="30" t="inlineStr">
        <is>
          <t>Restaurant Brands Asia Ltd</t>
        </is>
      </c>
      <c r="E253" s="30" t="inlineStr">
        <is>
          <t>consumer discretionary</t>
        </is>
      </c>
      <c r="F253" s="30" t="inlineStr">
        <is>
          <t>hotels</t>
        </is>
      </c>
      <c r="G253" s="30" t="inlineStr">
        <is>
          <t>midcap</t>
        </is>
      </c>
      <c r="H253" s="31" t="n">
        <v>6594.08</v>
      </c>
      <c r="I253" s="31" t="n">
        <v>93.81999999999999</v>
      </c>
      <c r="J253" s="31" t="n">
        <v>1.26</v>
      </c>
      <c r="K253" s="31" t="n">
        <v>5706033</v>
      </c>
      <c r="L253" s="30" t="n">
        <v>55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71.91</v>
      </c>
      <c r="P253" s="31" t="n">
        <v>27.97</v>
      </c>
      <c r="Q253" s="31" t="n">
        <v>76.23999999999999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-0.79</v>
      </c>
      <c r="U253" s="31" t="n">
        <v>19.08</v>
      </c>
      <c r="V253" s="31" t="n">
        <v>20.03</v>
      </c>
      <c r="W253" s="31" t="n">
        <v>12.88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More than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IF(B254=0,"",RANK(B254,$B$2:$B$375,0))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HEROMOTOCO</t>
        </is>
      </c>
      <c r="D254" s="30" t="inlineStr">
        <is>
          <t>Hero Motocorp Limited</t>
        </is>
      </c>
      <c r="E254" s="30" t="inlineStr">
        <is>
          <t>auto</t>
        </is>
      </c>
      <c r="F254" s="30" t="inlineStr">
        <is>
          <t>automobiles - motorcycles / mopeds</t>
        </is>
      </c>
      <c r="G254" s="30" t="inlineStr">
        <is>
          <t>largecap</t>
        </is>
      </c>
      <c r="H254" s="31" t="n">
        <v>117364.51</v>
      </c>
      <c r="I254" s="31" t="n">
        <v>5895</v>
      </c>
      <c r="J254" s="31" t="n">
        <v>0.5</v>
      </c>
      <c r="K254" s="31" t="n">
        <v>996651</v>
      </c>
      <c r="L254" s="30" t="n">
        <v>53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67</v>
      </c>
      <c r="P254" s="31" t="n">
        <v>11.49</v>
      </c>
      <c r="Q254" s="31" t="n">
        <v>5020.71</v>
      </c>
      <c r="R254" s="30" t="inlineStr">
        <is>
          <t>Near 52W High Breakout</t>
        </is>
      </c>
      <c r="S254" s="30" t="inlineStr">
        <is>
          <t>Nifty Auto</t>
        </is>
      </c>
      <c r="T254" s="31" t="n">
        <v>23.47</v>
      </c>
      <c r="U254" s="31" t="n">
        <v>44.14</v>
      </c>
      <c r="V254" s="31" t="n">
        <v>16.74</v>
      </c>
      <c r="W254" s="31" t="n">
        <v>12.64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Blue sky scenario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IF(B255=0,"",RANK(B255,$B$2:$B$375,0))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MBAPL</t>
        </is>
      </c>
      <c r="D255" s="30" t="inlineStr">
        <is>
          <t>Madhya Bharat Agro Products Ltd</t>
        </is>
      </c>
      <c r="E255" s="30" t="inlineStr">
        <is>
          <t>chemicals</t>
        </is>
      </c>
      <c r="F255" s="30" t="inlineStr">
        <is>
          <t>fertilizers</t>
        </is>
      </c>
      <c r="G255" s="30" t="inlineStr">
        <is>
          <t>smallcap</t>
        </is>
      </c>
      <c r="H255" s="31" t="n">
        <v>1450.14</v>
      </c>
      <c r="I255" s="31" t="n">
        <v>165.75</v>
      </c>
      <c r="J255" s="31" t="n">
        <v>0.16</v>
      </c>
      <c r="K255" s="31" t="n">
        <v>582352</v>
      </c>
      <c r="L255" s="30" t="n">
        <v>84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81.11</v>
      </c>
      <c r="P255" s="31" t="n">
        <v>65.77</v>
      </c>
      <c r="Q255" s="31" t="n">
        <v>132.22</v>
      </c>
      <c r="R255" s="30" t="inlineStr">
        <is>
          <t>Near 52W High Breakout</t>
        </is>
      </c>
      <c r="S255" s="30" t="inlineStr">
        <is>
          <t>Nifty 50</t>
        </is>
      </c>
      <c r="T255" s="31" t="n">
        <v>-0.79</v>
      </c>
      <c r="U255" s="31" t="n">
        <v>96.76000000000001</v>
      </c>
      <c r="V255" s="31" t="n">
        <v>98.34</v>
      </c>
      <c r="W255" s="31" t="n">
        <v>27.16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Above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Between 12 to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IF(B256=0,"",RANK(B256,$B$2:$B$375,0))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3MINDIA</t>
        </is>
      </c>
      <c r="D256" s="30" t="inlineStr">
        <is>
          <t>3m India Limited</t>
        </is>
      </c>
      <c r="E256" s="30" t="inlineStr">
        <is>
          <t>miscellaneous</t>
        </is>
      </c>
      <c r="F256" s="30" t="inlineStr">
        <is>
          <t>diversified - large</t>
        </is>
      </c>
      <c r="G256" s="30" t="inlineStr">
        <is>
          <t>largecap</t>
        </is>
      </c>
      <c r="H256" s="31" t="n">
        <v>40683.8</v>
      </c>
      <c r="I256" s="31" t="n">
        <v>35935</v>
      </c>
      <c r="J256" s="31" t="n">
        <v>-0.5</v>
      </c>
      <c r="K256" s="31" t="n">
        <v>2637</v>
      </c>
      <c r="L256" s="30" t="n">
        <v>35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61.23</v>
      </c>
      <c r="P256" s="31" t="n">
        <v>17.1</v>
      </c>
      <c r="Q256" s="31" t="n">
        <v>30601.21</v>
      </c>
      <c r="R256" s="30" t="inlineStr">
        <is>
          <t>Near 52W High Breakout</t>
        </is>
      </c>
      <c r="S256" s="30" t="inlineStr">
        <is>
          <t>Nifty 50</t>
        </is>
      </c>
      <c r="T256" s="31" t="n">
        <v>-0.79</v>
      </c>
      <c r="U256" s="31" t="n">
        <v>20.12</v>
      </c>
      <c r="V256" s="31" t="n">
        <v>21.08</v>
      </c>
      <c r="W256" s="31" t="n">
        <v>7.69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Between 50% to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IF(B257=0,"",RANK(B257,$B$2:$B$375,0))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LUMAXIND</t>
        </is>
      </c>
      <c r="D257" s="30" t="inlineStr">
        <is>
          <t>Lumax Industries Limited</t>
        </is>
      </c>
      <c r="E257" s="30" t="inlineStr">
        <is>
          <t>auto</t>
        </is>
      </c>
      <c r="F257" s="30" t="inlineStr">
        <is>
          <t>auto ancillaries</t>
        </is>
      </c>
      <c r="G257" s="30" t="inlineStr">
        <is>
          <t>midcap</t>
        </is>
      </c>
      <c r="H257" s="31" t="n">
        <v>5605.37</v>
      </c>
      <c r="I257" s="31" t="n">
        <v>5966</v>
      </c>
      <c r="J257" s="31" t="n">
        <v>-0.51</v>
      </c>
      <c r="K257" s="31" t="n">
        <v>39065</v>
      </c>
      <c r="L257" s="30" t="n">
        <v>57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61.75</v>
      </c>
      <c r="P257" s="31" t="n">
        <v>10.82</v>
      </c>
      <c r="Q257" s="31" t="n">
        <v>4508.87</v>
      </c>
      <c r="R257" s="30" t="inlineStr">
        <is>
          <t>Volume Spike &amp; Near 52W High Breakout</t>
        </is>
      </c>
      <c r="S257" s="30" t="inlineStr">
        <is>
          <t>Nifty Auto</t>
        </is>
      </c>
      <c r="T257" s="31" t="n">
        <v>23.47</v>
      </c>
      <c r="U257" s="31" t="n">
        <v>58.78</v>
      </c>
      <c r="V257" s="31" t="n">
        <v>28.6</v>
      </c>
      <c r="W257" s="31" t="n">
        <v>13.76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Headwind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Blue sky scenario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Between 0.7 to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IF(B258=0,"",RANK(B258,$B$2:$B$375,0))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RACLGEAR</t>
        </is>
      </c>
      <c r="D258" s="30" t="inlineStr">
        <is>
          <t>RACL Geartech Ltd</t>
        </is>
      </c>
      <c r="E258" s="30" t="inlineStr">
        <is>
          <t>auto</t>
        </is>
      </c>
      <c r="F258" s="30" t="inlineStr">
        <is>
          <t>auto ancillaries</t>
        </is>
      </c>
      <c r="G258" s="30" t="inlineStr">
        <is>
          <t>smallcap</t>
        </is>
      </c>
      <c r="H258" s="31" t="n">
        <v>1673.67</v>
      </c>
      <c r="I258" s="31" t="n">
        <v>1411.5</v>
      </c>
      <c r="J258" s="31" t="n">
        <v>-0.58</v>
      </c>
      <c r="K258" s="31" t="n">
        <v>20472</v>
      </c>
      <c r="L258" s="30" t="n">
        <v>48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56.24</v>
      </c>
      <c r="P258" s="31" t="n">
        <v>49.42</v>
      </c>
      <c r="Q258" s="31" t="n">
        <v>1012.59</v>
      </c>
      <c r="R258" s="30" t="inlineStr">
        <is>
          <t>Earnings / Momentum Support</t>
        </is>
      </c>
      <c r="S258" s="30" t="inlineStr">
        <is>
          <t>Nifty Auto</t>
        </is>
      </c>
      <c r="T258" s="31" t="n">
        <v>23.47</v>
      </c>
      <c r="U258" s="31" t="n">
        <v>41.16</v>
      </c>
      <c r="V258" s="31" t="n">
        <v>14.33</v>
      </c>
      <c r="W258" s="31" t="n">
        <v>11.13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Headwind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Above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IF(B259=0,"",RANK(B259,$B$2:$B$375,0))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SOTL</t>
        </is>
      </c>
      <c r="D259" s="30" t="inlineStr">
        <is>
          <t>Savita Oil Technologies Limited</t>
        </is>
      </c>
      <c r="E259" s="30" t="inlineStr">
        <is>
          <t>energy</t>
        </is>
      </c>
      <c r="F259" s="30" t="inlineStr">
        <is>
          <t>petrochemicals</t>
        </is>
      </c>
      <c r="G259" s="30" t="inlineStr">
        <is>
          <t>smallcap</t>
        </is>
      </c>
      <c r="H259" s="31" t="n">
        <v>4799.57</v>
      </c>
      <c r="I259" s="31" t="n">
        <v>695.9</v>
      </c>
      <c r="J259" s="31" t="n">
        <v>-0.59</v>
      </c>
      <c r="K259" s="31" t="n">
        <v>308529</v>
      </c>
      <c r="L259" s="30" t="n">
        <v>91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65.48</v>
      </c>
      <c r="P259" s="31" t="n">
        <v>50.07</v>
      </c>
      <c r="Q259" s="31" t="n">
        <v>544.23</v>
      </c>
      <c r="R259" s="30" t="inlineStr">
        <is>
          <t>Earnings / Momentum Support</t>
        </is>
      </c>
      <c r="S259" s="30" t="inlineStr">
        <is>
          <t>Nifty Energy</t>
        </is>
      </c>
      <c r="T259" s="31" t="n">
        <v>10</v>
      </c>
      <c r="U259" s="31" t="n">
        <v>73.95999999999999</v>
      </c>
      <c r="V259" s="31" t="n">
        <v>58.14</v>
      </c>
      <c r="W259" s="31" t="n">
        <v>34.58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Oligopoly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Cyclical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Volatile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Above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IF(B260=0,"",RANK(B260,$B$2:$B$375,0))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RAYMOND</t>
        </is>
      </c>
      <c r="D260" s="32" t="inlineStr">
        <is>
          <t>Raymond Limited</t>
        </is>
      </c>
      <c r="E260" s="30" t="inlineStr">
        <is>
          <t>transportation</t>
        </is>
      </c>
      <c r="F260" s="30" t="inlineStr">
        <is>
          <t>transport - airlines</t>
        </is>
      </c>
      <c r="G260" s="30" t="inlineStr">
        <is>
          <t>smallcap</t>
        </is>
      </c>
      <c r="H260" s="31" t="n">
        <v>4156.2</v>
      </c>
      <c r="I260" s="31" t="n">
        <v>618.95</v>
      </c>
      <c r="J260" s="31" t="n">
        <v>-0.86</v>
      </c>
      <c r="K260" s="31" t="n">
        <v>717601</v>
      </c>
      <c r="L260" s="30" t="n">
        <v>42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62.04</v>
      </c>
      <c r="P260" s="31" t="n">
        <v>39.68</v>
      </c>
      <c r="Q260" s="31" t="n">
        <v>483.21</v>
      </c>
      <c r="R260" s="30" t="inlineStr">
        <is>
          <t>Near 52W High Breakout</t>
        </is>
      </c>
      <c r="S260" s="30" t="inlineStr">
        <is>
          <t>Nifty 500</t>
        </is>
      </c>
      <c r="T260" s="31" t="n">
        <v>4.37</v>
      </c>
      <c r="U260" s="31" t="n">
        <v>1.14</v>
      </c>
      <c r="V260" s="31" t="n">
        <v>-3.1</v>
      </c>
      <c r="W260" s="31" t="n">
        <v>9.68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IF(B261=0,"",RANK(B261,$B$2:$B$375,0))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SUMICHEM</t>
        </is>
      </c>
      <c r="D261" s="32" t="inlineStr">
        <is>
          <t>Sumitomo Chemical India Ltd</t>
        </is>
      </c>
      <c r="E261" s="30" t="inlineStr">
        <is>
          <t>chemicals</t>
        </is>
      </c>
      <c r="F261" s="30" t="inlineStr">
        <is>
          <t>pesticides / agrochemicals - indian</t>
        </is>
      </c>
      <c r="G261" s="30" t="inlineStr">
        <is>
          <t>largecap</t>
        </is>
      </c>
      <c r="H261" s="31" t="n">
        <v>27857.32</v>
      </c>
      <c r="I261" s="31" t="n">
        <v>547.35</v>
      </c>
      <c r="J261" s="31" t="n">
        <v>-1.93</v>
      </c>
      <c r="K261" s="31" t="n">
        <v>354667</v>
      </c>
      <c r="L261" s="30" t="n">
        <v>17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63.02</v>
      </c>
      <c r="P261" s="31" t="n">
        <v>32.95</v>
      </c>
      <c r="Q261" s="31" t="n">
        <v>424.87</v>
      </c>
      <c r="R261" s="30" t="inlineStr">
        <is>
          <t>Earnings / Momentum Support</t>
        </is>
      </c>
      <c r="S261" s="30" t="inlineStr">
        <is>
          <t>Nifty 50</t>
        </is>
      </c>
      <c r="T261" s="31" t="n">
        <v>-0.79</v>
      </c>
      <c r="U261" s="31" t="n">
        <v>-6.44</v>
      </c>
      <c r="V261" s="31" t="n">
        <v>-5.69</v>
      </c>
      <c r="W261" s="31" t="n">
        <v>3.75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IF(B262=0,"",RANK(B262,$B$2:$B$375,0))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INDOTECH</t>
        </is>
      </c>
      <c r="D262" s="30" t="inlineStr">
        <is>
          <t>Indo Tech Transformers Limited</t>
        </is>
      </c>
      <c r="E262" s="30" t="inlineStr">
        <is>
          <t>industrials</t>
        </is>
      </c>
      <c r="F262" s="30" t="inlineStr">
        <is>
          <t>electric equipment</t>
        </is>
      </c>
      <c r="G262" s="30" t="inlineStr">
        <is>
          <t>smallcap</t>
        </is>
      </c>
      <c r="H262" s="31" t="n">
        <v>3956.16</v>
      </c>
      <c r="I262" s="31" t="n">
        <v>3539</v>
      </c>
      <c r="J262" s="31" t="n">
        <v>-5</v>
      </c>
      <c r="K262" s="31" t="n">
        <v>40977</v>
      </c>
      <c r="L262" s="30" t="n">
        <v>89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70.45999999999999</v>
      </c>
      <c r="P262" s="31" t="n">
        <v>49.93</v>
      </c>
      <c r="Q262" s="31" t="n">
        <v>2821.63</v>
      </c>
      <c r="R262" s="30" t="inlineStr">
        <is>
          <t>Earnings / Momentum Support</t>
        </is>
      </c>
      <c r="S262" s="30" t="inlineStr">
        <is>
          <t>Nifty Infra</t>
        </is>
      </c>
      <c r="T262" s="31" t="n">
        <v>3.79</v>
      </c>
      <c r="U262" s="31" t="n">
        <v>91.01000000000001</v>
      </c>
      <c r="V262" s="31" t="n">
        <v>84.04000000000001</v>
      </c>
      <c r="W262" s="31" t="n">
        <v>30.84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Above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Between 12 to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IF(B263=0,"",RANK(B263,$B$2:$B$375,0))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TI</t>
        </is>
      </c>
      <c r="D263" s="30" t="inlineStr">
        <is>
          <t>Tilaknagar Industries Limited</t>
        </is>
      </c>
      <c r="E263" s="30" t="inlineStr">
        <is>
          <t>fmcg</t>
        </is>
      </c>
      <c r="F263" s="30" t="inlineStr">
        <is>
          <t>breweries &amp; distilleries</t>
        </is>
      </c>
      <c r="G263" s="30" t="inlineStr">
        <is>
          <t>midcap</t>
        </is>
      </c>
      <c r="H263" s="31" t="n">
        <v>12887.2</v>
      </c>
      <c r="I263" s="31" t="n">
        <v>530.9</v>
      </c>
      <c r="J263" s="31" t="n">
        <v>1.95</v>
      </c>
      <c r="K263" s="31" t="n">
        <v>1733388</v>
      </c>
      <c r="L263" s="30" t="n">
        <v>25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68.29000000000001</v>
      </c>
      <c r="P263" s="31" t="n">
        <v>9.6</v>
      </c>
      <c r="Q263" s="31" t="n">
        <v>429.74</v>
      </c>
      <c r="R263" s="30" t="inlineStr">
        <is>
          <t>Volume Spike &amp; Near 52W High Breakout</t>
        </is>
      </c>
      <c r="S263" s="30" t="inlineStr">
        <is>
          <t>Nifty FMCG</t>
        </is>
      </c>
      <c r="T263" s="31" t="n">
        <v>-11.27</v>
      </c>
      <c r="U263" s="31" t="n">
        <v>6.97</v>
      </c>
      <c r="V263" s="31" t="n">
        <v>20.55</v>
      </c>
      <c r="W263" s="31" t="n">
        <v>5.55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B2C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Annuity, Lower One Time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IF(B264=0,"",RANK(B264,$B$2:$B$375,0))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ONEPOINT</t>
        </is>
      </c>
      <c r="D264" s="30" t="inlineStr">
        <is>
          <t>One Point One Solutions Ltd</t>
        </is>
      </c>
      <c r="E264" s="30" t="inlineStr">
        <is>
          <t>i.t</t>
        </is>
      </c>
      <c r="F264" s="30" t="inlineStr">
        <is>
          <t>computers - software - medium / small</t>
        </is>
      </c>
      <c r="G264" s="30" t="inlineStr">
        <is>
          <t>smallcap</t>
        </is>
      </c>
      <c r="H264" s="31" t="n">
        <v>1547.91</v>
      </c>
      <c r="I264" s="31" t="n">
        <v>59.99</v>
      </c>
      <c r="J264" s="31" t="n">
        <v>1.9</v>
      </c>
      <c r="K264" s="31" t="n">
        <v>1859092</v>
      </c>
      <c r="L264" s="30" t="n">
        <v>24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58.63</v>
      </c>
      <c r="P264" s="31" t="n">
        <v>18.37</v>
      </c>
      <c r="Q264" s="31" t="n">
        <v>48.44</v>
      </c>
      <c r="R264" s="30" t="inlineStr">
        <is>
          <t>Near 52W High Breakout</t>
        </is>
      </c>
      <c r="S264" s="30" t="inlineStr">
        <is>
          <t>Nifty IT</t>
        </is>
      </c>
      <c r="T264" s="31" t="n">
        <v>-10.05</v>
      </c>
      <c r="U264" s="31" t="n">
        <v>28.82</v>
      </c>
      <c r="V264" s="31" t="n">
        <v>43.21</v>
      </c>
      <c r="W264" s="31" t="n">
        <v>5.43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Annuity, Lower One Time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Between 12 to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IF(B265=0,"",RANK(B265,$B$2:$B$375,0))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POLYMED</t>
        </is>
      </c>
      <c r="D265" s="32" t="inlineStr">
        <is>
          <t>Poly Medicure Limited</t>
        </is>
      </c>
      <c r="E265" s="30" t="inlineStr">
        <is>
          <t>healthcare</t>
        </is>
      </c>
      <c r="F265" s="30" t="inlineStr">
        <is>
          <t>healthcare</t>
        </is>
      </c>
      <c r="G265" s="30" t="inlineStr">
        <is>
          <t>midcap</t>
        </is>
      </c>
      <c r="H265" s="31" t="n">
        <v>18892.4</v>
      </c>
      <c r="I265" s="31" t="n">
        <v>1869.4</v>
      </c>
      <c r="J265" s="31" t="n">
        <v>0.3</v>
      </c>
      <c r="K265" s="31" t="n">
        <v>219951</v>
      </c>
      <c r="L265" s="30" t="n">
        <v>32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64.41</v>
      </c>
      <c r="P265" s="31" t="n">
        <v>21.31</v>
      </c>
      <c r="Q265" s="31" t="n">
        <v>1418.13</v>
      </c>
      <c r="R265" s="30" t="inlineStr">
        <is>
          <t>Volume Spike / Accumulation</t>
        </is>
      </c>
      <c r="S265" s="30" t="inlineStr">
        <is>
          <t>Nifty Pharma</t>
        </is>
      </c>
      <c r="T265" s="31" t="n">
        <v>20.81</v>
      </c>
      <c r="U265" s="31" t="n">
        <v>-1.56</v>
      </c>
      <c r="V265" s="31" t="n">
        <v>-18.52</v>
      </c>
      <c r="W265" s="31" t="n">
        <v>6.87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Annuity, Lower One Time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IF(B266=0,"",RANK(B266,$B$2:$B$375,0))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AVADHSUGAR</t>
        </is>
      </c>
      <c r="D266" s="30" t="inlineStr">
        <is>
          <t>Avadh Sugar &amp; Energy</t>
        </is>
      </c>
      <c r="E266" s="30" t="inlineStr">
        <is>
          <t>fmcg</t>
        </is>
      </c>
      <c r="F266" s="30" t="inlineStr">
        <is>
          <t>sugar</t>
        </is>
      </c>
      <c r="G266" s="30" t="inlineStr">
        <is>
          <t>smallcap</t>
        </is>
      </c>
      <c r="H266" s="31" t="n">
        <v>1270.77</v>
      </c>
      <c r="I266" s="31" t="n">
        <v>626.95</v>
      </c>
      <c r="J266" s="31" t="n">
        <v>-1.24</v>
      </c>
      <c r="K266" s="31" t="n">
        <v>38188</v>
      </c>
      <c r="L266" s="30" t="n">
        <v>65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76.64</v>
      </c>
      <c r="P266" s="31" t="n">
        <v>37.53</v>
      </c>
      <c r="Q266" s="31" t="n">
        <v>477.58</v>
      </c>
      <c r="R266" s="30" t="inlineStr">
        <is>
          <t>Near 52W High Breakout</t>
        </is>
      </c>
      <c r="S266" s="30" t="inlineStr">
        <is>
          <t>Nifty FMCG</t>
        </is>
      </c>
      <c r="T266" s="31" t="n">
        <v>-11.27</v>
      </c>
      <c r="U266" s="31" t="n">
        <v>37.6</v>
      </c>
      <c r="V266" s="31" t="n">
        <v>55.08</v>
      </c>
      <c r="W266" s="31" t="n">
        <v>16.15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B2C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Annuity, Lower One Time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Above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More than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IF(B267=0,"",RANK(B267,$B$2:$B$375,0))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RAMRAT</t>
        </is>
      </c>
      <c r="D267" s="32" t="inlineStr">
        <is>
          <t>Ram Ratna Wires Ltd</t>
        </is>
      </c>
      <c r="E267" s="30" t="inlineStr">
        <is>
          <t>metals &amp; mining</t>
        </is>
      </c>
      <c r="F267" s="30" t="inlineStr">
        <is>
          <t>mining / minerals / metals</t>
        </is>
      </c>
      <c r="G267" s="30" t="inlineStr">
        <is>
          <t>smallcap</t>
        </is>
      </c>
      <c r="H267" s="31" t="n">
        <v>4196.04</v>
      </c>
      <c r="I267" s="31" t="n">
        <v>473.95</v>
      </c>
      <c r="J267" s="31" t="n">
        <v>5.44</v>
      </c>
      <c r="K267" s="31" t="n">
        <v>777143</v>
      </c>
      <c r="L267" s="30" t="n">
        <v>53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69.37</v>
      </c>
      <c r="P267" s="31" t="n">
        <v>42.69</v>
      </c>
      <c r="Q267" s="31" t="n">
        <v>355.53</v>
      </c>
      <c r="R267" s="30" t="inlineStr">
        <is>
          <t>Near 52W High Breakout</t>
        </is>
      </c>
      <c r="S267" s="30" t="inlineStr">
        <is>
          <t>Nifty Metal</t>
        </is>
      </c>
      <c r="T267" s="31" t="n">
        <v>39.75</v>
      </c>
      <c r="U267" s="31" t="n">
        <v>36.21</v>
      </c>
      <c r="V267" s="31" t="n">
        <v>-2.53</v>
      </c>
      <c r="W267" s="31" t="n">
        <v>12.54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Above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IF(B268=0,"",RANK(B268,$B$2:$B$375,0))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EMIL</t>
        </is>
      </c>
      <c r="D268" s="30" t="inlineStr">
        <is>
          <t>Electronics Mart India Ltd</t>
        </is>
      </c>
      <c r="E268" s="30" t="inlineStr">
        <is>
          <t>consumer discretionary</t>
        </is>
      </c>
      <c r="F268" s="30" t="inlineStr">
        <is>
          <t>trading</t>
        </is>
      </c>
      <c r="G268" s="30" t="inlineStr">
        <is>
          <t>midcap</t>
        </is>
      </c>
      <c r="H268" s="31" t="n">
        <v>7108.23</v>
      </c>
      <c r="I268" s="31" t="n">
        <v>193.61</v>
      </c>
      <c r="J268" s="31" t="n">
        <v>4.8</v>
      </c>
      <c r="K268" s="31" t="n">
        <v>31604982</v>
      </c>
      <c r="L268" s="30" t="n">
        <v>82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78.17</v>
      </c>
      <c r="P268" s="31" t="n">
        <v>26.83</v>
      </c>
      <c r="Q268" s="31" t="n">
        <v>148.71</v>
      </c>
      <c r="R268" s="30" t="inlineStr">
        <is>
          <t>Volume Spike &amp; Near 52W High Breakout</t>
        </is>
      </c>
      <c r="S268" s="30" t="inlineStr">
        <is>
          <t>Nifty 50</t>
        </is>
      </c>
      <c r="T268" s="31" t="n">
        <v>-0.79</v>
      </c>
      <c r="U268" s="31" t="n">
        <v>62.4</v>
      </c>
      <c r="V268" s="31" t="n">
        <v>63.7</v>
      </c>
      <c r="W268" s="31" t="n">
        <v>25.71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Above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More than 1.2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IF(B269=0,"",RANK(B269,$B$2:$B$375,0))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QPOWER</t>
        </is>
      </c>
      <c r="D269" s="30" t="inlineStr">
        <is>
          <t>Quality Power Electrical Equipments Ltd</t>
        </is>
      </c>
      <c r="E269" s="30" t="inlineStr">
        <is>
          <t>industrials</t>
        </is>
      </c>
      <c r="F269" s="30" t="inlineStr">
        <is>
          <t>electric equipment</t>
        </is>
      </c>
      <c r="G269" s="30" t="inlineStr">
        <is>
          <t>midcap</t>
        </is>
      </c>
      <c r="H269" s="31" t="n">
        <v>9597.65</v>
      </c>
      <c r="I269" s="31" t="n">
        <v>1294.5</v>
      </c>
      <c r="J269" s="31" t="n">
        <v>4.45</v>
      </c>
      <c r="K269" s="31" t="n">
        <v>894885</v>
      </c>
      <c r="L269" s="30" t="n">
        <v>62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60.29</v>
      </c>
      <c r="P269" s="31" t="n">
        <v>13.62</v>
      </c>
      <c r="Q269" s="31" t="n">
        <v>925.99</v>
      </c>
      <c r="R269" s="30" t="inlineStr">
        <is>
          <t>Volume Spike / Accumulation</t>
        </is>
      </c>
      <c r="S269" s="30" t="inlineStr">
        <is>
          <t>Nifty 50</t>
        </is>
      </c>
      <c r="T269" s="31" t="n">
        <v>-0.79</v>
      </c>
      <c r="U269" s="31" t="n">
        <v>67</v>
      </c>
      <c r="V269" s="31" t="n">
        <v>68.33</v>
      </c>
      <c r="W269" s="31" t="n">
        <v>15.22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IF(B270=0,"",RANK(B270,$B$2:$B$375,0))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ANANTRAJ</t>
        </is>
      </c>
      <c r="D270" s="30" t="inlineStr">
        <is>
          <t>Anant Raj Limited</t>
        </is>
      </c>
      <c r="E270" s="30" t="inlineStr">
        <is>
          <t>realty</t>
        </is>
      </c>
      <c r="F270" s="30" t="inlineStr">
        <is>
          <t>construction</t>
        </is>
      </c>
      <c r="G270" s="30" t="inlineStr">
        <is>
          <t>largecap</t>
        </is>
      </c>
      <c r="H270" s="31" t="n">
        <v>21817.54</v>
      </c>
      <c r="I270" s="31" t="n">
        <v>614.65</v>
      </c>
      <c r="J270" s="31" t="n">
        <v>1.39</v>
      </c>
      <c r="K270" s="31" t="n">
        <v>1700060</v>
      </c>
      <c r="L270" s="30" t="n">
        <v>42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59.84</v>
      </c>
      <c r="P270" s="31" t="n">
        <v>21.09</v>
      </c>
      <c r="Q270" s="31" t="n">
        <v>479.8</v>
      </c>
      <c r="R270" s="30" t="inlineStr">
        <is>
          <t>Earnings / Momentum Support</t>
        </is>
      </c>
      <c r="S270" s="30" t="inlineStr">
        <is>
          <t>Nifty Realty</t>
        </is>
      </c>
      <c r="T270" s="31" t="n">
        <v>-6.4</v>
      </c>
      <c r="U270" s="31" t="n">
        <v>7.36</v>
      </c>
      <c r="V270" s="31" t="n">
        <v>14.7</v>
      </c>
      <c r="W270" s="31" t="n">
        <v>9.48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Between 1.5 to 2</t>
        </is>
      </c>
      <c r="BU270" s="30">
        <f>IF(BT270="Above 2",0,IF(BT270="Between 1.5 to 2",5,IF(BT270="Less than 1.5",10,0)))</f>
        <v/>
      </c>
      <c r="BV270" s="30" t="inlineStr">
        <is>
          <t>Negative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IF(B271=0,"",RANK(B271,$B$2:$B$375,0))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ENDURANCE</t>
        </is>
      </c>
      <c r="D271" s="32" t="inlineStr">
        <is>
          <t>Endurance Technologies Limited</t>
        </is>
      </c>
      <c r="E271" s="30" t="inlineStr">
        <is>
          <t>auto</t>
        </is>
      </c>
      <c r="F271" s="30" t="inlineStr">
        <is>
          <t>auto ancillaries</t>
        </is>
      </c>
      <c r="G271" s="30" t="inlineStr">
        <is>
          <t>largecap</t>
        </is>
      </c>
      <c r="H271" s="31" t="n">
        <v>42027.25</v>
      </c>
      <c r="I271" s="31" t="n">
        <v>3019.7</v>
      </c>
      <c r="J271" s="31" t="n">
        <v>1.07</v>
      </c>
      <c r="K271" s="31" t="n">
        <v>139376</v>
      </c>
      <c r="L271" s="30" t="n">
        <v>47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66.8</v>
      </c>
      <c r="P271" s="31" t="n">
        <v>17.24</v>
      </c>
      <c r="Q271" s="31" t="n">
        <v>2473.57</v>
      </c>
      <c r="R271" s="30" t="inlineStr">
        <is>
          <t>Near 52W High Breakout</t>
        </is>
      </c>
      <c r="S271" s="30" t="inlineStr">
        <is>
          <t>Nifty Auto</t>
        </is>
      </c>
      <c r="T271" s="31" t="n">
        <v>23.47</v>
      </c>
      <c r="U271" s="31" t="n">
        <v>18.01</v>
      </c>
      <c r="V271" s="31" t="n">
        <v>-4.42</v>
      </c>
      <c r="W271" s="31" t="n">
        <v>10.83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Between 12 to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IF(B272=0,"",RANK(B272,$B$2:$B$375,0))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ZENTEC</t>
        </is>
      </c>
      <c r="D272" s="30" t="inlineStr">
        <is>
          <t>Zen Technologies Limited</t>
        </is>
      </c>
      <c r="E272" s="30" t="inlineStr">
        <is>
          <t>aerospace &amp; defence</t>
        </is>
      </c>
      <c r="F272" s="30" t="inlineStr">
        <is>
          <t>miscellaneous</t>
        </is>
      </c>
      <c r="G272" s="30" t="inlineStr">
        <is>
          <t>midcap</t>
        </is>
      </c>
      <c r="H272" s="31" t="n">
        <v>16431.04</v>
      </c>
      <c r="I272" s="31" t="n">
        <v>1824.3</v>
      </c>
      <c r="J272" s="31" t="n">
        <v>0.25</v>
      </c>
      <c r="K272" s="31" t="n">
        <v>502987</v>
      </c>
      <c r="L272" s="30" t="n">
        <v>41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57.73</v>
      </c>
      <c r="P272" s="31" t="n">
        <v>31.87</v>
      </c>
      <c r="Q272" s="31" t="n">
        <v>1542.37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-0.79</v>
      </c>
      <c r="U272" s="31" t="n">
        <v>29.7</v>
      </c>
      <c r="V272" s="31" t="n">
        <v>30.73</v>
      </c>
      <c r="W272" s="31" t="n">
        <v>9.31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IF(B273=0,"",RANK(B273,$B$2:$B$375,0))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TRAVELFOOD</t>
        </is>
      </c>
      <c r="D273" s="30" t="inlineStr">
        <is>
          <t>Travel Food Services Ltd</t>
        </is>
      </c>
      <c r="E273" s="30" t="inlineStr">
        <is>
          <t>consumer discretionary</t>
        </is>
      </c>
      <c r="F273" s="30" t="inlineStr">
        <is>
          <t>hotels</t>
        </is>
      </c>
      <c r="G273" s="30" t="inlineStr">
        <is>
          <t>midcap</t>
        </is>
      </c>
      <c r="H273" s="31" t="n">
        <v>18290.28</v>
      </c>
      <c r="I273" s="31" t="n">
        <v>1390.1</v>
      </c>
      <c r="J273" s="31" t="n">
        <v>0.08</v>
      </c>
      <c r="K273" s="31" t="n">
        <v>35161</v>
      </c>
      <c r="L273" s="30" t="n">
        <v>45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60.17</v>
      </c>
      <c r="P273" s="31" t="n">
        <v>12.93</v>
      </c>
      <c r="Q273" s="31" t="n">
        <v>1150.03</v>
      </c>
      <c r="R273" s="30" t="inlineStr">
        <is>
          <t>Near 52W High Breakout</t>
        </is>
      </c>
      <c r="S273" s="30" t="inlineStr">
        <is>
          <t>Nifty 50</t>
        </is>
      </c>
      <c r="T273" s="31" t="n">
        <v>-0.79</v>
      </c>
      <c r="U273" s="31" t="n">
        <v>24.44</v>
      </c>
      <c r="V273" s="31" t="n">
        <v>25.43</v>
      </c>
      <c r="W273" s="31" t="n">
        <v>10.59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Blue sky scenario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Between 12 to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Between 50% to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IF(B274=0,"",RANK(B274,$B$2:$B$375,0))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SUNDRMFAST</t>
        </is>
      </c>
      <c r="D274" s="32" t="inlineStr">
        <is>
          <t>Sundram Fasteners Limited</t>
        </is>
      </c>
      <c r="E274" s="30" t="inlineStr">
        <is>
          <t>auto</t>
        </is>
      </c>
      <c r="F274" s="30" t="inlineStr">
        <is>
          <t>auto ancillaries</t>
        </is>
      </c>
      <c r="G274" s="30" t="inlineStr">
        <is>
          <t>largecap</t>
        </is>
      </c>
      <c r="H274" s="31" t="n">
        <v>25426.58</v>
      </c>
      <c r="I274" s="31" t="n">
        <v>1210</v>
      </c>
      <c r="J274" s="31" t="n">
        <v>0</v>
      </c>
      <c r="K274" s="31" t="n">
        <v>190308</v>
      </c>
      <c r="L274" s="30" t="n">
        <v>65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81.41</v>
      </c>
      <c r="P274" s="31" t="n">
        <v>21.95</v>
      </c>
      <c r="Q274" s="31" t="n">
        <v>1023.58</v>
      </c>
      <c r="R274" s="30" t="inlineStr">
        <is>
          <t>Volume Spike &amp; Near 52W High Breakout</t>
        </is>
      </c>
      <c r="S274" s="30" t="inlineStr">
        <is>
          <t>Nifty Auto</t>
        </is>
      </c>
      <c r="T274" s="31" t="n">
        <v>23.47</v>
      </c>
      <c r="U274" s="31" t="n">
        <v>21.64</v>
      </c>
      <c r="V274" s="31" t="n">
        <v>-1.49</v>
      </c>
      <c r="W274" s="31" t="n">
        <v>16.47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Above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Between 12 to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IF(B275=0,"",RANK(B275,$B$2:$B$375,0))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TVSMOTOR</t>
        </is>
      </c>
      <c r="D275" s="30" t="inlineStr">
        <is>
          <t>Tvs Motor Company Limited</t>
        </is>
      </c>
      <c r="E275" s="30" t="inlineStr">
        <is>
          <t>auto</t>
        </is>
      </c>
      <c r="F275" s="30" t="inlineStr">
        <is>
          <t>automobiles - motorcycles / mopeds</t>
        </is>
      </c>
      <c r="G275" s="30" t="inlineStr">
        <is>
          <t>largecap</t>
        </is>
      </c>
      <c r="H275" s="31" t="n">
        <v>209038.33</v>
      </c>
      <c r="I275" s="31" t="n">
        <v>4375</v>
      </c>
      <c r="J275" s="31" t="n">
        <v>-0.57</v>
      </c>
      <c r="K275" s="31" t="n">
        <v>911635</v>
      </c>
      <c r="L275" s="30" t="n">
        <v>63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70.04000000000001</v>
      </c>
      <c r="P275" s="31" t="n">
        <v>19.73</v>
      </c>
      <c r="Q275" s="31" t="n">
        <v>3750.07</v>
      </c>
      <c r="R275" s="30" t="inlineStr">
        <is>
          <t>Near 52W High Breakout</t>
        </is>
      </c>
      <c r="S275" s="30" t="inlineStr">
        <is>
          <t>Nifty Auto</t>
        </is>
      </c>
      <c r="T275" s="31" t="n">
        <v>23.47</v>
      </c>
      <c r="U275" s="31" t="n">
        <v>58.24</v>
      </c>
      <c r="V275" s="31" t="n">
        <v>28.16</v>
      </c>
      <c r="W275" s="31" t="n">
        <v>15.56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Blue sky scenario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More than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IF(B276=0,"",RANK(B276,$B$2:$B$375,0))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PVP</t>
        </is>
      </c>
      <c r="D276" s="30" t="inlineStr">
        <is>
          <t>Pvp Ventures Limited</t>
        </is>
      </c>
      <c r="E276" s="30" t="inlineStr">
        <is>
          <t>realty</t>
        </is>
      </c>
      <c r="F276" s="30" t="inlineStr">
        <is>
          <t>construction</t>
        </is>
      </c>
      <c r="G276" s="30" t="inlineStr">
        <is>
          <t>smallcap</t>
        </is>
      </c>
      <c r="H276" s="31" t="n">
        <v>897.35</v>
      </c>
      <c r="I276" s="31" t="n">
        <v>34.15</v>
      </c>
      <c r="J276" s="31" t="n">
        <v>-0.9</v>
      </c>
      <c r="K276" s="31" t="n">
        <v>994773</v>
      </c>
      <c r="L276" s="30" t="n">
        <v>53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58.85</v>
      </c>
      <c r="P276" s="31" t="n">
        <v>11.5</v>
      </c>
      <c r="Q276" s="31" t="n">
        <v>22.85</v>
      </c>
      <c r="R276" s="30" t="inlineStr">
        <is>
          <t>Volume Spike / Accumulation</t>
        </is>
      </c>
      <c r="S276" s="30" t="inlineStr">
        <is>
          <t>Nifty Realty</t>
        </is>
      </c>
      <c r="T276" s="31" t="n">
        <v>-6.4</v>
      </c>
      <c r="U276" s="31" t="n">
        <v>61.7</v>
      </c>
      <c r="V276" s="31" t="n">
        <v>72.73999999999999</v>
      </c>
      <c r="W276" s="31" t="n">
        <v>12.6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Negative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IF(B277=0,"",RANK(B277,$B$2:$B$375,0))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KECL</t>
        </is>
      </c>
      <c r="D277" s="30" t="inlineStr">
        <is>
          <t>Kirloskar Electric Company Limited</t>
        </is>
      </c>
      <c r="E277" s="30" t="inlineStr">
        <is>
          <t>industrials</t>
        </is>
      </c>
      <c r="F277" s="30" t="inlineStr">
        <is>
          <t>electric equipment</t>
        </is>
      </c>
      <c r="G277" s="30" t="inlineStr">
        <is>
          <t>smallcap</t>
        </is>
      </c>
      <c r="H277" s="31" t="n">
        <v>986.38</v>
      </c>
      <c r="I277" s="31" t="n">
        <v>145.51</v>
      </c>
      <c r="J277" s="31" t="n">
        <v>-2.03</v>
      </c>
      <c r="K277" s="31" t="n">
        <v>275774</v>
      </c>
      <c r="L277" s="30" t="n">
        <v>46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66.75</v>
      </c>
      <c r="P277" s="31" t="n">
        <v>26.8</v>
      </c>
      <c r="Q277" s="31" t="n">
        <v>103.62</v>
      </c>
      <c r="R277" s="30" t="inlineStr">
        <is>
          <t>Near 52W High Breakout</t>
        </is>
      </c>
      <c r="S277" s="30" t="inlineStr">
        <is>
          <t>Nifty 50</t>
        </is>
      </c>
      <c r="T277" s="31" t="n">
        <v>-0.79</v>
      </c>
      <c r="U277" s="31" t="n">
        <v>24.5</v>
      </c>
      <c r="V277" s="31" t="n">
        <v>25.49</v>
      </c>
      <c r="W277" s="31" t="n">
        <v>10.75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Between 0.7 to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IF(B278=0,"",RANK(B278,$B$2:$B$375,0))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MANAKSTEEL</t>
        </is>
      </c>
      <c r="D278" s="32" t="inlineStr">
        <is>
          <t>Manaksia Steels Limited</t>
        </is>
      </c>
      <c r="E278" s="30" t="inlineStr">
        <is>
          <t>metals &amp; mining</t>
        </is>
      </c>
      <c r="F278" s="30" t="inlineStr">
        <is>
          <t>steel - medium / small</t>
        </is>
      </c>
      <c r="G278" s="30" t="inlineStr">
        <is>
          <t>smallcap</t>
        </is>
      </c>
      <c r="H278" s="31" t="n">
        <v>555.14</v>
      </c>
      <c r="I278" s="31" t="n">
        <v>82.75</v>
      </c>
      <c r="J278" s="31" t="n">
        <v>-2.31</v>
      </c>
      <c r="K278" s="31" t="n">
        <v>572953</v>
      </c>
      <c r="L278" s="30" t="n">
        <v>39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62.96</v>
      </c>
      <c r="P278" s="31" t="n">
        <v>38.81</v>
      </c>
      <c r="Q278" s="31" t="n">
        <v>58.05</v>
      </c>
      <c r="R278" s="30" t="inlineStr">
        <is>
          <t>Volume Spike &amp; Near 52W High Breakout</t>
        </is>
      </c>
      <c r="S278" s="30" t="inlineStr">
        <is>
          <t>Nifty Metal</t>
        </is>
      </c>
      <c r="T278" s="31" t="n">
        <v>39.75</v>
      </c>
      <c r="U278" s="31" t="n">
        <v>34.12</v>
      </c>
      <c r="V278" s="31" t="n">
        <v>-4.03</v>
      </c>
      <c r="W278" s="31" t="n">
        <v>8.550000000000001</v>
      </c>
      <c r="X278" s="30" t="inlineStr">
        <is>
          <t>Cyclical in an Upturn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Cyclical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Volatile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Blue sky scenario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IF(B279=0,"",RANK(B279,$B$2:$B$375,0))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KOLTEPATIL</t>
        </is>
      </c>
      <c r="D279" s="30" t="inlineStr">
        <is>
          <t>Kolte - Patil Developers Limited</t>
        </is>
      </c>
      <c r="E279" s="30" t="inlineStr">
        <is>
          <t>realty</t>
        </is>
      </c>
      <c r="F279" s="30" t="inlineStr">
        <is>
          <t>construction</t>
        </is>
      </c>
      <c r="G279" s="30" t="inlineStr">
        <is>
          <t>smallcap</t>
        </is>
      </c>
      <c r="H279" s="31" t="n">
        <v>4581.21</v>
      </c>
      <c r="I279" s="31" t="n">
        <v>492.7</v>
      </c>
      <c r="J279" s="31" t="n">
        <v>-4.63</v>
      </c>
      <c r="K279" s="31" t="n">
        <v>815709</v>
      </c>
      <c r="L279" s="30" t="n">
        <v>41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73.95</v>
      </c>
      <c r="P279" s="31" t="n">
        <v>15.98</v>
      </c>
      <c r="Q279" s="31" t="n">
        <v>381.61</v>
      </c>
      <c r="R279" s="30" t="inlineStr">
        <is>
          <t>Volume Spike &amp; Near 52W High Breakout</t>
        </is>
      </c>
      <c r="S279" s="30" t="inlineStr">
        <is>
          <t>Nifty Realty</t>
        </is>
      </c>
      <c r="T279" s="31" t="n">
        <v>-6.4</v>
      </c>
      <c r="U279" s="31" t="n">
        <v>10.69</v>
      </c>
      <c r="V279" s="31" t="n">
        <v>18.26</v>
      </c>
      <c r="W279" s="31" t="n">
        <v>9.34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Between 0.7 to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IF(B280=0,"",RANK(B280,$B$2:$B$375,0))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PVRINOX</t>
        </is>
      </c>
      <c r="D280" s="30" t="inlineStr">
        <is>
          <t>PVR Inox Ltd</t>
        </is>
      </c>
      <c r="E280" s="30" t="inlineStr">
        <is>
          <t>media</t>
        </is>
      </c>
      <c r="F280" s="30" t="inlineStr">
        <is>
          <t>entertainment / electronic media software</t>
        </is>
      </c>
      <c r="G280" s="30" t="inlineStr">
        <is>
          <t>midcap</t>
        </is>
      </c>
      <c r="H280" s="31" t="n">
        <v>11393.16</v>
      </c>
      <c r="I280" s="31" t="n">
        <v>1189.5</v>
      </c>
      <c r="J280" s="31" t="n">
        <v>2.53</v>
      </c>
      <c r="K280" s="31" t="n">
        <v>346505</v>
      </c>
      <c r="L280" s="30" t="n">
        <v>27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69.59999999999999</v>
      </c>
      <c r="P280" s="31" t="n">
        <v>14.77</v>
      </c>
      <c r="Q280" s="31" t="n">
        <v>993.65</v>
      </c>
      <c r="R280" s="30" t="inlineStr">
        <is>
          <t>Near 52W High Breakout</t>
        </is>
      </c>
      <c r="S280" s="30" t="inlineStr">
        <is>
          <t>Nifty IT</t>
        </is>
      </c>
      <c r="T280" s="31" t="n">
        <v>-10.05</v>
      </c>
      <c r="U280" s="31" t="n">
        <v>10.24</v>
      </c>
      <c r="V280" s="31" t="n">
        <v>22.56</v>
      </c>
      <c r="W280" s="31" t="n">
        <v>5.82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Annuity, Lower One Time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Between 0.7 to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IF(B281=0,"",RANK(B281,$B$2:$B$375,0))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DHAMPURSUG</t>
        </is>
      </c>
      <c r="D281" s="30" t="inlineStr">
        <is>
          <t>Dhampur Sugar Mills Limited</t>
        </is>
      </c>
      <c r="E281" s="30" t="inlineStr">
        <is>
          <t>fmcg</t>
        </is>
      </c>
      <c r="F281" s="30" t="inlineStr">
        <is>
          <t>sugar</t>
        </is>
      </c>
      <c r="G281" s="30" t="inlineStr">
        <is>
          <t>smallcap</t>
        </is>
      </c>
      <c r="H281" s="31" t="n">
        <v>1016.04</v>
      </c>
      <c r="I281" s="31" t="n">
        <v>159.23</v>
      </c>
      <c r="J281" s="31" t="n">
        <v>0.78</v>
      </c>
      <c r="K281" s="31" t="n">
        <v>462905</v>
      </c>
      <c r="L281" s="30" t="n">
        <v>27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65.87</v>
      </c>
      <c r="P281" s="31" t="n">
        <v>15.23</v>
      </c>
      <c r="Q281" s="31" t="n">
        <v>123.97</v>
      </c>
      <c r="R281" s="30" t="inlineStr">
        <is>
          <t>Volume Spike &amp; Near 52W High Breakout</t>
        </is>
      </c>
      <c r="S281" s="30" t="inlineStr">
        <is>
          <t>Nifty FMCG</t>
        </is>
      </c>
      <c r="T281" s="31" t="n">
        <v>-11.27</v>
      </c>
      <c r="U281" s="31" t="n">
        <v>11.01</v>
      </c>
      <c r="V281" s="31" t="n">
        <v>25.11</v>
      </c>
      <c r="W281" s="31" t="n">
        <v>5.94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B2C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Annuity, Lower One Time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Between 0.7 to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IF(B282=0,"",RANK(B282,$B$2:$B$375,0))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APOLLOTYRE</t>
        </is>
      </c>
      <c r="D282" s="32" t="inlineStr">
        <is>
          <t>Apollo Tyres Limited</t>
        </is>
      </c>
      <c r="E282" s="30" t="inlineStr">
        <is>
          <t>auto</t>
        </is>
      </c>
      <c r="F282" s="30" t="inlineStr">
        <is>
          <t>tyres</t>
        </is>
      </c>
      <c r="G282" s="30" t="inlineStr">
        <is>
          <t>largecap</t>
        </is>
      </c>
      <c r="H282" s="31" t="n">
        <v>28134.97</v>
      </c>
      <c r="I282" s="31" t="n">
        <v>445.15</v>
      </c>
      <c r="J282" s="31" t="n">
        <v>0.49</v>
      </c>
      <c r="K282" s="31" t="n">
        <v>560928</v>
      </c>
      <c r="L282" s="30" t="n">
        <v>9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54.42</v>
      </c>
      <c r="P282" s="31" t="n">
        <v>16.91</v>
      </c>
      <c r="Q282" s="31" t="n">
        <v>366.62</v>
      </c>
      <c r="R282" s="30" t="inlineStr">
        <is>
          <t>Earnings / Momentum Support</t>
        </is>
      </c>
      <c r="S282" s="30" t="inlineStr">
        <is>
          <t>Nifty Auto</t>
        </is>
      </c>
      <c r="T282" s="31" t="n">
        <v>23.47</v>
      </c>
      <c r="U282" s="31" t="n">
        <v>-0.93</v>
      </c>
      <c r="V282" s="31" t="n">
        <v>-19.76</v>
      </c>
      <c r="W282" s="31" t="n">
        <v>1.29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Oligopoly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Cyclical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B2C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Fully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Above 40</t>
        </is>
      </c>
      <c r="AY282" s="30">
        <f>IF(AX282="Above 40",20,IF(AX282="20 to 40",10,IF(AX282="0 to 20",-5,0)))</f>
        <v/>
      </c>
      <c r="AZ282" s="30" t="inlineStr">
        <is>
          <t>Above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Yes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Between 1.5 to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IF(B283=0,"",RANK(B283,$B$2:$B$375,0))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HCG</t>
        </is>
      </c>
      <c r="D283" s="32" t="inlineStr">
        <is>
          <t>Healthcare Global Enterprises Limited</t>
        </is>
      </c>
      <c r="E283" s="30" t="inlineStr">
        <is>
          <t>healthcare</t>
        </is>
      </c>
      <c r="F283" s="30" t="inlineStr">
        <is>
          <t>healthcare</t>
        </is>
      </c>
      <c r="G283" s="30" t="inlineStr">
        <is>
          <t>midcap</t>
        </is>
      </c>
      <c r="H283" s="31" t="n">
        <v>11032.69</v>
      </c>
      <c r="I283" s="31" t="n">
        <v>736.5</v>
      </c>
      <c r="J283" s="31" t="n">
        <v>-0.33</v>
      </c>
      <c r="K283" s="31" t="n">
        <v>183448</v>
      </c>
      <c r="L283" s="30" t="n">
        <v>29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71.45999999999999</v>
      </c>
      <c r="P283" s="31" t="n">
        <v>28.26</v>
      </c>
      <c r="Q283" s="31" t="n">
        <v>605.99</v>
      </c>
      <c r="R283" s="30" t="inlineStr">
        <is>
          <t>Near 52W High Breakout</t>
        </is>
      </c>
      <c r="S283" s="30" t="inlineStr">
        <is>
          <t>Nifty Pharma</t>
        </is>
      </c>
      <c r="T283" s="31" t="n">
        <v>20.81</v>
      </c>
      <c r="U283" s="31" t="n">
        <v>11.41</v>
      </c>
      <c r="V283" s="31" t="n">
        <v>-7.79</v>
      </c>
      <c r="W283" s="31" t="n">
        <v>6.24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Annuity, Lower One Time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More than 1.2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IF(B284=0,"",RANK(B284,$B$2:$B$375,0))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APLAPOLLO</t>
        </is>
      </c>
      <c r="D284" s="32" t="inlineStr">
        <is>
          <t>Apl Apollo Tubes Limited</t>
        </is>
      </c>
      <c r="E284" s="30" t="inlineStr">
        <is>
          <t>industrials</t>
        </is>
      </c>
      <c r="F284" s="30" t="inlineStr">
        <is>
          <t>steel - large</t>
        </is>
      </c>
      <c r="G284" s="30" t="inlineStr">
        <is>
          <t>largecap</t>
        </is>
      </c>
      <c r="H284" s="31" t="n">
        <v>55884.31</v>
      </c>
      <c r="I284" s="31" t="n">
        <v>1997.1</v>
      </c>
      <c r="J284" s="31" t="n">
        <v>-0.78</v>
      </c>
      <c r="K284" s="31" t="n">
        <v>714770</v>
      </c>
      <c r="L284" s="30" t="n">
        <v>25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57.67</v>
      </c>
      <c r="P284" s="31" t="n">
        <v>11.09</v>
      </c>
      <c r="Q284" s="31" t="n">
        <v>1673.72</v>
      </c>
      <c r="R284" s="30" t="inlineStr">
        <is>
          <t>Earnings / Momentum Support</t>
        </is>
      </c>
      <c r="S284" s="30" t="inlineStr">
        <is>
          <t>Nifty Metal</t>
        </is>
      </c>
      <c r="T284" s="31" t="n">
        <v>39.75</v>
      </c>
      <c r="U284" s="31" t="n">
        <v>29.87</v>
      </c>
      <c r="V284" s="31" t="n">
        <v>-7.07</v>
      </c>
      <c r="W284" s="31" t="n">
        <v>5.52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Oligopoly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B2C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Fully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Above 40</t>
        </is>
      </c>
      <c r="AY284" s="30">
        <f>IF(AX284="Above 40",20,IF(AX284="20 to 40",10,IF(AX284="0 to 20",-5,0)))</f>
        <v/>
      </c>
      <c r="AZ284" s="30" t="inlineStr">
        <is>
          <t>Above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Yes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Between 1.5 to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IF(B285=0,"",RANK(B285,$B$2:$B$375,0))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MAGADSUGAR</t>
        </is>
      </c>
      <c r="D285" s="30" t="inlineStr">
        <is>
          <t>Magadh Sugar &amp; Energy Ltd</t>
        </is>
      </c>
      <c r="E285" s="30" t="inlineStr">
        <is>
          <t>fmcg</t>
        </is>
      </c>
      <c r="F285" s="30" t="inlineStr">
        <is>
          <t>sugar</t>
        </is>
      </c>
      <c r="G285" s="30" t="inlineStr">
        <is>
          <t>smallcap</t>
        </is>
      </c>
      <c r="H285" s="31" t="n">
        <v>740.87</v>
      </c>
      <c r="I285" s="31" t="n">
        <v>520.35</v>
      </c>
      <c r="J285" s="31" t="n">
        <v>-1.03</v>
      </c>
      <c r="K285" s="31" t="n">
        <v>11813</v>
      </c>
      <c r="L285" s="30" t="n">
        <v>7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61.47</v>
      </c>
      <c r="P285" s="31" t="n">
        <v>14.73</v>
      </c>
      <c r="Q285" s="31" t="n">
        <v>402.53</v>
      </c>
      <c r="R285" s="30" t="inlineStr">
        <is>
          <t>Earnings / Momentum Support</t>
        </is>
      </c>
      <c r="S285" s="30" t="inlineStr">
        <is>
          <t>Nifty FMCG</t>
        </is>
      </c>
      <c r="T285" s="31" t="n">
        <v>-11.27</v>
      </c>
      <c r="U285" s="31" t="n">
        <v>-5.28</v>
      </c>
      <c r="V285" s="31" t="n">
        <v>6.75</v>
      </c>
      <c r="W285" s="31" t="n">
        <v>0.58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B2C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Annuity, Lower One Time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IF(B286=0,"",RANK(B286,$B$2:$B$375,0))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TIIL</t>
        </is>
      </c>
      <c r="D286" s="32" t="inlineStr">
        <is>
          <t>Technocraft Industries (india) Limited</t>
        </is>
      </c>
      <c r="E286" s="30" t="inlineStr">
        <is>
          <t>metals &amp; mining</t>
        </is>
      </c>
      <c r="F286" s="30" t="inlineStr">
        <is>
          <t>steel - medium / small</t>
        </is>
      </c>
      <c r="G286" s="30" t="inlineStr">
        <is>
          <t>midcap</t>
        </is>
      </c>
      <c r="H286" s="31" t="n">
        <v>5915.11</v>
      </c>
      <c r="I286" s="31" t="n">
        <v>2878.3</v>
      </c>
      <c r="J286" s="31" t="n">
        <v>10.33</v>
      </c>
      <c r="K286" s="31" t="n">
        <v>192964</v>
      </c>
      <c r="L286" s="30" t="n">
        <v>14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67.20999999999999</v>
      </c>
      <c r="P286" s="31" t="n">
        <v>25.76</v>
      </c>
      <c r="Q286" s="31" t="n">
        <v>2290.92</v>
      </c>
      <c r="R286" s="30" t="inlineStr">
        <is>
          <t>Volume Spike &amp; Near 52W High Breakout</t>
        </is>
      </c>
      <c r="S286" s="30" t="inlineStr">
        <is>
          <t>Nifty Metal</t>
        </is>
      </c>
      <c r="T286" s="31" t="n">
        <v>39.75</v>
      </c>
      <c r="U286" s="31" t="n">
        <v>-12.61</v>
      </c>
      <c r="V286" s="31" t="n">
        <v>-37.47</v>
      </c>
      <c r="W286" s="31" t="n">
        <v>2.59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Between 12 to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IF(B287=0,"",RANK(B287,$B$2:$B$375,0))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ITDC</t>
        </is>
      </c>
      <c r="D287" s="30" t="inlineStr">
        <is>
          <t>India Tourism Development Corporation Ltd</t>
        </is>
      </c>
      <c r="E287" s="30" t="inlineStr">
        <is>
          <t>services</t>
        </is>
      </c>
      <c r="F287" s="30" t="inlineStr">
        <is>
          <t>hotels</t>
        </is>
      </c>
      <c r="G287" s="30" t="inlineStr">
        <is>
          <t>midcap</t>
        </is>
      </c>
      <c r="H287" s="31" t="n">
        <v>5803.59</v>
      </c>
      <c r="I287" s="31" t="n">
        <v>721.05</v>
      </c>
      <c r="J287" s="31" t="n">
        <v>6.56</v>
      </c>
      <c r="K287" s="31" t="n">
        <v>3428743</v>
      </c>
      <c r="L287" s="30" t="n">
        <v>57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61.32</v>
      </c>
      <c r="P287" s="31" t="n">
        <v>40</v>
      </c>
      <c r="Q287" s="31" t="n">
        <v>513.6900000000001</v>
      </c>
      <c r="R287" s="30" t="inlineStr">
        <is>
          <t>Near 52W High Breakout</t>
        </is>
      </c>
      <c r="S287" s="30" t="inlineStr">
        <is>
          <t>Nifty 50</t>
        </is>
      </c>
      <c r="T287" s="31" t="n">
        <v>-0.79</v>
      </c>
      <c r="U287" s="31" t="n">
        <v>34.85</v>
      </c>
      <c r="V287" s="31" t="n">
        <v>35.93</v>
      </c>
      <c r="W287" s="31" t="n">
        <v>13.34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Above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Blue sky scenario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IF(B288=0,"",RANK(B288,$B$2:$B$375,0))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EPL</t>
        </is>
      </c>
      <c r="D288" s="30" t="inlineStr">
        <is>
          <t>EPL Ltd</t>
        </is>
      </c>
      <c r="E288" s="30" t="inlineStr">
        <is>
          <t>industrials</t>
        </is>
      </c>
      <c r="F288" s="30" t="inlineStr">
        <is>
          <t>packaging</t>
        </is>
      </c>
      <c r="G288" s="30" t="inlineStr">
        <is>
          <t>midcap</t>
        </is>
      </c>
      <c r="H288" s="31" t="n">
        <v>7551.55</v>
      </c>
      <c r="I288" s="31" t="n">
        <v>243.64</v>
      </c>
      <c r="J288" s="31" t="n">
        <v>3.33</v>
      </c>
      <c r="K288" s="31" t="n">
        <v>15355500</v>
      </c>
      <c r="L288" s="30" t="n">
        <v>20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60.51</v>
      </c>
      <c r="P288" s="31" t="n">
        <v>9.720000000000001</v>
      </c>
      <c r="Q288" s="31" t="n">
        <v>193.81</v>
      </c>
      <c r="R288" s="30" t="inlineStr">
        <is>
          <t>Volume Spike &amp; Near 52W High Breakout</t>
        </is>
      </c>
      <c r="S288" s="30" t="inlineStr">
        <is>
          <t>Nifty 50</t>
        </is>
      </c>
      <c r="T288" s="31" t="n">
        <v>-0.79</v>
      </c>
      <c r="U288" s="31" t="n">
        <v>8.359999999999999</v>
      </c>
      <c r="V288" s="31" t="n">
        <v>9.220000000000001</v>
      </c>
      <c r="W288" s="31" t="n">
        <v>4.65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IF(B289=0,"",RANK(B289,$B$2:$B$375,0))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NAVINFLUOR</t>
        </is>
      </c>
      <c r="D289" s="30" t="inlineStr">
        <is>
          <t>Navin Fluorine International Limited</t>
        </is>
      </c>
      <c r="E289" s="30" t="inlineStr">
        <is>
          <t>chemicals</t>
        </is>
      </c>
      <c r="F289" s="30" t="inlineStr">
        <is>
          <t>chemicals</t>
        </is>
      </c>
      <c r="G289" s="30" t="inlineStr">
        <is>
          <t>largecap</t>
        </is>
      </c>
      <c r="H289" s="31" t="n">
        <v>41833.07</v>
      </c>
      <c r="I289" s="31" t="n">
        <v>8356.5</v>
      </c>
      <c r="J289" s="31" t="n">
        <v>2.46</v>
      </c>
      <c r="K289" s="31" t="n">
        <v>290940</v>
      </c>
      <c r="L289" s="30" t="n">
        <v>61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75.13</v>
      </c>
      <c r="P289" s="31" t="n">
        <v>55.5</v>
      </c>
      <c r="Q289" s="31" t="n">
        <v>6894.32</v>
      </c>
      <c r="R289" s="30" t="inlineStr">
        <is>
          <t>Near 52W High Breakout</t>
        </is>
      </c>
      <c r="S289" s="30" t="inlineStr">
        <is>
          <t>Nifty 50</t>
        </is>
      </c>
      <c r="T289" s="31" t="n">
        <v>-0.79</v>
      </c>
      <c r="U289" s="31" t="n">
        <v>67.58</v>
      </c>
      <c r="V289" s="31" t="n">
        <v>68.92</v>
      </c>
      <c r="W289" s="31" t="n">
        <v>15.07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Oligopoly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Shallow Cyclical (2 to 3 Years Growth)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3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Between 50% to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IF(B290=0,"",RANK(B290,$B$2:$B$375,0))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SCHNEIDER</t>
        </is>
      </c>
      <c r="D290" s="30" t="inlineStr">
        <is>
          <t>Schneider Electric Infrastructure Limited</t>
        </is>
      </c>
      <c r="E290" s="30" t="inlineStr">
        <is>
          <t>industrials</t>
        </is>
      </c>
      <c r="F290" s="30" t="inlineStr">
        <is>
          <t>electric equipment</t>
        </is>
      </c>
      <c r="G290" s="30" t="inlineStr">
        <is>
          <t>largecap</t>
        </is>
      </c>
      <c r="H290" s="31" t="n">
        <v>33553.47</v>
      </c>
      <c r="I290" s="31" t="n">
        <v>1431.9</v>
      </c>
      <c r="J290" s="31" t="n">
        <v>2.04</v>
      </c>
      <c r="K290" s="31" t="n">
        <v>418698</v>
      </c>
      <c r="L290" s="30" t="n">
        <v>62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63.23</v>
      </c>
      <c r="P290" s="31" t="n">
        <v>33.71</v>
      </c>
      <c r="Q290" s="31" t="n">
        <v>1110.13</v>
      </c>
      <c r="R290" s="30" t="inlineStr">
        <is>
          <t>Near 52W High Breakout</t>
        </is>
      </c>
      <c r="S290" s="30" t="inlineStr">
        <is>
          <t>Nifty 50</t>
        </is>
      </c>
      <c r="T290" s="31" t="n">
        <v>-0.79</v>
      </c>
      <c r="U290" s="31" t="n">
        <v>64.40000000000001</v>
      </c>
      <c r="V290" s="31" t="n">
        <v>65.70999999999999</v>
      </c>
      <c r="W290" s="31" t="n">
        <v>15.12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Blue sky scenario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Between 50% to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Between 0.7 to 1.2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IF(B291=0,"",RANK(B291,$B$2:$B$375,0))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RATNAVEER</t>
        </is>
      </c>
      <c r="D291" s="32" t="inlineStr">
        <is>
          <t>Ratnaveer Precision Engineering Ltd</t>
        </is>
      </c>
      <c r="E291" s="30" t="inlineStr">
        <is>
          <t>metals &amp; mining</t>
        </is>
      </c>
      <c r="F291" s="30" t="inlineStr">
        <is>
          <t>steel - medium / small</t>
        </is>
      </c>
      <c r="G291" s="30" t="inlineStr">
        <is>
          <t>smallcap</t>
        </is>
      </c>
      <c r="H291" s="31" t="n">
        <v>1472.53</v>
      </c>
      <c r="I291" s="31" t="n">
        <v>210.01</v>
      </c>
      <c r="J291" s="31" t="n">
        <v>1.87</v>
      </c>
      <c r="K291" s="31" t="n">
        <v>4209276</v>
      </c>
      <c r="L291" s="30" t="n">
        <v>66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67.66</v>
      </c>
      <c r="P291" s="31" t="n">
        <v>49.91</v>
      </c>
      <c r="Q291" s="31" t="n">
        <v>152.21</v>
      </c>
      <c r="R291" s="30" t="inlineStr">
        <is>
          <t>Near 52W High Breakout</t>
        </is>
      </c>
      <c r="S291" s="30" t="inlineStr">
        <is>
          <t>Nifty Metal</t>
        </is>
      </c>
      <c r="T291" s="31" t="n">
        <v>39.75</v>
      </c>
      <c r="U291" s="31" t="n">
        <v>35.37</v>
      </c>
      <c r="V291" s="31" t="n">
        <v>-3.13</v>
      </c>
      <c r="W291" s="31" t="n">
        <v>16.75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Cyclical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Above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IF(B292=0,"",RANK(B292,$B$2:$B$375,0))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TIMETECHNO</t>
        </is>
      </c>
      <c r="D292" s="32" t="inlineStr">
        <is>
          <t>Time Technoplast Limited</t>
        </is>
      </c>
      <c r="E292" s="30" t="inlineStr">
        <is>
          <t>plastic products</t>
        </is>
      </c>
      <c r="F292" s="30" t="inlineStr">
        <is>
          <t>plastics products</t>
        </is>
      </c>
      <c r="G292" s="30" t="inlineStr">
        <is>
          <t>midcap</t>
        </is>
      </c>
      <c r="H292" s="31" t="n">
        <v>10232.07</v>
      </c>
      <c r="I292" s="31" t="n">
        <v>208.56</v>
      </c>
      <c r="J292" s="31" t="n">
        <v>0.62</v>
      </c>
      <c r="K292" s="31" t="n">
        <v>3032023</v>
      </c>
      <c r="L292" s="30" t="n">
        <v>14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61.28</v>
      </c>
      <c r="P292" s="31" t="n">
        <v>14.04</v>
      </c>
      <c r="Q292" s="31" t="n">
        <v>165.89</v>
      </c>
      <c r="R292" s="30" t="inlineStr">
        <is>
          <t>Earnings / Momentum Support</t>
        </is>
      </c>
      <c r="S292" s="30" t="inlineStr">
        <is>
          <t>Nifty 50</t>
        </is>
      </c>
      <c r="T292" s="31" t="n">
        <v>-0.79</v>
      </c>
      <c r="U292" s="31" t="n">
        <v>-5.91</v>
      </c>
      <c r="V292" s="31" t="n">
        <v>-5.16</v>
      </c>
      <c r="W292" s="31" t="n">
        <v>2.66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Between 12 to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Between 1.5 to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IF(B293=0,"",RANK(B293,$B$2:$B$375,0))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AEROENTER</t>
        </is>
      </c>
      <c r="D293" s="32" t="inlineStr">
        <is>
          <t>Aeroflex Enterprises Ltd</t>
        </is>
      </c>
      <c r="E293" s="30" t="inlineStr">
        <is>
          <t>metals &amp; mining</t>
        </is>
      </c>
      <c r="F293" s="30" t="inlineStr">
        <is>
          <t>steel - medium / small</t>
        </is>
      </c>
      <c r="G293" s="30" t="inlineStr">
        <is>
          <t>smallcap</t>
        </is>
      </c>
      <c r="H293" s="31" t="n">
        <v>1464.46</v>
      </c>
      <c r="I293" s="31" t="n">
        <v>129.29</v>
      </c>
      <c r="J293" s="31" t="n">
        <v>-0.09</v>
      </c>
      <c r="K293" s="31" t="n">
        <v>1019988</v>
      </c>
      <c r="L293" s="30" t="n">
        <v>60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62.71</v>
      </c>
      <c r="P293" s="31" t="n">
        <v>51.16</v>
      </c>
      <c r="Q293" s="31" t="n">
        <v>98.91</v>
      </c>
      <c r="R293" s="30" t="inlineStr">
        <is>
          <t>Earnings / Momentum Support</t>
        </is>
      </c>
      <c r="S293" s="30" t="inlineStr">
        <is>
          <t>Nifty Metal</t>
        </is>
      </c>
      <c r="T293" s="31" t="n">
        <v>39.75</v>
      </c>
      <c r="U293" s="31" t="n">
        <v>25.96</v>
      </c>
      <c r="V293" s="31" t="n">
        <v>-9.869999999999999</v>
      </c>
      <c r="W293" s="31" t="n">
        <v>14.53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Cyclical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Volatile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Above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IF(B294=0,"",RANK(B294,$B$2:$B$375,0))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GRASIM</t>
        </is>
      </c>
      <c r="D294" s="30" t="inlineStr">
        <is>
          <t>Grasim Industries Limited</t>
        </is>
      </c>
      <c r="E294" s="30" t="inlineStr">
        <is>
          <t>textiles</t>
        </is>
      </c>
      <c r="F294" s="30" t="inlineStr">
        <is>
          <t>textiles - manmade</t>
        </is>
      </c>
      <c r="G294" s="30" t="inlineStr">
        <is>
          <t>largecap</t>
        </is>
      </c>
      <c r="H294" s="31" t="n">
        <v>226102.48</v>
      </c>
      <c r="I294" s="31" t="n">
        <v>3307.8</v>
      </c>
      <c r="J294" s="31" t="n">
        <v>-0.43</v>
      </c>
      <c r="K294" s="31" t="n">
        <v>2309486</v>
      </c>
      <c r="L294" s="30" t="n">
        <v>29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67.86</v>
      </c>
      <c r="P294" s="31" t="n">
        <v>36.54</v>
      </c>
      <c r="Q294" s="31" t="n">
        <v>2911.18</v>
      </c>
      <c r="R294" s="30" t="inlineStr">
        <is>
          <t>Volume Spike &amp; Near 52W High Breakout</t>
        </is>
      </c>
      <c r="S294" s="30" t="inlineStr">
        <is>
          <t>Nifty 50</t>
        </is>
      </c>
      <c r="T294" s="31" t="n">
        <v>-0.79</v>
      </c>
      <c r="U294" s="31" t="n">
        <v>20.01</v>
      </c>
      <c r="V294" s="31" t="n">
        <v>20.97</v>
      </c>
      <c r="W294" s="31" t="n">
        <v>6.44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20 to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Blue sky scenario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More than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IF(B295=0,"",RANK(B295,$B$2:$B$375,0))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SHALPAINTS</t>
        </is>
      </c>
      <c r="D295" s="32" t="inlineStr">
        <is>
          <t>Shalimar Paints Limited</t>
        </is>
      </c>
      <c r="E295" s="30" t="inlineStr">
        <is>
          <t>building materials</t>
        </is>
      </c>
      <c r="F295" s="30" t="inlineStr">
        <is>
          <t>paints / varnishes</t>
        </is>
      </c>
      <c r="G295" s="30" t="inlineStr">
        <is>
          <t>smallcap</t>
        </is>
      </c>
      <c r="H295" s="31" t="n">
        <v>702.09</v>
      </c>
      <c r="I295" s="31" t="n">
        <v>82.90000000000001</v>
      </c>
      <c r="J295" s="31" t="n">
        <v>-1.16</v>
      </c>
      <c r="K295" s="31" t="n">
        <v>111104</v>
      </c>
      <c r="L295" s="30" t="n">
        <v>66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69.45</v>
      </c>
      <c r="P295" s="31" t="n">
        <v>18.17</v>
      </c>
      <c r="Q295" s="31" t="n">
        <v>60.56</v>
      </c>
      <c r="R295" s="30" t="inlineStr">
        <is>
          <t>Near 52W High Breakout</t>
        </is>
      </c>
      <c r="S295" s="30" t="inlineStr">
        <is>
          <t>Nifty Infra</t>
        </is>
      </c>
      <c r="T295" s="31" t="n">
        <v>3.79</v>
      </c>
      <c r="U295" s="31" t="n">
        <v>-1.92</v>
      </c>
      <c r="V295" s="31" t="n">
        <v>-5.5</v>
      </c>
      <c r="W295" s="31" t="n">
        <v>16.78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IF(B296=0,"",RANK(B296,$B$2:$B$375,0))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BASF</t>
        </is>
      </c>
      <c r="D296" s="32" t="inlineStr">
        <is>
          <t>Basf India Limited</t>
        </is>
      </c>
      <c r="E296" s="30" t="inlineStr">
        <is>
          <t>chemicals</t>
        </is>
      </c>
      <c r="F296" s="30" t="inlineStr">
        <is>
          <t>chemicals</t>
        </is>
      </c>
      <c r="G296" s="30" t="inlineStr">
        <is>
          <t>midcap</t>
        </is>
      </c>
      <c r="H296" s="31" t="n">
        <v>17475.28</v>
      </c>
      <c r="I296" s="31" t="n">
        <v>3990.1</v>
      </c>
      <c r="J296" s="31" t="n">
        <v>-1.17</v>
      </c>
      <c r="K296" s="31" t="n">
        <v>26790</v>
      </c>
      <c r="L296" s="30" t="n">
        <v>2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58.68</v>
      </c>
      <c r="P296" s="31" t="n">
        <v>15.47</v>
      </c>
      <c r="Q296" s="31" t="n">
        <v>3285.91</v>
      </c>
      <c r="R296" s="30" t="inlineStr">
        <is>
          <t>Earnings / Momentum Support</t>
        </is>
      </c>
      <c r="S296" s="30" t="inlineStr">
        <is>
          <t>Nifty IT</t>
        </is>
      </c>
      <c r="T296" s="31" t="n">
        <v>-10.05</v>
      </c>
      <c r="U296" s="31" t="n">
        <v>-11.24</v>
      </c>
      <c r="V296" s="31" t="n">
        <v>-1.32</v>
      </c>
      <c r="W296" s="31" t="n">
        <v>-1.16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IF(B297=0,"",RANK(B297,$B$2:$B$375,0))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ETERNAL</t>
        </is>
      </c>
      <c r="D297" s="30" t="inlineStr">
        <is>
          <t>Eternal Ltd</t>
        </is>
      </c>
      <c r="E297" s="30" t="inlineStr">
        <is>
          <t>i.t</t>
        </is>
      </c>
      <c r="F297" s="30" t="inlineStr">
        <is>
          <t>miscellaneous</t>
        </is>
      </c>
      <c r="G297" s="30" t="inlineStr">
        <is>
          <t>largecap</t>
        </is>
      </c>
      <c r="H297" s="31" t="n">
        <v>306881.15</v>
      </c>
      <c r="I297" s="31" t="n">
        <v>314.05</v>
      </c>
      <c r="J297" s="31" t="n">
        <v>-1.24</v>
      </c>
      <c r="K297" s="31" t="n">
        <v>19976751</v>
      </c>
      <c r="L297" s="30" t="n">
        <v>31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64.73</v>
      </c>
      <c r="P297" s="31" t="n">
        <v>18.13</v>
      </c>
      <c r="Q297" s="31" t="n">
        <v>251.8</v>
      </c>
      <c r="R297" s="30" t="inlineStr">
        <is>
          <t>Earnings / Momentum Support</t>
        </is>
      </c>
      <c r="S297" s="30" t="inlineStr">
        <is>
          <t>Nifty IT</t>
        </is>
      </c>
      <c r="T297" s="31" t="n">
        <v>-10.05</v>
      </c>
      <c r="U297" s="31" t="n">
        <v>-1.37</v>
      </c>
      <c r="V297" s="31" t="n">
        <v>9.65</v>
      </c>
      <c r="W297" s="31" t="n">
        <v>6.86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IF(B298=0,"",RANK(B298,$B$2:$B$375,0))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ETHOSLTD</t>
        </is>
      </c>
      <c r="D298" s="30" t="inlineStr">
        <is>
          <t>Ethos Ltd</t>
        </is>
      </c>
      <c r="E298" s="30" t="inlineStr">
        <is>
          <t>consumer discretionary</t>
        </is>
      </c>
      <c r="F298" s="30" t="inlineStr">
        <is>
          <t>trading</t>
        </is>
      </c>
      <c r="G298" s="30" t="inlineStr">
        <is>
          <t>midcap</t>
        </is>
      </c>
      <c r="H298" s="31" t="n">
        <v>7570.55</v>
      </c>
      <c r="I298" s="31" t="n">
        <v>2790.3</v>
      </c>
      <c r="J298" s="31" t="n">
        <v>-1.38</v>
      </c>
      <c r="K298" s="31" t="n">
        <v>19720</v>
      </c>
      <c r="L298" s="30" t="n">
        <v>21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61.32</v>
      </c>
      <c r="P298" s="31" t="n">
        <v>14.82</v>
      </c>
      <c r="Q298" s="31" t="n">
        <v>2136.83</v>
      </c>
      <c r="R298" s="30" t="inlineStr">
        <is>
          <t>Earnings / Momentum Support</t>
        </is>
      </c>
      <c r="S298" s="30" t="inlineStr">
        <is>
          <t>Nifty 50</t>
        </is>
      </c>
      <c r="T298" s="31" t="n">
        <v>-0.79</v>
      </c>
      <c r="U298" s="31" t="n">
        <v>0.72</v>
      </c>
      <c r="V298" s="31" t="n">
        <v>1.52</v>
      </c>
      <c r="W298" s="31" t="n">
        <v>4.82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IF(B299=0,"",RANK(B299,$B$2:$B$375,0))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TBOTEK</t>
        </is>
      </c>
      <c r="D299" s="30" t="inlineStr">
        <is>
          <t>TBO Tek Ltd</t>
        </is>
      </c>
      <c r="E299" s="30" t="inlineStr">
        <is>
          <t>i.t</t>
        </is>
      </c>
      <c r="F299" s="30" t="inlineStr">
        <is>
          <t>travel agencies</t>
        </is>
      </c>
      <c r="G299" s="30" t="inlineStr">
        <is>
          <t>midcap</t>
        </is>
      </c>
      <c r="H299" s="31" t="n">
        <v>17805.14</v>
      </c>
      <c r="I299" s="31" t="n">
        <v>1596.6</v>
      </c>
      <c r="J299" s="31" t="n">
        <v>-2.63</v>
      </c>
      <c r="K299" s="31" t="n">
        <v>91830</v>
      </c>
      <c r="L299" s="30" t="n">
        <v>47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62.83</v>
      </c>
      <c r="P299" s="31" t="n">
        <v>19.95</v>
      </c>
      <c r="Q299" s="31" t="n">
        <v>1253.71</v>
      </c>
      <c r="R299" s="30" t="inlineStr">
        <is>
          <t>Earnings / Momentum Support</t>
        </is>
      </c>
      <c r="S299" s="30" t="inlineStr">
        <is>
          <t>Nifty IT</t>
        </is>
      </c>
      <c r="T299" s="31" t="n">
        <v>-10.05</v>
      </c>
      <c r="U299" s="31" t="n">
        <v>10.57</v>
      </c>
      <c r="V299" s="31" t="n">
        <v>22.92</v>
      </c>
      <c r="W299" s="31" t="n">
        <v>10.86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IF(B300=0,"",RANK(B300,$B$2:$B$375,0))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SYNCOMF</t>
        </is>
      </c>
      <c r="D300" s="32" t="inlineStr">
        <is>
          <t>Syncom Formulations (India) Ltd</t>
        </is>
      </c>
      <c r="E300" s="30" t="inlineStr">
        <is>
          <t>healthcare</t>
        </is>
      </c>
      <c r="F300" s="30" t="inlineStr">
        <is>
          <t>pharmaceuticals - indian - bulk drugs &amp; formln</t>
        </is>
      </c>
      <c r="G300" s="30" t="inlineStr">
        <is>
          <t>smallcap</t>
        </is>
      </c>
      <c r="H300" s="31" t="n">
        <v>1365.82</v>
      </c>
      <c r="I300" s="31" t="n">
        <v>15.88</v>
      </c>
      <c r="J300" s="31" t="n">
        <v>9.289999999999999</v>
      </c>
      <c r="K300" s="31" t="n">
        <v>58681244</v>
      </c>
      <c r="L300" s="30" t="n">
        <v>12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61.62</v>
      </c>
      <c r="P300" s="31" t="n">
        <v>13.73</v>
      </c>
      <c r="Q300" s="31" t="n">
        <v>12</v>
      </c>
      <c r="R300" s="30" t="inlineStr">
        <is>
          <t>Volume Spike / Accumulation</t>
        </is>
      </c>
      <c r="S300" s="30" t="inlineStr">
        <is>
          <t>Nifty Pharma</t>
        </is>
      </c>
      <c r="T300" s="31" t="n">
        <v>20.81</v>
      </c>
      <c r="U300" s="31" t="n">
        <v>-8.58</v>
      </c>
      <c r="V300" s="31" t="n">
        <v>-24.33</v>
      </c>
      <c r="W300" s="31" t="n">
        <v>1.73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Yes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Annuity, Lower One Time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1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IF(B301=0,"",RANK(B301,$B$2:$B$375,0))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CONCORDBIO</t>
        </is>
      </c>
      <c r="D301" s="32" t="inlineStr">
        <is>
          <t>Concord Biotech Ltd</t>
        </is>
      </c>
      <c r="E301" s="30" t="inlineStr">
        <is>
          <t>healthcare</t>
        </is>
      </c>
      <c r="F301" s="30" t="inlineStr">
        <is>
          <t>pharmaceuticals - indian - bulk drugs &amp; formln</t>
        </is>
      </c>
      <c r="G301" s="30" t="inlineStr">
        <is>
          <t>midcap</t>
        </is>
      </c>
      <c r="H301" s="31" t="n">
        <v>14948.61</v>
      </c>
      <c r="I301" s="31" t="n">
        <v>1444.7</v>
      </c>
      <c r="J301" s="31" t="n">
        <v>1.11</v>
      </c>
      <c r="K301" s="31" t="n">
        <v>93615</v>
      </c>
      <c r="L301" s="30" t="n">
        <v>20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59.37</v>
      </c>
      <c r="P301" s="31" t="n">
        <v>14.93</v>
      </c>
      <c r="Q301" s="31" t="n">
        <v>1089</v>
      </c>
      <c r="R301" s="30" t="inlineStr">
        <is>
          <t>Earnings / Momentum Support</t>
        </is>
      </c>
      <c r="S301" s="30" t="inlineStr">
        <is>
          <t>Nifty Pharma</t>
        </is>
      </c>
      <c r="T301" s="31" t="n">
        <v>20.81</v>
      </c>
      <c r="U301" s="31" t="n">
        <v>-10.95</v>
      </c>
      <c r="V301" s="31" t="n">
        <v>-26.29</v>
      </c>
      <c r="W301" s="31" t="n">
        <v>4.55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Yes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Between 1.5 to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IF(B302=0,"",RANK(B302,$B$2:$B$375,0))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2" t="inlineStr">
        <is>
          <t>BCLIND</t>
        </is>
      </c>
      <c r="D302" s="32" t="inlineStr">
        <is>
          <t>BCL Industries Ltd</t>
        </is>
      </c>
      <c r="E302" s="30" t="inlineStr">
        <is>
          <t>fmcg</t>
        </is>
      </c>
      <c r="F302" s="30" t="inlineStr">
        <is>
          <t>breweries &amp; distilleries</t>
        </is>
      </c>
      <c r="G302" s="30" t="inlineStr">
        <is>
          <t>smallcap</t>
        </is>
      </c>
      <c r="H302" s="31" t="n">
        <v>1094.47</v>
      </c>
      <c r="I302" s="31" t="n">
        <v>37.48</v>
      </c>
      <c r="J302" s="31" t="n">
        <v>1.08</v>
      </c>
      <c r="K302" s="31" t="n">
        <v>606256</v>
      </c>
      <c r="L302" s="30" t="n">
        <v>7</v>
      </c>
      <c r="M302" s="30" t="inlineStr">
        <is>
          <t>Underperforming</t>
        </is>
      </c>
      <c r="N302" s="31">
        <f>IF(M302="Underperforming",-5,IF(L302&gt;=95,15,IF(L302&gt;=90,10,IF(L302&gt;=80,5,0))))</f>
        <v/>
      </c>
      <c r="O302" s="31" t="n">
        <v>57.61</v>
      </c>
      <c r="P302" s="31" t="n">
        <v>13.67</v>
      </c>
      <c r="Q302" s="31" t="n">
        <v>27.99</v>
      </c>
      <c r="R302" s="30" t="inlineStr">
        <is>
          <t>Earnings / Momentum Support</t>
        </is>
      </c>
      <c r="S302" s="30" t="inlineStr">
        <is>
          <t>Nifty FMCG</t>
        </is>
      </c>
      <c r="T302" s="31" t="n">
        <v>-11.27</v>
      </c>
      <c r="U302" s="31" t="n">
        <v>-15.34</v>
      </c>
      <c r="V302" s="31" t="n">
        <v>-4.58</v>
      </c>
      <c r="W302" s="31" t="n">
        <v>0.54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B2C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Annuity, Lower One Time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IF(B303=0,"",RANK(B303,$B$2:$B$375,0))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APLLTD</t>
        </is>
      </c>
      <c r="D303" s="32" t="inlineStr">
        <is>
          <t>Alembic Pharmaceuticals Limited</t>
        </is>
      </c>
      <c r="E303" s="30" t="inlineStr">
        <is>
          <t>healthcare</t>
        </is>
      </c>
      <c r="F303" s="30" t="inlineStr">
        <is>
          <t>pharmaceuticals - indian - bulk drugs &amp; formln</t>
        </is>
      </c>
      <c r="G303" s="30" t="inlineStr">
        <is>
          <t>midcap</t>
        </is>
      </c>
      <c r="H303" s="31" t="n">
        <v>16488.7</v>
      </c>
      <c r="I303" s="31" t="n">
        <v>841.65</v>
      </c>
      <c r="J303" s="31" t="n">
        <v>0.33</v>
      </c>
      <c r="K303" s="31" t="n">
        <v>142034</v>
      </c>
      <c r="L303" s="30" t="n">
        <v>6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60.94</v>
      </c>
      <c r="P303" s="31" t="n">
        <v>14.3</v>
      </c>
      <c r="Q303" s="31" t="n">
        <v>695.21</v>
      </c>
      <c r="R303" s="30" t="inlineStr">
        <is>
          <t>Earnings / Momentum Support</t>
        </is>
      </c>
      <c r="S303" s="30" t="inlineStr">
        <is>
          <t>Nifty Pharma</t>
        </is>
      </c>
      <c r="T303" s="31" t="n">
        <v>20.81</v>
      </c>
      <c r="U303" s="31" t="n">
        <v>-10.74</v>
      </c>
      <c r="V303" s="31" t="n">
        <v>-26.12</v>
      </c>
      <c r="W303" s="31" t="n">
        <v>-0.13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Annuity, Lower One Time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Between 12 to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Between 1.5 to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IF(B304=0,"",RANK(B304,$B$2:$B$375,0))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INDGN</t>
        </is>
      </c>
      <c r="D304" s="32" t="inlineStr">
        <is>
          <t>Indegene Ltd</t>
        </is>
      </c>
      <c r="E304" s="30" t="inlineStr">
        <is>
          <t>healthcare</t>
        </is>
      </c>
      <c r="F304" s="30" t="inlineStr">
        <is>
          <t>miscellaneous</t>
        </is>
      </c>
      <c r="G304" s="30" t="inlineStr">
        <is>
          <t>midcap</t>
        </is>
      </c>
      <c r="H304" s="31" t="n">
        <v>13676.57</v>
      </c>
      <c r="I304" s="31" t="n">
        <v>565.4</v>
      </c>
      <c r="J304" s="31" t="n">
        <v>-0.39</v>
      </c>
      <c r="K304" s="31" t="n">
        <v>439544</v>
      </c>
      <c r="L304" s="30" t="n">
        <v>12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63.97</v>
      </c>
      <c r="P304" s="31" t="n">
        <v>16.21</v>
      </c>
      <c r="Q304" s="31" t="n">
        <v>464.08</v>
      </c>
      <c r="R304" s="30" t="inlineStr">
        <is>
          <t>Near 52W High Breakout</t>
        </is>
      </c>
      <c r="S304" s="30" t="inlineStr">
        <is>
          <t>Nifty Pharma</t>
        </is>
      </c>
      <c r="T304" s="31" t="n">
        <v>20.81</v>
      </c>
      <c r="U304" s="31" t="n">
        <v>-0.83</v>
      </c>
      <c r="V304" s="31" t="n">
        <v>-17.92</v>
      </c>
      <c r="W304" s="31" t="n">
        <v>2.19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Yes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Annuity, Lower One Time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IF(B305=0,"",RANK(B305,$B$2:$B$375,0))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PERSISTENT</t>
        </is>
      </c>
      <c r="D305" s="30" t="inlineStr">
        <is>
          <t>Persistent Systems Limited</t>
        </is>
      </c>
      <c r="E305" s="30" t="inlineStr">
        <is>
          <t>i.t</t>
        </is>
      </c>
      <c r="F305" s="30" t="inlineStr">
        <is>
          <t>computers - software - large</t>
        </is>
      </c>
      <c r="G305" s="30" t="inlineStr">
        <is>
          <t>largecap</t>
        </is>
      </c>
      <c r="H305" s="31" t="n">
        <v>87330.39999999999</v>
      </c>
      <c r="I305" s="31" t="n">
        <v>5474</v>
      </c>
      <c r="J305" s="31" t="n">
        <v>-1.12</v>
      </c>
      <c r="K305" s="31" t="n">
        <v>347580</v>
      </c>
      <c r="L305" s="30" t="n">
        <v>22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56.18</v>
      </c>
      <c r="P305" s="31" t="n">
        <v>9.58</v>
      </c>
      <c r="Q305" s="31" t="n">
        <v>4338.82</v>
      </c>
      <c r="R305" s="30" t="inlineStr">
        <is>
          <t>Earnings / Momentum Support</t>
        </is>
      </c>
      <c r="S305" s="30" t="inlineStr">
        <is>
          <t>Nifty IT</t>
        </is>
      </c>
      <c r="T305" s="31" t="n">
        <v>-10.05</v>
      </c>
      <c r="U305" s="31" t="n">
        <v>4.23</v>
      </c>
      <c r="V305" s="31" t="n">
        <v>15.87</v>
      </c>
      <c r="W305" s="31" t="n">
        <v>4.99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Between 12 to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IF(B306=0,"",RANK(B306,$B$2:$B$375,0))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AARTIDRUGS</t>
        </is>
      </c>
      <c r="D306" s="32" t="inlineStr">
        <is>
          <t>Aarti Drugs Limited</t>
        </is>
      </c>
      <c r="E306" s="30" t="inlineStr">
        <is>
          <t>healthcare</t>
        </is>
      </c>
      <c r="F306" s="30" t="inlineStr">
        <is>
          <t>pharmaceuticals - indian - bulk drugs</t>
        </is>
      </c>
      <c r="G306" s="30" t="inlineStr">
        <is>
          <t>smallcap</t>
        </is>
      </c>
      <c r="H306" s="31" t="n">
        <v>4009.95</v>
      </c>
      <c r="I306" s="31" t="n">
        <v>431.5</v>
      </c>
      <c r="J306" s="31" t="n">
        <v>-1.79</v>
      </c>
      <c r="K306" s="31" t="n">
        <v>365458</v>
      </c>
      <c r="L306" s="30" t="n">
        <v>12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61.51</v>
      </c>
      <c r="P306" s="31" t="n">
        <v>15.68</v>
      </c>
      <c r="Q306" s="31" t="n">
        <v>349.6</v>
      </c>
      <c r="R306" s="30" t="inlineStr">
        <is>
          <t>Volume Spike / Accumulation</t>
        </is>
      </c>
      <c r="S306" s="30" t="inlineStr">
        <is>
          <t>Nifty Pharma</t>
        </is>
      </c>
      <c r="T306" s="31" t="n">
        <v>20.81</v>
      </c>
      <c r="U306" s="31" t="n">
        <v>-10.86</v>
      </c>
      <c r="V306" s="31" t="n">
        <v>-26.21</v>
      </c>
      <c r="W306" s="31" t="n">
        <v>1.89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Yes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IF(B307=0,"",RANK(B307,$B$2:$B$375,0))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WINDLAS</t>
        </is>
      </c>
      <c r="D307" s="32" t="inlineStr">
        <is>
          <t>Windlas Biotech Ltd</t>
        </is>
      </c>
      <c r="E307" s="30" t="inlineStr">
        <is>
          <t>healthcare</t>
        </is>
      </c>
      <c r="F307" s="30" t="inlineStr">
        <is>
          <t>pharmaceuticals - indian - formulations</t>
        </is>
      </c>
      <c r="G307" s="30" t="inlineStr">
        <is>
          <t>smallcap</t>
        </is>
      </c>
      <c r="H307" s="31" t="n">
        <v>1946.2</v>
      </c>
      <c r="I307" s="31" t="n">
        <v>894.7</v>
      </c>
      <c r="J307" s="31" t="n">
        <v>-5.13</v>
      </c>
      <c r="K307" s="31" t="n">
        <v>157341</v>
      </c>
      <c r="L307" s="30" t="n">
        <v>9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60.3</v>
      </c>
      <c r="P307" s="31" t="n">
        <v>14.97</v>
      </c>
      <c r="Q307" s="31" t="n">
        <v>696.85</v>
      </c>
      <c r="R307" s="30" t="inlineStr">
        <is>
          <t>Volume Spike / Accumulation</t>
        </is>
      </c>
      <c r="S307" s="30" t="inlineStr">
        <is>
          <t>Nifty Pharma</t>
        </is>
      </c>
      <c r="T307" s="31" t="n">
        <v>20.81</v>
      </c>
      <c r="U307" s="31" t="n">
        <v>-13.94</v>
      </c>
      <c r="V307" s="31" t="n">
        <v>-28.77</v>
      </c>
      <c r="W307" s="31" t="n">
        <v>0.92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Yes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IF(B308=0,"",RANK(B308,$B$2:$B$375,0))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SHANTIGOLD</t>
        </is>
      </c>
      <c r="D308" s="32" t="inlineStr">
        <is>
          <t>Shanti Gold International Ltd</t>
        </is>
      </c>
      <c r="E308" s="30" t="inlineStr">
        <is>
          <t>consumer discretionary</t>
        </is>
      </c>
      <c r="F308" s="30" t="inlineStr">
        <is>
          <t>diamond cutting / jewellery</t>
        </is>
      </c>
      <c r="G308" s="30" t="inlineStr">
        <is>
          <t>smallcap</t>
        </is>
      </c>
      <c r="H308" s="31" t="n">
        <v>1642.13</v>
      </c>
      <c r="I308" s="31" t="n">
        <v>230.2</v>
      </c>
      <c r="J308" s="31" t="n">
        <v>1.07</v>
      </c>
      <c r="K308" s="31" t="n">
        <v>1488878</v>
      </c>
      <c r="L308" s="30" t="n">
        <v>8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59.96</v>
      </c>
      <c r="P308" s="31" t="n">
        <v>31.11</v>
      </c>
      <c r="Q308" s="31" t="n">
        <v>173.25</v>
      </c>
      <c r="R308" s="30" t="inlineStr">
        <is>
          <t>Earnings / Momentum Support</t>
        </is>
      </c>
      <c r="S308" s="30" t="inlineStr">
        <is>
          <t>Nifty 50</t>
        </is>
      </c>
      <c r="T308" s="31" t="n">
        <v>-0.79</v>
      </c>
      <c r="U308" s="31" t="n">
        <v>-6.99</v>
      </c>
      <c r="V308" s="31" t="n">
        <v>-6.25</v>
      </c>
      <c r="W308" s="31" t="n">
        <v>0.76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Negative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IF(B309=0,"",RANK(B309,$B$2:$B$375,0))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ASIANENE</t>
        </is>
      </c>
      <c r="D309" s="30" t="inlineStr">
        <is>
          <t>Asian Energy Services Ltd</t>
        </is>
      </c>
      <c r="E309" s="30" t="inlineStr">
        <is>
          <t>energy</t>
        </is>
      </c>
      <c r="F309" s="30" t="inlineStr">
        <is>
          <t>oil drilling / allied services</t>
        </is>
      </c>
      <c r="G309" s="30" t="inlineStr">
        <is>
          <t>smallcap</t>
        </is>
      </c>
      <c r="H309" s="31" t="n">
        <v>1953.94</v>
      </c>
      <c r="I309" s="31" t="n">
        <v>405.8</v>
      </c>
      <c r="J309" s="31" t="n">
        <v>1</v>
      </c>
      <c r="K309" s="31" t="n">
        <v>201456</v>
      </c>
      <c r="L309" s="30" t="n">
        <v>65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65.84999999999999</v>
      </c>
      <c r="P309" s="31" t="n">
        <v>17.31</v>
      </c>
      <c r="Q309" s="31" t="n">
        <v>303.82</v>
      </c>
      <c r="R309" s="30" t="inlineStr">
        <is>
          <t>Near 52W High Breakout</t>
        </is>
      </c>
      <c r="S309" s="30" t="inlineStr">
        <is>
          <t>Nifty Energy</t>
        </is>
      </c>
      <c r="T309" s="31" t="n">
        <v>10</v>
      </c>
      <c r="U309" s="31" t="n">
        <v>42.71</v>
      </c>
      <c r="V309" s="31" t="n">
        <v>29.74</v>
      </c>
      <c r="W309" s="31" t="n">
        <v>16.55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Oligopoly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Yes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Cyclical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Between 50% to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IF(B310=0,"",RANK(B310,$B$2:$B$375,0))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RAJRATAN</t>
        </is>
      </c>
      <c r="D310" s="32" t="inlineStr">
        <is>
          <t>Rajratan Global Wire Ltd</t>
        </is>
      </c>
      <c r="E310" s="30" t="inlineStr">
        <is>
          <t>metals &amp; mining</t>
        </is>
      </c>
      <c r="F310" s="30" t="inlineStr">
        <is>
          <t>steel - medium / small</t>
        </is>
      </c>
      <c r="G310" s="30" t="inlineStr">
        <is>
          <t>smallcap</t>
        </is>
      </c>
      <c r="H310" s="31" t="n">
        <v>2632.98</v>
      </c>
      <c r="I310" s="31" t="n">
        <v>518.5</v>
      </c>
      <c r="J310" s="31" t="n">
        <v>-0.02</v>
      </c>
      <c r="K310" s="31" t="n">
        <v>56723</v>
      </c>
      <c r="L310" s="30" t="n">
        <v>47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65.43000000000001</v>
      </c>
      <c r="P310" s="31" t="n">
        <v>18.35</v>
      </c>
      <c r="Q310" s="31" t="n">
        <v>391.89</v>
      </c>
      <c r="R310" s="30" t="inlineStr">
        <is>
          <t>Near 52W High Breakout</t>
        </is>
      </c>
      <c r="S310" s="30" t="inlineStr">
        <is>
          <t>Nifty Metal</t>
        </is>
      </c>
      <c r="T310" s="31" t="n">
        <v>39.75</v>
      </c>
      <c r="U310" s="31" t="n">
        <v>29.73</v>
      </c>
      <c r="V310" s="31" t="n">
        <v>-7.17</v>
      </c>
      <c r="W310" s="31" t="n">
        <v>10.83</v>
      </c>
      <c r="X310" s="30" t="inlineStr">
        <is>
          <t>Cyclical in an Upturn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Cyclical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Volatile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IF(B311=0,"",RANK(B311,$B$2:$B$375,0))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EMAMIPAP</t>
        </is>
      </c>
      <c r="D311" s="30" t="inlineStr">
        <is>
          <t>Emami Paper Mills Ltd</t>
        </is>
      </c>
      <c r="E311" s="30" t="inlineStr">
        <is>
          <t>building materials</t>
        </is>
      </c>
      <c r="F311" s="30" t="inlineStr">
        <is>
          <t>paper</t>
        </is>
      </c>
      <c r="G311" s="30" t="inlineStr">
        <is>
          <t>smallcap</t>
        </is>
      </c>
      <c r="H311" s="31" t="n">
        <v>679.71</v>
      </c>
      <c r="I311" s="31" t="n">
        <v>112</v>
      </c>
      <c r="J311" s="31" t="n">
        <v>-0.31</v>
      </c>
      <c r="K311" s="31" t="n">
        <v>20453</v>
      </c>
      <c r="L311" s="30" t="n">
        <v>64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66.22</v>
      </c>
      <c r="P311" s="31" t="n">
        <v>19.79</v>
      </c>
      <c r="Q311" s="31" t="n">
        <v>87.54000000000001</v>
      </c>
      <c r="R311" s="30" t="inlineStr">
        <is>
          <t>Earnings / Momentum Support</t>
        </is>
      </c>
      <c r="S311" s="30" t="inlineStr">
        <is>
          <t>Nifty Infra</t>
        </is>
      </c>
      <c r="T311" s="31" t="n">
        <v>3.79</v>
      </c>
      <c r="U311" s="31" t="n">
        <v>15.87</v>
      </c>
      <c r="V311" s="31" t="n">
        <v>11.64</v>
      </c>
      <c r="W311" s="31" t="n">
        <v>15.98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Less than 1.5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More than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IF(B312=0,"",RANK(B312,$B$2:$B$375,0))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GRAPHITE</t>
        </is>
      </c>
      <c r="D312" s="30" t="inlineStr">
        <is>
          <t>Graphite India Limited</t>
        </is>
      </c>
      <c r="E312" s="30" t="inlineStr">
        <is>
          <t>industrials</t>
        </is>
      </c>
      <c r="F312" s="30" t="inlineStr">
        <is>
          <t>electrodes - graphites</t>
        </is>
      </c>
      <c r="G312" s="30" t="inlineStr">
        <is>
          <t>midcap</t>
        </is>
      </c>
      <c r="H312" s="31" t="n">
        <v>14279.03</v>
      </c>
      <c r="I312" s="31" t="n">
        <v>726.25</v>
      </c>
      <c r="J312" s="31" t="n">
        <v>-0.63</v>
      </c>
      <c r="K312" s="31" t="n">
        <v>672656</v>
      </c>
      <c r="L312" s="30" t="n">
        <v>27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60.29</v>
      </c>
      <c r="P312" s="31" t="n">
        <v>17.21</v>
      </c>
      <c r="Q312" s="31" t="n">
        <v>589.96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-0.79</v>
      </c>
      <c r="U312" s="31" t="n">
        <v>37.38</v>
      </c>
      <c r="V312" s="31" t="n">
        <v>38.48</v>
      </c>
      <c r="W312" s="31" t="n">
        <v>5.89</v>
      </c>
      <c r="X312" s="30" t="inlineStr">
        <is>
          <t>Cyclical in an Upturn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IF(B313=0,"",RANK(B313,$B$2:$B$375,0))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RKFORGE</t>
        </is>
      </c>
      <c r="D313" s="30" t="inlineStr">
        <is>
          <t>Ramkrishna Forgings Limited</t>
        </is>
      </c>
      <c r="E313" s="30" t="inlineStr">
        <is>
          <t>industrials</t>
        </is>
      </c>
      <c r="F313" s="30" t="inlineStr">
        <is>
          <t>castings &amp; forgings</t>
        </is>
      </c>
      <c r="G313" s="30" t="inlineStr">
        <is>
          <t>midcap</t>
        </is>
      </c>
      <c r="H313" s="31" t="n">
        <v>13687.34</v>
      </c>
      <c r="I313" s="31" t="n">
        <v>743.3</v>
      </c>
      <c r="J313" s="31" t="n">
        <v>-1.07</v>
      </c>
      <c r="K313" s="31" t="n">
        <v>978319</v>
      </c>
      <c r="L313" s="30" t="n">
        <v>52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73.31</v>
      </c>
      <c r="P313" s="31" t="n">
        <v>12.59</v>
      </c>
      <c r="Q313" s="31" t="n">
        <v>604.46</v>
      </c>
      <c r="R313" s="30" t="inlineStr">
        <is>
          <t>Near 52W High Breakout</t>
        </is>
      </c>
      <c r="S313" s="30" t="inlineStr">
        <is>
          <t>Nifty 50</t>
        </is>
      </c>
      <c r="T313" s="31" t="n">
        <v>-0.79</v>
      </c>
      <c r="U313" s="31" t="n">
        <v>31.72</v>
      </c>
      <c r="V313" s="31" t="n">
        <v>32.78</v>
      </c>
      <c r="W313" s="31" t="n">
        <v>12.16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Yes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Between 0.7 to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IF(B314=0,"",RANK(B314,$B$2:$B$375,0))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LANDMARK</t>
        </is>
      </c>
      <c r="D314" s="30" t="inlineStr">
        <is>
          <t>Landmark Cars Ltd</t>
        </is>
      </c>
      <c r="E314" s="30" t="inlineStr">
        <is>
          <t>consumer discretionary</t>
        </is>
      </c>
      <c r="F314" s="30" t="inlineStr">
        <is>
          <t>trading</t>
        </is>
      </c>
      <c r="G314" s="30" t="inlineStr">
        <is>
          <t>smallcap</t>
        </is>
      </c>
      <c r="H314" s="31" t="n">
        <v>2370.76</v>
      </c>
      <c r="I314" s="31" t="n">
        <v>548.05</v>
      </c>
      <c r="J314" s="31" t="n">
        <v>-4.15</v>
      </c>
      <c r="K314" s="31" t="n">
        <v>785083</v>
      </c>
      <c r="L314" s="30" t="n">
        <v>53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66.43000000000001</v>
      </c>
      <c r="P314" s="31" t="n">
        <v>23.09</v>
      </c>
      <c r="Q314" s="31" t="n">
        <v>400.31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-0.79</v>
      </c>
      <c r="U314" s="31" t="n">
        <v>3.53</v>
      </c>
      <c r="V314" s="31" t="n">
        <v>4.35</v>
      </c>
      <c r="W314" s="31" t="n">
        <v>12.46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More than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IF(B315=0,"",RANK(B315,$B$2:$B$375,0))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MAHASTEEL</t>
        </is>
      </c>
      <c r="D315" s="30" t="inlineStr">
        <is>
          <t>Mahamaya Steel Industries Limited</t>
        </is>
      </c>
      <c r="E315" s="30" t="inlineStr">
        <is>
          <t>metals &amp; mining</t>
        </is>
      </c>
      <c r="F315" s="30" t="inlineStr">
        <is>
          <t>steel - medium / small</t>
        </is>
      </c>
      <c r="G315" s="30" t="inlineStr">
        <is>
          <t>smallcap</t>
        </is>
      </c>
      <c r="H315" s="31" t="n">
        <v>1708.19</v>
      </c>
      <c r="I315" s="31" t="n">
        <v>994.6</v>
      </c>
      <c r="J315" s="31" t="n">
        <v>-4.31</v>
      </c>
      <c r="K315" s="31" t="n">
        <v>5673</v>
      </c>
      <c r="L315" s="30" t="n">
        <v>85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59.7</v>
      </c>
      <c r="P315" s="31" t="n">
        <v>17.53</v>
      </c>
      <c r="Q315" s="31" t="n">
        <v>746.46</v>
      </c>
      <c r="R315" s="30" t="inlineStr">
        <is>
          <t>Near 52W High Breakout</t>
        </is>
      </c>
      <c r="S315" s="30" t="inlineStr">
        <is>
          <t>Nifty Metal</t>
        </is>
      </c>
      <c r="T315" s="31" t="n">
        <v>39.75</v>
      </c>
      <c r="U315" s="31" t="n">
        <v>176.28</v>
      </c>
      <c r="V315" s="31" t="n">
        <v>97.7</v>
      </c>
      <c r="W315" s="31" t="n">
        <v>28.12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Blue sky scenario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IF(B316=0,"",RANK(B316,$B$2:$B$375,0))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PRICOLLTD</t>
        </is>
      </c>
      <c r="D316" s="30" t="inlineStr">
        <is>
          <t>Pricol Ltd.</t>
        </is>
      </c>
      <c r="E316" s="30" t="inlineStr">
        <is>
          <t>auto</t>
        </is>
      </c>
      <c r="F316" s="30" t="inlineStr">
        <is>
          <t>auto ancillaries</t>
        </is>
      </c>
      <c r="G316" s="30" t="inlineStr">
        <is>
          <t>midcap</t>
        </is>
      </c>
      <c r="H316" s="31" t="n">
        <v>8984.49</v>
      </c>
      <c r="I316" s="31" t="n">
        <v>783.25</v>
      </c>
      <c r="J316" s="31" t="n">
        <v>6.25</v>
      </c>
      <c r="K316" s="31" t="n">
        <v>1368057</v>
      </c>
      <c r="L316" s="30" t="n">
        <v>72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74.78</v>
      </c>
      <c r="P316" s="31" t="n">
        <v>25.76</v>
      </c>
      <c r="Q316" s="31" t="n">
        <v>630.65</v>
      </c>
      <c r="R316" s="30" t="inlineStr">
        <is>
          <t>Near 52W High Breakout</t>
        </is>
      </c>
      <c r="S316" s="30" t="inlineStr">
        <is>
          <t>Nifty Auto</t>
        </is>
      </c>
      <c r="T316" s="31" t="n">
        <v>23.47</v>
      </c>
      <c r="U316" s="31" t="n">
        <v>79.58</v>
      </c>
      <c r="V316" s="31" t="n">
        <v>45.44</v>
      </c>
      <c r="W316" s="31" t="n">
        <v>19.35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Oligopoly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Shallow Cyclical (2 to 3 Years Growth)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Fully One Time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Allocated capital in Non-core Areas</t>
        </is>
      </c>
      <c r="AU316" s="30">
        <f>IF(AT316="Good",10,0)</f>
        <v/>
      </c>
      <c r="AV316" s="30" t="inlineStr">
        <is>
          <t>Yes only for next 1 to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Blue sky scenario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Between 12 to 20%</t>
        </is>
      </c>
      <c r="BO316" s="30">
        <f>IF(BN316="More than 20%",10,IF(BN316="Between 12 to 20%",5,IF(BN316="Less than 12%",0,0)))</f>
        <v/>
      </c>
      <c r="BP316" s="30" t="inlineStr">
        <is>
          <t>Yes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Between 1.5 to 2</t>
        </is>
      </c>
      <c r="BU316" s="30">
        <f>IF(BT316="Above 2",0,IF(BT316="Between 1.5 to 2",5,IF(BT316="Less than 1.5",10,0)))</f>
        <v/>
      </c>
      <c r="BV316" s="30" t="inlineStr">
        <is>
          <t>Between 50% to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IF(B317=0,"",RANK(B317,$B$2:$B$375,0))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MPHASIS</t>
        </is>
      </c>
      <c r="D317" s="30" t="inlineStr">
        <is>
          <t>Mphasis Limited</t>
        </is>
      </c>
      <c r="E317" s="30" t="inlineStr">
        <is>
          <t>i.t</t>
        </is>
      </c>
      <c r="F317" s="30" t="inlineStr">
        <is>
          <t>computers - software - large</t>
        </is>
      </c>
      <c r="G317" s="30" t="inlineStr">
        <is>
          <t>largecap</t>
        </is>
      </c>
      <c r="H317" s="31" t="n">
        <v>48290.9</v>
      </c>
      <c r="I317" s="31" t="n">
        <v>2537.6</v>
      </c>
      <c r="J317" s="31" t="n">
        <v>0.3</v>
      </c>
      <c r="K317" s="31" t="n">
        <v>366804</v>
      </c>
      <c r="L317" s="30" t="n">
        <v>23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59.77</v>
      </c>
      <c r="P317" s="31" t="n">
        <v>9.84</v>
      </c>
      <c r="Q317" s="31" t="n">
        <v>2037.62</v>
      </c>
      <c r="R317" s="30" t="inlineStr">
        <is>
          <t>Earnings / Momentum Support</t>
        </is>
      </c>
      <c r="S317" s="30" t="inlineStr">
        <is>
          <t>Nifty IT</t>
        </is>
      </c>
      <c r="T317" s="31" t="n">
        <v>-10.05</v>
      </c>
      <c r="U317" s="31" t="n">
        <v>-4.21</v>
      </c>
      <c r="V317" s="31" t="n">
        <v>6.49</v>
      </c>
      <c r="W317" s="31" t="n">
        <v>5.1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Annuity, Lower One Time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Between 50% to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IF(B318=0,"",RANK(B318,$B$2:$B$375,0))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SALSTEEL</t>
        </is>
      </c>
      <c r="D318" s="30" t="inlineStr">
        <is>
          <t>SAL Steel</t>
        </is>
      </c>
      <c r="E318" s="30" t="inlineStr">
        <is>
          <t>metals &amp; mining</t>
        </is>
      </c>
      <c r="F318" s="30" t="inlineStr">
        <is>
          <t>steel - sponge iron</t>
        </is>
      </c>
      <c r="G318" s="30" t="inlineStr">
        <is>
          <t>smallcap</t>
        </is>
      </c>
      <c r="H318" s="31" t="n">
        <v>852.53</v>
      </c>
      <c r="I318" s="31" t="n">
        <v>63.05</v>
      </c>
      <c r="J318" s="31" t="n">
        <v>7.06</v>
      </c>
      <c r="K318" s="31" t="n">
        <v>830005</v>
      </c>
      <c r="L318" s="30" t="n">
        <v>94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66.06999999999999</v>
      </c>
      <c r="P318" s="31" t="n">
        <v>23.58</v>
      </c>
      <c r="Q318" s="31" t="n">
        <v>43.06</v>
      </c>
      <c r="R318" s="30" t="inlineStr">
        <is>
          <t>Volume Spike &amp; Near 52W High Breakout</t>
        </is>
      </c>
      <c r="S318" s="30" t="inlineStr">
        <is>
          <t>Nifty Metal</t>
        </is>
      </c>
      <c r="T318" s="31" t="n">
        <v>39.75</v>
      </c>
      <c r="U318" s="31" t="n">
        <v>295.79</v>
      </c>
      <c r="V318" s="31" t="n">
        <v>183.22</v>
      </c>
      <c r="W318" s="31" t="n">
        <v>40.31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Cyclical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Volatile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Blue sky scenario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Less than 1.5</t>
        </is>
      </c>
      <c r="BU318" s="30">
        <f>IF(BT318="Above 2",0,IF(BT318="Between 1.5 to 2",5,IF(BT318="Less than 1.5",10,0)))</f>
        <v/>
      </c>
      <c r="BV318" s="30" t="inlineStr">
        <is>
          <t>Negative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More than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IF(B319=0,"",RANK(B319,$B$2:$B$375,0))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DEEPINDS</t>
        </is>
      </c>
      <c r="D319" s="30" t="inlineStr">
        <is>
          <t>Deep Industries Ltd</t>
        </is>
      </c>
      <c r="E319" s="30" t="inlineStr">
        <is>
          <t>energy</t>
        </is>
      </c>
      <c r="F319" s="30" t="inlineStr">
        <is>
          <t>oil drilling / allied services</t>
        </is>
      </c>
      <c r="G319" s="30" t="inlineStr">
        <is>
          <t>smallcap</t>
        </is>
      </c>
      <c r="H319" s="31" t="n">
        <v>4288.32</v>
      </c>
      <c r="I319" s="31" t="n">
        <v>696.1</v>
      </c>
      <c r="J319" s="31" t="n">
        <v>3.89</v>
      </c>
      <c r="K319" s="31" t="n">
        <v>782421</v>
      </c>
      <c r="L319" s="30" t="n">
        <v>75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77.20999999999999</v>
      </c>
      <c r="P319" s="31" t="n">
        <v>19.17</v>
      </c>
      <c r="Q319" s="31" t="n">
        <v>541.46</v>
      </c>
      <c r="R319" s="30" t="inlineStr">
        <is>
          <t>Near 52W High Breakout</t>
        </is>
      </c>
      <c r="S319" s="30" t="inlineStr">
        <is>
          <t>Nifty Energy</t>
        </is>
      </c>
      <c r="T319" s="31" t="n">
        <v>10</v>
      </c>
      <c r="U319" s="31" t="n">
        <v>55.25</v>
      </c>
      <c r="V319" s="31" t="n">
        <v>41.13</v>
      </c>
      <c r="W319" s="31" t="n">
        <v>20.62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Oligopoly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Yes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Above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Blue sky scenario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IF(B320=0,"",RANK(B320,$B$2:$B$375,0))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GAIL</t>
        </is>
      </c>
      <c r="D320" s="32" t="inlineStr">
        <is>
          <t>Gail (india) Limited</t>
        </is>
      </c>
      <c r="E320" s="30" t="inlineStr">
        <is>
          <t>energy</t>
        </is>
      </c>
      <c r="F320" s="30" t="inlineStr">
        <is>
          <t>miscellaneous</t>
        </is>
      </c>
      <c r="G320" s="30" t="inlineStr">
        <is>
          <t>largecap</t>
        </is>
      </c>
      <c r="H320" s="31" t="n">
        <v>115287.8</v>
      </c>
      <c r="I320" s="31" t="n">
        <v>177.95</v>
      </c>
      <c r="J320" s="31" t="n">
        <v>1.49</v>
      </c>
      <c r="K320" s="31" t="n">
        <v>8976408</v>
      </c>
      <c r="L320" s="30" t="n">
        <v>12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58.76</v>
      </c>
      <c r="P320" s="31" t="n">
        <v>6.03</v>
      </c>
      <c r="Q320" s="31" t="n">
        <v>155.3</v>
      </c>
      <c r="R320" s="30" t="inlineStr">
        <is>
          <t>Near 52W High Breakout</t>
        </is>
      </c>
      <c r="S320" s="30" t="inlineStr">
        <is>
          <t>Nifty Energy</t>
        </is>
      </c>
      <c r="T320" s="31" t="n">
        <v>10</v>
      </c>
      <c r="U320" s="31" t="n">
        <v>0.57</v>
      </c>
      <c r="V320" s="31" t="n">
        <v>-8.58</v>
      </c>
      <c r="W320" s="31" t="n">
        <v>1.83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Oligopoly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IF(B321=0,"",RANK(B321,$B$2:$B$375,0))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SAIL</t>
        </is>
      </c>
      <c r="D321" s="32" t="inlineStr">
        <is>
          <t>Steel Authority Of India Limited</t>
        </is>
      </c>
      <c r="E321" s="30" t="inlineStr">
        <is>
          <t>metals &amp; mining</t>
        </is>
      </c>
      <c r="F321" s="30" t="inlineStr">
        <is>
          <t>steel - large</t>
        </is>
      </c>
      <c r="G321" s="30" t="inlineStr">
        <is>
          <t>largecap</t>
        </is>
      </c>
      <c r="H321" s="31" t="n">
        <v>71458.09</v>
      </c>
      <c r="I321" s="31" t="n">
        <v>174</v>
      </c>
      <c r="J321" s="31" t="n">
        <v>0.58</v>
      </c>
      <c r="K321" s="31" t="n">
        <v>18936094</v>
      </c>
      <c r="L321" s="30" t="n">
        <v>28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53.73</v>
      </c>
      <c r="P321" s="31" t="n">
        <v>32.36</v>
      </c>
      <c r="Q321" s="31" t="n">
        <v>166.55</v>
      </c>
      <c r="R321" s="30" t="inlineStr">
        <is>
          <t>Earnings / Momentum Support</t>
        </is>
      </c>
      <c r="S321" s="30" t="inlineStr">
        <is>
          <t>Nifty Metal</t>
        </is>
      </c>
      <c r="T321" s="31" t="n">
        <v>39.75</v>
      </c>
      <c r="U321" s="31" t="n">
        <v>34.83</v>
      </c>
      <c r="V321" s="31" t="n">
        <v>-3.52</v>
      </c>
      <c r="W321" s="31" t="n">
        <v>6.04</v>
      </c>
      <c r="X321" s="30" t="inlineStr">
        <is>
          <t>Cyclical in an Upturn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Cyclical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Volatile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IF(B322=0,"",RANK(B322,$B$2:$B$375,0))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FOSECOIND</t>
        </is>
      </c>
      <c r="D322" s="30" t="inlineStr">
        <is>
          <t>Foseco India Limited</t>
        </is>
      </c>
      <c r="E322" s="30" t="inlineStr">
        <is>
          <t>chemicals</t>
        </is>
      </c>
      <c r="F322" s="30" t="inlineStr">
        <is>
          <t>chemicals</t>
        </is>
      </c>
      <c r="G322" s="30" t="inlineStr">
        <is>
          <t>smallcap</t>
        </is>
      </c>
      <c r="H322" s="31" t="n">
        <v>4145.87</v>
      </c>
      <c r="I322" s="31" t="n">
        <v>5530.5</v>
      </c>
      <c r="J322" s="31" t="n">
        <v>0.55</v>
      </c>
      <c r="K322" s="31" t="n">
        <v>3207</v>
      </c>
      <c r="L322" s="30" t="n">
        <v>21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61.82</v>
      </c>
      <c r="P322" s="31" t="n">
        <v>18.52</v>
      </c>
      <c r="Q322" s="31" t="n">
        <v>4430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-0.79</v>
      </c>
      <c r="U322" s="31" t="n">
        <v>13.86</v>
      </c>
      <c r="V322" s="31" t="n">
        <v>14.77</v>
      </c>
      <c r="W322" s="31" t="n">
        <v>4.92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IF(B323=0,"",RANK(B323,$B$2:$B$375,0))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CONCOR</t>
        </is>
      </c>
      <c r="D323" s="32" t="inlineStr">
        <is>
          <t>Container Corporation Of India Limited</t>
        </is>
      </c>
      <c r="E323" s="30" t="inlineStr">
        <is>
          <t>transportation</t>
        </is>
      </c>
      <c r="F323" s="30" t="inlineStr">
        <is>
          <t>miscellaneous</t>
        </is>
      </c>
      <c r="G323" s="30" t="inlineStr">
        <is>
          <t>largecap</t>
        </is>
      </c>
      <c r="H323" s="31" t="n">
        <v>38994.84</v>
      </c>
      <c r="I323" s="31" t="n">
        <v>512.05</v>
      </c>
      <c r="J323" s="31" t="n">
        <v>0.01</v>
      </c>
      <c r="K323" s="31" t="n">
        <v>2354296</v>
      </c>
      <c r="L323" s="30" t="n">
        <v>3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54.72</v>
      </c>
      <c r="P323" s="31" t="n">
        <v>12.85</v>
      </c>
      <c r="Q323" s="31" t="n">
        <v>431.97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-0.79</v>
      </c>
      <c r="U323" s="31" t="n">
        <v>-2.28</v>
      </c>
      <c r="V323" s="31" t="n">
        <v>-1.5</v>
      </c>
      <c r="W323" s="31" t="n">
        <v>-0.63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IF(B324=0,"",RANK(B324,$B$2:$B$375,0))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PTCIL</t>
        </is>
      </c>
      <c r="D324" s="30" t="inlineStr">
        <is>
          <t>PTC Industries Ltd</t>
        </is>
      </c>
      <c r="E324" s="30" t="inlineStr">
        <is>
          <t>industrials</t>
        </is>
      </c>
      <c r="F324" s="30" t="inlineStr">
        <is>
          <t>castings &amp; forgings</t>
        </is>
      </c>
      <c r="G324" s="30" t="inlineStr">
        <is>
          <t>largecap</t>
        </is>
      </c>
      <c r="H324" s="31" t="n">
        <v>28344.91</v>
      </c>
      <c r="I324" s="31" t="n">
        <v>18895</v>
      </c>
      <c r="J324" s="31" t="n">
        <v>-0.06</v>
      </c>
      <c r="K324" s="31" t="n">
        <v>6812</v>
      </c>
      <c r="L324" s="30" t="n">
        <v>42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60.37</v>
      </c>
      <c r="P324" s="31" t="n">
        <v>19.6</v>
      </c>
      <c r="Q324" s="31" t="n">
        <v>15354.36</v>
      </c>
      <c r="R324" s="30" t="inlineStr">
        <is>
          <t>Near 52W High Breakout</t>
        </is>
      </c>
      <c r="S324" s="30" t="inlineStr">
        <is>
          <t>Nifty 50</t>
        </is>
      </c>
      <c r="T324" s="31" t="n">
        <v>-0.79</v>
      </c>
      <c r="U324" s="31" t="n">
        <v>37.61</v>
      </c>
      <c r="V324" s="31" t="n">
        <v>38.71</v>
      </c>
      <c r="W324" s="31" t="n">
        <v>9.66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Negative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IF(B325=0,"",RANK(B325,$B$2:$B$375,0))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BALKRISIND</t>
        </is>
      </c>
      <c r="D325" s="32" t="inlineStr">
        <is>
          <t>Balkrishna Industries Limited</t>
        </is>
      </c>
      <c r="E325" s="30" t="inlineStr">
        <is>
          <t>auto</t>
        </is>
      </c>
      <c r="F325" s="30" t="inlineStr">
        <is>
          <t>tyres</t>
        </is>
      </c>
      <c r="G325" s="30" t="inlineStr">
        <is>
          <t>largecap</t>
        </is>
      </c>
      <c r="H325" s="31" t="n">
        <v>48308.03</v>
      </c>
      <c r="I325" s="31" t="n">
        <v>2496.9</v>
      </c>
      <c r="J325" s="31" t="n">
        <v>-0.08</v>
      </c>
      <c r="K325" s="31" t="n">
        <v>156973</v>
      </c>
      <c r="L325" s="30" t="n">
        <v>11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58.9</v>
      </c>
      <c r="P325" s="31" t="n">
        <v>14.78</v>
      </c>
      <c r="Q325" s="31" t="n">
        <v>1978.11</v>
      </c>
      <c r="R325" s="30" t="inlineStr">
        <is>
          <t>Earnings / Momentum Support</t>
        </is>
      </c>
      <c r="S325" s="30" t="inlineStr">
        <is>
          <t>Nifty Auto</t>
        </is>
      </c>
      <c r="T325" s="31" t="n">
        <v>23.47</v>
      </c>
      <c r="U325" s="31" t="n">
        <v>-6.25</v>
      </c>
      <c r="V325" s="31" t="n">
        <v>-24.07</v>
      </c>
      <c r="W325" s="31" t="n">
        <v>1.64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IF(B326=0,"",RANK(B326,$B$2:$B$375,0))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INDIGOPNTS</t>
        </is>
      </c>
      <c r="D326" s="32" t="inlineStr">
        <is>
          <t>Indigo Paints Ltd</t>
        </is>
      </c>
      <c r="E326" s="30" t="inlineStr">
        <is>
          <t>building materials</t>
        </is>
      </c>
      <c r="F326" s="30" t="inlineStr">
        <is>
          <t>paints / varnishes</t>
        </is>
      </c>
      <c r="G326" s="30" t="inlineStr">
        <is>
          <t>midcap</t>
        </is>
      </c>
      <c r="H326" s="31" t="n">
        <v>5365.9</v>
      </c>
      <c r="I326" s="31" t="n">
        <v>1122.1</v>
      </c>
      <c r="J326" s="31" t="n">
        <v>-0.3</v>
      </c>
      <c r="K326" s="31" t="n">
        <v>28881</v>
      </c>
      <c r="L326" s="30" t="n">
        <v>33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62.9</v>
      </c>
      <c r="P326" s="31" t="n">
        <v>13.14</v>
      </c>
      <c r="Q326" s="31" t="n">
        <v>901.9299999999999</v>
      </c>
      <c r="R326" s="30" t="inlineStr">
        <is>
          <t>Earnings / Momentum Support</t>
        </is>
      </c>
      <c r="S326" s="30" t="inlineStr">
        <is>
          <t>Nifty Infra</t>
        </is>
      </c>
      <c r="T326" s="31" t="n">
        <v>3.79</v>
      </c>
      <c r="U326" s="31" t="n">
        <v>-1.3</v>
      </c>
      <c r="V326" s="31" t="n">
        <v>-4.9</v>
      </c>
      <c r="W326" s="31" t="n">
        <v>7.06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IF(B327=0,"",RANK(B327,$B$2:$B$375,0))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ORIENTELEC</t>
        </is>
      </c>
      <c r="D327" s="32" t="inlineStr">
        <is>
          <t>Orient Electric Ltd</t>
        </is>
      </c>
      <c r="E327" s="30" t="inlineStr">
        <is>
          <t>consumer discretionary</t>
        </is>
      </c>
      <c r="F327" s="30" t="inlineStr">
        <is>
          <t>domestic appliances</t>
        </is>
      </c>
      <c r="G327" s="30" t="inlineStr">
        <is>
          <t>smallcap</t>
        </is>
      </c>
      <c r="H327" s="31" t="n">
        <v>4068.46</v>
      </c>
      <c r="I327" s="31" t="n">
        <v>189.79</v>
      </c>
      <c r="J327" s="31" t="n">
        <v>-0.47</v>
      </c>
      <c r="K327" s="31" t="n">
        <v>236890</v>
      </c>
      <c r="L327" s="30" t="n">
        <v>2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57.25</v>
      </c>
      <c r="P327" s="31" t="n">
        <v>10.89</v>
      </c>
      <c r="Q327" s="31" t="n">
        <v>152.13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-0.79</v>
      </c>
      <c r="U327" s="31" t="n">
        <v>-6.44</v>
      </c>
      <c r="V327" s="31" t="n">
        <v>-5.69</v>
      </c>
      <c r="W327" s="31" t="n">
        <v>-1.12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1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IF(B328=0,"",RANK(B328,$B$2:$B$375,0))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SMLMAH</t>
        </is>
      </c>
      <c r="D328" s="30" t="inlineStr">
        <is>
          <t>SML Mahindra Ltd</t>
        </is>
      </c>
      <c r="E328" s="30" t="inlineStr">
        <is>
          <t>auto</t>
        </is>
      </c>
      <c r="F328" s="30" t="inlineStr">
        <is>
          <t>automobiles - lcvs / hcvs</t>
        </is>
      </c>
      <c r="G328" s="30" t="inlineStr">
        <is>
          <t>midcap</t>
        </is>
      </c>
      <c r="H328" s="31" t="n">
        <v>7537.56</v>
      </c>
      <c r="I328" s="31" t="n">
        <v>5172</v>
      </c>
      <c r="J328" s="31" t="n">
        <v>-0.7</v>
      </c>
      <c r="K328" s="31" t="n">
        <v>71634</v>
      </c>
      <c r="L328" s="30" t="n">
        <v>63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62.6</v>
      </c>
      <c r="P328" s="31" t="n">
        <v>11.52</v>
      </c>
      <c r="Q328" s="31" t="n">
        <v>4072.62</v>
      </c>
      <c r="R328" s="30" t="inlineStr">
        <is>
          <t>Earnings / Momentum Support</t>
        </is>
      </c>
      <c r="S328" s="30" t="inlineStr">
        <is>
          <t>Nifty Auto</t>
        </is>
      </c>
      <c r="T328" s="31" t="n">
        <v>23.47</v>
      </c>
      <c r="U328" s="31" t="n">
        <v>36.93</v>
      </c>
      <c r="V328" s="31" t="n">
        <v>10.9</v>
      </c>
      <c r="W328" s="31" t="n">
        <v>15.37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IF(B329=0,"",RANK(B329,$B$2:$B$375,0))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LOKESHMACH</t>
        </is>
      </c>
      <c r="D329" s="30" t="inlineStr">
        <is>
          <t>Lokesh Machines Limited</t>
        </is>
      </c>
      <c r="E329" s="30" t="inlineStr">
        <is>
          <t>industrials</t>
        </is>
      </c>
      <c r="F329" s="30" t="inlineStr">
        <is>
          <t>engineering</t>
        </is>
      </c>
      <c r="G329" s="30" t="inlineStr">
        <is>
          <t>smallcap</t>
        </is>
      </c>
      <c r="H329" s="31" t="n">
        <v>771.61</v>
      </c>
      <c r="I329" s="31" t="n">
        <v>348.5</v>
      </c>
      <c r="J329" s="31" t="n">
        <v>-1.55</v>
      </c>
      <c r="K329" s="31" t="n">
        <v>13629</v>
      </c>
      <c r="L329" s="30" t="n">
        <v>77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76.83</v>
      </c>
      <c r="P329" s="31" t="n">
        <v>45.64</v>
      </c>
      <c r="Q329" s="31" t="n">
        <v>274.72</v>
      </c>
      <c r="R329" s="30" t="inlineStr">
        <is>
          <t>Near 52W High Breakout</t>
        </is>
      </c>
      <c r="S329" s="30" t="inlineStr">
        <is>
          <t>Nifty 50</t>
        </is>
      </c>
      <c r="T329" s="31" t="n">
        <v>-0.79</v>
      </c>
      <c r="U329" s="31" t="n">
        <v>71.87</v>
      </c>
      <c r="V329" s="31" t="n">
        <v>73.23999999999999</v>
      </c>
      <c r="W329" s="31" t="n">
        <v>21.56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Above 40</t>
        </is>
      </c>
      <c r="AY329" s="30">
        <f>IF(AX329="Above 40",20,IF(AX329="20 to 40",10,IF(AX329="0 to 20",-5,0)))</f>
        <v/>
      </c>
      <c r="AZ329" s="30" t="inlineStr">
        <is>
          <t>Above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Negative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Between 0.7 to 1.2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IF(B330=0,"",RANK(B330,$B$2:$B$375,0))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M&amp;M</t>
        </is>
      </c>
      <c r="D330" s="32" t="inlineStr">
        <is>
          <t>Mahindra &amp; Mahindra Limited</t>
        </is>
      </c>
      <c r="E330" s="30" t="inlineStr">
        <is>
          <t>auto</t>
        </is>
      </c>
      <c r="F330" s="30" t="inlineStr">
        <is>
          <t>automobiles - passenger cars</t>
        </is>
      </c>
      <c r="G330" s="30" t="inlineStr">
        <is>
          <t>largecap</t>
        </is>
      </c>
      <c r="H330" s="31" t="n">
        <v>430273.41</v>
      </c>
      <c r="I330" s="31" t="n">
        <v>3403.6</v>
      </c>
      <c r="J330" s="31" t="n">
        <v>-1.63</v>
      </c>
      <c r="K330" s="31" t="n">
        <v>1834082</v>
      </c>
      <c r="L330" s="30" t="n">
        <v>19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57.56</v>
      </c>
      <c r="P330" s="31" t="n">
        <v>12.53</v>
      </c>
      <c r="Q330" s="31" t="n">
        <v>2982.41</v>
      </c>
      <c r="R330" s="30" t="inlineStr">
        <is>
          <t>Earnings / Momentum Support</t>
        </is>
      </c>
      <c r="S330" s="30" t="inlineStr">
        <is>
          <t>Nifty Auto</t>
        </is>
      </c>
      <c r="T330" s="31" t="n">
        <v>23.47</v>
      </c>
      <c r="U330" s="31" t="n">
        <v>5.94</v>
      </c>
      <c r="V330" s="31" t="n">
        <v>-14.2</v>
      </c>
      <c r="W330" s="31" t="n">
        <v>4.31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Less than 1.5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More than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IF(B331=0,"",RANK(B331,$B$2:$B$375,0))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ARIHANT</t>
        </is>
      </c>
      <c r="D331" s="30" t="inlineStr">
        <is>
          <t>Arihant Foundations &amp; Housing Limited</t>
        </is>
      </c>
      <c r="E331" s="30" t="inlineStr">
        <is>
          <t>realty</t>
        </is>
      </c>
      <c r="F331" s="30" t="inlineStr">
        <is>
          <t>construction</t>
        </is>
      </c>
      <c r="G331" s="30" t="inlineStr">
        <is>
          <t>smallcap</t>
        </is>
      </c>
      <c r="H331" s="31" t="n">
        <v>1115.35</v>
      </c>
      <c r="I331" s="31" t="n">
        <v>1096.8</v>
      </c>
      <c r="J331" s="31" t="n">
        <v>-2</v>
      </c>
      <c r="K331" s="31" t="n">
        <v>1252</v>
      </c>
      <c r="L331" s="30" t="n">
        <v>18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61.32</v>
      </c>
      <c r="P331" s="31" t="n">
        <v>23.74</v>
      </c>
      <c r="Q331" s="31" t="n">
        <v>715.85</v>
      </c>
      <c r="R331" s="30" t="inlineStr">
        <is>
          <t>Earnings / Momentum Support</t>
        </is>
      </c>
      <c r="S331" s="30" t="inlineStr">
        <is>
          <t>Nifty Realty</t>
        </is>
      </c>
      <c r="T331" s="31" t="n">
        <v>-6.4</v>
      </c>
      <c r="U331" s="31" t="n">
        <v>-2.79</v>
      </c>
      <c r="V331" s="31" t="n">
        <v>3.85</v>
      </c>
      <c r="W331" s="31" t="n">
        <v>4.22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More than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IF(B332=0,"",RANK(B332,$B$2:$B$375,0))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PFIZER</t>
        </is>
      </c>
      <c r="D332" s="32" t="inlineStr">
        <is>
          <t>Pfizer Limited</t>
        </is>
      </c>
      <c r="E332" s="30" t="inlineStr">
        <is>
          <t>healthcare</t>
        </is>
      </c>
      <c r="F332" s="30" t="inlineStr">
        <is>
          <t>pharmaceuticals - multinational</t>
        </is>
      </c>
      <c r="G332" s="30" t="inlineStr">
        <is>
          <t>largecap</t>
        </is>
      </c>
      <c r="H332" s="31" t="n">
        <v>22409.53</v>
      </c>
      <c r="I332" s="31" t="n">
        <v>5017.6</v>
      </c>
      <c r="J332" s="31" t="n">
        <v>2.43</v>
      </c>
      <c r="K332" s="31" t="n">
        <v>148835</v>
      </c>
      <c r="L332" s="30" t="n">
        <v>5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60.4</v>
      </c>
      <c r="P332" s="31" t="n">
        <v>12.76</v>
      </c>
      <c r="Q332" s="31" t="n">
        <v>4299.32</v>
      </c>
      <c r="R332" s="30" t="inlineStr">
        <is>
          <t>Earnings / Momentum Support</t>
        </is>
      </c>
      <c r="S332" s="30" t="inlineStr">
        <is>
          <t>Nifty Pharma</t>
        </is>
      </c>
      <c r="T332" s="31" t="n">
        <v>20.81</v>
      </c>
      <c r="U332" s="31" t="n">
        <v>-4.3</v>
      </c>
      <c r="V332" s="31" t="n">
        <v>-20.79</v>
      </c>
      <c r="W332" s="31" t="n">
        <v>-0.26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Yes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Annuity, Lower One Time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IF(B333=0,"",RANK(B333,$B$2:$B$375,0))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ABBOTINDIA</t>
        </is>
      </c>
      <c r="D333" s="32" t="inlineStr">
        <is>
          <t>Abbott India Limited</t>
        </is>
      </c>
      <c r="E333" s="30" t="inlineStr">
        <is>
          <t>healthcare</t>
        </is>
      </c>
      <c r="F333" s="30" t="inlineStr">
        <is>
          <t>pharmaceuticals - multinational</t>
        </is>
      </c>
      <c r="G333" s="30" t="inlineStr">
        <is>
          <t>largecap</t>
        </is>
      </c>
      <c r="H333" s="31" t="n">
        <v>59540.54</v>
      </c>
      <c r="I333" s="31" t="n">
        <v>28140</v>
      </c>
      <c r="J333" s="31" t="n">
        <v>0.43</v>
      </c>
      <c r="K333" s="31" t="n">
        <v>11910</v>
      </c>
      <c r="L333" s="30" t="n">
        <v>1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60.06</v>
      </c>
      <c r="P333" s="31" t="n">
        <v>17.04</v>
      </c>
      <c r="Q333" s="31" t="n">
        <v>24896.24</v>
      </c>
      <c r="R333" s="30" t="inlineStr">
        <is>
          <t>Earnings / Momentum Support</t>
        </is>
      </c>
      <c r="S333" s="30" t="inlineStr">
        <is>
          <t>Nifty Pharma</t>
        </is>
      </c>
      <c r="T333" s="31" t="n">
        <v>20.81</v>
      </c>
      <c r="U333" s="31" t="n">
        <v>-13.43</v>
      </c>
      <c r="V333" s="31" t="n">
        <v>-28.34</v>
      </c>
      <c r="W333" s="31" t="n">
        <v>-1.98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Yes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Annuity, Lower One Time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IF(B334=0,"",RANK(B334,$B$2:$B$375,0))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CIPLA</t>
        </is>
      </c>
      <c r="D334" s="32" t="inlineStr">
        <is>
          <t>Cipla Limited</t>
        </is>
      </c>
      <c r="E334" s="30" t="inlineStr">
        <is>
          <t>healthcare</t>
        </is>
      </c>
      <c r="F334" s="30" t="inlineStr">
        <is>
          <t>pharmaceuticals - indian - bulk drugs &amp; formln</t>
        </is>
      </c>
      <c r="G334" s="30" t="inlineStr">
        <is>
          <t>largecap</t>
        </is>
      </c>
      <c r="H334" s="31" t="n">
        <v>118187.77</v>
      </c>
      <c r="I334" s="31" t="n">
        <v>1463</v>
      </c>
      <c r="J334" s="31" t="n">
        <v>0</v>
      </c>
      <c r="K334" s="31" t="n">
        <v>621021</v>
      </c>
      <c r="L334" s="30" t="n">
        <v>4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59.13</v>
      </c>
      <c r="P334" s="31" t="n">
        <v>9.25</v>
      </c>
      <c r="Q334" s="31" t="n">
        <v>1282.89</v>
      </c>
      <c r="R334" s="30" t="inlineStr">
        <is>
          <t>Earnings / Momentum Support</t>
        </is>
      </c>
      <c r="S334" s="30" t="inlineStr">
        <is>
          <t>Nifty Pharma</t>
        </is>
      </c>
      <c r="T334" s="31" t="n">
        <v>20.81</v>
      </c>
      <c r="U334" s="31" t="n">
        <v>-5.58</v>
      </c>
      <c r="V334" s="31" t="n">
        <v>-21.85</v>
      </c>
      <c r="W334" s="31" t="n">
        <v>-0.27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Yes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Annuity, Lower One Time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IF(B335=0,"",RANK(B335,$B$2:$B$375,0))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IKIO</t>
        </is>
      </c>
      <c r="D335" s="30" t="inlineStr">
        <is>
          <t>IKIO Lighting Ltd</t>
        </is>
      </c>
      <c r="E335" s="30" t="inlineStr">
        <is>
          <t>consumer discretionary</t>
        </is>
      </c>
      <c r="F335" s="30" t="inlineStr">
        <is>
          <t>electric equipment</t>
        </is>
      </c>
      <c r="G335" s="30" t="inlineStr">
        <is>
          <t>smallcap</t>
        </is>
      </c>
      <c r="H335" s="31" t="n">
        <v>1573.74</v>
      </c>
      <c r="I335" s="31" t="n">
        <v>214.9</v>
      </c>
      <c r="J335" s="31" t="n">
        <v>5.53</v>
      </c>
      <c r="K335" s="31" t="n">
        <v>598092</v>
      </c>
      <c r="L335" s="30" t="n">
        <v>52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64.64</v>
      </c>
      <c r="P335" s="31" t="n">
        <v>31.78</v>
      </c>
      <c r="Q335" s="31" t="n">
        <v>158.66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-0.79</v>
      </c>
      <c r="U335" s="31" t="n">
        <v>13.04</v>
      </c>
      <c r="V335" s="31" t="n">
        <v>13.94</v>
      </c>
      <c r="W335" s="31" t="n">
        <v>11.96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20 to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IF(B336=0,"",RANK(B336,$B$2:$B$375,0))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ESABINDIA</t>
        </is>
      </c>
      <c r="D336" s="30" t="inlineStr">
        <is>
          <t>Esab India Limited</t>
        </is>
      </c>
      <c r="E336" s="30" t="inlineStr">
        <is>
          <t>industrials</t>
        </is>
      </c>
      <c r="F336" s="30" t="inlineStr">
        <is>
          <t>electrodes - welding equipment</t>
        </is>
      </c>
      <c r="G336" s="30" t="inlineStr">
        <is>
          <t>midcap</t>
        </is>
      </c>
      <c r="H336" s="31" t="n">
        <v>8959.51</v>
      </c>
      <c r="I336" s="31" t="n">
        <v>6023</v>
      </c>
      <c r="J336" s="31" t="n">
        <v>3.48</v>
      </c>
      <c r="K336" s="31" t="n">
        <v>66506</v>
      </c>
      <c r="L336" s="30" t="n">
        <v>14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54.81</v>
      </c>
      <c r="P336" s="31" t="n">
        <v>25.37</v>
      </c>
      <c r="Q336" s="31" t="n">
        <v>5863.75</v>
      </c>
      <c r="R336" s="30" t="inlineStr">
        <is>
          <t>Volume Spike / Accumulation</t>
        </is>
      </c>
      <c r="S336" s="30" t="inlineStr">
        <is>
          <t>Nifty 50</t>
        </is>
      </c>
      <c r="T336" s="31" t="n">
        <v>-0.79</v>
      </c>
      <c r="U336" s="31" t="n">
        <v>21.87</v>
      </c>
      <c r="V336" s="31" t="n">
        <v>22.84</v>
      </c>
      <c r="W336" s="31" t="n">
        <v>2.78</v>
      </c>
      <c r="X336" s="30" t="inlineStr">
        <is>
          <t>Cyclical in an Upturn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20 to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1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Between 50% to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IF(B337=0,"",RANK(B337,$B$2:$B$375,0))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MANALIPETC</t>
        </is>
      </c>
      <c r="D337" s="32" t="inlineStr">
        <is>
          <t>Manali Petrochemicals Limited</t>
        </is>
      </c>
      <c r="E337" s="30" t="inlineStr">
        <is>
          <t>energy</t>
        </is>
      </c>
      <c r="F337" s="30" t="inlineStr">
        <is>
          <t>petrochemicals</t>
        </is>
      </c>
      <c r="G337" s="30" t="inlineStr">
        <is>
          <t>smallcap</t>
        </is>
      </c>
      <c r="H337" s="31" t="n">
        <v>1127.11</v>
      </c>
      <c r="I337" s="31" t="n">
        <v>67.39</v>
      </c>
      <c r="J337" s="31" t="n">
        <v>2.84</v>
      </c>
      <c r="K337" s="31" t="n">
        <v>1189183</v>
      </c>
      <c r="L337" s="30" t="n">
        <v>24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60.31</v>
      </c>
      <c r="P337" s="31" t="n">
        <v>30.13</v>
      </c>
      <c r="Q337" s="31" t="n">
        <v>50.35</v>
      </c>
      <c r="R337" s="30" t="inlineStr">
        <is>
          <t>Earnings / Momentum Support</t>
        </is>
      </c>
      <c r="S337" s="30" t="inlineStr">
        <is>
          <t>Nifty Energy</t>
        </is>
      </c>
      <c r="T337" s="31" t="n">
        <v>10</v>
      </c>
      <c r="U337" s="31" t="n">
        <v>-6.91</v>
      </c>
      <c r="V337" s="31" t="n">
        <v>-15.38</v>
      </c>
      <c r="W337" s="31" t="n">
        <v>5.37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Oligopoly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Yes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Cyclical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Volatile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20 to 40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IF(B338=0,"",RANK(B338,$B$2:$B$375,0))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VGUARD</t>
        </is>
      </c>
      <c r="D338" s="32" t="inlineStr">
        <is>
          <t>V-guard Industries Limited</t>
        </is>
      </c>
      <c r="E338" s="30" t="inlineStr">
        <is>
          <t>industrials</t>
        </is>
      </c>
      <c r="F338" s="30" t="inlineStr">
        <is>
          <t>electric equipment</t>
        </is>
      </c>
      <c r="G338" s="30" t="inlineStr">
        <is>
          <t>midcap</t>
        </is>
      </c>
      <c r="H338" s="31" t="n">
        <v>14168.38</v>
      </c>
      <c r="I338" s="31" t="n">
        <v>331.75</v>
      </c>
      <c r="J338" s="31" t="n">
        <v>2.3</v>
      </c>
      <c r="K338" s="31" t="n">
        <v>1980024</v>
      </c>
      <c r="L338" s="30" t="n">
        <v>3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57.04</v>
      </c>
      <c r="P338" s="31" t="n">
        <v>18.09</v>
      </c>
      <c r="Q338" s="31" t="n">
        <v>273.59</v>
      </c>
      <c r="R338" s="30" t="inlineStr">
        <is>
          <t>Earnings / Momentum Support</t>
        </is>
      </c>
      <c r="S338" s="30" t="inlineStr">
        <is>
          <t>Nifty 50</t>
        </is>
      </c>
      <c r="T338" s="31" t="n">
        <v>-0.79</v>
      </c>
      <c r="U338" s="31" t="n">
        <v>-7.4</v>
      </c>
      <c r="V338" s="31" t="n">
        <v>-6.66</v>
      </c>
      <c r="W338" s="31" t="n">
        <v>-0.65</v>
      </c>
      <c r="X338" s="30" t="inlineStr">
        <is>
          <t>Cyclical in an Upturn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IF(B339=0,"",RANK(B339,$B$2:$B$375,0))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WINDMACHIN</t>
        </is>
      </c>
      <c r="D339" s="32" t="inlineStr">
        <is>
          <t>Windsor Machines Limited</t>
        </is>
      </c>
      <c r="E339" s="30" t="inlineStr">
        <is>
          <t>industrials</t>
        </is>
      </c>
      <c r="F339" s="30" t="inlineStr">
        <is>
          <t>engineering</t>
        </is>
      </c>
      <c r="G339" s="30" t="inlineStr">
        <is>
          <t>smallcap</t>
        </is>
      </c>
      <c r="H339" s="31" t="n">
        <v>3078.26</v>
      </c>
      <c r="I339" s="31" t="n">
        <v>305.1</v>
      </c>
      <c r="J339" s="31" t="n">
        <v>0.83</v>
      </c>
      <c r="K339" s="31" t="n">
        <v>203775</v>
      </c>
      <c r="L339" s="30" t="n">
        <v>8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54.69</v>
      </c>
      <c r="P339" s="31" t="n">
        <v>22.37</v>
      </c>
      <c r="Q339" s="31" t="n">
        <v>236.4</v>
      </c>
      <c r="R339" s="30" t="inlineStr">
        <is>
          <t>Earnings / Momentum Support</t>
        </is>
      </c>
      <c r="S339" s="30" t="inlineStr">
        <is>
          <t>Nifty 50</t>
        </is>
      </c>
      <c r="T339" s="31" t="n">
        <v>-0.79</v>
      </c>
      <c r="U339" s="31" t="n">
        <v>-5.45</v>
      </c>
      <c r="V339" s="31" t="n">
        <v>-4.7</v>
      </c>
      <c r="W339" s="31" t="n">
        <v>0.76</v>
      </c>
      <c r="X339" s="30" t="inlineStr">
        <is>
          <t>Cyclical in an Upturn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Negative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IF(B340=0,"",RANK(B340,$B$2:$B$375,0))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MAZDOCK</t>
        </is>
      </c>
      <c r="D340" s="32" t="inlineStr">
        <is>
          <t>Mazagon Dock Shipbuilders Ltd</t>
        </is>
      </c>
      <c r="E340" s="30" t="inlineStr">
        <is>
          <t>aerospace &amp; defence</t>
        </is>
      </c>
      <c r="F340" s="30" t="inlineStr">
        <is>
          <t>miscellaneous</t>
        </is>
      </c>
      <c r="G340" s="30" t="inlineStr">
        <is>
          <t>largecap</t>
        </is>
      </c>
      <c r="H340" s="31" t="n">
        <v>103023.25</v>
      </c>
      <c r="I340" s="31" t="n">
        <v>2552</v>
      </c>
      <c r="J340" s="31" t="n">
        <v>-0.08</v>
      </c>
      <c r="K340" s="31" t="n">
        <v>692659</v>
      </c>
      <c r="L340" s="30" t="n">
        <v>4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53.65</v>
      </c>
      <c r="P340" s="31" t="n">
        <v>7.35</v>
      </c>
      <c r="Q340" s="31" t="n">
        <v>2070.06</v>
      </c>
      <c r="R340" s="30" t="inlineStr">
        <is>
          <t>Earnings / Momentum Support</t>
        </is>
      </c>
      <c r="S340" s="30" t="inlineStr">
        <is>
          <t>Nifty 500</t>
        </is>
      </c>
      <c r="T340" s="31" t="n">
        <v>4.37</v>
      </c>
      <c r="U340" s="31" t="n">
        <v>-5.64</v>
      </c>
      <c r="V340" s="31" t="n">
        <v>-9.6</v>
      </c>
      <c r="W340" s="31" t="n">
        <v>-0.29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More than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Between 1.5 to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IF(B341=0,"",RANK(B341,$B$2:$B$375,0))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BEML</t>
        </is>
      </c>
      <c r="D341" s="32" t="inlineStr">
        <is>
          <t>Beml Limited</t>
        </is>
      </c>
      <c r="E341" s="30" t="inlineStr">
        <is>
          <t>aerospace &amp; defence</t>
        </is>
      </c>
      <c r="F341" s="30" t="inlineStr">
        <is>
          <t>engineering</t>
        </is>
      </c>
      <c r="G341" s="30" t="inlineStr">
        <is>
          <t>midcap</t>
        </is>
      </c>
      <c r="H341" s="31" t="n">
        <v>15844.07</v>
      </c>
      <c r="I341" s="31" t="n">
        <v>1900.6</v>
      </c>
      <c r="J341" s="31" t="n">
        <v>-0.09</v>
      </c>
      <c r="K341" s="31" t="n">
        <v>714898</v>
      </c>
      <c r="L341" s="30" t="n">
        <v>6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57.24</v>
      </c>
      <c r="P341" s="31" t="n">
        <v>11.62</v>
      </c>
      <c r="Q341" s="31" t="n">
        <v>1474.22</v>
      </c>
      <c r="R341" s="30" t="inlineStr">
        <is>
          <t>Volume Spike / Accumulation</t>
        </is>
      </c>
      <c r="S341" s="30" t="inlineStr">
        <is>
          <t>Nifty 50</t>
        </is>
      </c>
      <c r="T341" s="31" t="n">
        <v>-0.79</v>
      </c>
      <c r="U341" s="31" t="n">
        <v>-5.95</v>
      </c>
      <c r="V341" s="31" t="n">
        <v>-5.2</v>
      </c>
      <c r="W341" s="31" t="n">
        <v>0.31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1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IF(B342=0,"",RANK(B342,$B$2:$B$375,0))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UNOMINDA</t>
        </is>
      </c>
      <c r="D342" s="32" t="inlineStr">
        <is>
          <t>Uno Minda Ltd</t>
        </is>
      </c>
      <c r="E342" s="30" t="inlineStr">
        <is>
          <t>auto</t>
        </is>
      </c>
      <c r="F342" s="30" t="inlineStr">
        <is>
          <t>auto ancillaries</t>
        </is>
      </c>
      <c r="G342" s="30" t="inlineStr">
        <is>
          <t>largecap</t>
        </is>
      </c>
      <c r="H342" s="31" t="n">
        <v>73627.07000000001</v>
      </c>
      <c r="I342" s="31" t="n">
        <v>1232.4</v>
      </c>
      <c r="J342" s="31" t="n">
        <v>-3.34</v>
      </c>
      <c r="K342" s="31" t="n">
        <v>520011</v>
      </c>
      <c r="L342" s="30" t="n">
        <v>23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57.77</v>
      </c>
      <c r="P342" s="31" t="n">
        <v>18.23</v>
      </c>
      <c r="Q342" s="31" t="n">
        <v>1050.6</v>
      </c>
      <c r="R342" s="30" t="inlineStr">
        <is>
          <t>Earnings / Momentum Support</t>
        </is>
      </c>
      <c r="S342" s="30" t="inlineStr">
        <is>
          <t>Nifty Auto</t>
        </is>
      </c>
      <c r="T342" s="31" t="n">
        <v>23.47</v>
      </c>
      <c r="U342" s="31" t="n">
        <v>13.83</v>
      </c>
      <c r="V342" s="31" t="n">
        <v>-7.8</v>
      </c>
      <c r="W342" s="31" t="n">
        <v>5.11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IF(B343=0,"",RANK(B343,$B$2:$B$375,0))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TNPETRO</t>
        </is>
      </c>
      <c r="D343" s="32" t="inlineStr">
        <is>
          <t>Tamilnadu Petroproducts Limited</t>
        </is>
      </c>
      <c r="E343" s="30" t="inlineStr">
        <is>
          <t>energy</t>
        </is>
      </c>
      <c r="F343" s="30" t="inlineStr">
        <is>
          <t>petrochemicals</t>
        </is>
      </c>
      <c r="G343" s="30" t="inlineStr">
        <is>
          <t>smallcap</t>
        </is>
      </c>
      <c r="H343" s="31" t="n">
        <v>933.63</v>
      </c>
      <c r="I343" s="31" t="n">
        <v>106.77</v>
      </c>
      <c r="J343" s="31" t="n">
        <v>2.89</v>
      </c>
      <c r="K343" s="31" t="n">
        <v>5595159</v>
      </c>
      <c r="L343" s="30" t="n">
        <v>29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67.03</v>
      </c>
      <c r="P343" s="31" t="n">
        <v>19.17</v>
      </c>
      <c r="Q343" s="31" t="n">
        <v>82.43000000000001</v>
      </c>
      <c r="R343" s="30" t="inlineStr">
        <is>
          <t>Volume Spike / Accumulation</t>
        </is>
      </c>
      <c r="S343" s="30" t="inlineStr">
        <is>
          <t>Nifty Energy</t>
        </is>
      </c>
      <c r="T343" s="31" t="n">
        <v>10</v>
      </c>
      <c r="U343" s="31" t="n">
        <v>5.41</v>
      </c>
      <c r="V343" s="31" t="n">
        <v>-4.17</v>
      </c>
      <c r="W343" s="31" t="n">
        <v>6.38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Oligopoly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Yes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Cyclical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IF(B344=0,"",RANK(B344,$B$2:$B$375,0))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MAHSEAMLES</t>
        </is>
      </c>
      <c r="D344" s="32" t="inlineStr">
        <is>
          <t>Maharashtra Seamless Limited</t>
        </is>
      </c>
      <c r="E344" s="30" t="inlineStr">
        <is>
          <t>industrials</t>
        </is>
      </c>
      <c r="F344" s="30" t="inlineStr">
        <is>
          <t>steel - large</t>
        </is>
      </c>
      <c r="G344" s="30" t="inlineStr">
        <is>
          <t>midcap</t>
        </is>
      </c>
      <c r="H344" s="31" t="n">
        <v>7972.96</v>
      </c>
      <c r="I344" s="31" t="n">
        <v>609.95</v>
      </c>
      <c r="J344" s="31" t="n">
        <v>2.51</v>
      </c>
      <c r="K344" s="31" t="n">
        <v>118552</v>
      </c>
      <c r="L344" s="30" t="n">
        <v>1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53.51</v>
      </c>
      <c r="P344" s="31" t="n">
        <v>18.93</v>
      </c>
      <c r="Q344" s="31" t="n">
        <v>545.16</v>
      </c>
      <c r="R344" s="30" t="inlineStr">
        <is>
          <t>Earnings / Momentum Support</t>
        </is>
      </c>
      <c r="S344" s="30" t="inlineStr">
        <is>
          <t>Nifty Metal</t>
        </is>
      </c>
      <c r="T344" s="31" t="n">
        <v>39.75</v>
      </c>
      <c r="U344" s="31" t="n">
        <v>-12.33</v>
      </c>
      <c r="V344" s="31" t="n">
        <v>-37.27</v>
      </c>
      <c r="W344" s="31" t="n">
        <v>-2.53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Between 12 to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IF(B345=0,"",RANK(B345,$B$2:$B$375,0))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DDEVPLSTIK</t>
        </is>
      </c>
      <c r="D345" s="32" t="inlineStr">
        <is>
          <t>DDev Plastiks Industries Ltd</t>
        </is>
      </c>
      <c r="E345" s="30" t="inlineStr">
        <is>
          <t>chemicals</t>
        </is>
      </c>
      <c r="F345" s="30" t="inlineStr">
        <is>
          <t>chemicals</t>
        </is>
      </c>
      <c r="G345" s="30" t="inlineStr">
        <is>
          <t>smallcap</t>
        </is>
      </c>
      <c r="H345" s="31" t="n">
        <v>3003.93</v>
      </c>
      <c r="I345" s="31" t="n">
        <v>290.85</v>
      </c>
      <c r="J345" s="31" t="n">
        <v>0.19</v>
      </c>
      <c r="K345" s="31" t="n">
        <v>227613</v>
      </c>
      <c r="L345" s="30" t="n">
        <v>15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58.43</v>
      </c>
      <c r="P345" s="31" t="n">
        <v>12.72</v>
      </c>
      <c r="Q345" s="31" t="n">
        <v>217.28</v>
      </c>
      <c r="R345" s="30" t="inlineStr">
        <is>
          <t>Earnings / Momentum Support</t>
        </is>
      </c>
      <c r="S345" s="30" t="inlineStr">
        <is>
          <t>Nifty 50</t>
        </is>
      </c>
      <c r="T345" s="31" t="n">
        <v>-0.79</v>
      </c>
      <c r="U345" s="31" t="n">
        <v>-8.109999999999999</v>
      </c>
      <c r="V345" s="31" t="n">
        <v>-7.38</v>
      </c>
      <c r="W345" s="31" t="n">
        <v>3.14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Less than 50%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IF(B346=0,"",RANK(B346,$B$2:$B$375,0))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RITCO</t>
        </is>
      </c>
      <c r="D346" s="30" t="inlineStr">
        <is>
          <t>Ritco Logistics Ltd</t>
        </is>
      </c>
      <c r="E346" s="30" t="inlineStr">
        <is>
          <t>transportation</t>
        </is>
      </c>
      <c r="F346" s="30" t="inlineStr">
        <is>
          <t>miscellaneous</t>
        </is>
      </c>
      <c r="G346" s="30" t="inlineStr">
        <is>
          <t>smallcap</t>
        </is>
      </c>
      <c r="H346" s="31" t="n">
        <v>865.27</v>
      </c>
      <c r="I346" s="31" t="n">
        <v>301.95</v>
      </c>
      <c r="J346" s="31" t="n">
        <v>-0.12</v>
      </c>
      <c r="K346" s="31" t="n">
        <v>195859</v>
      </c>
      <c r="L346" s="30" t="n">
        <v>20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64.84</v>
      </c>
      <c r="P346" s="31" t="n">
        <v>37.87</v>
      </c>
      <c r="Q346" s="31" t="n">
        <v>229.05</v>
      </c>
      <c r="R346" s="30" t="inlineStr">
        <is>
          <t>Near 52W High Breakout</t>
        </is>
      </c>
      <c r="S346" s="30" t="inlineStr">
        <is>
          <t>Nifty 50</t>
        </is>
      </c>
      <c r="T346" s="31" t="n">
        <v>-0.79</v>
      </c>
      <c r="U346" s="31" t="n">
        <v>9.84</v>
      </c>
      <c r="V346" s="31" t="n">
        <v>10.72</v>
      </c>
      <c r="W346" s="31" t="n">
        <v>4.67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More than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IF(B347=0,"",RANK(B347,$B$2:$B$375,0))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IMFA</t>
        </is>
      </c>
      <c r="D347" s="30" t="inlineStr">
        <is>
          <t>Indian Metals &amp; Ferro Alloys Limited</t>
        </is>
      </c>
      <c r="E347" s="30" t="inlineStr">
        <is>
          <t>metals &amp; mining</t>
        </is>
      </c>
      <c r="F347" s="30" t="inlineStr">
        <is>
          <t>mining / minerals / metals</t>
        </is>
      </c>
      <c r="G347" s="30" t="inlineStr">
        <is>
          <t>midcap</t>
        </is>
      </c>
      <c r="H347" s="31" t="n">
        <v>7993.84</v>
      </c>
      <c r="I347" s="31" t="n">
        <v>1470.7</v>
      </c>
      <c r="J347" s="31" t="n">
        <v>-0.74</v>
      </c>
      <c r="K347" s="31" t="n">
        <v>131612</v>
      </c>
      <c r="L347" s="30" t="n">
        <v>65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57.22</v>
      </c>
      <c r="P347" s="31" t="n">
        <v>13.91</v>
      </c>
      <c r="Q347" s="31" t="n">
        <v>1102.43</v>
      </c>
      <c r="R347" s="30" t="inlineStr">
        <is>
          <t>Earnings / Momentum Support</t>
        </is>
      </c>
      <c r="S347" s="30" t="inlineStr">
        <is>
          <t>Nifty Metal</t>
        </is>
      </c>
      <c r="T347" s="31" t="n">
        <v>39.75</v>
      </c>
      <c r="U347" s="31" t="n">
        <v>100.49</v>
      </c>
      <c r="V347" s="31" t="n">
        <v>43.47</v>
      </c>
      <c r="W347" s="31" t="n">
        <v>16.26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IF(B348=0,"",RANK(B348,$B$2:$B$375,0))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GANDHITUBE</t>
        </is>
      </c>
      <c r="D348" s="32" t="inlineStr">
        <is>
          <t>Gandhi Special Tubes Limited</t>
        </is>
      </c>
      <c r="E348" s="30" t="inlineStr">
        <is>
          <t>metals &amp; mining</t>
        </is>
      </c>
      <c r="F348" s="30" t="inlineStr">
        <is>
          <t>steel - medium / small</t>
        </is>
      </c>
      <c r="G348" s="30" t="inlineStr">
        <is>
          <t>smallcap</t>
        </is>
      </c>
      <c r="H348" s="31" t="n">
        <v>1131.72</v>
      </c>
      <c r="I348" s="31" t="n">
        <v>957.75</v>
      </c>
      <c r="J348" s="31" t="n">
        <v>2.84</v>
      </c>
      <c r="K348" s="31" t="n">
        <v>39709</v>
      </c>
      <c r="L348" s="30" t="n">
        <v>43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67.01000000000001</v>
      </c>
      <c r="P348" s="31" t="n">
        <v>17.18</v>
      </c>
      <c r="Q348" s="31" t="n">
        <v>794.66</v>
      </c>
      <c r="R348" s="30" t="inlineStr">
        <is>
          <t>Volume Spike &amp; Near 52W High Breakout</t>
        </is>
      </c>
      <c r="S348" s="30" t="inlineStr">
        <is>
          <t>Nifty Metal</t>
        </is>
      </c>
      <c r="T348" s="31" t="n">
        <v>39.75</v>
      </c>
      <c r="U348" s="31" t="n">
        <v>31.98</v>
      </c>
      <c r="V348" s="31" t="n">
        <v>-5.56</v>
      </c>
      <c r="W348" s="31" t="n">
        <v>9.710000000000001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Cyclical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Volatile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Blue sky scenario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Between 50% to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IF(B349=0,"",RANK(B349,$B$2:$B$375,0))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MAMATA</t>
        </is>
      </c>
      <c r="D349" s="30" t="inlineStr">
        <is>
          <t>Mamata Machinery Ltd</t>
        </is>
      </c>
      <c r="E349" s="30" t="inlineStr">
        <is>
          <t>industrials</t>
        </is>
      </c>
      <c r="F349" s="30" t="inlineStr">
        <is>
          <t>engineering</t>
        </is>
      </c>
      <c r="G349" s="30" t="inlineStr">
        <is>
          <t>smallcap</t>
        </is>
      </c>
      <c r="H349" s="31" t="n">
        <v>1046.32</v>
      </c>
      <c r="I349" s="31" t="n">
        <v>426.05</v>
      </c>
      <c r="J349" s="31" t="n">
        <v>0.2</v>
      </c>
      <c r="K349" s="31" t="n">
        <v>64203</v>
      </c>
      <c r="L349" s="30" t="n">
        <v>13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55.42</v>
      </c>
      <c r="P349" s="31" t="n">
        <v>6.76</v>
      </c>
      <c r="Q349" s="31" t="n">
        <v>337.77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-0.79</v>
      </c>
      <c r="U349" s="31" t="n">
        <v>5.06</v>
      </c>
      <c r="V349" s="31" t="n">
        <v>5.9</v>
      </c>
      <c r="W349" s="31" t="n">
        <v>2.39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Less than 50%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IF(B350=0,"",RANK(B350,$B$2:$B$375,0))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UFLEX</t>
        </is>
      </c>
      <c r="D350" s="32" t="inlineStr">
        <is>
          <t>Uflex Limited</t>
        </is>
      </c>
      <c r="E350" s="30" t="inlineStr">
        <is>
          <t>industrials</t>
        </is>
      </c>
      <c r="F350" s="30" t="inlineStr">
        <is>
          <t>packaging</t>
        </is>
      </c>
      <c r="G350" s="30" t="inlineStr">
        <is>
          <t>smallcap</t>
        </is>
      </c>
      <c r="H350" s="31" t="n">
        <v>3589.27</v>
      </c>
      <c r="I350" s="31" t="n">
        <v>497.75</v>
      </c>
      <c r="J350" s="31" t="n">
        <v>0.14</v>
      </c>
      <c r="K350" s="31" t="n">
        <v>72505</v>
      </c>
      <c r="L350" s="30" t="n">
        <v>15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61.91</v>
      </c>
      <c r="P350" s="31" t="n">
        <v>15.91</v>
      </c>
      <c r="Q350" s="31" t="n">
        <v>393.94</v>
      </c>
      <c r="R350" s="30" t="inlineStr">
        <is>
          <t>Earnings / Momentum Support</t>
        </is>
      </c>
      <c r="S350" s="30" t="inlineStr">
        <is>
          <t>Nifty 50</t>
        </is>
      </c>
      <c r="T350" s="31" t="n">
        <v>-0.79</v>
      </c>
      <c r="U350" s="31" t="n">
        <v>-13.59</v>
      </c>
      <c r="V350" s="31" t="n">
        <v>-12.9</v>
      </c>
      <c r="W350" s="31" t="n">
        <v>3.07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Between 12 to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Less than 1.5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More than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IF(B351=0,"",RANK(B351,$B$2:$B$375,0))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SADHNANIQ</t>
        </is>
      </c>
      <c r="D351" s="32" t="inlineStr">
        <is>
          <t>Sadhana Nitro Chem Ltd</t>
        </is>
      </c>
      <c r="E351" s="30" t="inlineStr">
        <is>
          <t>chemicals</t>
        </is>
      </c>
      <c r="F351" s="30" t="inlineStr">
        <is>
          <t>chemicals</t>
        </is>
      </c>
      <c r="G351" s="30" t="inlineStr">
        <is>
          <t>smallcap</t>
        </is>
      </c>
      <c r="H351" s="31" t="n">
        <v>984.28</v>
      </c>
      <c r="I351" s="31" t="n">
        <v>3.26</v>
      </c>
      <c r="J351" s="31" t="n">
        <v>-1.81</v>
      </c>
      <c r="K351" s="31" t="n">
        <v>2917949</v>
      </c>
      <c r="L351" s="30" t="n">
        <v>38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48.32</v>
      </c>
      <c r="P351" s="31" t="n">
        <v>13.26</v>
      </c>
      <c r="Q351" s="31" t="n">
        <v>1.9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-0.79</v>
      </c>
      <c r="U351" s="31" t="n">
        <v>-48.17</v>
      </c>
      <c r="V351" s="31" t="n">
        <v>-47.76</v>
      </c>
      <c r="W351" s="31" t="n">
        <v>8.43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Below 45</t>
        </is>
      </c>
      <c r="BA351" s="30">
        <f>IF(AZ351="Between 50 to 75",10,IF(AZ351="Above 75",0,0))</f>
        <v/>
      </c>
      <c r="BB351" s="30" t="inlineStr">
        <is>
          <t>Stage 4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IF(B352=0,"",RANK(B352,$B$2:$B$375,0))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BRITANNIA</t>
        </is>
      </c>
      <c r="D352" s="30" t="inlineStr">
        <is>
          <t>Britannia Industries Limited</t>
        </is>
      </c>
      <c r="E352" s="30" t="inlineStr">
        <is>
          <t>fmcg</t>
        </is>
      </c>
      <c r="F352" s="30" t="inlineStr">
        <is>
          <t>food - processing - mnc</t>
        </is>
      </c>
      <c r="G352" s="30" t="inlineStr">
        <is>
          <t>largecap</t>
        </is>
      </c>
      <c r="H352" s="31" t="n">
        <v>134838.07</v>
      </c>
      <c r="I352" s="31" t="n">
        <v>5645.5</v>
      </c>
      <c r="J352" s="31" t="n">
        <v>0.85</v>
      </c>
      <c r="K352" s="31" t="n">
        <v>257865</v>
      </c>
      <c r="L352" s="30" t="n">
        <v>8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58.47</v>
      </c>
      <c r="P352" s="31" t="n">
        <v>16.89</v>
      </c>
      <c r="Q352" s="31" t="n">
        <v>4961.28</v>
      </c>
      <c r="R352" s="30" t="inlineStr">
        <is>
          <t>Earnings / Momentum Support</t>
        </is>
      </c>
      <c r="S352" s="30" t="inlineStr">
        <is>
          <t>Nifty FMCG</t>
        </is>
      </c>
      <c r="T352" s="31" t="n">
        <v>-11.27</v>
      </c>
      <c r="U352" s="31" t="n">
        <v>3.95</v>
      </c>
      <c r="V352" s="31" t="n">
        <v>17.15</v>
      </c>
      <c r="W352" s="31" t="n">
        <v>0.91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Headwind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B2C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Annuity, Lower One Time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1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Between 12 to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IF(B353=0,"",RANK(B353,$B$2:$B$375,0))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UTTAMSUGAR</t>
        </is>
      </c>
      <c r="D353" s="30" t="inlineStr">
        <is>
          <t>Uttam Sugar Mills Limited</t>
        </is>
      </c>
      <c r="E353" s="30" t="inlineStr">
        <is>
          <t>fmcg</t>
        </is>
      </c>
      <c r="F353" s="30" t="inlineStr">
        <is>
          <t>sugar</t>
        </is>
      </c>
      <c r="G353" s="30" t="inlineStr">
        <is>
          <t>smallcap</t>
        </is>
      </c>
      <c r="H353" s="31" t="n">
        <v>964.4400000000001</v>
      </c>
      <c r="I353" s="31" t="n">
        <v>253.53</v>
      </c>
      <c r="J353" s="31" t="n">
        <v>0.26</v>
      </c>
      <c r="K353" s="31" t="n">
        <v>74239</v>
      </c>
      <c r="L353" s="30" t="n">
        <v>3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56.71</v>
      </c>
      <c r="P353" s="31" t="n">
        <v>11.67</v>
      </c>
      <c r="Q353" s="31" t="n">
        <v>187.6</v>
      </c>
      <c r="R353" s="30" t="inlineStr">
        <is>
          <t>Earnings / Momentum Support</t>
        </is>
      </c>
      <c r="S353" s="30" t="inlineStr">
        <is>
          <t>Nifty FMCG</t>
        </is>
      </c>
      <c r="T353" s="31" t="n">
        <v>-11.27</v>
      </c>
      <c r="U353" s="31" t="n">
        <v>-4.83</v>
      </c>
      <c r="V353" s="31" t="n">
        <v>7.25</v>
      </c>
      <c r="W353" s="31" t="n">
        <v>-0.6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B2C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Annuity, Lower One Time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1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Between 0.7 to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IF(B354=0,"",RANK(B354,$B$2:$B$375,0))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YUKEN</t>
        </is>
      </c>
      <c r="D354" s="32" t="inlineStr">
        <is>
          <t>Yuken India Ltd</t>
        </is>
      </c>
      <c r="E354" s="30" t="inlineStr">
        <is>
          <t>industrials</t>
        </is>
      </c>
      <c r="F354" s="30" t="inlineStr">
        <is>
          <t>engineering</t>
        </is>
      </c>
      <c r="G354" s="30" t="inlineStr">
        <is>
          <t>smallcap</t>
        </is>
      </c>
      <c r="H354" s="31" t="n">
        <v>1093.78</v>
      </c>
      <c r="I354" s="31" t="n">
        <v>846.2</v>
      </c>
      <c r="J354" s="31" t="n">
        <v>5.09</v>
      </c>
      <c r="K354" s="31" t="n">
        <v>37575</v>
      </c>
      <c r="L354" s="30" t="n">
        <v>4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60.6</v>
      </c>
      <c r="P354" s="31" t="n">
        <v>17.35</v>
      </c>
      <c r="Q354" s="31" t="n">
        <v>660.47</v>
      </c>
      <c r="R354" s="30" t="inlineStr">
        <is>
          <t>Earnings / Momentum Support</t>
        </is>
      </c>
      <c r="S354" s="30" t="inlineStr">
        <is>
          <t>Nifty Infra</t>
        </is>
      </c>
      <c r="T354" s="31" t="n">
        <v>3.79</v>
      </c>
      <c r="U354" s="31" t="n">
        <v>-22.06</v>
      </c>
      <c r="V354" s="31" t="n">
        <v>-24.91</v>
      </c>
      <c r="W354" s="31" t="n">
        <v>-0.53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Yes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IF(B355=0,"",RANK(B355,$B$2:$B$375,0))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INDIGO</t>
        </is>
      </c>
      <c r="D355" s="32" t="inlineStr">
        <is>
          <t>Interglobe Aviation Limited</t>
        </is>
      </c>
      <c r="E355" s="30" t="inlineStr">
        <is>
          <t>transportation</t>
        </is>
      </c>
      <c r="F355" s="30" t="inlineStr">
        <is>
          <t>transport - airlines</t>
        </is>
      </c>
      <c r="G355" s="30" t="inlineStr">
        <is>
          <t>largecap</t>
        </is>
      </c>
      <c r="H355" s="31" t="n">
        <v>204309.82</v>
      </c>
      <c r="I355" s="31" t="n">
        <v>5333</v>
      </c>
      <c r="J355" s="31" t="n">
        <v>0.93</v>
      </c>
      <c r="K355" s="31" t="n">
        <v>215913</v>
      </c>
      <c r="L355" s="30" t="n">
        <v>16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59.32</v>
      </c>
      <c r="P355" s="31" t="n">
        <v>16.34</v>
      </c>
      <c r="Q355" s="31" t="n">
        <v>4486.01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-0.79</v>
      </c>
      <c r="U355" s="31" t="n">
        <v>-11.15</v>
      </c>
      <c r="V355" s="31" t="n">
        <v>-10.44</v>
      </c>
      <c r="W355" s="31" t="n">
        <v>3.32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More than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IF(B356=0,"",RANK(B356,$B$2:$B$375,0))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HATSUN</t>
        </is>
      </c>
      <c r="D356" s="30" t="inlineStr">
        <is>
          <t>Hatsun Agro Product Limited</t>
        </is>
      </c>
      <c r="E356" s="30" t="inlineStr">
        <is>
          <t>fmcg</t>
        </is>
      </c>
      <c r="F356" s="30" t="inlineStr">
        <is>
          <t>food - processing - indian</t>
        </is>
      </c>
      <c r="G356" s="30" t="inlineStr">
        <is>
          <t>largecap</t>
        </is>
      </c>
      <c r="H356" s="31" t="n">
        <v>20994.02</v>
      </c>
      <c r="I356" s="31" t="n">
        <v>950.05</v>
      </c>
      <c r="J356" s="31" t="n">
        <v>0.8</v>
      </c>
      <c r="K356" s="31" t="n">
        <v>57776</v>
      </c>
      <c r="L356" s="30" t="n">
        <v>6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54.78</v>
      </c>
      <c r="P356" s="31" t="n">
        <v>9.57</v>
      </c>
      <c r="Q356" s="31" t="n">
        <v>794.79</v>
      </c>
      <c r="R356" s="30" t="inlineStr">
        <is>
          <t>Earnings / Momentum Support</t>
        </is>
      </c>
      <c r="S356" s="30" t="inlineStr">
        <is>
          <t>Nifty FMCG</t>
        </is>
      </c>
      <c r="T356" s="31" t="n">
        <v>-11.27</v>
      </c>
      <c r="U356" s="31" t="n">
        <v>4.08</v>
      </c>
      <c r="V356" s="31" t="n">
        <v>17.3</v>
      </c>
      <c r="W356" s="31" t="n">
        <v>0.35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B2C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Annuity, Lower One Time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IF(B357=0,"",RANK(B357,$B$2:$B$375,0))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SILVERTUC</t>
        </is>
      </c>
      <c r="D357" s="32" t="inlineStr">
        <is>
          <t>Silver Touch Technologies Ltd</t>
        </is>
      </c>
      <c r="E357" s="30" t="inlineStr">
        <is>
          <t>i.t</t>
        </is>
      </c>
      <c r="F357" s="30" t="inlineStr">
        <is>
          <t>computers - software - medium / small</t>
        </is>
      </c>
      <c r="G357" s="30" t="inlineStr">
        <is>
          <t>smallcap</t>
        </is>
      </c>
      <c r="H357" s="31" t="n">
        <v>2618.88</v>
      </c>
      <c r="I357" s="31" t="n">
        <v>205.88</v>
      </c>
      <c r="J357" s="31" t="n">
        <v>-0.31</v>
      </c>
      <c r="K357" s="31" t="n">
        <v>490828</v>
      </c>
      <c r="L357" s="30" t="n">
        <v>19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45.51</v>
      </c>
      <c r="P357" s="31" t="n">
        <v>17.99</v>
      </c>
      <c r="Q357" s="31" t="n">
        <v>115.04</v>
      </c>
      <c r="R357" s="30" t="inlineStr">
        <is>
          <t>Earnings / Momentum Support</t>
        </is>
      </c>
      <c r="S357" s="30" t="inlineStr">
        <is>
          <t>Nifty IT</t>
        </is>
      </c>
      <c r="T357" s="31" t="n">
        <v>-10.05</v>
      </c>
      <c r="U357" s="31" t="n">
        <v>-71.61</v>
      </c>
      <c r="V357" s="31" t="n">
        <v>-68.44</v>
      </c>
      <c r="W357" s="31" t="n">
        <v>4.3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Annuity, Lower One Time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Below 45</t>
        </is>
      </c>
      <c r="BA357" s="30">
        <f>IF(AZ357="Between 50 to 75",10,IF(AZ357="Above 75",0,0))</f>
        <v/>
      </c>
      <c r="BB357" s="30" t="inlineStr">
        <is>
          <t>Stage 4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IF(B358=0,"",RANK(B358,$B$2:$B$375,0))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ASHOKLEY</t>
        </is>
      </c>
      <c r="D358" s="30" t="inlineStr">
        <is>
          <t>Ashok Leyland Limited</t>
        </is>
      </c>
      <c r="E358" s="30" t="inlineStr">
        <is>
          <t>auto</t>
        </is>
      </c>
      <c r="F358" s="30" t="inlineStr">
        <is>
          <t>automobiles - lcvs / hcvs</t>
        </is>
      </c>
      <c r="G358" s="30" t="inlineStr">
        <is>
          <t>largecap</t>
        </is>
      </c>
      <c r="H358" s="31" t="n">
        <v>102692.6</v>
      </c>
      <c r="I358" s="31" t="n">
        <v>176.7</v>
      </c>
      <c r="J358" s="31" t="n">
        <v>1.07</v>
      </c>
      <c r="K358" s="31" t="n">
        <v>10612472</v>
      </c>
      <c r="L358" s="30" t="n">
        <v>46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57.78</v>
      </c>
      <c r="P358" s="31" t="n">
        <v>14.78</v>
      </c>
      <c r="Q358" s="31" t="n">
        <v>141.58</v>
      </c>
      <c r="R358" s="30" t="inlineStr">
        <is>
          <t>Earnings / Momentum Support</t>
        </is>
      </c>
      <c r="S358" s="30" t="inlineStr">
        <is>
          <t>Nifty Auto</t>
        </is>
      </c>
      <c r="T358" s="31" t="n">
        <v>23.47</v>
      </c>
      <c r="U358" s="31" t="n">
        <v>48.37</v>
      </c>
      <c r="V358" s="31" t="n">
        <v>20.16</v>
      </c>
      <c r="W358" s="31" t="n">
        <v>10.78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Less than 1.5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More than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IF(B359=0,"",RANK(B359,$B$2:$B$375,0))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SIRCA</t>
        </is>
      </c>
      <c r="D359" s="30" t="inlineStr">
        <is>
          <t>Sirca Paints India Ltd</t>
        </is>
      </c>
      <c r="E359" s="30" t="inlineStr">
        <is>
          <t>building materials</t>
        </is>
      </c>
      <c r="F359" s="30" t="inlineStr">
        <is>
          <t>paints / varnishes</t>
        </is>
      </c>
      <c r="G359" s="30" t="inlineStr">
        <is>
          <t>smallcap</t>
        </is>
      </c>
      <c r="H359" s="31" t="n">
        <v>2512.23</v>
      </c>
      <c r="I359" s="31" t="n">
        <v>435.9</v>
      </c>
      <c r="J359" s="31" t="n">
        <v>-1.46</v>
      </c>
      <c r="K359" s="31" t="n">
        <v>369452</v>
      </c>
      <c r="L359" s="30" t="n">
        <v>11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53.7</v>
      </c>
      <c r="P359" s="31" t="n">
        <v>17.26</v>
      </c>
      <c r="Q359" s="31" t="n">
        <v>370.46</v>
      </c>
      <c r="R359" s="30" t="inlineStr">
        <is>
          <t>Earnings / Momentum Support</t>
        </is>
      </c>
      <c r="S359" s="30" t="inlineStr">
        <is>
          <t>Nifty Infra</t>
        </is>
      </c>
      <c r="T359" s="31" t="n">
        <v>3.79</v>
      </c>
      <c r="U359" s="31" t="n">
        <v>5.3</v>
      </c>
      <c r="V359" s="31" t="n">
        <v>1.46</v>
      </c>
      <c r="W359" s="31" t="n">
        <v>1.54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IF(B360=0,"",RANK(B360,$B$2:$B$375,0))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KOTHARIPET</t>
        </is>
      </c>
      <c r="D360" s="32" t="inlineStr">
        <is>
          <t>Kothari Petrochemicals Limited</t>
        </is>
      </c>
      <c r="E360" s="30" t="inlineStr">
        <is>
          <t>energy</t>
        </is>
      </c>
      <c r="F360" s="30" t="inlineStr">
        <is>
          <t>petrochemicals</t>
        </is>
      </c>
      <c r="G360" s="30" t="inlineStr">
        <is>
          <t>smallcap</t>
        </is>
      </c>
      <c r="H360" s="31" t="n">
        <v>857.1</v>
      </c>
      <c r="I360" s="31" t="n">
        <v>150.63</v>
      </c>
      <c r="J360" s="31" t="n">
        <v>3.42</v>
      </c>
      <c r="K360" s="31" t="n">
        <v>171773</v>
      </c>
      <c r="L360" s="30" t="n">
        <v>11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66.16</v>
      </c>
      <c r="P360" s="31" t="n">
        <v>19.53</v>
      </c>
      <c r="Q360" s="31" t="n">
        <v>114.35</v>
      </c>
      <c r="R360" s="30" t="inlineStr">
        <is>
          <t>Earnings / Momentum Support</t>
        </is>
      </c>
      <c r="S360" s="30" t="inlineStr">
        <is>
          <t>Nifty Energy</t>
        </is>
      </c>
      <c r="T360" s="31" t="n">
        <v>10</v>
      </c>
      <c r="U360" s="31" t="n">
        <v>-9.390000000000001</v>
      </c>
      <c r="V360" s="31" t="n">
        <v>-17.63</v>
      </c>
      <c r="W360" s="31" t="n">
        <v>1.54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Oligopoly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Yes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Cyclical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Volatile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No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Above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IF(B361=0,"",RANK(B361,$B$2:$B$375,0))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FMGOETZE</t>
        </is>
      </c>
      <c r="D361" s="32" t="inlineStr">
        <is>
          <t>Federal-mogul Goetze (india) Limited.</t>
        </is>
      </c>
      <c r="E361" s="30" t="inlineStr">
        <is>
          <t>auto</t>
        </is>
      </c>
      <c r="F361" s="30" t="inlineStr">
        <is>
          <t>auto ancillaries</t>
        </is>
      </c>
      <c r="G361" s="30" t="inlineStr">
        <is>
          <t>smallcap</t>
        </is>
      </c>
      <c r="H361" s="31" t="n">
        <v>2711.51</v>
      </c>
      <c r="I361" s="31" t="n">
        <v>487.2</v>
      </c>
      <c r="J361" s="31" t="n">
        <v>-0.04</v>
      </c>
      <c r="K361" s="31" t="n">
        <v>28850</v>
      </c>
      <c r="L361" s="30" t="n">
        <v>3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57.81</v>
      </c>
      <c r="P361" s="31" t="n">
        <v>13.34</v>
      </c>
      <c r="Q361" s="31" t="n">
        <v>388.35</v>
      </c>
      <c r="R361" s="30" t="inlineStr">
        <is>
          <t>Earnings / Momentum Support</t>
        </is>
      </c>
      <c r="S361" s="30" t="inlineStr">
        <is>
          <t>Nifty Auto</t>
        </is>
      </c>
      <c r="T361" s="31" t="n">
        <v>23.47</v>
      </c>
      <c r="U361" s="31" t="n">
        <v>-18.07</v>
      </c>
      <c r="V361" s="31" t="n">
        <v>-33.64</v>
      </c>
      <c r="W361" s="31" t="n">
        <v>-0.57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IF(B362=0,"",RANK(B362,$B$2:$B$375,0))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LT</t>
        </is>
      </c>
      <c r="D362" s="30" t="inlineStr">
        <is>
          <t>Larsen &amp; Toubro Limited</t>
        </is>
      </c>
      <c r="E362" s="30" t="inlineStr">
        <is>
          <t>realty</t>
        </is>
      </c>
      <c r="F362" s="30" t="inlineStr">
        <is>
          <t>engineering - turnkey services</t>
        </is>
      </c>
      <c r="G362" s="30" t="inlineStr">
        <is>
          <t>largecap</t>
        </is>
      </c>
      <c r="H362" s="31" t="n">
        <v>555436.9</v>
      </c>
      <c r="I362" s="31" t="n">
        <v>4020</v>
      </c>
      <c r="J362" s="31" t="n">
        <v>-0.43</v>
      </c>
      <c r="K362" s="31" t="n">
        <v>2226623</v>
      </c>
      <c r="L362" s="30" t="n">
        <v>17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52.89</v>
      </c>
      <c r="P362" s="31" t="n">
        <v>7.16</v>
      </c>
      <c r="Q362" s="31" t="n">
        <v>3644.73</v>
      </c>
      <c r="R362" s="30" t="inlineStr">
        <is>
          <t>Earnings / Momentum Support</t>
        </is>
      </c>
      <c r="S362" s="30" t="inlineStr">
        <is>
          <t>Nifty Realty</t>
        </is>
      </c>
      <c r="T362" s="31" t="n">
        <v>-6.4</v>
      </c>
      <c r="U362" s="31" t="n">
        <v>17.9</v>
      </c>
      <c r="V362" s="31" t="n">
        <v>25.96</v>
      </c>
      <c r="W362" s="31" t="n">
        <v>3.75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1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Between 12 to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Between 0.7 to 1.2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IF(B363=0,"",RANK(B363,$B$2:$B$375,0))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STYLEBAAZA</t>
        </is>
      </c>
      <c r="D363" s="30" t="inlineStr">
        <is>
          <t>Baazar Style Retail Ltd</t>
        </is>
      </c>
      <c r="E363" s="30" t="inlineStr">
        <is>
          <t>consumer discretionary</t>
        </is>
      </c>
      <c r="F363" s="30" t="inlineStr">
        <is>
          <t>trading</t>
        </is>
      </c>
      <c r="G363" s="30" t="inlineStr">
        <is>
          <t>smallcap</t>
        </is>
      </c>
      <c r="H363" s="31" t="n">
        <v>2690.37</v>
      </c>
      <c r="I363" s="31" t="n">
        <v>351.3</v>
      </c>
      <c r="J363" s="31" t="n">
        <v>-0.61</v>
      </c>
      <c r="K363" s="31" t="n">
        <v>985489</v>
      </c>
      <c r="L363" s="30" t="n">
        <v>7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55.21</v>
      </c>
      <c r="P363" s="31" t="n">
        <v>11.91</v>
      </c>
      <c r="Q363" s="31" t="n">
        <v>265.74</v>
      </c>
      <c r="R363" s="30" t="inlineStr">
        <is>
          <t>Volume Spike / Accumulation</t>
        </is>
      </c>
      <c r="S363" s="30" t="inlineStr">
        <is>
          <t>Nifty 50</t>
        </is>
      </c>
      <c r="T363" s="31" t="n">
        <v>-0.79</v>
      </c>
      <c r="U363" s="31" t="n">
        <v>11.99</v>
      </c>
      <c r="V363" s="31" t="n">
        <v>12.88</v>
      </c>
      <c r="W363" s="31" t="n">
        <v>0.7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Yes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1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More than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Between 1.5 to 2</t>
        </is>
      </c>
      <c r="BU363" s="30">
        <f>IF(BT363="Above 2",0,IF(BT363="Between 1.5 to 2",5,IF(BT363="Less than 1.5",10,0)))</f>
        <v/>
      </c>
      <c r="BV363" s="30" t="inlineStr">
        <is>
          <t>Less than 50% and Borrowings are increasing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IF(B364=0,"",RANK(B364,$B$2:$B$375,0))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CEATLTD</t>
        </is>
      </c>
      <c r="D364" s="32" t="inlineStr">
        <is>
          <t>Ceat Limited</t>
        </is>
      </c>
      <c r="E364" s="30" t="inlineStr">
        <is>
          <t>auto</t>
        </is>
      </c>
      <c r="F364" s="30" t="inlineStr">
        <is>
          <t>tyres</t>
        </is>
      </c>
      <c r="G364" s="30" t="inlineStr">
        <is>
          <t>midcap</t>
        </is>
      </c>
      <c r="H364" s="31" t="n">
        <v>15169.59</v>
      </c>
      <c r="I364" s="31" t="n">
        <v>3723.1</v>
      </c>
      <c r="J364" s="31" t="n">
        <v>-0.72</v>
      </c>
      <c r="K364" s="31" t="n">
        <v>60641</v>
      </c>
      <c r="L364" s="30" t="n">
        <v>20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56.07</v>
      </c>
      <c r="P364" s="31" t="n">
        <v>7.78</v>
      </c>
      <c r="Q364" s="31" t="n">
        <v>3027.39</v>
      </c>
      <c r="R364" s="30" t="inlineStr">
        <is>
          <t>Earnings / Momentum Support</t>
        </is>
      </c>
      <c r="S364" s="30" t="inlineStr">
        <is>
          <t>Nifty Auto</t>
        </is>
      </c>
      <c r="T364" s="31" t="n">
        <v>23.47</v>
      </c>
      <c r="U364" s="31" t="n">
        <v>12.4</v>
      </c>
      <c r="V364" s="31" t="n">
        <v>-8.960000000000001</v>
      </c>
      <c r="W364" s="31" t="n">
        <v>4.69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1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IF(B365=0,"",RANK(B365,$B$2:$B$375,0))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BIL</t>
        </is>
      </c>
      <c r="D365" s="32" t="inlineStr">
        <is>
          <t>Bhartiya International Limited</t>
        </is>
      </c>
      <c r="E365" s="30" t="inlineStr">
        <is>
          <t>consumer discretionary</t>
        </is>
      </c>
      <c r="F365" s="30" t="inlineStr">
        <is>
          <t>leather / leather products</t>
        </is>
      </c>
      <c r="G365" s="30" t="inlineStr">
        <is>
          <t>smallcap</t>
        </is>
      </c>
      <c r="H365" s="31" t="n">
        <v>1117.22</v>
      </c>
      <c r="I365" s="31" t="n">
        <v>820.6</v>
      </c>
      <c r="J365" s="31" t="n">
        <v>-1.5</v>
      </c>
      <c r="K365" s="31" t="n">
        <v>2415</v>
      </c>
      <c r="L365" s="30" t="n">
        <v>10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57.09</v>
      </c>
      <c r="P365" s="31" t="n">
        <v>14.13</v>
      </c>
      <c r="Q365" s="31" t="n">
        <v>587.9</v>
      </c>
      <c r="R365" s="30" t="inlineStr">
        <is>
          <t>Earnings / Momentum Support</t>
        </is>
      </c>
      <c r="S365" s="30" t="inlineStr">
        <is>
          <t>Nifty 50</t>
        </is>
      </c>
      <c r="T365" s="31" t="n">
        <v>-0.79</v>
      </c>
      <c r="U365" s="31" t="n">
        <v>-6.35</v>
      </c>
      <c r="V365" s="31" t="n">
        <v>-5.6</v>
      </c>
      <c r="W365" s="31" t="n">
        <v>1.45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Less than 50% and Borrowings are increasing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Between 0.7 to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IF(B366=0,"",RANK(B366,$B$2:$B$375,0))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OIL</t>
        </is>
      </c>
      <c r="D366" s="30" t="inlineStr">
        <is>
          <t>Oil India Limited</t>
        </is>
      </c>
      <c r="E366" s="30" t="inlineStr">
        <is>
          <t>energy</t>
        </is>
      </c>
      <c r="F366" s="30" t="inlineStr">
        <is>
          <t>oil drilling / allied services</t>
        </is>
      </c>
      <c r="G366" s="30" t="inlineStr">
        <is>
          <t>largecap</t>
        </is>
      </c>
      <c r="H366" s="31" t="n">
        <v>76507.5</v>
      </c>
      <c r="I366" s="31" t="n">
        <v>472</v>
      </c>
      <c r="J366" s="31" t="n">
        <v>0.35</v>
      </c>
      <c r="K366" s="31" t="n">
        <v>2772626</v>
      </c>
      <c r="L366" s="30" t="n">
        <v>13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54.81</v>
      </c>
      <c r="P366" s="31" t="n">
        <v>16.55</v>
      </c>
      <c r="Q366" s="31" t="n">
        <v>428.1</v>
      </c>
      <c r="R366" s="30" t="inlineStr">
        <is>
          <t>Earnings / Momentum Support</t>
        </is>
      </c>
      <c r="S366" s="30" t="inlineStr">
        <is>
          <t>Nifty Energy</t>
        </is>
      </c>
      <c r="T366" s="31" t="n">
        <v>10</v>
      </c>
      <c r="U366" s="31" t="n">
        <v>11.54</v>
      </c>
      <c r="V366" s="31" t="n">
        <v>1.39</v>
      </c>
      <c r="W366" s="31" t="n">
        <v>2.24</v>
      </c>
      <c r="X366" s="30" t="inlineStr">
        <is>
          <t>Cyclical in an Upturn</t>
        </is>
      </c>
      <c r="Y366" s="30">
        <f>IF(X366="Growing Industry",10,IF(X366="Cyclical in an Upturn",5,0))</f>
        <v/>
      </c>
      <c r="Z366" s="30" t="inlineStr">
        <is>
          <t>Oligopoly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Yes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Cyclical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Volatile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IF(B367=0,"",RANK(B367,$B$2:$B$375,0))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MRPL</t>
        </is>
      </c>
      <c r="D367" s="30" t="inlineStr">
        <is>
          <t>Mangalore Refinery And Petrochemicals Limited</t>
        </is>
      </c>
      <c r="E367" s="30" t="inlineStr">
        <is>
          <t>energy</t>
        </is>
      </c>
      <c r="F367" s="30" t="inlineStr">
        <is>
          <t>refineries</t>
        </is>
      </c>
      <c r="G367" s="30" t="inlineStr">
        <is>
          <t>largecap</t>
        </is>
      </c>
      <c r="H367" s="31" t="n">
        <v>31746.57</v>
      </c>
      <c r="I367" s="31" t="n">
        <v>175.38</v>
      </c>
      <c r="J367" s="31" t="n">
        <v>-3.18</v>
      </c>
      <c r="K367" s="31" t="n">
        <v>10085904</v>
      </c>
      <c r="L367" s="30" t="n">
        <v>17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56.14</v>
      </c>
      <c r="P367" s="31" t="n">
        <v>15.12</v>
      </c>
      <c r="Q367" s="31" t="n">
        <v>126.52</v>
      </c>
      <c r="R367" s="30" t="inlineStr">
        <is>
          <t>Earnings / Momentum Support</t>
        </is>
      </c>
      <c r="S367" s="30" t="inlineStr">
        <is>
          <t>Nifty Energy</t>
        </is>
      </c>
      <c r="T367" s="31" t="n">
        <v>10</v>
      </c>
      <c r="U367" s="31" t="n">
        <v>27.17</v>
      </c>
      <c r="V367" s="31" t="n">
        <v>15.6</v>
      </c>
      <c r="W367" s="31" t="n">
        <v>4.16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Oligopoly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Yes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Cyclical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Volatile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Between 0.7 to 1.2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IF(B368=0,"",RANK(B368,$B$2:$B$375,0))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GRAVITA</t>
        </is>
      </c>
      <c r="D368" s="32" t="inlineStr">
        <is>
          <t>Gravita India Limited</t>
        </is>
      </c>
      <c r="E368" s="30" t="inlineStr">
        <is>
          <t>metals &amp; mining</t>
        </is>
      </c>
      <c r="F368" s="30" t="inlineStr">
        <is>
          <t>mining / minerals / metals</t>
        </is>
      </c>
      <c r="G368" s="30" t="inlineStr">
        <is>
          <t>midcap</t>
        </is>
      </c>
      <c r="H368" s="31" t="n">
        <v>13171.12</v>
      </c>
      <c r="I368" s="31" t="n">
        <v>1815.1</v>
      </c>
      <c r="J368" s="31" t="n">
        <v>1.71</v>
      </c>
      <c r="K368" s="31" t="n">
        <v>217427</v>
      </c>
      <c r="L368" s="30" t="n">
        <v>15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56.51</v>
      </c>
      <c r="P368" s="31" t="n">
        <v>15.33</v>
      </c>
      <c r="Q368" s="31" t="n">
        <v>1441.23</v>
      </c>
      <c r="R368" s="30" t="inlineStr">
        <is>
          <t>Near 52W High Breakout</t>
        </is>
      </c>
      <c r="S368" s="30" t="inlineStr">
        <is>
          <t>Nifty Metal</t>
        </is>
      </c>
      <c r="T368" s="31" t="n">
        <v>39.75</v>
      </c>
      <c r="U368" s="31" t="n">
        <v>-3.79</v>
      </c>
      <c r="V368" s="31" t="n">
        <v>-31.15</v>
      </c>
      <c r="W368" s="31" t="n">
        <v>2.8</v>
      </c>
      <c r="X368" s="30" t="inlineStr">
        <is>
          <t>Cyclical in an Upturn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Cyclical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Volatile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Between 12 to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IF(B369=0,"",RANK(B369,$B$2:$B$375,0))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GIPCL</t>
        </is>
      </c>
      <c r="D369" s="30" t="inlineStr">
        <is>
          <t>Gujarat Industries Power Company Limited</t>
        </is>
      </c>
      <c r="E369" s="30" t="inlineStr">
        <is>
          <t>power &amp; utilities</t>
        </is>
      </c>
      <c r="F369" s="30" t="inlineStr">
        <is>
          <t>power generation and supply</t>
        </is>
      </c>
      <c r="G369" s="30" t="inlineStr">
        <is>
          <t>smallcap</t>
        </is>
      </c>
      <c r="H369" s="31" t="n">
        <v>2555.48</v>
      </c>
      <c r="I369" s="31" t="n">
        <v>174.05</v>
      </c>
      <c r="J369" s="31" t="n">
        <v>5.72</v>
      </c>
      <c r="K369" s="31" t="n">
        <v>8115461</v>
      </c>
      <c r="L369" s="30" t="n">
        <v>16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61.16</v>
      </c>
      <c r="P369" s="31" t="n">
        <v>11.82</v>
      </c>
      <c r="Q369" s="31" t="n">
        <v>139.31</v>
      </c>
      <c r="R369" s="30" t="inlineStr">
        <is>
          <t>Volume Spike / Accumulation</t>
        </is>
      </c>
      <c r="S369" s="30" t="inlineStr">
        <is>
          <t>Nifty IT</t>
        </is>
      </c>
      <c r="T369" s="31" t="n">
        <v>-10.05</v>
      </c>
      <c r="U369" s="31" t="n">
        <v>-3.95</v>
      </c>
      <c r="V369" s="31" t="n">
        <v>6.78</v>
      </c>
      <c r="W369" s="31" t="n">
        <v>3.63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Oligopoly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Shallow Cyclical (2 to 3 Years Growth)</t>
        </is>
      </c>
      <c r="AG369" s="30">
        <f>IF(AF369="Structural (10 Years Consistency)",10,IF(AF369="Shallow Cyclical (2 to 3 years growth)",5,0))</f>
        <v/>
      </c>
      <c r="AH369" s="30" t="inlineStr">
        <is>
          <t>Yes due to Product Mix change or Operating Leverage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Volatile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Yes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Allocated capital in Non-core Areas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Above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3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Sideways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Overhead supply in last 2 years in last 2 years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Less than 1.5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More than 15%</t>
        </is>
      </c>
      <c r="CC369" s="30">
        <f>IF(CB369="More than 15%",-10,IF(CB369="Less than 15%",10,0))</f>
        <v/>
      </c>
      <c r="CD369" s="30" t="inlineStr">
        <is>
          <t>Yes Upto 10%</t>
        </is>
      </c>
      <c r="CE369" s="30">
        <f>IF(CD369="Yes, more than 10%",-10,IF(CD369="No",10,0))</f>
        <v/>
      </c>
    </row>
    <row r="370">
      <c r="A370" s="30">
        <f>IF(B370=0,"",RANK(B370,$B$2:$B$375,0))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0" t="inlineStr">
        <is>
          <t>FLUOROCHEM</t>
        </is>
      </c>
      <c r="D370" s="30" t="inlineStr">
        <is>
          <t>Gujarat Fluorochemicals Ltd</t>
        </is>
      </c>
      <c r="E370" s="30" t="inlineStr">
        <is>
          <t>chemicals</t>
        </is>
      </c>
      <c r="F370" s="30" t="inlineStr">
        <is>
          <t>chemicals</t>
        </is>
      </c>
      <c r="G370" s="30" t="inlineStr">
        <is>
          <t>largecap</t>
        </is>
      </c>
      <c r="H370" s="31" t="n">
        <v>48511.96</v>
      </c>
      <c r="I370" s="31" t="n">
        <v>4565.8</v>
      </c>
      <c r="J370" s="31" t="n">
        <v>3.39</v>
      </c>
      <c r="K370" s="31" t="n">
        <v>979035</v>
      </c>
      <c r="L370" s="30" t="n">
        <v>49</v>
      </c>
      <c r="M370" s="30" t="inlineStr">
        <is>
          <t>Outperforming</t>
        </is>
      </c>
      <c r="N370" s="31">
        <f>IF(M370="Underperforming",-5,IF(L370&gt;=95,15,IF(L370&gt;=90,10,IF(L370&gt;=80,5,0))))</f>
        <v/>
      </c>
      <c r="O370" s="31" t="n">
        <v>70.28</v>
      </c>
      <c r="P370" s="31" t="n">
        <v>29.49</v>
      </c>
      <c r="Q370" s="31" t="n">
        <v>3773.75</v>
      </c>
      <c r="R370" s="30" t="inlineStr">
        <is>
          <t>Near 52W High Breakout</t>
        </is>
      </c>
      <c r="S370" s="30" t="inlineStr">
        <is>
          <t>Nifty 500</t>
        </is>
      </c>
      <c r="T370" s="31" t="n">
        <v>4.37</v>
      </c>
      <c r="U370" s="31" t="n">
        <v>34.81</v>
      </c>
      <c r="V370" s="31" t="n">
        <v>29.16</v>
      </c>
      <c r="W370" s="31" t="n">
        <v>11.15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Oligopoly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Shallow Cyclical (2 to 3 Years Growth)</t>
        </is>
      </c>
      <c r="AG370" s="30">
        <f>IF(AF370="Structural (10 Years Consistency)",10,IF(AF370="Shallow Cyclical (2 to 3 years growth)",5,0))</f>
        <v/>
      </c>
      <c r="AH370" s="30" t="inlineStr">
        <is>
          <t>Yes due to Product Mix change or Operating Leverage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Yes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Allocated capital in Non-core Areas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Above 40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3</t>
        </is>
      </c>
      <c r="BC370" s="30">
        <f>IF(BB370="Stage 2",20,IF(BB370="Stage 1",0,IF(BB370="Stage 3",5,IF(BB370="Stage 4",-5,0))))</f>
        <v/>
      </c>
      <c r="BD370" s="30" t="inlineStr">
        <is>
          <t>Negative Trend</t>
        </is>
      </c>
      <c r="BE370" s="30">
        <f>IF(BD370="Positive Trend",20,IF(BD370="Negative Trend",-10,0))</f>
        <v/>
      </c>
      <c r="BF370" s="30" t="inlineStr">
        <is>
          <t>Sideways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Overhead supply in last 2 years in last 2 years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Less than 1.5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More than 15%</t>
        </is>
      </c>
      <c r="CC370" s="30">
        <f>IF(CB370="More than 15%",-10,IF(CB370="Less than 15%",10,0))</f>
        <v/>
      </c>
      <c r="CD370" s="30" t="inlineStr">
        <is>
          <t>Yes Upto 10%</t>
        </is>
      </c>
      <c r="CE370" s="30">
        <f>IF(CD370="Yes, more than 10%",-10,IF(CD370="No",10,0))</f>
        <v/>
      </c>
    </row>
    <row r="371">
      <c r="A371" s="30">
        <f>IF(B371=0,"",RANK(B371,$B$2:$B$375,0))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0" t="inlineStr">
        <is>
          <t>GNFC</t>
        </is>
      </c>
      <c r="D371" s="30" t="inlineStr">
        <is>
          <t>Gujarat Narmada Valley Fertilizers And Chemicals Limited</t>
        </is>
      </c>
      <c r="E371" s="30" t="inlineStr">
        <is>
          <t>chemicals</t>
        </is>
      </c>
      <c r="F371" s="30" t="inlineStr">
        <is>
          <t>chemicals</t>
        </is>
      </c>
      <c r="G371" s="30" t="inlineStr">
        <is>
          <t>midcap</t>
        </is>
      </c>
      <c r="H371" s="31" t="n">
        <v>8058.23</v>
      </c>
      <c r="I371" s="31" t="n">
        <v>551.05</v>
      </c>
      <c r="J371" s="31" t="n">
        <v>0.48</v>
      </c>
      <c r="K371" s="31" t="n">
        <v>449732</v>
      </c>
      <c r="L371" s="30" t="n">
        <v>18</v>
      </c>
      <c r="M371" s="30" t="inlineStr">
        <is>
          <t>Outperforming</t>
        </is>
      </c>
      <c r="N371" s="31">
        <f>IF(M371="Underperforming",-5,IF(L371&gt;=95,15,IF(L371&gt;=90,10,IF(L371&gt;=80,5,0))))</f>
        <v/>
      </c>
      <c r="O371" s="31" t="n">
        <v>62.4</v>
      </c>
      <c r="P371" s="31" t="n">
        <v>32.51</v>
      </c>
      <c r="Q371" s="31" t="n">
        <v>461.7</v>
      </c>
      <c r="R371" s="30" t="inlineStr">
        <is>
          <t>Near 52W High Breakout</t>
        </is>
      </c>
      <c r="S371" s="30" t="inlineStr">
        <is>
          <t>Nifty 50</t>
        </is>
      </c>
      <c r="T371" s="31" t="n">
        <v>-0.79</v>
      </c>
      <c r="U371" s="31" t="n">
        <v>13.67</v>
      </c>
      <c r="V371" s="31" t="n">
        <v>14.57</v>
      </c>
      <c r="W371" s="31" t="n">
        <v>4.21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Oligopoly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Shallow Cyclical (2 to 3 Years Growth)</t>
        </is>
      </c>
      <c r="AG371" s="30">
        <f>IF(AF371="Structural (10 Years Consistency)",10,IF(AF371="Shallow Cyclical (2 to 3 years growth)",5,0))</f>
        <v/>
      </c>
      <c r="AH371" s="30" t="inlineStr">
        <is>
          <t>Yes due to Product Mix change or Operating Leverage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Allocated capital in Non-core Areas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Above 40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3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Sideways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Overhead supply in last 2 years in last 2 years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Less than 1.5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More than 15%</t>
        </is>
      </c>
      <c r="CC371" s="30">
        <f>IF(CB371="More than 15%",-10,IF(CB371="Less than 15%",10,0))</f>
        <v/>
      </c>
      <c r="CD371" s="30" t="inlineStr">
        <is>
          <t>Yes Upto 10%</t>
        </is>
      </c>
      <c r="CE371" s="30">
        <f>IF(CD371="Yes, more than 10%",-10,IF(CD371="No",10,0))</f>
        <v/>
      </c>
    </row>
    <row r="372">
      <c r="A372" s="30">
        <f>IF(B372=0,"",RANK(B372,$B$2:$B$375,0))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GUJALKALI</t>
        </is>
      </c>
      <c r="D372" s="30" t="inlineStr">
        <is>
          <t>Gujarat Alkalies And Chemicals Limited</t>
        </is>
      </c>
      <c r="E372" s="30" t="inlineStr">
        <is>
          <t>chemicals</t>
        </is>
      </c>
      <c r="F372" s="30" t="inlineStr">
        <is>
          <t>chemicals</t>
        </is>
      </c>
      <c r="G372" s="30" t="inlineStr">
        <is>
          <t>smallcap</t>
        </is>
      </c>
      <c r="H372" s="31" t="n">
        <v>4974.25</v>
      </c>
      <c r="I372" s="31" t="n">
        <v>672.45</v>
      </c>
      <c r="J372" s="31" t="n">
        <v>-0.72</v>
      </c>
      <c r="K372" s="31" t="n">
        <v>35804</v>
      </c>
      <c r="L372" s="30" t="n">
        <v>26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57.87</v>
      </c>
      <c r="P372" s="31" t="n">
        <v>29.24</v>
      </c>
      <c r="Q372" s="31" t="n">
        <v>531.1900000000001</v>
      </c>
      <c r="R372" s="30" t="inlineStr">
        <is>
          <t>Earnings / Momentum Support</t>
        </is>
      </c>
      <c r="S372" s="30" t="inlineStr">
        <is>
          <t>Nifty 50</t>
        </is>
      </c>
      <c r="T372" s="31" t="n">
        <v>-0.79</v>
      </c>
      <c r="U372" s="31" t="n">
        <v>25.41</v>
      </c>
      <c r="V372" s="31" t="n">
        <v>26.41</v>
      </c>
      <c r="W372" s="31" t="n">
        <v>5.74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Oligopoly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Shallow Cyclical (2 to 3 Years Growth)</t>
        </is>
      </c>
      <c r="AG372" s="30">
        <f>IF(AF372="Structural (10 Years Consistency)",10,IF(AF372="Shallow Cyclical (2 to 3 years growth)",5,0))</f>
        <v/>
      </c>
      <c r="AH372" s="30" t="inlineStr">
        <is>
          <t>Yes due to Product Mix change or Operating Leverage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Volatile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Yes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Allocated capital in Non-core Areas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Above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3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Sideways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Overhead supply in last 2 years in last 2 years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Less than 1.5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More than 15%</t>
        </is>
      </c>
      <c r="CC372" s="30">
        <f>IF(CB372="More than 15%",-10,IF(CB372="Less than 15%",10,0))</f>
        <v/>
      </c>
      <c r="CD372" s="30" t="inlineStr">
        <is>
          <t>Yes Upto 10%</t>
        </is>
      </c>
      <c r="CE372" s="30">
        <f>IF(CD372="Yes, more than 10%",-10,IF(CD372="No",10,0))</f>
        <v/>
      </c>
    </row>
    <row r="373">
      <c r="A373" s="30">
        <f>IF(B373=0,"",RANK(B373,$B$2:$B$375,0))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POLICYBZR</t>
        </is>
      </c>
      <c r="D373" s="30" t="inlineStr">
        <is>
          <t>PB Fintech Ltd</t>
        </is>
      </c>
      <c r="E373" s="30" t="inlineStr">
        <is>
          <t>i.t</t>
        </is>
      </c>
      <c r="F373" s="30" t="inlineStr">
        <is>
          <t>miscellaneous</t>
        </is>
      </c>
      <c r="G373" s="30" t="inlineStr">
        <is>
          <t>largecap</t>
        </is>
      </c>
      <c r="H373" s="31" t="n">
        <v>80185.02</v>
      </c>
      <c r="I373" s="31" t="n">
        <v>1739</v>
      </c>
      <c r="J373" s="31" t="n">
        <v>0.35</v>
      </c>
      <c r="K373" s="31" t="n">
        <v>787209</v>
      </c>
      <c r="L373" s="30" t="n">
        <v>5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58.4</v>
      </c>
      <c r="P373" s="31" t="n">
        <v>7.09</v>
      </c>
      <c r="Q373" s="31" t="n">
        <v>1445.19</v>
      </c>
      <c r="R373" s="30" t="inlineStr">
        <is>
          <t>Earnings / Momentum Support</t>
        </is>
      </c>
      <c r="S373" s="30" t="inlineStr">
        <is>
          <t>Nifty IT</t>
        </is>
      </c>
      <c r="T373" s="31" t="n">
        <v>-10.05</v>
      </c>
      <c r="U373" s="31" t="n">
        <v>-5.19</v>
      </c>
      <c r="V373" s="31" t="n">
        <v>5.4</v>
      </c>
      <c r="W373" s="31" t="n">
        <v>-0.15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Monopoly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Yes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Volatile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B2C</t>
        </is>
      </c>
      <c r="AO373" s="30">
        <f>IF(AN373="B2C",10,IF(AN373="B2B",5,0))</f>
        <v/>
      </c>
      <c r="AP373" s="30" t="inlineStr">
        <is>
          <t>Yes</t>
        </is>
      </c>
      <c r="AQ373" s="30">
        <f>IF(AP373="Yes",10,0)</f>
        <v/>
      </c>
      <c r="AR373" s="30" t="inlineStr">
        <is>
          <t>Fully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Allocated capital in Non-core Areas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20 to 40</t>
        </is>
      </c>
      <c r="AY373" s="30">
        <f>IF(AX373="Above 40",20,IF(AX373="20 to 40",10,IF(AX373="0 to 20",-5,0)))</f>
        <v/>
      </c>
      <c r="AZ373" s="30" t="inlineStr">
        <is>
          <t>Below 45</t>
        </is>
      </c>
      <c r="BA373" s="30">
        <f>IF(AZ373="Between 50 to 75",10,IF(AZ373="Above 75",0,0))</f>
        <v/>
      </c>
      <c r="BB373" s="30" t="inlineStr">
        <is>
          <t>Stage 1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Downtrend</t>
        </is>
      </c>
      <c r="BG373" s="30">
        <f>IF(BF373="Uptrend",10,IF(BF373="Sideways",5,0))</f>
        <v/>
      </c>
      <c r="BH373" s="30" t="inlineStr">
        <is>
          <t>Downtrend</t>
        </is>
      </c>
      <c r="BI373" s="30">
        <f>IF(BH373="Uptrend",10,IF(BH373="Sideways",5,0))</f>
        <v/>
      </c>
      <c r="BJ373" s="30" t="inlineStr">
        <is>
          <t>Overhead supply in last 2 years in last 2 years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Less than 12%</t>
        </is>
      </c>
      <c r="BO373" s="30">
        <f>IF(BN373="More than 20%",10,IF(BN373="Between 12 to 20%",5,IF(BN373="Less than 12%",0,0)))</f>
        <v/>
      </c>
      <c r="BP373" s="30" t="inlineStr">
        <is>
          <t>Yes</t>
        </is>
      </c>
      <c r="BQ373" s="30">
        <f>IF(BP373="No",10,0)</f>
        <v/>
      </c>
      <c r="BR373" s="30" t="inlineStr">
        <is>
          <t>Yes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IF(B374=0,"",RANK(B374,$B$2:$B$375,0))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JSL</t>
        </is>
      </c>
      <c r="D374" s="32" t="inlineStr">
        <is>
          <t>Jindal Stainless Limited</t>
        </is>
      </c>
      <c r="E374" s="30" t="inlineStr">
        <is>
          <t>metals &amp; mining</t>
        </is>
      </c>
      <c r="F374" s="30" t="inlineStr">
        <is>
          <t>steel - large</t>
        </is>
      </c>
      <c r="G374" s="30" t="inlineStr">
        <is>
          <t>largecap</t>
        </is>
      </c>
      <c r="H374" s="31" t="n">
        <v>59778.66</v>
      </c>
      <c r="I374" s="31" t="n">
        <v>737.9</v>
      </c>
      <c r="J374" s="31" t="n">
        <v>1.77</v>
      </c>
      <c r="K374" s="31" t="n">
        <v>486337</v>
      </c>
      <c r="L374" s="30" t="n">
        <v>13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51.5</v>
      </c>
      <c r="P374" s="31" t="n">
        <v>10.75</v>
      </c>
      <c r="Q374" s="31" t="n">
        <v>622.54</v>
      </c>
      <c r="R374" s="30" t="inlineStr">
        <is>
          <t>Earnings / Momentum Support</t>
        </is>
      </c>
      <c r="S374" s="30" t="inlineStr">
        <is>
          <t>Nifty Metal</t>
        </is>
      </c>
      <c r="T374" s="31" t="n">
        <v>39.75</v>
      </c>
      <c r="U374" s="31" t="n">
        <v>12.91</v>
      </c>
      <c r="V374" s="31" t="n">
        <v>-19.21</v>
      </c>
      <c r="W374" s="31" t="n">
        <v>2.2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1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IF(B375=0,"",RANK(B375,$B$2:$B$375,0))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JINDALSTEL</t>
        </is>
      </c>
      <c r="D375" s="32" t="inlineStr">
        <is>
          <t>Jindal Steel Ltd</t>
        </is>
      </c>
      <c r="E375" s="30" t="inlineStr">
        <is>
          <t>metals &amp; mining</t>
        </is>
      </c>
      <c r="F375" s="30" t="inlineStr">
        <is>
          <t>steel - large</t>
        </is>
      </c>
      <c r="G375" s="30" t="inlineStr">
        <is>
          <t>largecap</t>
        </is>
      </c>
      <c r="H375" s="31" t="n">
        <v>111699.65</v>
      </c>
      <c r="I375" s="31" t="n">
        <v>1112</v>
      </c>
      <c r="J375" s="31" t="n">
        <v>1.55</v>
      </c>
      <c r="K375" s="31" t="n">
        <v>396526</v>
      </c>
      <c r="L375" s="30" t="n">
        <v>6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49.21</v>
      </c>
      <c r="P375" s="31" t="n">
        <v>16.58</v>
      </c>
      <c r="Q375" s="31" t="n">
        <v>1047.37</v>
      </c>
      <c r="R375" s="30" t="inlineStr">
        <is>
          <t>Earnings / Momentum Support</t>
        </is>
      </c>
      <c r="S375" s="30" t="inlineStr">
        <is>
          <t>Nifty Metal</t>
        </is>
      </c>
      <c r="T375" s="31" t="n">
        <v>39.75</v>
      </c>
      <c r="U375" s="31" t="n">
        <v>11.4</v>
      </c>
      <c r="V375" s="31" t="n">
        <v>-20.28</v>
      </c>
      <c r="W375" s="31" t="n">
        <v>0.33</v>
      </c>
      <c r="X375" s="30" t="inlineStr">
        <is>
          <t>Cyclical in an Upturn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Headwind</t>
        </is>
      </c>
      <c r="AE375" s="30">
        <f>IF(AD375="Tailwind",10,0)</f>
        <v/>
      </c>
      <c r="AF375" s="30" t="inlineStr">
        <is>
          <t>Cyclical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Volatile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Below 45</t>
        </is>
      </c>
      <c r="BA375" s="30">
        <f>IF(AZ375="Between 50 to 75",10,IF(AZ375="Above 75",0,0))</f>
        <v/>
      </c>
      <c r="BB375" s="30" t="inlineStr">
        <is>
          <t>Stage 4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Yes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</sheetData>
  <autoFilter ref="A1:CE375"/>
  <conditionalFormatting sqref="B2:B37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5">
    <cfRule type="cellIs" priority="36" operator="equal" dxfId="3" stopIfTrue="1">
      <formula>"Underperforming"</formula>
    </cfRule>
  </conditionalFormatting>
  <conditionalFormatting sqref="N2:N375">
    <cfRule type="cellIs" priority="37" operator="equal" dxfId="3" stopIfTrue="1">
      <formula>-5</formula>
    </cfRule>
  </conditionalFormatting>
  <conditionalFormatting sqref="Q2:Q37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5" showDropDown="0" showInputMessage="0" showErrorMessage="0" allowBlank="1" type="list">
      <formula1>"Growing Industry,Stagnant Industry,Cyclical in an Upturn"</formula1>
    </dataValidation>
    <dataValidation sqref="Z2:Z37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5" showDropDown="0" showInputMessage="0" showErrorMessage="0" allowBlank="1" type="list">
      <formula1>"Yes,No"</formula1>
    </dataValidation>
    <dataValidation sqref="AD2:AD375" showDropDown="0" showInputMessage="0" showErrorMessage="0" allowBlank="1" type="list">
      <formula1>"Tailwind,Headwind"</formula1>
    </dataValidation>
    <dataValidation sqref="AF2:AF375" showDropDown="0" showInputMessage="0" showErrorMessage="0" allowBlank="1" type="list">
      <formula1>"Structural (10 Years Consistency),Shallow Cyclical (2 to 3 Years Growth),Cyclical"</formula1>
    </dataValidation>
    <dataValidation sqref="AH2:AH375" showDropDown="0" showInputMessage="0" showErrorMessage="0" allowBlank="1" type="list">
      <formula1>"Yes due to Product Mix change or Operating Leverage,Yes, these are peak margins,No"</formula1>
    </dataValidation>
    <dataValidation sqref="AJ2:AJ375" showDropDown="0" showInputMessage="0" showErrorMessage="0" allowBlank="1" type="list">
      <formula1>"Stable,Volatile"</formula1>
    </dataValidation>
    <dataValidation sqref="AL2:AL375" showDropDown="0" showInputMessage="0" showErrorMessage="0" allowBlank="1" type="list">
      <formula1>"Yes,No"</formula1>
    </dataValidation>
    <dataValidation sqref="AN2:AN375" showDropDown="0" showInputMessage="0" showErrorMessage="0" allowBlank="1" type="list">
      <formula1>"B2C,B2B,B2G"</formula1>
    </dataValidation>
    <dataValidation sqref="AP2:AP375" showDropDown="0" showInputMessage="0" showErrorMessage="0" allowBlank="1" type="list">
      <formula1>"Yes,No"</formula1>
    </dataValidation>
    <dataValidation sqref="AR2:AR375" showDropDown="0" showInputMessage="0" showErrorMessage="0" allowBlank="1" type="list">
      <formula1>"Fully Annuity,Higher Annuity, Lower One time,Higher One Time, Lower Annuity,Fully One Time"</formula1>
    </dataValidation>
    <dataValidation sqref="AT2:AT375" showDropDown="0" showInputMessage="0" showErrorMessage="0" allowBlank="1" type="list">
      <formula1>"Good,Allocated capital in Non-core Areas"</formula1>
    </dataValidation>
    <dataValidation sqref="AV2:AV375" showDropDown="0" showInputMessage="0" showErrorMessage="0" allowBlank="1" type="list">
      <formula1>"Yes for more than 2 years,Yes only for next 1 to 2 years,No"</formula1>
    </dataValidation>
    <dataValidation sqref="AX2:AX375" showDropDown="0" showInputMessage="0" showErrorMessage="0" allowBlank="1" type="list">
      <formula1>"Above 40,20 to 40,0 to 20"</formula1>
    </dataValidation>
    <dataValidation sqref="AZ2:AZ375" showDropDown="0" showInputMessage="0" showErrorMessage="0" allowBlank="1" type="list">
      <formula1>"Between 50 to 75,Above 75,Below 45"</formula1>
    </dataValidation>
    <dataValidation sqref="BB2:BB375" showDropDown="0" showInputMessage="0" showErrorMessage="0" allowBlank="1" type="list">
      <formula1>"Stage 1,Stage 2,Stage 3,Stage 4"</formula1>
    </dataValidation>
    <dataValidation sqref="BD2:BD375" showDropDown="0" showInputMessage="0" showErrorMessage="0" allowBlank="1" type="list">
      <formula1>"Positive Trend,Negative Trend"</formula1>
    </dataValidation>
    <dataValidation sqref="BF2:BF375" showDropDown="0" showInputMessage="0" showErrorMessage="0" allowBlank="1" type="list">
      <formula1>"Uptrend,Sideways,Downtrend"</formula1>
    </dataValidation>
    <dataValidation sqref="BH2:BH375" showDropDown="0" showInputMessage="0" showErrorMessage="0" allowBlank="1" type="list">
      <formula1>"Uptrend,Sideways,Downtrend"</formula1>
    </dataValidation>
    <dataValidation sqref="BJ2:BJ37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5" showDropDown="0" showInputMessage="0" showErrorMessage="0" allowBlank="1" type="list">
      <formula1>"Yes,No"</formula1>
    </dataValidation>
    <dataValidation sqref="BN2:BN375" showDropDown="0" showInputMessage="0" showErrorMessage="0" allowBlank="1" type="list">
      <formula1>"More than 20%,Between 12 to 20%,Less than 12%"</formula1>
    </dataValidation>
    <dataValidation sqref="BP2:BP375" showDropDown="0" showInputMessage="0" showErrorMessage="0" allowBlank="1" type="list">
      <formula1>"Yes,No"</formula1>
    </dataValidation>
    <dataValidation sqref="BR2:BR375" showDropDown="0" showInputMessage="0" showErrorMessage="0" allowBlank="1" type="list">
      <formula1>"Yes,No"</formula1>
    </dataValidation>
    <dataValidation sqref="BT2:BT375" showDropDown="0" showInputMessage="0" showErrorMessage="0" allowBlank="1" type="list">
      <formula1>"Above 2,Between 1.5 to 2,Less than 1.5"</formula1>
    </dataValidation>
    <dataValidation sqref="BV2:BV375" showDropDown="0" showInputMessage="0" showErrorMessage="0" allowBlank="1" type="list">
      <formula1>"Above 70%,Between 50% to 70%,Less than 50%,Less than 50% and Borrowings are increasing,Negative"</formula1>
    </dataValidation>
    <dataValidation sqref="BX2:BX375" showDropDown="0" showInputMessage="0" showErrorMessage="0" allowBlank="1" type="list">
      <formula1>"More than 1.2,Between 0.7 to 1.2,Less than 0.7"</formula1>
    </dataValidation>
    <dataValidation sqref="BZ2:BZ375" showDropDown="0" showInputMessage="0" showErrorMessage="0" allowBlank="1" type="list">
      <formula1>"Yes,No"</formula1>
    </dataValidation>
    <dataValidation sqref="CB2:CB375" showDropDown="0" showInputMessage="0" showErrorMessage="0" allowBlank="1" type="list">
      <formula1>"More than 15%,Less than 15%"</formula1>
    </dataValidation>
    <dataValidation sqref="CD2:CD37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IF(B2=0,"",RANK(B2,$B$2:$B$42,0))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RANEHOLDIN</t>
        </is>
      </c>
      <c r="D2" s="30" t="inlineStr">
        <is>
          <t>Rane Holdings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2536.02</v>
      </c>
      <c r="I2" s="31" t="n">
        <v>1801.7</v>
      </c>
      <c r="J2" s="31" t="n">
        <v>1.44</v>
      </c>
      <c r="K2" s="31" t="n">
        <v>13999</v>
      </c>
      <c r="L2" s="30" t="n">
        <v>47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72.23</v>
      </c>
      <c r="P2" s="31" t="n">
        <v>45.62</v>
      </c>
      <c r="Q2" s="31" t="n">
        <v>1415.05</v>
      </c>
      <c r="R2" s="30" t="inlineStr">
        <is>
          <t>Near 52W High Breakout</t>
        </is>
      </c>
      <c r="S2" s="30" t="inlineStr">
        <is>
          <t>Nifty Bank</t>
        </is>
      </c>
      <c r="T2" s="31" t="n">
        <v>4.6</v>
      </c>
      <c r="U2" s="31" t="n">
        <v>25.01</v>
      </c>
      <c r="V2" s="31" t="n">
        <v>19.52</v>
      </c>
      <c r="W2" s="31" t="n">
        <v>10.87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IF(B3=0,"",RANK(B3,$B$2:$B$42,0))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KTKBANK</t>
        </is>
      </c>
      <c r="D3" s="30" t="inlineStr">
        <is>
          <t>The Karnataka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11453.89</v>
      </c>
      <c r="I3" s="31" t="n">
        <v>313.7</v>
      </c>
      <c r="J3" s="31" t="n">
        <v>3.58</v>
      </c>
      <c r="K3" s="31" t="n">
        <v>3017208</v>
      </c>
      <c r="L3" s="30" t="n">
        <v>73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75.41</v>
      </c>
      <c r="P3" s="31" t="n">
        <v>45.49</v>
      </c>
      <c r="Q3" s="31" t="n">
        <v>259.2</v>
      </c>
      <c r="R3" s="30" t="inlineStr">
        <is>
          <t>Near 52W High Breakout</t>
        </is>
      </c>
      <c r="S3" s="30" t="inlineStr">
        <is>
          <t>Nifty Bank</t>
        </is>
      </c>
      <c r="T3" s="31" t="n">
        <v>4.6</v>
      </c>
      <c r="U3" s="31" t="n">
        <v>89.87</v>
      </c>
      <c r="V3" s="31" t="n">
        <v>81.53</v>
      </c>
      <c r="W3" s="31" t="n">
        <v>19.63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IF(B4=0,"",RANK(B4,$B$2:$B$42,0))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UJJIVANSFB</t>
        </is>
      </c>
      <c r="D4" s="30" t="inlineStr">
        <is>
          <t>Ujjivan Small Finance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13644.02</v>
      </c>
      <c r="I4" s="31" t="n">
        <v>72.38</v>
      </c>
      <c r="J4" s="31" t="n">
        <v>3.19</v>
      </c>
      <c r="K4" s="31" t="n">
        <v>18062565</v>
      </c>
      <c r="L4" s="30" t="n">
        <v>70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68.16</v>
      </c>
      <c r="P4" s="31" t="n">
        <v>35.92</v>
      </c>
      <c r="Q4" s="31" t="n">
        <v>57.69</v>
      </c>
      <c r="R4" s="30" t="inlineStr">
        <is>
          <t>Near 52W High Breakout</t>
        </is>
      </c>
      <c r="S4" s="30" t="inlineStr">
        <is>
          <t>Nifty Bank</t>
        </is>
      </c>
      <c r="T4" s="31" t="n">
        <v>4.6</v>
      </c>
      <c r="U4" s="31" t="n">
        <v>73.7</v>
      </c>
      <c r="V4" s="31" t="n">
        <v>66.06</v>
      </c>
      <c r="W4" s="31" t="n">
        <v>18.6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IF(B5=0,"",RANK(B5,$B$2:$B$42,0))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KARURVYSYA</t>
        </is>
      </c>
      <c r="D5" s="30" t="inlineStr">
        <is>
          <t>Karur Vysya Bank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largecap</t>
        </is>
      </c>
      <c r="H5" s="31" t="n">
        <v>32306.07</v>
      </c>
      <c r="I5" s="31" t="n">
        <v>338.8</v>
      </c>
      <c r="J5" s="31" t="n">
        <v>1.38</v>
      </c>
      <c r="K5" s="31" t="n">
        <v>1752090</v>
      </c>
      <c r="L5" s="30" t="n">
        <v>56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67.56</v>
      </c>
      <c r="P5" s="31" t="n">
        <v>20.01</v>
      </c>
      <c r="Q5" s="31" t="n">
        <v>283.8</v>
      </c>
      <c r="R5" s="30" t="inlineStr">
        <is>
          <t>Near 52W High Breakout</t>
        </is>
      </c>
      <c r="S5" s="30" t="inlineStr">
        <is>
          <t>Nifty Bank</t>
        </is>
      </c>
      <c r="T5" s="31" t="n">
        <v>4.6</v>
      </c>
      <c r="U5" s="31" t="n">
        <v>59.33</v>
      </c>
      <c r="V5" s="31" t="n">
        <v>52.33</v>
      </c>
      <c r="W5" s="31" t="n">
        <v>13.21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IF(B6=0,"",RANK(B6,$B$2:$B$42,0))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60347.31</v>
      </c>
      <c r="I6" s="31" t="n">
        <v>389.8</v>
      </c>
      <c r="J6" s="31" t="n">
        <v>0.03</v>
      </c>
      <c r="K6" s="31" t="n">
        <v>2289848</v>
      </c>
      <c r="L6" s="30" t="n">
        <v>54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65.25</v>
      </c>
      <c r="P6" s="31" t="n">
        <v>36.9</v>
      </c>
      <c r="Q6" s="31" t="n">
        <v>329.69</v>
      </c>
      <c r="R6" s="30" t="inlineStr">
        <is>
          <t>Near 52W High Breakout</t>
        </is>
      </c>
      <c r="S6" s="30" t="inlineStr">
        <is>
          <t>Nifty Bank</t>
        </is>
      </c>
      <c r="T6" s="31" t="n">
        <v>4.6</v>
      </c>
      <c r="U6" s="31" t="n">
        <v>55.34</v>
      </c>
      <c r="V6" s="31" t="n">
        <v>48.51</v>
      </c>
      <c r="W6" s="31" t="n">
        <v>12.76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IF(B7=0,"",RANK(B7,$B$2:$B$42,0))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M&amp;MFIN</t>
        </is>
      </c>
      <c r="D7" s="30" t="inlineStr">
        <is>
          <t>Mahindra &amp; Mahindra Financial Services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largecap</t>
        </is>
      </c>
      <c r="H7" s="31" t="n">
        <v>55432.05</v>
      </c>
      <c r="I7" s="31" t="n">
        <v>395.85</v>
      </c>
      <c r="J7" s="31" t="n">
        <v>-0.74</v>
      </c>
      <c r="K7" s="31" t="n">
        <v>4492168</v>
      </c>
      <c r="L7" s="30" t="n">
        <v>64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65.73999999999999</v>
      </c>
      <c r="P7" s="31" t="n">
        <v>22.39</v>
      </c>
      <c r="Q7" s="31" t="n">
        <v>321.99</v>
      </c>
      <c r="R7" s="30" t="inlineStr">
        <is>
          <t>Near 52W High Breakout</t>
        </is>
      </c>
      <c r="S7" s="30" t="inlineStr">
        <is>
          <t>Nifty Bank</t>
        </is>
      </c>
      <c r="T7" s="31" t="n">
        <v>4.6</v>
      </c>
      <c r="U7" s="31" t="n">
        <v>58.67</v>
      </c>
      <c r="V7" s="31" t="n">
        <v>51.69</v>
      </c>
      <c r="W7" s="31" t="n">
        <v>15.89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IF(B8=0,"",RANK(B8,$B$2:$B$42,0))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TMB</t>
        </is>
      </c>
      <c r="D8" s="30" t="inlineStr">
        <is>
          <t>Tamilnad Mercantile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13729.07</v>
      </c>
      <c r="I8" s="31" t="n">
        <v>858.1</v>
      </c>
      <c r="J8" s="31" t="n">
        <v>-1.03</v>
      </c>
      <c r="K8" s="31" t="n">
        <v>140341</v>
      </c>
      <c r="L8" s="30" t="n">
        <v>78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69.97</v>
      </c>
      <c r="P8" s="31" t="n">
        <v>37.25</v>
      </c>
      <c r="Q8" s="31" t="n">
        <v>706.1900000000001</v>
      </c>
      <c r="R8" s="30" t="inlineStr">
        <is>
          <t>Near 52W High Breakout</t>
        </is>
      </c>
      <c r="S8" s="30" t="inlineStr">
        <is>
          <t>Nifty Bank</t>
        </is>
      </c>
      <c r="T8" s="31" t="n">
        <v>4.6</v>
      </c>
      <c r="U8" s="31" t="n">
        <v>103.48</v>
      </c>
      <c r="V8" s="31" t="n">
        <v>94.54000000000001</v>
      </c>
      <c r="W8" s="31" t="n">
        <v>22.1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IF(B9=0,"",RANK(B9,$B$2:$B$42,0))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MANCREDIT</t>
        </is>
      </c>
      <c r="D9" s="30" t="inlineStr">
        <is>
          <t>Mangal Credit &amp; Fincorp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521.62</v>
      </c>
      <c r="I9" s="31" t="n">
        <v>243.44</v>
      </c>
      <c r="J9" s="31" t="n">
        <v>-1.46</v>
      </c>
      <c r="K9" s="31" t="n">
        <v>41301</v>
      </c>
      <c r="L9" s="30" t="n">
        <v>66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67.73999999999999</v>
      </c>
      <c r="P9" s="31" t="n">
        <v>47.86</v>
      </c>
      <c r="Q9" s="31" t="n">
        <v>174.7</v>
      </c>
      <c r="R9" s="30" t="inlineStr">
        <is>
          <t>Near 52W High Breakout</t>
        </is>
      </c>
      <c r="S9" s="30" t="inlineStr">
        <is>
          <t>Nifty Bank</t>
        </is>
      </c>
      <c r="T9" s="31" t="n">
        <v>4.6</v>
      </c>
      <c r="U9" s="31" t="n">
        <v>33.7</v>
      </c>
      <c r="V9" s="31" t="n">
        <v>27.83</v>
      </c>
      <c r="W9" s="31" t="n">
        <v>16.9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Above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IF(B10=0,"",RANK(B10,$B$2:$B$42,0))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TFCILTD</t>
        </is>
      </c>
      <c r="D10" s="30" t="inlineStr">
        <is>
          <t>Tourism Finance Corporation Of India Limited</t>
        </is>
      </c>
      <c r="E10" s="30" t="inlineStr">
        <is>
          <t>financials</t>
        </is>
      </c>
      <c r="F10" s="30" t="inlineStr">
        <is>
          <t>finance - term-lending institutions</t>
        </is>
      </c>
      <c r="G10" s="30" t="inlineStr">
        <is>
          <t>midcap</t>
        </is>
      </c>
      <c r="H10" s="31" t="n">
        <v>5352.02</v>
      </c>
      <c r="I10" s="31" t="n">
        <v>115.13</v>
      </c>
      <c r="J10" s="31" t="n">
        <v>-0.41</v>
      </c>
      <c r="K10" s="31" t="n">
        <v>8796573</v>
      </c>
      <c r="L10" s="30" t="n">
        <v>81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76.94</v>
      </c>
      <c r="P10" s="31" t="n">
        <v>51.34</v>
      </c>
      <c r="Q10" s="31" t="n">
        <v>93.06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4.6</v>
      </c>
      <c r="U10" s="31" t="n">
        <v>86.23</v>
      </c>
      <c r="V10" s="31" t="n">
        <v>78.05</v>
      </c>
      <c r="W10" s="31" t="n">
        <v>25.08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Above 40</t>
        </is>
      </c>
      <c r="BM10" s="30">
        <f>IF(BL10="Above 40",20,IF(BL10="20 to 40",10,IF(BL10="0 to 20",-5,0)))</f>
        <v/>
      </c>
      <c r="BN10" s="30" t="inlineStr">
        <is>
          <t>Above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IF(B11=0,"",RANK(B11,$B$2:$B$42,0))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AUBANK</t>
        </is>
      </c>
      <c r="D11" s="30" t="inlineStr">
        <is>
          <t>AU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largecap</t>
        </is>
      </c>
      <c r="H11" s="31" t="n">
        <v>80207.41</v>
      </c>
      <c r="I11" s="31" t="n">
        <v>1091.4</v>
      </c>
      <c r="J11" s="31" t="n">
        <v>1.91</v>
      </c>
      <c r="K11" s="31" t="n">
        <v>1572313</v>
      </c>
      <c r="L11" s="30" t="n">
        <v>44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62.06</v>
      </c>
      <c r="P11" s="31" t="n">
        <v>23.92</v>
      </c>
      <c r="Q11" s="31" t="n">
        <v>910.29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4.6</v>
      </c>
      <c r="U11" s="31" t="n">
        <v>45.54</v>
      </c>
      <c r="V11" s="31" t="n">
        <v>39.15</v>
      </c>
      <c r="W11" s="31" t="n">
        <v>10.1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IF(B12=0,"",RANK(B12,$B$2:$B$42,0))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FEDERALBNK</t>
        </is>
      </c>
      <c r="D12" s="30" t="inlineStr">
        <is>
          <t>The Federal Bank  Limited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87504.32000000001</v>
      </c>
      <c r="I12" s="31" t="n">
        <v>356.85</v>
      </c>
      <c r="J12" s="31" t="n">
        <v>0.65</v>
      </c>
      <c r="K12" s="31" t="n">
        <v>3369817</v>
      </c>
      <c r="L12" s="30" t="n">
        <v>71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78.36</v>
      </c>
      <c r="P12" s="31" t="n">
        <v>37.61</v>
      </c>
      <c r="Q12" s="31" t="n">
        <v>312.92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4.6</v>
      </c>
      <c r="U12" s="31" t="n">
        <v>83.3</v>
      </c>
      <c r="V12" s="31" t="n">
        <v>75.23999999999999</v>
      </c>
      <c r="W12" s="31" t="n">
        <v>18.93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Above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IF(B13=0,"",RANK(B13,$B$2:$B$42,0))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LTF</t>
        </is>
      </c>
      <c r="D13" s="30" t="inlineStr">
        <is>
          <t>L&amp;T Finance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largecap</t>
        </is>
      </c>
      <c r="H13" s="31" t="n">
        <v>79023.67</v>
      </c>
      <c r="I13" s="31" t="n">
        <v>317.2</v>
      </c>
      <c r="J13" s="31" t="n">
        <v>0.57</v>
      </c>
      <c r="K13" s="31" t="n">
        <v>4688109</v>
      </c>
      <c r="L13" s="30" t="n">
        <v>58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59.45</v>
      </c>
      <c r="P13" s="31" t="n">
        <v>23.69</v>
      </c>
      <c r="Q13" s="31" t="n">
        <v>264.8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4.6</v>
      </c>
      <c r="U13" s="31" t="n">
        <v>58.58</v>
      </c>
      <c r="V13" s="31" t="n">
        <v>51.61</v>
      </c>
      <c r="W13" s="31" t="n">
        <v>13.85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IF(B14=0,"",RANK(B14,$B$2:$B$42,0))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MUFIN</t>
        </is>
      </c>
      <c r="D14" s="30" t="inlineStr">
        <is>
          <t>Mufin Green Finance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2694.61</v>
      </c>
      <c r="I14" s="31" t="n">
        <v>135.4</v>
      </c>
      <c r="J14" s="31" t="n">
        <v>-0.43</v>
      </c>
      <c r="K14" s="31" t="n">
        <v>2414696</v>
      </c>
      <c r="L14" s="30" t="n">
        <v>52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63.22</v>
      </c>
      <c r="P14" s="31" t="n">
        <v>34.1</v>
      </c>
      <c r="Q14" s="31" t="n">
        <v>111.67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4.6</v>
      </c>
      <c r="U14" s="31" t="n">
        <v>45.78</v>
      </c>
      <c r="V14" s="31" t="n">
        <v>39.37</v>
      </c>
      <c r="W14" s="31" t="n">
        <v>12.25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IF(B15=0,"",RANK(B15,$B$2:$B$42,0))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GEECEE</t>
        </is>
      </c>
      <c r="D15" s="32" t="inlineStr">
        <is>
          <t>Geecee Ventures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805.3099999999999</v>
      </c>
      <c r="I15" s="31" t="n">
        <v>378</v>
      </c>
      <c r="J15" s="31" t="n">
        <v>-1.84</v>
      </c>
      <c r="K15" s="31" t="n">
        <v>2340</v>
      </c>
      <c r="L15" s="30" t="n">
        <v>31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64.09999999999999</v>
      </c>
      <c r="P15" s="31" t="n">
        <v>32.48</v>
      </c>
      <c r="Q15" s="31" t="n">
        <v>292.6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4.6</v>
      </c>
      <c r="U15" s="31" t="n">
        <v>4.21</v>
      </c>
      <c r="V15" s="31" t="n">
        <v>-0.37</v>
      </c>
      <c r="W15" s="31" t="n">
        <v>6.84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IF(B16=0,"",RANK(B16,$B$2:$B$42,0))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ESAFSFB</t>
        </is>
      </c>
      <c r="D16" s="30" t="inlineStr">
        <is>
          <t>ESAF Small Finance Bank Ltd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smallcap</t>
        </is>
      </c>
      <c r="H16" s="31" t="n">
        <v>1985.9</v>
      </c>
      <c r="I16" s="31" t="n">
        <v>39.83</v>
      </c>
      <c r="J16" s="31" t="n">
        <v>3.48</v>
      </c>
      <c r="K16" s="31" t="n">
        <v>1687946</v>
      </c>
      <c r="L16" s="30" t="n">
        <v>59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66.87</v>
      </c>
      <c r="P16" s="31" t="n">
        <v>32.08</v>
      </c>
      <c r="Q16" s="31" t="n">
        <v>31.29</v>
      </c>
      <c r="R16" s="30" t="inlineStr">
        <is>
          <t>Earnings / Momentum Support</t>
        </is>
      </c>
      <c r="S16" s="30" t="inlineStr">
        <is>
          <t>Nifty Bank</t>
        </is>
      </c>
      <c r="T16" s="31" t="n">
        <v>4.6</v>
      </c>
      <c r="U16" s="31" t="n">
        <v>34.47</v>
      </c>
      <c r="V16" s="31" t="n">
        <v>28.56</v>
      </c>
      <c r="W16" s="31" t="n">
        <v>14.39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IF(B17=0,"",RANK(B17,$B$2:$B$42,0))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IDFCFIRSTB</t>
        </is>
      </c>
      <c r="D17" s="30" t="inlineStr">
        <is>
          <t>IDFC First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72596.38</v>
      </c>
      <c r="I17" s="31" t="n">
        <v>85.8</v>
      </c>
      <c r="J17" s="31" t="n">
        <v>1.82</v>
      </c>
      <c r="K17" s="31" t="n">
        <v>16618607</v>
      </c>
      <c r="L17" s="30" t="n">
        <v>48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68.43000000000001</v>
      </c>
      <c r="P17" s="31" t="n">
        <v>22.84</v>
      </c>
      <c r="Q17" s="31" t="n">
        <v>73.56999999999999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4.6</v>
      </c>
      <c r="U17" s="31" t="n">
        <v>25.13</v>
      </c>
      <c r="V17" s="31" t="n">
        <v>19.63</v>
      </c>
      <c r="W17" s="31" t="n">
        <v>11.14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IF(B18=0,"",RANK(B18,$B$2:$B$42,0))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PNBHOUSING</t>
        </is>
      </c>
      <c r="D18" s="30" t="inlineStr">
        <is>
          <t>Pnb Housing Finance Limited</t>
        </is>
      </c>
      <c r="E18" s="30" t="inlineStr">
        <is>
          <t>financials</t>
        </is>
      </c>
      <c r="F18" s="30" t="inlineStr">
        <is>
          <t>finance - housing</t>
        </is>
      </c>
      <c r="G18" s="30" t="inlineStr">
        <is>
          <t>largecap</t>
        </is>
      </c>
      <c r="H18" s="31" t="n">
        <v>29761.98</v>
      </c>
      <c r="I18" s="31" t="n">
        <v>1157.6</v>
      </c>
      <c r="J18" s="31" t="n">
        <v>1.36</v>
      </c>
      <c r="K18" s="31" t="n">
        <v>872646</v>
      </c>
      <c r="L18" s="30" t="n">
        <v>50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67.20999999999999</v>
      </c>
      <c r="P18" s="31" t="n">
        <v>33.02</v>
      </c>
      <c r="Q18" s="31" t="n">
        <v>953.15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4.6</v>
      </c>
      <c r="U18" s="31" t="n">
        <v>52.1</v>
      </c>
      <c r="V18" s="31" t="n">
        <v>45.42</v>
      </c>
      <c r="W18" s="31" t="n">
        <v>11.36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IF(B19=0,"",RANK(B19,$B$2:$B$42,0))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IIFL</t>
        </is>
      </c>
      <c r="D19" s="30" t="inlineStr">
        <is>
          <t>IIFL Finance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26338.25</v>
      </c>
      <c r="I19" s="31" t="n">
        <v>625.75</v>
      </c>
      <c r="J19" s="31" t="n">
        <v>1.05</v>
      </c>
      <c r="K19" s="31" t="n">
        <v>959585</v>
      </c>
      <c r="L19" s="30" t="n">
        <v>63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70.67</v>
      </c>
      <c r="P19" s="31" t="n">
        <v>19.97</v>
      </c>
      <c r="Q19" s="31" t="n">
        <v>503.86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4.6</v>
      </c>
      <c r="U19" s="31" t="n">
        <v>42.72</v>
      </c>
      <c r="V19" s="31" t="n">
        <v>36.44</v>
      </c>
      <c r="W19" s="31" t="n">
        <v>15.63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IF(B20=0,"",RANK(B20,$B$2:$B$42,0))</f>
        <v/>
      </c>
      <c r="B20" s="31">
        <f>SUM(N20,Y20,AA20,AC20,AE20,AG20,AI20,AK20,AM20,AO20,AQ20,AS20,AU20,AW20,AY20,BA20,BC20,BE20,BG20,BI20,BK20,BM20,BO20,BQ20,BS20,BU20,BW20,BY20,CA20)</f>
        <v/>
      </c>
      <c r="C20" s="32" t="inlineStr">
        <is>
          <t>AFSL</t>
        </is>
      </c>
      <c r="D20" s="32" t="inlineStr">
        <is>
          <t>Abans Financial Services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1071.4</v>
      </c>
      <c r="I20" s="31" t="n">
        <v>213.82</v>
      </c>
      <c r="J20" s="31" t="n">
        <v>1.46</v>
      </c>
      <c r="K20" s="31" t="n">
        <v>69788</v>
      </c>
      <c r="L20" s="30" t="n">
        <v>8</v>
      </c>
      <c r="M20" s="30" t="inlineStr">
        <is>
          <t>Underperforming</t>
        </is>
      </c>
      <c r="N20" s="31">
        <f>IF(M20="Underperforming",-5,IF(L20&gt;=95,15,IF(L20&gt;=90,10,IF(L20&gt;=80,5,0))))</f>
        <v/>
      </c>
      <c r="O20" s="31" t="n">
        <v>71.27</v>
      </c>
      <c r="P20" s="31" t="n">
        <v>65.56999999999999</v>
      </c>
      <c r="Q20" s="31" t="n">
        <v>196.28</v>
      </c>
      <c r="R20" s="30" t="inlineStr">
        <is>
          <t>Volume Spike &amp; Near 52W High Breakout</t>
        </is>
      </c>
      <c r="S20" s="30" t="inlineStr">
        <is>
          <t>Nifty Bank</t>
        </is>
      </c>
      <c r="T20" s="31" t="n">
        <v>4.6</v>
      </c>
      <c r="U20" s="31" t="n">
        <v>-2.92</v>
      </c>
      <c r="V20" s="31" t="n">
        <v>-7.18</v>
      </c>
      <c r="W20" s="31" t="n">
        <v>0.72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Above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1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IF(B21=0,"",RANK(B21,$B$2:$B$42,0))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ANANDRATHI</t>
        </is>
      </c>
      <c r="D21" s="30" t="inlineStr">
        <is>
          <t>Anand Rathi Wealth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35831.71</v>
      </c>
      <c r="I21" s="31" t="n">
        <v>2189</v>
      </c>
      <c r="J21" s="31" t="n">
        <v>1.44</v>
      </c>
      <c r="K21" s="31" t="n">
        <v>577193</v>
      </c>
      <c r="L21" s="30" t="n">
        <v>61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75.48999999999999</v>
      </c>
      <c r="P21" s="31" t="n">
        <v>51.68</v>
      </c>
      <c r="Q21" s="31" t="n">
        <v>1879.11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4.6</v>
      </c>
      <c r="U21" s="31" t="n">
        <v>62.16</v>
      </c>
      <c r="V21" s="31" t="n">
        <v>55.03</v>
      </c>
      <c r="W21" s="31" t="n">
        <v>15.02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Above 40</t>
        </is>
      </c>
      <c r="BM21" s="30">
        <f>IF(BL21="Above 40",20,IF(BL21="20 to 40",10,IF(BL21="0 to 20",-5,0)))</f>
        <v/>
      </c>
      <c r="BN21" s="30" t="inlineStr">
        <is>
          <t>Above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IF(B22=0,"",RANK(B22,$B$2:$B$42,0))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BAJFINANCE</t>
        </is>
      </c>
      <c r="D22" s="30" t="inlineStr">
        <is>
          <t>Bajaj Finance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largecap</t>
        </is>
      </c>
      <c r="H22" s="31" t="n">
        <v>680683.58</v>
      </c>
      <c r="I22" s="31" t="n">
        <v>1094.2</v>
      </c>
      <c r="J22" s="31" t="n">
        <v>0.08</v>
      </c>
      <c r="K22" s="31" t="n">
        <v>7054842</v>
      </c>
      <c r="L22" s="30" t="n">
        <v>43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61.35</v>
      </c>
      <c r="P22" s="31" t="n">
        <v>20.92</v>
      </c>
      <c r="Q22" s="31" t="n">
        <v>943.54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4.6</v>
      </c>
      <c r="U22" s="31" t="n">
        <v>27.8</v>
      </c>
      <c r="V22" s="31" t="n">
        <v>22.18</v>
      </c>
      <c r="W22" s="31" t="n">
        <v>9.91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above 5x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IF(B23=0,"",RANK(B23,$B$2:$B$42,0))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PRUDENT</t>
        </is>
      </c>
      <c r="D23" s="30" t="inlineStr">
        <is>
          <t>Prudent Corporate Advisory Services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midcap</t>
        </is>
      </c>
      <c r="H23" s="31" t="n">
        <v>14084.07</v>
      </c>
      <c r="I23" s="31" t="n">
        <v>3364.2</v>
      </c>
      <c r="J23" s="31" t="n">
        <v>-1.09</v>
      </c>
      <c r="K23" s="31" t="n">
        <v>15772</v>
      </c>
      <c r="L23" s="30" t="n">
        <v>40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70.39</v>
      </c>
      <c r="P23" s="31" t="n">
        <v>28.38</v>
      </c>
      <c r="Q23" s="31" t="n">
        <v>2732.19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4.6</v>
      </c>
      <c r="U23" s="31" t="n">
        <v>26.11</v>
      </c>
      <c r="V23" s="31" t="n">
        <v>20.57</v>
      </c>
      <c r="W23" s="31" t="n">
        <v>8.84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above 5x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IF(B24=0,"",RANK(B24,$B$2:$B$42,0))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SHRIRAMFIN</t>
        </is>
      </c>
      <c r="D24" s="30" t="inlineStr">
        <is>
          <t>Shriram Finance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265855.88</v>
      </c>
      <c r="I24" s="31" t="n">
        <v>1117.2</v>
      </c>
      <c r="J24" s="31" t="n">
        <v>-1.12</v>
      </c>
      <c r="K24" s="31" t="n">
        <v>3582194</v>
      </c>
      <c r="L24" s="30" t="n">
        <v>70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64.72</v>
      </c>
      <c r="P24" s="31" t="n">
        <v>15.46</v>
      </c>
      <c r="Q24" s="31" t="n">
        <v>910.4299999999999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4.6</v>
      </c>
      <c r="U24" s="31" t="n">
        <v>83.37</v>
      </c>
      <c r="V24" s="31" t="n">
        <v>75.31</v>
      </c>
      <c r="W24" s="31" t="n">
        <v>18.27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IF(B25=0,"",RANK(B25,$B$2:$B$42,0))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5PAISA</t>
        </is>
      </c>
      <c r="D25" s="30" t="inlineStr">
        <is>
          <t>5Paisa Capital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1769.1</v>
      </c>
      <c r="I25" s="31" t="n">
        <v>387.05</v>
      </c>
      <c r="J25" s="31" t="n">
        <v>2.57</v>
      </c>
      <c r="K25" s="31" t="n">
        <v>70773</v>
      </c>
      <c r="L25" s="30" t="n">
        <v>36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60.83</v>
      </c>
      <c r="P25" s="31" t="n">
        <v>16.46</v>
      </c>
      <c r="Q25" s="31" t="n">
        <v>292.31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4.6</v>
      </c>
      <c r="U25" s="31" t="n">
        <v>6.45</v>
      </c>
      <c r="V25" s="31" t="n">
        <v>1.77</v>
      </c>
      <c r="W25" s="31" t="n">
        <v>8.029999999999999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IF(B26=0,"",RANK(B26,$B$2:$B$42,0))</f>
        <v/>
      </c>
      <c r="B26" s="31">
        <f>SUM(N26,Y26,AA26,AC26,AE26,AG26,AI26,AK26,AM26,AO26,AQ26,AS26,AU26,AW26,AY26,BA26,BC26,BE26,BG26,BI26,BK26,BM26,BO26,BQ26,BS26,BU26,BW26,BY26,CA26)</f>
        <v/>
      </c>
      <c r="C26" s="32" t="inlineStr">
        <is>
          <t>NIACL</t>
        </is>
      </c>
      <c r="D26" s="32" t="inlineStr">
        <is>
          <t>New India Assurance Company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29560.18</v>
      </c>
      <c r="I26" s="31" t="n">
        <v>181.09</v>
      </c>
      <c r="J26" s="31" t="n">
        <v>0.96</v>
      </c>
      <c r="K26" s="31" t="n">
        <v>2560837</v>
      </c>
      <c r="L26" s="30" t="n">
        <v>14</v>
      </c>
      <c r="M26" s="30" t="inlineStr">
        <is>
          <t>Underperforming</t>
        </is>
      </c>
      <c r="N26" s="31">
        <f>IF(M26="Underperforming",-5,IF(L26&gt;=95,15,IF(L26&gt;=90,10,IF(L26&gt;=80,5,0))))</f>
        <v/>
      </c>
      <c r="O26" s="31" t="n">
        <v>57.94</v>
      </c>
      <c r="P26" s="31" t="n">
        <v>24.13</v>
      </c>
      <c r="Q26" s="31" t="n">
        <v>154.44</v>
      </c>
      <c r="R26" s="30" t="inlineStr">
        <is>
          <t>Earnings / Momentum Support</t>
        </is>
      </c>
      <c r="S26" s="30" t="inlineStr">
        <is>
          <t>Nifty Bank</t>
        </is>
      </c>
      <c r="T26" s="31" t="n">
        <v>4.6</v>
      </c>
      <c r="U26" s="31" t="n">
        <v>-0.08</v>
      </c>
      <c r="V26" s="31" t="n">
        <v>-4.47</v>
      </c>
      <c r="W26" s="31" t="n">
        <v>2.61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IF(B27=0,"",RANK(B27,$B$2:$B$42,0))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MCX</t>
        </is>
      </c>
      <c r="D27" s="30" t="inlineStr">
        <is>
          <t>Multi Commodity Exchange Of India Limited</t>
        </is>
      </c>
      <c r="E27" s="30" t="inlineStr">
        <is>
          <t>financials</t>
        </is>
      </c>
      <c r="F27" s="30" t="inlineStr">
        <is>
          <t>miscellaneous</t>
        </is>
      </c>
      <c r="G27" s="30" t="inlineStr">
        <is>
          <t>largecap</t>
        </is>
      </c>
      <c r="H27" s="31" t="n">
        <v>73820.14</v>
      </c>
      <c r="I27" s="31" t="n">
        <v>2970.1</v>
      </c>
      <c r="J27" s="31" t="n">
        <v>2.59</v>
      </c>
      <c r="K27" s="31" t="n">
        <v>6169318</v>
      </c>
      <c r="L27" s="30" t="n">
        <v>52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60.92</v>
      </c>
      <c r="P27" s="31" t="n">
        <v>26.66</v>
      </c>
      <c r="Q27" s="31" t="n">
        <v>2736.49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4.6</v>
      </c>
      <c r="U27" s="31" t="n">
        <v>82.25</v>
      </c>
      <c r="V27" s="31" t="n">
        <v>74.23999999999999</v>
      </c>
      <c r="W27" s="31" t="n">
        <v>11.95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IF(B28=0,"",RANK(B28,$B$2:$B$42,0))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UNIONBANK</t>
        </is>
      </c>
      <c r="D28" s="30" t="inlineStr">
        <is>
          <t>Union Bank Of India Ltd</t>
        </is>
      </c>
      <c r="E28" s="30" t="inlineStr">
        <is>
          <t>bank</t>
        </is>
      </c>
      <c r="F28" s="30" t="inlineStr">
        <is>
          <t>banks - public sector</t>
        </is>
      </c>
      <c r="G28" s="30" t="inlineStr">
        <is>
          <t>largecap</t>
        </is>
      </c>
      <c r="H28" s="31" t="n">
        <v>139313.3</v>
      </c>
      <c r="I28" s="31" t="n">
        <v>187</v>
      </c>
      <c r="J28" s="31" t="n">
        <v>2.47</v>
      </c>
      <c r="K28" s="31" t="n">
        <v>22005359</v>
      </c>
      <c r="L28" s="30" t="n">
        <v>50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65.18000000000001</v>
      </c>
      <c r="P28" s="31" t="n">
        <v>16.96</v>
      </c>
      <c r="Q28" s="31" t="n">
        <v>154.33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4.6</v>
      </c>
      <c r="U28" s="31" t="n">
        <v>42.78</v>
      </c>
      <c r="V28" s="31" t="n">
        <v>36.5</v>
      </c>
      <c r="W28" s="31" t="n">
        <v>11.74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IF(B29=0,"",RANK(B29,$B$2:$B$42,0))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INDIANB</t>
        </is>
      </c>
      <c r="D29" s="30" t="inlineStr">
        <is>
          <t>Indian Bank Ltd</t>
        </is>
      </c>
      <c r="E29" s="30" t="inlineStr">
        <is>
          <t>bank</t>
        </is>
      </c>
      <c r="F29" s="30" t="inlineStr">
        <is>
          <t>banks - public sector</t>
        </is>
      </c>
      <c r="G29" s="30" t="inlineStr">
        <is>
          <t>largecap</t>
        </is>
      </c>
      <c r="H29" s="31" t="n">
        <v>117940.17</v>
      </c>
      <c r="I29" s="31" t="n">
        <v>897</v>
      </c>
      <c r="J29" s="31" t="n">
        <v>2.44</v>
      </c>
      <c r="K29" s="31" t="n">
        <v>2076183</v>
      </c>
      <c r="L29" s="30" t="n">
        <v>42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57.32</v>
      </c>
      <c r="P29" s="31" t="n">
        <v>8.109999999999999</v>
      </c>
      <c r="Q29" s="31" t="n">
        <v>729.22</v>
      </c>
      <c r="R29" s="30" t="inlineStr">
        <is>
          <t>Earnings / Momentum Support</t>
        </is>
      </c>
      <c r="S29" s="30" t="inlineStr">
        <is>
          <t>Nifty Bank</t>
        </is>
      </c>
      <c r="T29" s="31" t="n">
        <v>4.6</v>
      </c>
      <c r="U29" s="31" t="n">
        <v>37.09</v>
      </c>
      <c r="V29" s="31" t="n">
        <v>31.07</v>
      </c>
      <c r="W29" s="31" t="n">
        <v>9.550000000000001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IF(B30=0,"",RANK(B30,$B$2:$B$42,0))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CHOLAFIN</t>
        </is>
      </c>
      <c r="D30" s="30" t="inlineStr">
        <is>
          <t>Cholamandalam Investment And Finance Company Limited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163219.18</v>
      </c>
      <c r="I30" s="31" t="n">
        <v>1917.6</v>
      </c>
      <c r="J30" s="31" t="n">
        <v>0.17</v>
      </c>
      <c r="K30" s="31" t="n">
        <v>540582</v>
      </c>
      <c r="L30" s="30" t="n">
        <v>48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65.09</v>
      </c>
      <c r="P30" s="31" t="n">
        <v>17.15</v>
      </c>
      <c r="Q30" s="31" t="n">
        <v>1578.1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4.6</v>
      </c>
      <c r="U30" s="31" t="n">
        <v>31.36</v>
      </c>
      <c r="V30" s="31" t="n">
        <v>25.58</v>
      </c>
      <c r="W30" s="31" t="n">
        <v>11.13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above 5x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IF(B31=0,"",RANK(B31,$B$2:$B$42,0))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POONAWALLA</t>
        </is>
      </c>
      <c r="D31" s="30" t="inlineStr">
        <is>
          <t>Poonawalla Fincorp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42897.9</v>
      </c>
      <c r="I31" s="31" t="n">
        <v>484.1</v>
      </c>
      <c r="J31" s="31" t="n">
        <v>-0.64</v>
      </c>
      <c r="K31" s="31" t="n">
        <v>726456</v>
      </c>
      <c r="L31" s="30" t="n">
        <v>22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60.81</v>
      </c>
      <c r="P31" s="31" t="n">
        <v>15.39</v>
      </c>
      <c r="Q31" s="31" t="n">
        <v>388.27</v>
      </c>
      <c r="R31" s="30" t="inlineStr">
        <is>
          <t>Earnings / Momentum Support</t>
        </is>
      </c>
      <c r="S31" s="30" t="inlineStr">
        <is>
          <t>Nifty Bank</t>
        </is>
      </c>
      <c r="T31" s="31" t="n">
        <v>4.6</v>
      </c>
      <c r="U31" s="31" t="n">
        <v>6.22</v>
      </c>
      <c r="V31" s="31" t="n">
        <v>1.55</v>
      </c>
      <c r="W31" s="31" t="n">
        <v>5.03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IF(B32=0,"",RANK(B32,$B$2:$B$42,0))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360ONE</t>
        </is>
      </c>
      <c r="D32" s="30" t="inlineStr">
        <is>
          <t>360 ONE WAM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47500.81</v>
      </c>
      <c r="I32" s="31" t="n">
        <v>1161</v>
      </c>
      <c r="J32" s="31" t="n">
        <v>-0.6</v>
      </c>
      <c r="K32" s="31" t="n">
        <v>997529</v>
      </c>
      <c r="L32" s="30" t="n">
        <v>17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56.87</v>
      </c>
      <c r="P32" s="31" t="n">
        <v>14.6</v>
      </c>
      <c r="Q32" s="31" t="n">
        <v>953.03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4.6</v>
      </c>
      <c r="U32" s="31" t="n">
        <v>13.02</v>
      </c>
      <c r="V32" s="31" t="n">
        <v>8.050000000000001</v>
      </c>
      <c r="W32" s="31" t="n">
        <v>3.76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IF(B33=0,"",RANK(B33,$B$2:$B$42,0))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ARMANFIN</t>
        </is>
      </c>
      <c r="D33" s="30" t="inlineStr">
        <is>
          <t>Arman Financial Services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2105.9</v>
      </c>
      <c r="I33" s="31" t="n">
        <v>2011</v>
      </c>
      <c r="J33" s="31" t="n">
        <v>0.41</v>
      </c>
      <c r="K33" s="31" t="n">
        <v>54184</v>
      </c>
      <c r="L33" s="30" t="n">
        <v>48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65.15000000000001</v>
      </c>
      <c r="P33" s="31" t="n">
        <v>22.54</v>
      </c>
      <c r="Q33" s="31" t="n">
        <v>1553.35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4.6</v>
      </c>
      <c r="U33" s="31" t="n">
        <v>46.57</v>
      </c>
      <c r="V33" s="31" t="n">
        <v>40.13</v>
      </c>
      <c r="W33" s="31" t="n">
        <v>10.95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Cyclical in an Uptick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Not Applicable</t>
        </is>
      </c>
      <c r="AK33" s="30">
        <f>IF(AJ33="Yes",10,0)</f>
        <v/>
      </c>
      <c r="AL33" s="30" t="inlineStr">
        <is>
          <t>Yes</t>
        </is>
      </c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Not Applicable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Sideways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IF(B34=0,"",RANK(B34,$B$2:$B$42,0))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OFSS</t>
        </is>
      </c>
      <c r="D34" s="30" t="inlineStr">
        <is>
          <t>Oracle Financial Services Software Limited</t>
        </is>
      </c>
      <c r="E34" s="30" t="inlineStr">
        <is>
          <t>i.t</t>
        </is>
      </c>
      <c r="F34" s="30" t="inlineStr">
        <is>
          <t>computers - software - large</t>
        </is>
      </c>
      <c r="G34" s="30" t="inlineStr">
        <is>
          <t>largecap</t>
        </is>
      </c>
      <c r="H34" s="31" t="n">
        <v>103581.02</v>
      </c>
      <c r="I34" s="31" t="n">
        <v>11679</v>
      </c>
      <c r="J34" s="31" t="n">
        <v>-1.82</v>
      </c>
      <c r="K34" s="31" t="n">
        <v>244704</v>
      </c>
      <c r="L34" s="30" t="n">
        <v>62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67.63</v>
      </c>
      <c r="P34" s="31" t="n">
        <v>30.81</v>
      </c>
      <c r="Q34" s="31" t="n">
        <v>9398.67</v>
      </c>
      <c r="R34" s="30" t="inlineStr">
        <is>
          <t>Near 52W High Breakout</t>
        </is>
      </c>
      <c r="S34" s="30" t="inlineStr">
        <is>
          <t>Nifty IT</t>
        </is>
      </c>
      <c r="T34" s="31" t="n">
        <v>-10.05</v>
      </c>
      <c r="U34" s="31" t="n">
        <v>42.08</v>
      </c>
      <c r="V34" s="31" t="n">
        <v>57.96</v>
      </c>
      <c r="W34" s="31" t="n">
        <v>15.35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above 5x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IF(B35=0,"",RANK(B35,$B$2:$B$42,0))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PNB</t>
        </is>
      </c>
      <c r="D35" s="30" t="inlineStr">
        <is>
          <t>Punjab National Bank Ltd</t>
        </is>
      </c>
      <c r="E35" s="30" t="inlineStr">
        <is>
          <t>bank</t>
        </is>
      </c>
      <c r="F35" s="30" t="inlineStr">
        <is>
          <t>banks - public sector</t>
        </is>
      </c>
      <c r="G35" s="30" t="inlineStr">
        <is>
          <t>largecap</t>
        </is>
      </c>
      <c r="H35" s="31" t="n">
        <v>131054.03</v>
      </c>
      <c r="I35" s="31" t="n">
        <v>118.98</v>
      </c>
      <c r="J35" s="31" t="n">
        <v>4.34</v>
      </c>
      <c r="K35" s="31" t="n">
        <v>51235935</v>
      </c>
      <c r="L35" s="30" t="n">
        <v>35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62.6</v>
      </c>
      <c r="P35" s="31" t="n">
        <v>10.13</v>
      </c>
      <c r="Q35" s="31" t="n">
        <v>102.04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4.6</v>
      </c>
      <c r="U35" s="31" t="n">
        <v>15.2</v>
      </c>
      <c r="V35" s="31" t="n">
        <v>10.14</v>
      </c>
      <c r="W35" s="31" t="n">
        <v>7.61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IF(B36=0,"",RANK(B36,$B$2:$B$42,0))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SBIN</t>
        </is>
      </c>
      <c r="D36" s="30" t="inlineStr">
        <is>
          <t>State Bank Of India Ltd</t>
        </is>
      </c>
      <c r="E36" s="30" t="inlineStr">
        <is>
          <t>bank</t>
        </is>
      </c>
      <c r="F36" s="30" t="inlineStr">
        <is>
          <t>banks - public sector</t>
        </is>
      </c>
      <c r="G36" s="30" t="inlineStr">
        <is>
          <t>largecap</t>
        </is>
      </c>
      <c r="H36" s="31" t="n">
        <v>983983.83</v>
      </c>
      <c r="I36" s="31" t="n">
        <v>1082</v>
      </c>
      <c r="J36" s="31" t="n">
        <v>1.5</v>
      </c>
      <c r="K36" s="31" t="n">
        <v>17673922</v>
      </c>
      <c r="L36" s="30" t="n">
        <v>42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59.05</v>
      </c>
      <c r="P36" s="31" t="n">
        <v>10.69</v>
      </c>
      <c r="Q36" s="31" t="n">
        <v>945.47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4.6</v>
      </c>
      <c r="U36" s="31" t="n">
        <v>33.27</v>
      </c>
      <c r="V36" s="31" t="n">
        <v>27.41</v>
      </c>
      <c r="W36" s="31" t="n">
        <v>9.48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IF(B37=0,"",RANK(B37,$B$2:$B$42,0))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BANKINDIA</t>
        </is>
      </c>
      <c r="D37" s="30" t="inlineStr">
        <is>
          <t>Bank Of India Ltd</t>
        </is>
      </c>
      <c r="E37" s="30" t="inlineStr">
        <is>
          <t>bank</t>
        </is>
      </c>
      <c r="F37" s="30" t="inlineStr">
        <is>
          <t>banks - public sector</t>
        </is>
      </c>
      <c r="G37" s="30" t="inlineStr">
        <is>
          <t>largecap</t>
        </is>
      </c>
      <c r="H37" s="31" t="n">
        <v>65057.62</v>
      </c>
      <c r="I37" s="31" t="n">
        <v>145.5</v>
      </c>
      <c r="J37" s="31" t="n">
        <v>1.82</v>
      </c>
      <c r="K37" s="31" t="n">
        <v>8946785</v>
      </c>
      <c r="L37" s="30" t="n">
        <v>36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53.92</v>
      </c>
      <c r="P37" s="31" t="n">
        <v>7.65</v>
      </c>
      <c r="Q37" s="31" t="n">
        <v>120.59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4.6</v>
      </c>
      <c r="U37" s="31" t="n">
        <v>32.74</v>
      </c>
      <c r="V37" s="31" t="n">
        <v>26.91</v>
      </c>
      <c r="W37" s="31" t="n">
        <v>7.81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1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IF(B38=0,"",RANK(B38,$B$2:$B$42,0))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CANBK</t>
        </is>
      </c>
      <c r="D38" s="30" t="inlineStr">
        <is>
          <t>Canara Bank Ltd</t>
        </is>
      </c>
      <c r="E38" s="30" t="inlineStr">
        <is>
          <t>bank</t>
        </is>
      </c>
      <c r="F38" s="30" t="inlineStr">
        <is>
          <t>banks - public sector</t>
        </is>
      </c>
      <c r="G38" s="30" t="inlineStr">
        <is>
          <t>largecap</t>
        </is>
      </c>
      <c r="H38" s="31" t="n">
        <v>118190.59</v>
      </c>
      <c r="I38" s="31" t="n">
        <v>132</v>
      </c>
      <c r="J38" s="31" t="n">
        <v>1.3</v>
      </c>
      <c r="K38" s="31" t="n">
        <v>26542679</v>
      </c>
      <c r="L38" s="30" t="n">
        <v>31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52.01</v>
      </c>
      <c r="P38" s="31" t="n">
        <v>11.23</v>
      </c>
      <c r="Q38" s="31" t="n">
        <v>109.95</v>
      </c>
      <c r="R38" s="30" t="inlineStr">
        <is>
          <t>Earnings / Momentum Support</t>
        </is>
      </c>
      <c r="S38" s="30" t="inlineStr">
        <is>
          <t>Nifty Bank</t>
        </is>
      </c>
      <c r="T38" s="31" t="n">
        <v>4.6</v>
      </c>
      <c r="U38" s="31" t="n">
        <v>24.8</v>
      </c>
      <c r="V38" s="31" t="n">
        <v>19.31</v>
      </c>
      <c r="W38" s="31" t="n">
        <v>6.8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more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1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IF(B39=0,"",RANK(B39,$B$2:$B$42,0))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PRIMESECU</t>
        </is>
      </c>
      <c r="D39" s="30" t="inlineStr">
        <is>
          <t>Prime Securities Limited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smallcap</t>
        </is>
      </c>
      <c r="H39" s="31" t="n">
        <v>1002.77</v>
      </c>
      <c r="I39" s="31" t="n">
        <v>291.25</v>
      </c>
      <c r="J39" s="31" t="n">
        <v>-1.42</v>
      </c>
      <c r="K39" s="31" t="n">
        <v>109629</v>
      </c>
      <c r="L39" s="30" t="n">
        <v>14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53.43</v>
      </c>
      <c r="P39" s="31" t="n">
        <v>26.97</v>
      </c>
      <c r="Q39" s="31" t="n">
        <v>233.81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4.6</v>
      </c>
      <c r="U39" s="31" t="n">
        <v>6.8</v>
      </c>
      <c r="V39" s="31" t="n">
        <v>2.11</v>
      </c>
      <c r="W39" s="31" t="n">
        <v>2.78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20 to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1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IF(B40=0,"",RANK(B40,$B$2:$B$42,0))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BAJAJFINSV</t>
        </is>
      </c>
      <c r="D40" s="30" t="inlineStr">
        <is>
          <t>Bajaj Finserv Limited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325231.76</v>
      </c>
      <c r="I40" s="31" t="n">
        <v>2020.5</v>
      </c>
      <c r="J40" s="31" t="n">
        <v>-0.57</v>
      </c>
      <c r="K40" s="31" t="n">
        <v>571047</v>
      </c>
      <c r="L40" s="30" t="n">
        <v>22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60.41</v>
      </c>
      <c r="P40" s="31" t="n">
        <v>16.84</v>
      </c>
      <c r="Q40" s="31" t="n">
        <v>1735.84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4.6</v>
      </c>
      <c r="U40" s="31" t="n">
        <v>5.05</v>
      </c>
      <c r="V40" s="31" t="n">
        <v>0.43</v>
      </c>
      <c r="W40" s="31" t="n">
        <v>4.94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between 2.5x to 5x and Growth less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IF(B41=0,"",RANK(B41,$B$2:$B$42,0))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CRISIL</t>
        </is>
      </c>
      <c r="D41" s="32" t="inlineStr">
        <is>
          <t>Crisil Limited</t>
        </is>
      </c>
      <c r="E41" s="30" t="inlineStr">
        <is>
          <t>financials</t>
        </is>
      </c>
      <c r="F41" s="30" t="inlineStr">
        <is>
          <t>miscellaneous</t>
        </is>
      </c>
      <c r="G41" s="30" t="inlineStr">
        <is>
          <t>largecap</t>
        </is>
      </c>
      <c r="H41" s="31" t="n">
        <v>32768.1</v>
      </c>
      <c r="I41" s="31" t="n">
        <v>4507.1</v>
      </c>
      <c r="J41" s="31" t="n">
        <v>0.59</v>
      </c>
      <c r="K41" s="31" t="n">
        <v>28123</v>
      </c>
      <c r="L41" s="30" t="n">
        <v>3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57.92</v>
      </c>
      <c r="P41" s="31" t="n">
        <v>15.26</v>
      </c>
      <c r="Q41" s="31" t="n">
        <v>3826.6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4.6</v>
      </c>
      <c r="U41" s="31" t="n">
        <v>-14.32</v>
      </c>
      <c r="V41" s="31" t="n">
        <v>-18.08</v>
      </c>
      <c r="W41" s="31" t="n">
        <v>-0.9399999999999999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IF(B42=0,"",RANK(B42,$B$2:$B$42,0))</f>
        <v/>
      </c>
      <c r="B42" s="31">
        <f>SUM(N42,Y42,AA42,AC42,AE42,AG42,AI42,AK42,AM42,AO42,AQ42,AS42,AU42,AW42,AY42,BA42,BC42,BE42,BG42,BI42,BK42,BM42,BO42,BQ42,BS42,BU42,BW42,BY42,CA42)</f>
        <v/>
      </c>
      <c r="C42" s="32" t="inlineStr">
        <is>
          <t>FIVESTAR</t>
        </is>
      </c>
      <c r="D42" s="32" t="inlineStr">
        <is>
          <t>Five-Star Business Finance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midcap</t>
        </is>
      </c>
      <c r="H42" s="31" t="n">
        <v>16124.2</v>
      </c>
      <c r="I42" s="31" t="n">
        <v>554.4</v>
      </c>
      <c r="J42" s="31" t="n">
        <v>1.49</v>
      </c>
      <c r="K42" s="31" t="n">
        <v>263148</v>
      </c>
      <c r="L42" s="30" t="n">
        <v>22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60.1</v>
      </c>
      <c r="P42" s="31" t="n">
        <v>15.21</v>
      </c>
      <c r="Q42" s="31" t="n">
        <v>432.25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4.6</v>
      </c>
      <c r="U42" s="31" t="n">
        <v>-5</v>
      </c>
      <c r="V42" s="31" t="n">
        <v>-9.18</v>
      </c>
      <c r="W42" s="31" t="n">
        <v>5.02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Negative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</sheetData>
  <autoFilter ref="A1:CA42"/>
  <conditionalFormatting sqref="B2:B4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2">
    <cfRule type="cellIs" priority="34" operator="equal" dxfId="3" stopIfTrue="1">
      <formula>"Underperforming"</formula>
    </cfRule>
  </conditionalFormatting>
  <conditionalFormatting sqref="N2:N42">
    <cfRule type="cellIs" priority="35" operator="equal" dxfId="3" stopIfTrue="1">
      <formula>-5</formula>
    </cfRule>
  </conditionalFormatting>
  <conditionalFormatting sqref="Q2:Q4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2" showDropDown="0" showInputMessage="0" showErrorMessage="0" allowBlank="1" type="list">
      <formula1>"Growing Industry,Stagnant Industry,Cyclical in an Upturn"</formula1>
    </dataValidation>
    <dataValidation sqref="Z2:Z42" showDropDown="0" showInputMessage="0" showErrorMessage="0" allowBlank="1" type="list">
      <formula1>"Fragmented with Low ROE,Fragmented with High ROE,Highly Cyclical"</formula1>
    </dataValidation>
    <dataValidation sqref="AB2:AB42" showDropDown="0" showInputMessage="0" showErrorMessage="0" allowBlank="1" type="list">
      <formula1>"Yes,No"</formula1>
    </dataValidation>
    <dataValidation sqref="AD2:AD42" showDropDown="0" showInputMessage="0" showErrorMessage="0" allowBlank="1" type="list">
      <formula1>"Tailwind,Headwind"</formula1>
    </dataValidation>
    <dataValidation sqref="AF2:AF4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2" showDropDown="0" showInputMessage="0" showErrorMessage="0" allowBlank="1" type="list">
      <formula1>"Yes,No"</formula1>
    </dataValidation>
    <dataValidation sqref="AJ2:AJ42" showDropDown="0" showInputMessage="0" showErrorMessage="0" allowBlank="1" type="list">
      <formula1>"Yes,No,Not Applicable"</formula1>
    </dataValidation>
    <dataValidation sqref="AL2:AL42" showDropDown="0" showInputMessage="0" showErrorMessage="0" allowBlank="1" type="list">
      <formula1>"Yes,No"</formula1>
    </dataValidation>
    <dataValidation sqref="AN2:AN42" showDropDown="0" showInputMessage="0" showErrorMessage="0" allowBlank="1" type="list">
      <formula1>"Yes,No"</formula1>
    </dataValidation>
    <dataValidation sqref="AP2:AP42" showDropDown="0" showInputMessage="0" showErrorMessage="0" allowBlank="1" type="list">
      <formula1>"Yes,No"</formula1>
    </dataValidation>
    <dataValidation sqref="AR2:AR42" showDropDown="0" showInputMessage="0" showErrorMessage="0" allowBlank="1" type="list">
      <formula1>"Yes,No"</formula1>
    </dataValidation>
    <dataValidation sqref="AT2:AT42" showDropDown="0" showInputMessage="0" showErrorMessage="0" allowBlank="1" type="list">
      <formula1>"No,Yes"</formula1>
    </dataValidation>
    <dataValidation sqref="AV2:AV42" showDropDown="0" showInputMessage="0" showErrorMessage="0" allowBlank="1" type="list">
      <formula1>"No,Yes"</formula1>
    </dataValidation>
    <dataValidation sqref="AX2:AX42" showDropDown="0" showInputMessage="0" showErrorMessage="0" allowBlank="1" type="list">
      <formula1>"No,Yes CEO Resignation,Yes CEO Retirement"</formula1>
    </dataValidation>
    <dataValidation sqref="AZ2:AZ42" showDropDown="0" showInputMessage="0" showErrorMessage="0" allowBlank="1" type="list">
      <formula1>"No,Yes"</formula1>
    </dataValidation>
    <dataValidation sqref="BB2:BB42" showDropDown="0" showInputMessage="0" showErrorMessage="0" allowBlank="1" type="list">
      <formula1>"No,Yes"</formula1>
    </dataValidation>
    <dataValidation sqref="BD2:BD42" showDropDown="0" showInputMessage="0" showErrorMessage="0" allowBlank="1" type="list">
      <formula1>"Yes,No"</formula1>
    </dataValidation>
    <dataValidation sqref="BF2:BF42" showDropDown="0" showInputMessage="0" showErrorMessage="0" allowBlank="1" type="list">
      <formula1>"Yes,No"</formula1>
    </dataValidation>
    <dataValidation sqref="BH2:BH42" showDropDown="0" showInputMessage="0" showErrorMessage="0" allowBlank="1" type="list">
      <formula1>"Yes,No"</formula1>
    </dataValidation>
    <dataValidation sqref="BJ2:BJ4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2" showDropDown="0" showInputMessage="0" showErrorMessage="0" allowBlank="1" type="list">
      <formula1>"Above 40,20 to 40,0 to 20"</formula1>
    </dataValidation>
    <dataValidation sqref="BN2:BN42" showDropDown="0" showInputMessage="0" showErrorMessage="0" allowBlank="1" type="list">
      <formula1>"Between 50 to 75,Above 75,Below 45"</formula1>
    </dataValidation>
    <dataValidation sqref="BP2:BP42" showDropDown="0" showInputMessage="0" showErrorMessage="0" allowBlank="1" type="list">
      <formula1>"Stage 1,Stage 2,Stage 3,Stage 4"</formula1>
    </dataValidation>
    <dataValidation sqref="BR2:BR42" showDropDown="0" showInputMessage="0" showErrorMessage="0" allowBlank="1" type="list">
      <formula1>"Positive Trend,Negative Trend"</formula1>
    </dataValidation>
    <dataValidation sqref="BT2:BT42" showDropDown="0" showInputMessage="0" showErrorMessage="0" allowBlank="1" type="list">
      <formula1>"Uptrend,Sideways,Downtrend"</formula1>
    </dataValidation>
    <dataValidation sqref="BV2:BV42" showDropDown="0" showInputMessage="0" showErrorMessage="0" allowBlank="1" type="list">
      <formula1>"Uptrend,Sideways,Downtrend"</formula1>
    </dataValidation>
    <dataValidation sqref="BX2:BX4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IF(B2=0,"",RANK(B2,$B$2:$B$19,0))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169</v>
      </c>
      <c r="H2" s="30" t="inlineStr">
        <is>
          <t>BIRLACABLE</t>
        </is>
      </c>
      <c r="I2" s="30" t="inlineStr">
        <is>
          <t>Birla Cable Limited</t>
        </is>
      </c>
      <c r="J2" s="30" t="inlineStr">
        <is>
          <t>industrials</t>
        </is>
      </c>
      <c r="K2" s="30" t="inlineStr">
        <is>
          <t>cables - telephone</t>
        </is>
      </c>
      <c r="L2" s="30" t="inlineStr">
        <is>
          <t>smallcap</t>
        </is>
      </c>
      <c r="M2" s="31" t="n">
        <v>840.78</v>
      </c>
      <c r="N2" s="31" t="n">
        <v>294.17</v>
      </c>
      <c r="O2" s="31" t="n">
        <v>4.96</v>
      </c>
      <c r="P2" s="31" t="n">
        <v>290541</v>
      </c>
      <c r="Q2" s="30" t="n">
        <v>91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73.55</v>
      </c>
      <c r="U2" s="31" t="n">
        <v>45.31</v>
      </c>
      <c r="V2" s="31" t="n">
        <v>214.95</v>
      </c>
      <c r="W2" s="30" t="inlineStr">
        <is>
          <t>Volume Spike &amp; Near 52W High Breakout</t>
        </is>
      </c>
      <c r="X2" s="30" t="inlineStr">
        <is>
          <t>Nifty Infra</t>
        </is>
      </c>
      <c r="Y2" s="31" t="n">
        <v>3.79</v>
      </c>
      <c r="Z2" s="31" t="n">
        <v>72.90000000000001</v>
      </c>
      <c r="AA2" s="31" t="n">
        <v>66.59999999999999</v>
      </c>
      <c r="AB2" s="31" t="n">
        <v>34.91</v>
      </c>
      <c r="AC2" s="30" t="inlineStr">
        <is>
          <t>Cyclical in an Upturn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IF(B3=0,"",RANK(B3,$B$2:$B$19,0))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172</v>
      </c>
      <c r="H3" s="30" t="inlineStr">
        <is>
          <t>CUPID</t>
        </is>
      </c>
      <c r="I3" s="30" t="inlineStr">
        <is>
          <t>Cupid Limited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largecap</t>
        </is>
      </c>
      <c r="M3" s="31" t="n">
        <v>37200.04</v>
      </c>
      <c r="N3" s="31" t="n">
        <v>289.87</v>
      </c>
      <c r="O3" s="31" t="n">
        <v>4.78</v>
      </c>
      <c r="P3" s="31" t="n">
        <v>48203967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93.29000000000001</v>
      </c>
      <c r="U3" s="31" t="n">
        <v>71.03</v>
      </c>
      <c r="V3" s="31" t="n">
        <v>233.45</v>
      </c>
      <c r="W3" s="30" t="inlineStr">
        <is>
          <t>Near 52W High Breakout</t>
        </is>
      </c>
      <c r="X3" s="30" t="inlineStr">
        <is>
          <t>Nifty FMCG</t>
        </is>
      </c>
      <c r="Y3" s="31" t="n">
        <v>-11.27</v>
      </c>
      <c r="Z3" s="31" t="n">
        <v>879.89</v>
      </c>
      <c r="AA3" s="31" t="n">
        <v>1004.33</v>
      </c>
      <c r="AB3" s="31" t="n">
        <v>96.58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IF(B4=0,"",RANK(B4,$B$2:$B$19,0))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139.7</v>
      </c>
      <c r="E4" s="31" t="inlineStr">
        <is>
          <t>5%</t>
        </is>
      </c>
      <c r="F4" s="31" t="n">
        <v>50000</v>
      </c>
      <c r="G4" s="31" t="n">
        <v>29</v>
      </c>
      <c r="H4" s="30" t="inlineStr">
        <is>
          <t>AUROPHARMA</t>
        </is>
      </c>
      <c r="I4" s="30" t="inlineStr">
        <is>
          <t>Aurobindo Pharma Limited</t>
        </is>
      </c>
      <c r="J4" s="30" t="inlineStr">
        <is>
          <t>healthcare</t>
        </is>
      </c>
      <c r="K4" s="30" t="inlineStr">
        <is>
          <t>pharmaceuticals - indian - bulk drugs &amp; formln</t>
        </is>
      </c>
      <c r="L4" s="30" t="inlineStr">
        <is>
          <t>largecap</t>
        </is>
      </c>
      <c r="M4" s="31" t="n">
        <v>95397.66</v>
      </c>
      <c r="N4" s="31" t="n">
        <v>1667</v>
      </c>
      <c r="O4" s="31" t="n">
        <v>0.54</v>
      </c>
      <c r="P4" s="31" t="n">
        <v>796061</v>
      </c>
      <c r="Q4" s="30" t="n">
        <v>51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72.45</v>
      </c>
      <c r="U4" s="31" t="n">
        <v>42.63</v>
      </c>
      <c r="V4" s="31" t="n">
        <v>1429.38</v>
      </c>
      <c r="W4" s="30" t="inlineStr">
        <is>
          <t>Near 52W High Breakout</t>
        </is>
      </c>
      <c r="X4" s="30" t="inlineStr">
        <is>
          <t>Nifty Pharma</t>
        </is>
      </c>
      <c r="Y4" s="31" t="n">
        <v>20.81</v>
      </c>
      <c r="Z4" s="31" t="n">
        <v>53.84</v>
      </c>
      <c r="AA4" s="31" t="n">
        <v>27.34</v>
      </c>
      <c r="AB4" s="31" t="n">
        <v>11.81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IF(B5=0,"",RANK(B5,$B$2:$B$19,0))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138.8</v>
      </c>
      <c r="E5" s="31" t="inlineStr">
        <is>
          <t>5%</t>
        </is>
      </c>
      <c r="F5" s="31" t="n">
        <v>50000</v>
      </c>
      <c r="G5" s="31" t="n">
        <v>33</v>
      </c>
      <c r="H5" s="30" t="inlineStr">
        <is>
          <t>SENORES</t>
        </is>
      </c>
      <c r="I5" s="30" t="inlineStr">
        <is>
          <t>Senores Pharmaceuticals Ltd</t>
        </is>
      </c>
      <c r="J5" s="30" t="inlineStr">
        <is>
          <t>healthcare</t>
        </is>
      </c>
      <c r="K5" s="30" t="inlineStr">
        <is>
          <t>pharmaceuticals - indian - formulations</t>
        </is>
      </c>
      <c r="L5" s="30" t="inlineStr">
        <is>
          <t>midcap</t>
        </is>
      </c>
      <c r="M5" s="31" t="n">
        <v>6796.13</v>
      </c>
      <c r="N5" s="31" t="n">
        <v>1492.4</v>
      </c>
      <c r="O5" s="31" t="n">
        <v>1.13</v>
      </c>
      <c r="P5" s="31" t="n">
        <v>267987</v>
      </c>
      <c r="Q5" s="30" t="n">
        <v>84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73.39</v>
      </c>
      <c r="U5" s="31" t="n">
        <v>61.98</v>
      </c>
      <c r="V5" s="31" t="n">
        <v>1146.47</v>
      </c>
      <c r="W5" s="30" t="inlineStr">
        <is>
          <t>Near 52W High Breakout</t>
        </is>
      </c>
      <c r="X5" s="30" t="inlineStr">
        <is>
          <t>Nifty Pharma</t>
        </is>
      </c>
      <c r="Y5" s="31" t="n">
        <v>20.81</v>
      </c>
      <c r="Z5" s="31" t="n">
        <v>121.01</v>
      </c>
      <c r="AA5" s="31" t="n">
        <v>82.94</v>
      </c>
      <c r="AB5" s="31" t="n">
        <v>26.84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Between 50 to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IF(B6=0,"",RANK(B6,$B$2:$B$19,0))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139.3</v>
      </c>
      <c r="E6" s="31" t="inlineStr">
        <is>
          <t>5%</t>
        </is>
      </c>
      <c r="F6" s="31" t="n">
        <v>50000</v>
      </c>
      <c r="G6" s="31" t="n">
        <v>31</v>
      </c>
      <c r="H6" s="30" t="inlineStr">
        <is>
          <t>ATHERENERG</t>
        </is>
      </c>
      <c r="I6" s="30" t="inlineStr">
        <is>
          <t>Ather Energy Ltd</t>
        </is>
      </c>
      <c r="J6" s="30" t="inlineStr">
        <is>
          <t>auto</t>
        </is>
      </c>
      <c r="K6" s="30" t="inlineStr">
        <is>
          <t>automobiles - scooters and 3 - wheelers</t>
        </is>
      </c>
      <c r="L6" s="30" t="inlineStr">
        <is>
          <t>largecap</t>
        </is>
      </c>
      <c r="M6" s="31" t="n">
        <v>60119.87</v>
      </c>
      <c r="N6" s="31" t="n">
        <v>1569.4</v>
      </c>
      <c r="O6" s="31" t="n">
        <v>2.88</v>
      </c>
      <c r="P6" s="31" t="n">
        <v>4521175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82</v>
      </c>
      <c r="U6" s="31" t="n">
        <v>60.28</v>
      </c>
      <c r="V6" s="31" t="n">
        <v>1228.3</v>
      </c>
      <c r="W6" s="30" t="inlineStr">
        <is>
          <t>Near 52W High Breakout</t>
        </is>
      </c>
      <c r="X6" s="30" t="inlineStr">
        <is>
          <t>Nifty Auto</t>
        </is>
      </c>
      <c r="Y6" s="31" t="n">
        <v>23.47</v>
      </c>
      <c r="Z6" s="31" t="n">
        <v>369.46</v>
      </c>
      <c r="AA6" s="31" t="n">
        <v>280.22</v>
      </c>
      <c r="AB6" s="31" t="n">
        <v>59.37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IF(B7=0,"",RANK(B7,$B$2:$B$19,0))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138.3</v>
      </c>
      <c r="E7" s="31" t="inlineStr">
        <is>
          <t>5%</t>
        </is>
      </c>
      <c r="F7" s="31" t="n">
        <v>50000</v>
      </c>
      <c r="G7" s="31" t="n">
        <v>12</v>
      </c>
      <c r="H7" s="30" t="inlineStr">
        <is>
          <t>CPPLUS</t>
        </is>
      </c>
      <c r="I7" s="30" t="inlineStr">
        <is>
          <t>Aditya Infotech Ltd</t>
        </is>
      </c>
      <c r="J7" s="30" t="inlineStr">
        <is>
          <t>consumer discretionary</t>
        </is>
      </c>
      <c r="K7" s="30" t="inlineStr">
        <is>
          <t>trading</t>
        </is>
      </c>
      <c r="L7" s="30" t="inlineStr">
        <is>
          <t>largecap</t>
        </is>
      </c>
      <c r="M7" s="31" t="n">
        <v>44848</v>
      </c>
      <c r="N7" s="31" t="n">
        <v>3899.1</v>
      </c>
      <c r="O7" s="31" t="n">
        <v>2.46</v>
      </c>
      <c r="P7" s="31" t="n">
        <v>287366</v>
      </c>
      <c r="Q7" s="30" t="n">
        <v>95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74.84</v>
      </c>
      <c r="U7" s="31" t="n">
        <v>69.75</v>
      </c>
      <c r="V7" s="31" t="n">
        <v>3019.35</v>
      </c>
      <c r="W7" s="30" t="inlineStr">
        <is>
          <t>Near 52W High Breakout</t>
        </is>
      </c>
      <c r="X7" s="30" t="inlineStr">
        <is>
          <t>Nifty 50</t>
        </is>
      </c>
      <c r="Y7" s="31" t="n">
        <v>-0.79</v>
      </c>
      <c r="Z7" s="31" t="n">
        <v>269.03</v>
      </c>
      <c r="AA7" s="31" t="n">
        <v>271.98</v>
      </c>
      <c r="AB7" s="31" t="n">
        <v>44.73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Less than 50%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IF(B8=0,"",RANK(B8,$B$2:$B$19,0))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139.2</v>
      </c>
      <c r="E8" s="31" t="inlineStr">
        <is>
          <t>5%</t>
        </is>
      </c>
      <c r="F8" s="31" t="n">
        <v>50000</v>
      </c>
      <c r="G8" s="31" t="n">
        <v>24</v>
      </c>
      <c r="H8" s="30" t="inlineStr">
        <is>
          <t>HAPPYFORGE</t>
        </is>
      </c>
      <c r="I8" s="30" t="inlineStr">
        <is>
          <t>Happy Forgings Ltd</t>
        </is>
      </c>
      <c r="J8" s="30" t="inlineStr">
        <is>
          <t>industrials</t>
        </is>
      </c>
      <c r="K8" s="30" t="inlineStr">
        <is>
          <t>castings &amp; forgings</t>
        </is>
      </c>
      <c r="L8" s="30" t="inlineStr">
        <is>
          <t>midcap</t>
        </is>
      </c>
      <c r="M8" s="31" t="n">
        <v>18005.57</v>
      </c>
      <c r="N8" s="31" t="n">
        <v>2022.7</v>
      </c>
      <c r="O8" s="31" t="n">
        <v>6.02</v>
      </c>
      <c r="P8" s="31" t="n">
        <v>244242</v>
      </c>
      <c r="Q8" s="30" t="n">
        <v>86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84.7</v>
      </c>
      <c r="U8" s="31" t="n">
        <v>52.92</v>
      </c>
      <c r="V8" s="31" t="n">
        <v>1658.2</v>
      </c>
      <c r="W8" s="30" t="inlineStr">
        <is>
          <t>Near 52W High Breakout</t>
        </is>
      </c>
      <c r="X8" s="30" t="inlineStr">
        <is>
          <t>Nifty Infra</t>
        </is>
      </c>
      <c r="Y8" s="31" t="n">
        <v>3.79</v>
      </c>
      <c r="Z8" s="31" t="n">
        <v>111.01</v>
      </c>
      <c r="AA8" s="31" t="n">
        <v>103.31</v>
      </c>
      <c r="AB8" s="31" t="n">
        <v>28.48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Less than 1.5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IF(B9=0,"",RANK(B9,$B$2:$B$19,0))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139.7</v>
      </c>
      <c r="E9" s="31" t="inlineStr">
        <is>
          <t>5%</t>
        </is>
      </c>
      <c r="F9" s="31" t="n">
        <v>50000</v>
      </c>
      <c r="G9" s="31" t="n">
        <v>26</v>
      </c>
      <c r="H9" s="30" t="inlineStr">
        <is>
          <t>WELCORP</t>
        </is>
      </c>
      <c r="I9" s="30" t="inlineStr">
        <is>
          <t>Welspun Corp Limited</t>
        </is>
      </c>
      <c r="J9" s="30" t="inlineStr">
        <is>
          <t>industrials</t>
        </is>
      </c>
      <c r="K9" s="30" t="inlineStr">
        <is>
          <t>steel - large</t>
        </is>
      </c>
      <c r="L9" s="30" t="inlineStr">
        <is>
          <t>largecap</t>
        </is>
      </c>
      <c r="M9" s="31" t="n">
        <v>48455.7</v>
      </c>
      <c r="N9" s="31" t="n">
        <v>1867.6</v>
      </c>
      <c r="O9" s="31" t="n">
        <v>1.67</v>
      </c>
      <c r="P9" s="31" t="n">
        <v>583807</v>
      </c>
      <c r="Q9" s="30" t="n">
        <v>89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88.77</v>
      </c>
      <c r="U9" s="31" t="n">
        <v>70.73999999999999</v>
      </c>
      <c r="V9" s="31" t="n">
        <v>1558.58</v>
      </c>
      <c r="W9" s="30" t="inlineStr">
        <is>
          <t>Near 52W High Breakout</t>
        </is>
      </c>
      <c r="X9" s="30" t="inlineStr">
        <is>
          <t>Nifty Metal</t>
        </is>
      </c>
      <c r="Y9" s="31" t="n">
        <v>39.75</v>
      </c>
      <c r="Z9" s="31" t="n">
        <v>111.28</v>
      </c>
      <c r="AA9" s="31" t="n">
        <v>51.18</v>
      </c>
      <c r="AB9" s="31" t="n">
        <v>31.46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IF(B10=0,"",RANK(B10,$B$2:$B$19,0))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138.9</v>
      </c>
      <c r="E10" s="31" t="inlineStr">
        <is>
          <t>5%</t>
        </is>
      </c>
      <c r="F10" s="31" t="n">
        <v>50000</v>
      </c>
      <c r="G10" s="31" t="n">
        <v>18</v>
      </c>
      <c r="H10" s="30" t="inlineStr">
        <is>
          <t>FIEMIND</t>
        </is>
      </c>
      <c r="I10" s="30" t="inlineStr">
        <is>
          <t>Fiem Industries Limited</t>
        </is>
      </c>
      <c r="J10" s="30" t="inlineStr">
        <is>
          <t>auto</t>
        </is>
      </c>
      <c r="K10" s="30" t="inlineStr">
        <is>
          <t>auto ancillaries</t>
        </is>
      </c>
      <c r="L10" s="30" t="inlineStr">
        <is>
          <t>midcap</t>
        </is>
      </c>
      <c r="M10" s="31" t="n">
        <v>6822.58</v>
      </c>
      <c r="N10" s="31" t="n">
        <v>2645.9</v>
      </c>
      <c r="O10" s="31" t="n">
        <v>2.07</v>
      </c>
      <c r="P10" s="31" t="n">
        <v>153129</v>
      </c>
      <c r="Q10" s="30" t="n">
        <v>50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74.38</v>
      </c>
      <c r="U10" s="31" t="n">
        <v>27.06</v>
      </c>
      <c r="V10" s="31" t="n">
        <v>2190.17</v>
      </c>
      <c r="W10" s="30" t="inlineStr">
        <is>
          <t>Near 52W High Breakout</t>
        </is>
      </c>
      <c r="X10" s="30" t="inlineStr">
        <is>
          <t>Nifty Auto</t>
        </is>
      </c>
      <c r="Y10" s="31" t="n">
        <v>23.47</v>
      </c>
      <c r="Z10" s="31" t="n">
        <v>35.48</v>
      </c>
      <c r="AA10" s="31" t="n">
        <v>9.73</v>
      </c>
      <c r="AB10" s="31" t="n">
        <v>11.36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Less than 50%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IF(B11=0,"",RANK(B11,$B$2:$B$19,0))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138.8</v>
      </c>
      <c r="E11" s="31" t="inlineStr">
        <is>
          <t>5%</t>
        </is>
      </c>
      <c r="F11" s="31" t="n">
        <v>50000</v>
      </c>
      <c r="G11" s="31" t="n">
        <v>13</v>
      </c>
      <c r="H11" s="30" t="inlineStr">
        <is>
          <t>KENNAMET</t>
        </is>
      </c>
      <c r="I11" s="30" t="inlineStr">
        <is>
          <t>Kennametal India Ltd</t>
        </is>
      </c>
      <c r="J11" s="30" t="inlineStr">
        <is>
          <t>industrials</t>
        </is>
      </c>
      <c r="K11" s="30" t="inlineStr">
        <is>
          <t>castings &amp; forgings</t>
        </is>
      </c>
      <c r="L11" s="30" t="inlineStr">
        <is>
          <t>midcap</t>
        </is>
      </c>
      <c r="M11" s="31" t="n">
        <v>7257</v>
      </c>
      <c r="N11" s="31" t="n">
        <v>3572.3</v>
      </c>
      <c r="O11" s="31" t="n">
        <v>8.19</v>
      </c>
      <c r="P11" s="31" t="n">
        <v>197969</v>
      </c>
      <c r="Q11" s="30" t="n">
        <v>75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74.84999999999999</v>
      </c>
      <c r="U11" s="31" t="n">
        <v>43.75</v>
      </c>
      <c r="V11" s="31" t="n">
        <v>2831.31</v>
      </c>
      <c r="W11" s="30" t="inlineStr">
        <is>
          <t>Near 52W High Breakout</t>
        </is>
      </c>
      <c r="X11" s="30" t="inlineStr">
        <is>
          <t>Nifty Infra</t>
        </is>
      </c>
      <c r="Y11" s="31" t="n">
        <v>3.79</v>
      </c>
      <c r="Z11" s="31" t="n">
        <v>58.09</v>
      </c>
      <c r="AA11" s="31" t="n">
        <v>52.32</v>
      </c>
      <c r="AB11" s="31" t="n">
        <v>20.67</v>
      </c>
      <c r="AC11" s="30" t="inlineStr">
        <is>
          <t>Cyclical in an Upturn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IF(B12=0,"",RANK(B12,$B$2:$B$19,0))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138.5</v>
      </c>
      <c r="E12" s="31" t="inlineStr">
        <is>
          <t>5%</t>
        </is>
      </c>
      <c r="F12" s="31" t="n">
        <v>50000</v>
      </c>
      <c r="G12" s="31" t="n">
        <v>12</v>
      </c>
      <c r="H12" s="30" t="inlineStr">
        <is>
          <t>SANSERA</t>
        </is>
      </c>
      <c r="I12" s="30" t="inlineStr">
        <is>
          <t>Sansera Engineering Ltd</t>
        </is>
      </c>
      <c r="J12" s="30" t="inlineStr">
        <is>
          <t>auto</t>
        </is>
      </c>
      <c r="K12" s="30" t="inlineStr">
        <is>
          <t>auto ancillaries</t>
        </is>
      </c>
      <c r="L12" s="30" t="inlineStr">
        <is>
          <t>largecap</t>
        </is>
      </c>
      <c r="M12" s="31" t="n">
        <v>22996.34</v>
      </c>
      <c r="N12" s="31" t="n">
        <v>3878.3</v>
      </c>
      <c r="O12" s="31" t="n">
        <v>5.24</v>
      </c>
      <c r="P12" s="31" t="n">
        <v>328395</v>
      </c>
      <c r="Q12" s="30" t="n">
        <v>92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82.95</v>
      </c>
      <c r="U12" s="31" t="n">
        <v>56.26</v>
      </c>
      <c r="V12" s="31" t="n">
        <v>3114.16</v>
      </c>
      <c r="W12" s="30" t="inlineStr">
        <is>
          <t>Near 52W High Breakout</t>
        </is>
      </c>
      <c r="X12" s="30" t="inlineStr">
        <is>
          <t>Nifty Auto</t>
        </is>
      </c>
      <c r="Y12" s="31" t="n">
        <v>23.47</v>
      </c>
      <c r="Z12" s="31" t="n">
        <v>186.62</v>
      </c>
      <c r="AA12" s="31" t="n">
        <v>132.14</v>
      </c>
      <c r="AB12" s="31" t="n">
        <v>36.11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Between 50% to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IF(B13=0,"",RANK(B13,$B$2:$B$19,0))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140</v>
      </c>
      <c r="E13" s="31" t="inlineStr">
        <is>
          <t>5%</t>
        </is>
      </c>
      <c r="F13" s="31" t="n">
        <v>50000</v>
      </c>
      <c r="G13" s="31" t="n">
        <v>29</v>
      </c>
      <c r="H13" s="30" t="inlineStr">
        <is>
          <t>PIDILITIND</t>
        </is>
      </c>
      <c r="I13" s="30" t="inlineStr">
        <is>
          <t>Pidilite Industries Limited</t>
        </is>
      </c>
      <c r="J13" s="30" t="inlineStr">
        <is>
          <t>chemicals</t>
        </is>
      </c>
      <c r="K13" s="30" t="inlineStr">
        <is>
          <t>chemicals</t>
        </is>
      </c>
      <c r="L13" s="30" t="inlineStr">
        <is>
          <t>largecap</t>
        </is>
      </c>
      <c r="M13" s="31" t="n">
        <v>171576.57</v>
      </c>
      <c r="N13" s="31" t="n">
        <v>1701.5</v>
      </c>
      <c r="O13" s="31" t="n">
        <v>0.93</v>
      </c>
      <c r="P13" s="31" t="n">
        <v>1724562</v>
      </c>
      <c r="Q13" s="30" t="n">
        <v>26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74.11</v>
      </c>
      <c r="U13" s="31" t="n">
        <v>27.75</v>
      </c>
      <c r="V13" s="31" t="n">
        <v>1500.28</v>
      </c>
      <c r="W13" s="30" t="inlineStr">
        <is>
          <t>Near 52W High Breakout</t>
        </is>
      </c>
      <c r="X13" s="30" t="inlineStr">
        <is>
          <t>Nifty 500</t>
        </is>
      </c>
      <c r="Y13" s="31" t="n">
        <v>4.37</v>
      </c>
      <c r="Z13" s="31" t="n">
        <v>11.09</v>
      </c>
      <c r="AA13" s="31" t="n">
        <v>6.43</v>
      </c>
      <c r="AB13" s="31" t="n">
        <v>5.74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IF(B14=0,"",RANK(B14,$B$2:$B$19,0))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138.5</v>
      </c>
      <c r="E14" s="31" t="inlineStr">
        <is>
          <t>5%</t>
        </is>
      </c>
      <c r="F14" s="31" t="n">
        <v>50000</v>
      </c>
      <c r="G14" s="31" t="n">
        <v>294</v>
      </c>
      <c r="H14" s="30" t="inlineStr">
        <is>
          <t>MOTHERSON</t>
        </is>
      </c>
      <c r="I14" s="30" t="inlineStr">
        <is>
          <t>Samvardhana Motherson International Ltd</t>
        </is>
      </c>
      <c r="J14" s="30" t="inlineStr">
        <is>
          <t>auto</t>
        </is>
      </c>
      <c r="K14" s="30" t="inlineStr">
        <is>
          <t>auto ancillaries</t>
        </is>
      </c>
      <c r="L14" s="30" t="inlineStr">
        <is>
          <t>largecap</t>
        </is>
      </c>
      <c r="M14" s="31" t="n">
        <v>178644.5</v>
      </c>
      <c r="N14" s="31" t="n">
        <v>169.5</v>
      </c>
      <c r="O14" s="31" t="n">
        <v>0.14</v>
      </c>
      <c r="P14" s="31" t="n">
        <v>15747026</v>
      </c>
      <c r="Q14" s="30" t="n">
        <v>71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74.94</v>
      </c>
      <c r="U14" s="31" t="n">
        <v>37.34</v>
      </c>
      <c r="V14" s="31" t="n">
        <v>140.14</v>
      </c>
      <c r="W14" s="30" t="inlineStr">
        <is>
          <t>Near 52W High Breakout</t>
        </is>
      </c>
      <c r="X14" s="30" t="inlineStr">
        <is>
          <t>Nifty Auto</t>
        </is>
      </c>
      <c r="Y14" s="31" t="n">
        <v>23.47</v>
      </c>
      <c r="Z14" s="31" t="n">
        <v>69.73999999999999</v>
      </c>
      <c r="AA14" s="31" t="n">
        <v>37.48</v>
      </c>
      <c r="AB14" s="31" t="n">
        <v>18.88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IF(B15=0,"",RANK(B15,$B$2:$B$19,0))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8</v>
      </c>
      <c r="H15" s="30" t="inlineStr">
        <is>
          <t>KEI</t>
        </is>
      </c>
      <c r="I15" s="30" t="inlineStr">
        <is>
          <t>Kei Industries Limited</t>
        </is>
      </c>
      <c r="J15" s="30" t="inlineStr">
        <is>
          <t>industrials</t>
        </is>
      </c>
      <c r="K15" s="30" t="inlineStr">
        <is>
          <t>cables - power</t>
        </is>
      </c>
      <c r="L15" s="30" t="inlineStr">
        <is>
          <t>largecap</t>
        </is>
      </c>
      <c r="M15" s="31" t="n">
        <v>53966.54</v>
      </c>
      <c r="N15" s="31" t="n">
        <v>5754</v>
      </c>
      <c r="O15" s="31" t="n">
        <v>1.93</v>
      </c>
      <c r="P15" s="31" t="n">
        <v>454178</v>
      </c>
      <c r="Q15" s="30" t="n">
        <v>54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66.29000000000001</v>
      </c>
      <c r="U15" s="31" t="n">
        <v>25.55</v>
      </c>
      <c r="V15" s="31" t="n">
        <v>4651.31</v>
      </c>
      <c r="W15" s="30" t="inlineStr">
        <is>
          <t>Near 52W High Breakout</t>
        </is>
      </c>
      <c r="X15" s="30" t="inlineStr">
        <is>
          <t>Nifty Energy</t>
        </is>
      </c>
      <c r="Y15" s="31" t="n">
        <v>10</v>
      </c>
      <c r="Z15" s="31" t="n">
        <v>48.41</v>
      </c>
      <c r="AA15" s="31" t="n">
        <v>34.91</v>
      </c>
      <c r="AB15" s="31" t="n">
        <v>12.83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Fully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Yes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Less than 1.5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Yes, More Than 10%</t>
        </is>
      </c>
      <c r="CJ15" s="30">
        <f>IF(CI15="Yes, more than 10%",-10,IF(CI15="No",10,0))</f>
        <v/>
      </c>
    </row>
    <row r="16">
      <c r="A16" s="30">
        <f>IF(B16=0,"",RANK(B16,$B$2:$B$19,0))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139.1</v>
      </c>
      <c r="E16" s="31" t="inlineStr">
        <is>
          <t>5%</t>
        </is>
      </c>
      <c r="F16" s="31" t="n">
        <v>50000</v>
      </c>
      <c r="G16" s="31" t="n">
        <v>5</v>
      </c>
      <c r="H16" s="30" t="inlineStr">
        <is>
          <t>DIVISLAB</t>
        </is>
      </c>
      <c r="I16" s="30" t="inlineStr">
        <is>
          <t>Divi's Laboratories Limited</t>
        </is>
      </c>
      <c r="J16" s="30" t="inlineStr">
        <is>
          <t>healthcare</t>
        </is>
      </c>
      <c r="K16" s="30" t="inlineStr">
        <is>
          <t>pharmaceuticals - indian - bulk drugs</t>
        </is>
      </c>
      <c r="L16" s="30" t="inlineStr">
        <is>
          <t>largecap</t>
        </is>
      </c>
      <c r="M16" s="31" t="n">
        <v>227732.22</v>
      </c>
      <c r="N16" s="31" t="n">
        <v>8600</v>
      </c>
      <c r="O16" s="31" t="n">
        <v>0.25</v>
      </c>
      <c r="P16" s="31" t="n">
        <v>559195</v>
      </c>
      <c r="Q16" s="30" t="n">
        <v>56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84.41</v>
      </c>
      <c r="U16" s="31" t="n">
        <v>31.42</v>
      </c>
      <c r="V16" s="31" t="n">
        <v>7484.83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20.81</v>
      </c>
      <c r="Z16" s="31" t="n">
        <v>40.81</v>
      </c>
      <c r="AA16" s="31" t="n">
        <v>16.56</v>
      </c>
      <c r="AB16" s="31" t="n">
        <v>13.2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Less than 1.5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IF(B17=0,"",RANK(B17,$B$2:$B$19,0))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139.2</v>
      </c>
      <c r="E17" s="31" t="inlineStr">
        <is>
          <t>5%</t>
        </is>
      </c>
      <c r="F17" s="31" t="n">
        <v>50000</v>
      </c>
      <c r="G17" s="31" t="n">
        <v>60</v>
      </c>
      <c r="H17" s="30" t="inlineStr">
        <is>
          <t>SKYGOLD</t>
        </is>
      </c>
      <c r="I17" s="30" t="inlineStr">
        <is>
          <t>Sky Gold Ltd</t>
        </is>
      </c>
      <c r="J17" s="30" t="inlineStr">
        <is>
          <t>consumer discretionary</t>
        </is>
      </c>
      <c r="K17" s="30" t="inlineStr">
        <is>
          <t>diamond cutting / jewellery</t>
        </is>
      </c>
      <c r="L17" s="30" t="inlineStr">
        <is>
          <t>midcap</t>
        </is>
      </c>
      <c r="M17" s="31" t="n">
        <v>12235.81</v>
      </c>
      <c r="N17" s="31" t="n">
        <v>833.1</v>
      </c>
      <c r="O17" s="31" t="n">
        <v>5.45</v>
      </c>
      <c r="P17" s="31" t="n">
        <v>1979236</v>
      </c>
      <c r="Q17" s="30" t="n">
        <v>96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82.45999999999999</v>
      </c>
      <c r="U17" s="31" t="n">
        <v>61.11</v>
      </c>
      <c r="V17" s="31" t="n">
        <v>645.14</v>
      </c>
      <c r="W17" s="30" t="inlineStr">
        <is>
          <t>Volume Spike &amp; Near 52W High Breakout</t>
        </is>
      </c>
      <c r="X17" s="30" t="inlineStr">
        <is>
          <t>Nifty 50</t>
        </is>
      </c>
      <c r="Y17" s="31" t="n">
        <v>-0.79</v>
      </c>
      <c r="Z17" s="31" t="n">
        <v>205</v>
      </c>
      <c r="AA17" s="31" t="n">
        <v>207.44</v>
      </c>
      <c r="AB17" s="31" t="n">
        <v>45.51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Negative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IF(B18=0,"",RANK(B18,$B$2:$B$19,0))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139.3</v>
      </c>
      <c r="E18" s="31" t="inlineStr">
        <is>
          <t>5%</t>
        </is>
      </c>
      <c r="F18" s="31" t="n">
        <v>50000</v>
      </c>
      <c r="G18" s="31" t="n">
        <v>34</v>
      </c>
      <c r="H18" s="30" t="inlineStr">
        <is>
          <t>SAILIFE</t>
        </is>
      </c>
      <c r="I18" s="30" t="inlineStr">
        <is>
          <t>Sai Life Sciences Ltd</t>
        </is>
      </c>
      <c r="J18" s="30" t="inlineStr">
        <is>
          <t>healthcare</t>
        </is>
      </c>
      <c r="K18" s="30" t="inlineStr">
        <is>
          <t>pharmaceuticals - indian - bulk drugs &amp; formln</t>
        </is>
      </c>
      <c r="L18" s="30" t="inlineStr">
        <is>
          <t>largecap</t>
        </is>
      </c>
      <c r="M18" s="31" t="n">
        <v>30662.59</v>
      </c>
      <c r="N18" s="31" t="n">
        <v>1463.6</v>
      </c>
      <c r="O18" s="31" t="n">
        <v>1.33</v>
      </c>
      <c r="P18" s="31" t="n">
        <v>430058</v>
      </c>
      <c r="Q18" s="30" t="n">
        <v>69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80.79000000000001</v>
      </c>
      <c r="U18" s="31" t="n">
        <v>31.25</v>
      </c>
      <c r="V18" s="31" t="n">
        <v>1212.57</v>
      </c>
      <c r="W18" s="30" t="inlineStr">
        <is>
          <t>Volume Spike &amp; Near 52W High Breakout</t>
        </is>
      </c>
      <c r="X18" s="30" t="inlineStr">
        <is>
          <t>Nifty Pharma</t>
        </is>
      </c>
      <c r="Y18" s="31" t="n">
        <v>20.81</v>
      </c>
      <c r="Z18" s="31" t="n">
        <v>64.88</v>
      </c>
      <c r="AA18" s="31" t="n">
        <v>36.48</v>
      </c>
      <c r="AB18" s="31" t="n">
        <v>18.14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Yes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Annuity, Lower One Time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IF(B19=0,"",RANK(B19,$B$2:$B$19,0))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138.8</v>
      </c>
      <c r="E19" s="31" t="inlineStr">
        <is>
          <t>5%</t>
        </is>
      </c>
      <c r="F19" s="31" t="n">
        <v>50000</v>
      </c>
      <c r="G19" s="31" t="n">
        <v>63</v>
      </c>
      <c r="H19" s="30" t="inlineStr">
        <is>
          <t>PRICOLLTD</t>
        </is>
      </c>
      <c r="I19" s="30" t="inlineStr">
        <is>
          <t>Pricol Ltd.</t>
        </is>
      </c>
      <c r="J19" s="30" t="inlineStr">
        <is>
          <t>auto</t>
        </is>
      </c>
      <c r="K19" s="30" t="inlineStr">
        <is>
          <t>auto ancillaries</t>
        </is>
      </c>
      <c r="L19" s="30" t="inlineStr">
        <is>
          <t>midcap</t>
        </is>
      </c>
      <c r="M19" s="31" t="n">
        <v>8984.49</v>
      </c>
      <c r="N19" s="31" t="n">
        <v>783.25</v>
      </c>
      <c r="O19" s="31" t="n">
        <v>6.25</v>
      </c>
      <c r="P19" s="31" t="n">
        <v>1368057</v>
      </c>
      <c r="Q19" s="30" t="n">
        <v>72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74.78</v>
      </c>
      <c r="U19" s="31" t="n">
        <v>25.76</v>
      </c>
      <c r="V19" s="31" t="n">
        <v>630.65</v>
      </c>
      <c r="W19" s="30" t="inlineStr">
        <is>
          <t>Near 52W High Breakout</t>
        </is>
      </c>
      <c r="X19" s="30" t="inlineStr">
        <is>
          <t>Nifty Auto</t>
        </is>
      </c>
      <c r="Y19" s="31" t="n">
        <v>23.47</v>
      </c>
      <c r="Z19" s="31" t="n">
        <v>79.58</v>
      </c>
      <c r="AA19" s="31" t="n">
        <v>45.44</v>
      </c>
      <c r="AB19" s="31" t="n">
        <v>19.35</v>
      </c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Oligopoly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Shallow Cyclical (2 to 3 Years Growth)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Fully One Time</t>
        </is>
      </c>
      <c r="AX19" s="30">
        <f>IF(AW19="Fully Annuity",10,IF(AW19="Higher Annuity, Lower One Time",5,IF(AW19="Higher One Time, Lower Annuity",3,0)))</f>
        <v/>
      </c>
      <c r="AY19" s="30" t="inlineStr">
        <is>
          <t>Allocated capital in Non-core Areas</t>
        </is>
      </c>
      <c r="AZ19" s="30">
        <f>IF(AY19="Good",10,0)</f>
        <v/>
      </c>
      <c r="BA19" s="30" t="inlineStr">
        <is>
          <t>Yes only for next 1 to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Between 12 to 20%</t>
        </is>
      </c>
      <c r="BT19" s="30">
        <f>IF(BS19="More than 20%",10,IF(BS19="Between 12 to 20%",5,IF(BS19="Less than 12%",0,0)))</f>
        <v/>
      </c>
      <c r="BU19" s="30" t="inlineStr">
        <is>
          <t>Yes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Between 1.5 to 2</t>
        </is>
      </c>
      <c r="BZ19" s="30">
        <f>IF(BY19="Above 2",0,IF(BY19="Between 1.5 to 2",5,IF(BY19="Less than 1.5",10,0)))</f>
        <v/>
      </c>
      <c r="CA19" s="30" t="inlineStr">
        <is>
          <t>Between 50% to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IF(B2=0,"",RANK(B2,$B$2:$B$5,0))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</v>
      </c>
      <c r="E2" s="31" t="inlineStr">
        <is>
          <t>5%</t>
        </is>
      </c>
      <c r="F2" s="31" t="n">
        <v>50000</v>
      </c>
      <c r="G2" s="31" t="n">
        <v>159</v>
      </c>
      <c r="H2" s="30" t="inlineStr">
        <is>
          <t>KTKBANK</t>
        </is>
      </c>
      <c r="I2" s="30" t="inlineStr">
        <is>
          <t>The Karnataka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11453.89</v>
      </c>
      <c r="N2" s="31" t="n">
        <v>313.7</v>
      </c>
      <c r="O2" s="31" t="n">
        <v>3.58</v>
      </c>
      <c r="P2" s="31" t="n">
        <v>3017208</v>
      </c>
      <c r="Q2" s="30" t="n">
        <v>73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75.41</v>
      </c>
      <c r="U2" s="31" t="n">
        <v>45.49</v>
      </c>
      <c r="V2" s="31" t="n">
        <v>259.2</v>
      </c>
      <c r="W2" s="30" t="inlineStr">
        <is>
          <t>Near 52W High Breakout</t>
        </is>
      </c>
      <c r="X2" s="30" t="inlineStr">
        <is>
          <t>Nifty Bank</t>
        </is>
      </c>
      <c r="Y2" s="31" t="n">
        <v>4.6</v>
      </c>
      <c r="Z2" s="31" t="n">
        <v>89.87</v>
      </c>
      <c r="AA2" s="31" t="n">
        <v>81.53</v>
      </c>
      <c r="AB2" s="31" t="n">
        <v>19.63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Above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IF(B3=0,"",RANK(B3,$B$2:$B$5,0))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138.8</v>
      </c>
      <c r="E3" s="31" t="inlineStr">
        <is>
          <t>5%</t>
        </is>
      </c>
      <c r="F3" s="31" t="n">
        <v>50000</v>
      </c>
      <c r="G3" s="31" t="n">
        <v>690</v>
      </c>
      <c r="H3" s="30" t="inlineStr">
        <is>
          <t>UJJIVANSFB</t>
        </is>
      </c>
      <c r="I3" s="30" t="inlineStr">
        <is>
          <t>Ujjivan Small Finance Bank Ltd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midcap</t>
        </is>
      </c>
      <c r="M3" s="31" t="n">
        <v>13644.02</v>
      </c>
      <c r="N3" s="31" t="n">
        <v>72.38</v>
      </c>
      <c r="O3" s="31" t="n">
        <v>3.19</v>
      </c>
      <c r="P3" s="31" t="n">
        <v>18062565</v>
      </c>
      <c r="Q3" s="30" t="n">
        <v>70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68.16</v>
      </c>
      <c r="U3" s="31" t="n">
        <v>35.92</v>
      </c>
      <c r="V3" s="31" t="n">
        <v>57.69</v>
      </c>
      <c r="W3" s="30" t="inlineStr">
        <is>
          <t>Near 52W High Breakout</t>
        </is>
      </c>
      <c r="X3" s="30" t="inlineStr">
        <is>
          <t>Nifty Bank</t>
        </is>
      </c>
      <c r="Y3" s="31" t="n">
        <v>4.6</v>
      </c>
      <c r="Z3" s="31" t="n">
        <v>73.7</v>
      </c>
      <c r="AA3" s="31" t="n">
        <v>66.06</v>
      </c>
      <c r="AB3" s="31" t="n">
        <v>18.6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IF(B4=0,"",RANK(B4,$B$2:$B$5,0))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138.7</v>
      </c>
      <c r="E4" s="31" t="inlineStr">
        <is>
          <t>5%</t>
        </is>
      </c>
      <c r="F4" s="31" t="n">
        <v>50000</v>
      </c>
      <c r="G4" s="31" t="n">
        <v>45</v>
      </c>
      <c r="H4" s="30" t="inlineStr">
        <is>
          <t>AUBANK</t>
        </is>
      </c>
      <c r="I4" s="30" t="inlineStr">
        <is>
          <t>AU Small Finance Bank Ltd</t>
        </is>
      </c>
      <c r="J4" s="30" t="inlineStr">
        <is>
          <t>bank</t>
        </is>
      </c>
      <c r="K4" s="30" t="inlineStr">
        <is>
          <t>banks - private sector</t>
        </is>
      </c>
      <c r="L4" s="30" t="inlineStr">
        <is>
          <t>largecap</t>
        </is>
      </c>
      <c r="M4" s="31" t="n">
        <v>80207.41</v>
      </c>
      <c r="N4" s="31" t="n">
        <v>1091.4</v>
      </c>
      <c r="O4" s="31" t="n">
        <v>1.91</v>
      </c>
      <c r="P4" s="31" t="n">
        <v>1572313</v>
      </c>
      <c r="Q4" s="30" t="n">
        <v>44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62.06</v>
      </c>
      <c r="U4" s="31" t="n">
        <v>23.92</v>
      </c>
      <c r="V4" s="31" t="n">
        <v>910.29</v>
      </c>
      <c r="W4" s="30" t="inlineStr">
        <is>
          <t>Near 52W High Breakout</t>
        </is>
      </c>
      <c r="X4" s="30" t="inlineStr">
        <is>
          <t>Nifty Bank</t>
        </is>
      </c>
      <c r="Y4" s="31" t="n">
        <v>4.6</v>
      </c>
      <c r="Z4" s="31" t="n">
        <v>45.54</v>
      </c>
      <c r="AA4" s="31" t="n">
        <v>39.15</v>
      </c>
      <c r="AB4" s="31" t="n">
        <v>10.1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between 2.5x to 5x and Growth more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20 to 40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IF(B5=0,"",RANK(B5,$B$2:$B$5,0))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138.5</v>
      </c>
      <c r="E5" s="31" t="inlineStr">
        <is>
          <t>5%</t>
        </is>
      </c>
      <c r="F5" s="31" t="n">
        <v>50000</v>
      </c>
      <c r="G5" s="31" t="n">
        <v>22</v>
      </c>
      <c r="H5" s="30" t="inlineStr">
        <is>
          <t>ANANDRATHI</t>
        </is>
      </c>
      <c r="I5" s="30" t="inlineStr">
        <is>
          <t>Anand Rathi Wealth Ltd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35831.71</v>
      </c>
      <c r="N5" s="31" t="n">
        <v>2189</v>
      </c>
      <c r="O5" s="31" t="n">
        <v>1.44</v>
      </c>
      <c r="P5" s="31" t="n">
        <v>577193</v>
      </c>
      <c r="Q5" s="30" t="n">
        <v>61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75.48999999999999</v>
      </c>
      <c r="U5" s="31" t="n">
        <v>51.68</v>
      </c>
      <c r="V5" s="31" t="n">
        <v>1879.11</v>
      </c>
      <c r="W5" s="30" t="inlineStr">
        <is>
          <t>Near 52W High Breakout</t>
        </is>
      </c>
      <c r="X5" s="30" t="inlineStr">
        <is>
          <t>Nifty Bank</t>
        </is>
      </c>
      <c r="Y5" s="31" t="n">
        <v>4.6</v>
      </c>
      <c r="Z5" s="31" t="n">
        <v>62.16</v>
      </c>
      <c r="AA5" s="31" t="n">
        <v>55.03</v>
      </c>
      <c r="AB5" s="31" t="n">
        <v>15.02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above 5x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Above 40</t>
        </is>
      </c>
      <c r="BR5" s="30">
        <f>IF(BQ5="Above 40",20,IF(BQ5="20 to 40",10,IF(BQ5="0 to 20",-5,0)))</f>
        <v/>
      </c>
      <c r="BS5" s="30" t="inlineStr">
        <is>
          <t>Above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IF(B2=0,"",RANK(B2,$B$2:$B$97,0))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SANGHVIMOV</t>
        </is>
      </c>
      <c r="D2" s="30" t="inlineStr">
        <is>
          <t>Sanghvi Movers Ltd</t>
        </is>
      </c>
      <c r="E2" s="30" t="inlineStr">
        <is>
          <t>miscellaneous</t>
        </is>
      </c>
      <c r="F2" s="30" t="inlineStr">
        <is>
          <t>Capital Goods - EPC/Cranes</t>
        </is>
      </c>
      <c r="G2" s="30" t="inlineStr">
        <is>
          <t>smallcap</t>
        </is>
      </c>
      <c r="H2" s="31" t="n">
        <v>4311.92</v>
      </c>
      <c r="I2" s="31" t="n">
        <v>498.05</v>
      </c>
      <c r="J2" s="31" t="n">
        <v>-3.66</v>
      </c>
      <c r="K2" s="31" t="n">
        <v>0</v>
      </c>
      <c r="L2" s="30" t="n">
        <v>81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69.31999999999999</v>
      </c>
      <c r="P2" s="31" t="n">
        <v>40.67</v>
      </c>
      <c r="Q2" s="31" t="n">
        <v>373.07</v>
      </c>
      <c r="R2" s="30" t="inlineStr">
        <is>
          <t>Near 52W High Breakout</t>
        </is>
      </c>
      <c r="S2" s="30" t="inlineStr">
        <is>
          <t>Nifty 50</t>
        </is>
      </c>
      <c r="T2" s="31" t="n">
        <v>-0.79</v>
      </c>
      <c r="U2" s="31" t="n">
        <v>53.5</v>
      </c>
      <c r="V2" s="31" t="n">
        <v>54.73</v>
      </c>
      <c r="W2" s="31" t="n">
        <v>25.37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21</t>
        </is>
      </c>
      <c r="CG2" s="30">
        <f>IF(CF2&gt;20,10,IF(CF2&gt;=10,5,2))</f>
        <v/>
      </c>
    </row>
    <row r="3">
      <c r="A3" s="30">
        <f>IF(B3=0,"",RANK(B3,$B$2:$B$97,0))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PIXTRANS</t>
        </is>
      </c>
      <c r="D3" s="30" t="inlineStr">
        <is>
          <t>Pix Transmission Ltd</t>
        </is>
      </c>
      <c r="E3" s="30" t="inlineStr">
        <is>
          <t>fmcg</t>
        </is>
      </c>
      <c r="F3" s="30" t="inlineStr">
        <is>
          <t>Rubber Processing/Rubber Products</t>
        </is>
      </c>
      <c r="G3" s="30" t="inlineStr">
        <is>
          <t>smallcap</t>
        </is>
      </c>
      <c r="H3" s="31" t="n">
        <v>2650.37</v>
      </c>
      <c r="I3" s="31" t="n">
        <v>1945.2</v>
      </c>
      <c r="J3" s="31" t="n">
        <v>-1.91</v>
      </c>
      <c r="K3" s="31" t="n">
        <v>0</v>
      </c>
      <c r="L3" s="30" t="n">
        <v>54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71.84</v>
      </c>
      <c r="P3" s="31" t="n">
        <v>45.06</v>
      </c>
      <c r="Q3" s="31" t="n">
        <v>1535.3</v>
      </c>
      <c r="R3" s="30" t="inlineStr">
        <is>
          <t>Volume Spike &amp; Near 52W High Breakout</t>
        </is>
      </c>
      <c r="S3" s="30" t="inlineStr">
        <is>
          <t>Nifty FMCG</t>
        </is>
      </c>
      <c r="T3" s="31" t="n">
        <v>-11.27</v>
      </c>
      <c r="U3" s="31" t="n">
        <v>29.77</v>
      </c>
      <c r="V3" s="31" t="n">
        <v>46.25</v>
      </c>
      <c r="W3" s="31" t="n">
        <v>12.76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22</t>
        </is>
      </c>
      <c r="CG3" s="30">
        <f>IF(CF3&gt;20,10,IF(CF3&gt;=10,5,2))</f>
        <v/>
      </c>
    </row>
    <row r="4">
      <c r="A4" s="30">
        <f>IF(B4=0,"",RANK(B4,$B$2:$B$97,0))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ASMTEC</t>
        </is>
      </c>
      <c r="D4" s="30" t="inlineStr">
        <is>
          <t>ASM Technologies Ltd</t>
        </is>
      </c>
      <c r="E4" s="30" t="inlineStr">
        <is>
          <t>Technology</t>
        </is>
      </c>
      <c r="F4" s="30" t="inlineStr">
        <is>
          <t>IT - Software</t>
        </is>
      </c>
      <c r="G4" s="30" t="inlineStr">
        <is>
          <t>midcap</t>
        </is>
      </c>
      <c r="H4" s="31" t="n">
        <v>7154.76</v>
      </c>
      <c r="I4" s="31" t="n">
        <v>4905</v>
      </c>
      <c r="J4" s="31" t="n">
        <v>0.06</v>
      </c>
      <c r="K4" s="31" t="n">
        <v>0</v>
      </c>
      <c r="L4" s="30" t="n">
        <v>88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74.43000000000001</v>
      </c>
      <c r="P4" s="31" t="n">
        <v>40.19</v>
      </c>
      <c r="Q4" s="31" t="n">
        <v>3641.68</v>
      </c>
      <c r="R4" s="30" t="inlineStr">
        <is>
          <t>Near 52W High Breakout</t>
        </is>
      </c>
      <c r="S4" s="30" t="inlineStr">
        <is>
          <t>Nifty 50</t>
        </is>
      </c>
      <c r="T4" s="31" t="n">
        <v>-0.79</v>
      </c>
      <c r="U4" s="31" t="n">
        <v>81.22</v>
      </c>
      <c r="V4" s="31" t="n">
        <v>82.67</v>
      </c>
      <c r="W4" s="31" t="n">
        <v>30.4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20</t>
        </is>
      </c>
      <c r="CG4" s="30">
        <f>IF(CF4&gt;20,10,IF(CF4&gt;=10,5,2))</f>
        <v/>
      </c>
    </row>
    <row r="5">
      <c r="A5" s="30">
        <f>IF(B5=0,"",RANK(B5,$B$2:$B$97,0))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RPTECH</t>
        </is>
      </c>
      <c r="D5" s="30" t="inlineStr">
        <is>
          <t>Rashi Peripherals Ltd</t>
        </is>
      </c>
      <c r="E5" s="30" t="inlineStr">
        <is>
          <t>services</t>
        </is>
      </c>
      <c r="F5" s="30" t="inlineStr">
        <is>
          <t>Trading</t>
        </is>
      </c>
      <c r="G5" s="30" t="inlineStr">
        <is>
          <t>midcap</t>
        </is>
      </c>
      <c r="H5" s="31" t="n">
        <v>5631.21</v>
      </c>
      <c r="I5" s="31" t="n">
        <v>848</v>
      </c>
      <c r="J5" s="31" t="n">
        <v>-4.48</v>
      </c>
      <c r="K5" s="31" t="n">
        <v>0</v>
      </c>
      <c r="L5" s="30" t="n">
        <v>94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76.33</v>
      </c>
      <c r="P5" s="31" t="n">
        <v>79.11</v>
      </c>
      <c r="Q5" s="31" t="n">
        <v>690.58</v>
      </c>
      <c r="R5" s="30" t="inlineStr">
        <is>
          <t>Near 52W High Breakout</t>
        </is>
      </c>
      <c r="S5" s="30" t="inlineStr">
        <is>
          <t>Nifty 50</t>
        </is>
      </c>
      <c r="T5" s="31" t="n">
        <v>-0.79</v>
      </c>
      <c r="U5" s="31" t="n">
        <v>201.71</v>
      </c>
      <c r="V5" s="31" t="n">
        <v>204.12</v>
      </c>
      <c r="W5" s="31" t="n">
        <v>40.63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23</t>
        </is>
      </c>
      <c r="CG5" s="30">
        <f>IF(CF5&gt;20,10,IF(CF5&gt;=10,5,2))</f>
        <v/>
      </c>
    </row>
    <row r="6">
      <c r="A6" s="30">
        <f>IF(B6=0,"",RANK(B6,$B$2:$B$97,0))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SYRMA</t>
        </is>
      </c>
      <c r="D6" s="30" t="inlineStr">
        <is>
          <t>Syrma SGS Technology Ltd</t>
        </is>
      </c>
      <c r="E6" s="30" t="inlineStr">
        <is>
          <t>consumer discretionary</t>
        </is>
      </c>
      <c r="F6" s="30" t="inlineStr">
        <is>
          <t>Consumer Electronics - EMS</t>
        </is>
      </c>
      <c r="G6" s="30" t="inlineStr">
        <is>
          <t>largecap</t>
        </is>
      </c>
      <c r="H6" s="31" t="n">
        <v>28519.63</v>
      </c>
      <c r="I6" s="31" t="n">
        <v>1479</v>
      </c>
      <c r="J6" s="31" t="n">
        <v>-1.06</v>
      </c>
      <c r="K6" s="31" t="n">
        <v>0</v>
      </c>
      <c r="L6" s="30" t="n">
        <v>83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69.67</v>
      </c>
      <c r="P6" s="31" t="n">
        <v>60.06</v>
      </c>
      <c r="Q6" s="31" t="n">
        <v>1135.99</v>
      </c>
      <c r="R6" s="30" t="inlineStr">
        <is>
          <t>Near 52W High Breakout</t>
        </is>
      </c>
      <c r="S6" s="30" t="inlineStr">
        <is>
          <t>Nifty 50</t>
        </is>
      </c>
      <c r="T6" s="31" t="n">
        <v>-0.79</v>
      </c>
      <c r="U6" s="31" t="n">
        <v>113.1</v>
      </c>
      <c r="V6" s="31" t="n">
        <v>114.8</v>
      </c>
      <c r="W6" s="31" t="n">
        <v>26.77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IF(B7=0,"",RANK(B7,$B$2:$B$97,0))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MENONBE</t>
        </is>
      </c>
      <c r="D7" s="30" t="inlineStr">
        <is>
          <t>Menon Bearings Ltd</t>
        </is>
      </c>
      <c r="E7" s="30" t="inlineStr">
        <is>
          <t>auto</t>
        </is>
      </c>
      <c r="F7" s="30" t="inlineStr">
        <is>
          <t>Auto Ancillaries - Bearings</t>
        </is>
      </c>
      <c r="G7" s="30" t="inlineStr">
        <is>
          <t>smallcap</t>
        </is>
      </c>
      <c r="H7" s="31" t="n">
        <v>1338.24</v>
      </c>
      <c r="I7" s="31" t="n">
        <v>238.8</v>
      </c>
      <c r="J7" s="31" t="n">
        <v>0.67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79.79000000000001</v>
      </c>
      <c r="P7" s="31" t="n">
        <v>54.26</v>
      </c>
      <c r="Q7" s="31" t="n">
        <v>179.87</v>
      </c>
      <c r="R7" s="30" t="inlineStr">
        <is>
          <t>Near 52W High Breakout</t>
        </is>
      </c>
      <c r="S7" s="30" t="inlineStr">
        <is>
          <t>Nifty Auto</t>
        </is>
      </c>
      <c r="T7" s="31" t="n">
        <v>23.47</v>
      </c>
      <c r="U7" s="31" t="n">
        <v>85.40000000000001</v>
      </c>
      <c r="V7" s="31" t="n">
        <v>50.16</v>
      </c>
      <c r="W7" s="31" t="n">
        <v>38.59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19</t>
        </is>
      </c>
      <c r="CG7" s="30">
        <f>IF(CF7&gt;20,10,IF(CF7&gt;=10,5,2))</f>
        <v/>
      </c>
    </row>
    <row r="8">
      <c r="A8" s="30">
        <f>IF(B8=0,"",RANK(B8,$B$2:$B$97,0))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CUPID</t>
        </is>
      </c>
      <c r="D8" s="30" t="inlineStr">
        <is>
          <t>Cupid Ltd</t>
        </is>
      </c>
      <c r="E8" s="30" t="inlineStr">
        <is>
          <t>fmcg</t>
        </is>
      </c>
      <c r="F8" s="30" t="inlineStr">
        <is>
          <t>Contraceptives/Protectives</t>
        </is>
      </c>
      <c r="G8" s="30" t="inlineStr">
        <is>
          <t>largecap</t>
        </is>
      </c>
      <c r="H8" s="31" t="n">
        <v>38995.16</v>
      </c>
      <c r="I8" s="31" t="n">
        <v>290</v>
      </c>
      <c r="J8" s="31" t="n">
        <v>4.83</v>
      </c>
      <c r="K8" s="31" t="n">
        <v>0</v>
      </c>
      <c r="L8" s="30" t="n">
        <v>99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93.29000000000001</v>
      </c>
      <c r="P8" s="31" t="n">
        <v>71.03</v>
      </c>
      <c r="Q8" s="31" t="n">
        <v>233.45</v>
      </c>
      <c r="R8" s="30" t="inlineStr">
        <is>
          <t>Near 52W High Breakout</t>
        </is>
      </c>
      <c r="S8" s="30" t="inlineStr">
        <is>
          <t>Nifty FMCG</t>
        </is>
      </c>
      <c r="T8" s="31" t="n">
        <v>-11.27</v>
      </c>
      <c r="U8" s="31" t="n">
        <v>879.89</v>
      </c>
      <c r="V8" s="31" t="n">
        <v>1004.33</v>
      </c>
      <c r="W8" s="31" t="n">
        <v>96.58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24</t>
        </is>
      </c>
      <c r="CG8" s="30">
        <f>IF(CF8&gt;20,10,IF(CF8&gt;=10,5,2))</f>
        <v/>
      </c>
    </row>
    <row r="9">
      <c r="A9" s="30">
        <f>IF(B9=0,"",RANK(B9,$B$2:$B$97,0))</f>
        <v/>
      </c>
      <c r="B9" s="31">
        <f>SUM(N9,Y9,AA9,AC9,AE9,AG9,AI9,AK9,AM9,AO9,AQ9,AS9,AU9,AW9,AY9,BA9,BC9,BE9,BG9,BI9,BK9,BM9,BO9,BQ9,BS9,BU9,BW9,BY9,CA9,CC9,CE9,CG9)</f>
        <v/>
      </c>
      <c r="C9" s="33" t="inlineStr">
        <is>
          <t>SENORES</t>
        </is>
      </c>
      <c r="D9" s="33" t="inlineStr">
        <is>
          <t>Senores Pharmaceuticals Ltd</t>
        </is>
      </c>
      <c r="E9" s="30" t="inlineStr">
        <is>
          <t>healthcare</t>
        </is>
      </c>
      <c r="F9" s="30" t="inlineStr">
        <is>
          <t>Pharma - API</t>
        </is>
      </c>
      <c r="G9" s="30" t="inlineStr">
        <is>
          <t>midcap</t>
        </is>
      </c>
      <c r="H9" s="31" t="n">
        <v>6885.01</v>
      </c>
      <c r="I9" s="31" t="n">
        <v>1495</v>
      </c>
      <c r="J9" s="31" t="n">
        <v>1.31</v>
      </c>
      <c r="K9" s="31" t="n">
        <v>0</v>
      </c>
      <c r="L9" s="30" t="n">
        <v>84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73.39</v>
      </c>
      <c r="P9" s="31" t="n">
        <v>61.98</v>
      </c>
      <c r="Q9" s="31" t="n">
        <v>1146.47</v>
      </c>
      <c r="R9" s="30" t="inlineStr">
        <is>
          <t>Near 52W High Breakout</t>
        </is>
      </c>
      <c r="S9" s="30" t="inlineStr">
        <is>
          <t>Nifty Pharma</t>
        </is>
      </c>
      <c r="T9" s="31" t="n">
        <v>20.81</v>
      </c>
      <c r="U9" s="31" t="n">
        <v>121.01</v>
      </c>
      <c r="V9" s="31" t="n">
        <v>82.94</v>
      </c>
      <c r="W9" s="31" t="n">
        <v>26.84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20</t>
        </is>
      </c>
      <c r="CG9" s="30">
        <f>IF(CF9&gt;20,10,IF(CF9&gt;=10,5,2))</f>
        <v/>
      </c>
    </row>
    <row r="10">
      <c r="A10" s="30">
        <f>IF(B10=0,"",RANK(B10,$B$2:$B$97,0))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PGIL</t>
        </is>
      </c>
      <c r="D10" s="30" t="inlineStr">
        <is>
          <t>Pearl Global Industries Ltd</t>
        </is>
      </c>
      <c r="E10" s="30" t="inlineStr">
        <is>
          <t>consumer discretionary</t>
        </is>
      </c>
      <c r="F10" s="30" t="inlineStr">
        <is>
          <t>Textiles - Readymade Apparel</t>
        </is>
      </c>
      <c r="G10" s="30" t="inlineStr">
        <is>
          <t>midcap</t>
        </is>
      </c>
      <c r="H10" s="31" t="n">
        <v>11464.03</v>
      </c>
      <c r="I10" s="31" t="n">
        <v>2481.9</v>
      </c>
      <c r="J10" s="31" t="n">
        <v>1.93</v>
      </c>
      <c r="K10" s="31" t="n">
        <v>0</v>
      </c>
      <c r="L10" s="30" t="n">
        <v>82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76.09999999999999</v>
      </c>
      <c r="P10" s="31" t="n">
        <v>53.76</v>
      </c>
      <c r="Q10" s="31" t="n">
        <v>1928.21</v>
      </c>
      <c r="R10" s="30" t="inlineStr">
        <is>
          <t>Near 52W High Breakout</t>
        </is>
      </c>
      <c r="S10" s="30" t="inlineStr">
        <is>
          <t>Nifty 50</t>
        </is>
      </c>
      <c r="T10" s="31" t="n">
        <v>-0.79</v>
      </c>
      <c r="U10" s="31" t="n">
        <v>99.13</v>
      </c>
      <c r="V10" s="31" t="n">
        <v>100.72</v>
      </c>
      <c r="W10" s="31" t="n">
        <v>26.47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28</t>
        </is>
      </c>
      <c r="CG10" s="30">
        <f>IF(CF10&gt;20,10,IF(CF10&gt;=10,5,2))</f>
        <v/>
      </c>
    </row>
    <row r="11">
      <c r="A11" s="30">
        <f>IF(B11=0,"",RANK(B11,$B$2:$B$97,0))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SJS</t>
        </is>
      </c>
      <c r="D11" s="30" t="inlineStr">
        <is>
          <t>S J S Enterprises Ltd</t>
        </is>
      </c>
      <c r="E11" s="30" t="inlineStr">
        <is>
          <t>auto</t>
        </is>
      </c>
      <c r="F11" s="30" t="inlineStr">
        <is>
          <t>Auto Ancillaries - Diversified</t>
        </is>
      </c>
      <c r="G11" s="30" t="inlineStr">
        <is>
          <t>midcap</t>
        </is>
      </c>
      <c r="H11" s="31" t="n">
        <v>7783.44</v>
      </c>
      <c r="I11" s="31" t="n">
        <v>2430.3</v>
      </c>
      <c r="J11" s="31" t="n">
        <v>1.14</v>
      </c>
      <c r="K11" s="31" t="n">
        <v>0</v>
      </c>
      <c r="L11" s="30" t="n">
        <v>82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71.12</v>
      </c>
      <c r="P11" s="31" t="n">
        <v>43.58</v>
      </c>
      <c r="Q11" s="31" t="n">
        <v>1962.03</v>
      </c>
      <c r="R11" s="30" t="inlineStr">
        <is>
          <t>Near 52W High Breakout</t>
        </is>
      </c>
      <c r="S11" s="30" t="inlineStr">
        <is>
          <t>Nifty Auto</t>
        </is>
      </c>
      <c r="T11" s="31" t="n">
        <v>23.47</v>
      </c>
      <c r="U11" s="31" t="n">
        <v>95.34999999999999</v>
      </c>
      <c r="V11" s="31" t="n">
        <v>58.22</v>
      </c>
      <c r="W11" s="31" t="n">
        <v>25.95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23</t>
        </is>
      </c>
      <c r="CG11" s="30">
        <f>IF(CF11&gt;20,10,IF(CF11&gt;=10,5,2))</f>
        <v/>
      </c>
    </row>
    <row r="12">
      <c r="A12" s="30">
        <f>IF(B12=0,"",RANK(B12,$B$2:$B$97,0))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AXISOL</t>
        </is>
      </c>
      <c r="D12" s="30" t="inlineStr">
        <is>
          <t>Axis Solutions Ltd</t>
        </is>
      </c>
      <c r="E12" s="30" t="inlineStr">
        <is>
          <t>Industrials</t>
        </is>
      </c>
      <c r="F12" s="30" t="inlineStr">
        <is>
          <t>Engineering - Light - General</t>
        </is>
      </c>
      <c r="G12" s="30" t="inlineStr">
        <is>
          <t>smallcap</t>
        </is>
      </c>
      <c r="H12" s="31" t="n">
        <v>2424.92</v>
      </c>
      <c r="I12" s="31" t="n">
        <v>513.1</v>
      </c>
      <c r="J12" s="31" t="n">
        <v>4.99</v>
      </c>
      <c r="K12" s="31" t="n">
        <v>0</v>
      </c>
      <c r="L12" s="30" t="n">
        <v>99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87.44</v>
      </c>
      <c r="P12" s="31" t="n">
        <v>64.67</v>
      </c>
      <c r="Q12" s="31" t="n">
        <v>424.19</v>
      </c>
      <c r="R12" s="30" t="inlineStr">
        <is>
          <t>Near 52W High Breakout</t>
        </is>
      </c>
      <c r="S12" s="30" t="inlineStr">
        <is>
          <t>Nifty 50</t>
        </is>
      </c>
      <c r="T12" s="31" t="n">
        <v>-0.79</v>
      </c>
      <c r="U12" s="31" t="n">
        <v>2261.49</v>
      </c>
      <c r="V12" s="31" t="n">
        <v>2280.37</v>
      </c>
      <c r="W12" s="31" t="n">
        <v>120.06</v>
      </c>
      <c r="X12" s="30" t="inlineStr">
        <is>
          <t>Cyclical in an Upturn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23</t>
        </is>
      </c>
      <c r="CG12" s="30">
        <f>IF(CF12&gt;20,10,IF(CF12&gt;=10,5,2))</f>
        <v/>
      </c>
    </row>
    <row r="13">
      <c r="A13" s="30">
        <f>IF(B13=0,"",RANK(B13,$B$2:$B$97,0))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HFCL</t>
        </is>
      </c>
      <c r="D13" s="30" t="inlineStr">
        <is>
          <t>HFCL Ltd</t>
        </is>
      </c>
      <c r="E13" s="30" t="inlineStr">
        <is>
          <t>telecom</t>
        </is>
      </c>
      <c r="F13" s="30" t="inlineStr">
        <is>
          <t>Telecom Services</t>
        </is>
      </c>
      <c r="G13" s="30" t="inlineStr">
        <is>
          <t>largecap</t>
        </is>
      </c>
      <c r="H13" s="31" t="n">
        <v>33833.97</v>
      </c>
      <c r="I13" s="31" t="n">
        <v>221.05</v>
      </c>
      <c r="J13" s="31" t="n">
        <v>3.18</v>
      </c>
      <c r="K13" s="31" t="n">
        <v>0</v>
      </c>
      <c r="L13" s="30" t="n">
        <v>98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73.43000000000001</v>
      </c>
      <c r="P13" s="31" t="n">
        <v>66.20999999999999</v>
      </c>
      <c r="Q13" s="31" t="n">
        <v>162.59</v>
      </c>
      <c r="R13" s="30" t="inlineStr">
        <is>
          <t>Near 52W High Breakout</t>
        </is>
      </c>
      <c r="S13" s="30" t="inlineStr">
        <is>
          <t>Nifty Infra</t>
        </is>
      </c>
      <c r="T13" s="31" t="n">
        <v>3.79</v>
      </c>
      <c r="U13" s="31" t="n">
        <v>192.12</v>
      </c>
      <c r="V13" s="31" t="n">
        <v>181.46</v>
      </c>
      <c r="W13" s="31" t="n">
        <v>57.44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Oligopoly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IF(B14=0,"",RANK(B14,$B$2:$B$97,0))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3" t="inlineStr">
        <is>
          <t>QUESS</t>
        </is>
      </c>
      <c r="D14" s="33" t="inlineStr">
        <is>
          <t>Quess Corp Ltd</t>
        </is>
      </c>
      <c r="E14" s="30" t="inlineStr">
        <is>
          <t>miscellaneous</t>
        </is>
      </c>
      <c r="F14" s="30" t="inlineStr">
        <is>
          <t>Facility Management</t>
        </is>
      </c>
      <c r="G14" s="30" t="inlineStr">
        <is>
          <t>midcap</t>
        </is>
      </c>
      <c r="H14" s="31" t="n">
        <v>5011.02</v>
      </c>
      <c r="I14" s="31" t="n">
        <v>335.5</v>
      </c>
      <c r="J14" s="31" t="n">
        <v>3.49</v>
      </c>
      <c r="K14" s="31" t="n">
        <v>0</v>
      </c>
      <c r="L14" s="30" t="n">
        <v>79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74.53</v>
      </c>
      <c r="P14" s="31" t="n">
        <v>50.04</v>
      </c>
      <c r="Q14" s="31" t="n">
        <v>260.65</v>
      </c>
      <c r="R14" s="30" t="inlineStr">
        <is>
          <t>Near 52W High Breakout</t>
        </is>
      </c>
      <c r="S14" s="30" t="inlineStr">
        <is>
          <t>Nifty 50</t>
        </is>
      </c>
      <c r="T14" s="31" t="n">
        <v>-0.79</v>
      </c>
      <c r="U14" s="31" t="n">
        <v>31.57</v>
      </c>
      <c r="V14" s="31" t="n">
        <v>32.63</v>
      </c>
      <c r="W14" s="31" t="n">
        <v>22.3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22</t>
        </is>
      </c>
      <c r="CG14" s="30">
        <f>IF(CF14&gt;20,10,IF(CF14&gt;=10,5,2))</f>
        <v/>
      </c>
    </row>
    <row r="15">
      <c r="A15" s="30">
        <f>IF(B15=0,"",RANK(B15,$B$2:$B$97,0))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GOLDIAM</t>
        </is>
      </c>
      <c r="D15" s="33" t="inlineStr">
        <is>
          <t>Goldiam International Ltd</t>
        </is>
      </c>
      <c r="E15" s="30" t="inlineStr">
        <is>
          <t>Consumer Cyclical</t>
        </is>
      </c>
      <c r="F15" s="30" t="inlineStr">
        <is>
          <t>Lab Grown Diamonds</t>
        </is>
      </c>
      <c r="G15" s="30" t="inlineStr">
        <is>
          <t>midcap</t>
        </is>
      </c>
      <c r="H15" s="31" t="n">
        <v>5593.95</v>
      </c>
      <c r="I15" s="31" t="n">
        <v>371.55</v>
      </c>
      <c r="J15" s="31" t="n">
        <v>-3.25</v>
      </c>
      <c r="K15" s="31" t="n">
        <v>0</v>
      </c>
      <c r="L15" s="30" t="n">
        <v>57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62.51</v>
      </c>
      <c r="P15" s="31" t="n">
        <v>41.63</v>
      </c>
      <c r="Q15" s="31" t="n">
        <v>268.18</v>
      </c>
      <c r="R15" s="30" t="inlineStr">
        <is>
          <t>Near 52W High Breakout</t>
        </is>
      </c>
      <c r="S15" s="30" t="inlineStr">
        <is>
          <t>Nifty 50</t>
        </is>
      </c>
      <c r="T15" s="31" t="n">
        <v>-0.79</v>
      </c>
      <c r="U15" s="31" t="n">
        <v>38.72</v>
      </c>
      <c r="V15" s="31" t="n">
        <v>39.83</v>
      </c>
      <c r="W15" s="31" t="n">
        <v>13.68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IF(B16=0,"",RANK(B16,$B$2:$B$97,0))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ACCENTMIC</t>
        </is>
      </c>
      <c r="D16" s="33" t="inlineStr">
        <is>
          <t>Accent Microcell Ltd</t>
        </is>
      </c>
      <c r="E16" s="30" t="inlineStr">
        <is>
          <t>unknown</t>
        </is>
      </c>
      <c r="F16" s="30" t="inlineStr">
        <is>
          <t>Pharma - Formulators</t>
        </is>
      </c>
      <c r="G16" s="30" t="inlineStr">
        <is>
          <t>smallcap</t>
        </is>
      </c>
      <c r="H16" s="31" t="n">
        <v>1345.78</v>
      </c>
      <c r="I16" s="31" t="n">
        <v>561</v>
      </c>
      <c r="J16" s="31" t="n">
        <v>2.2</v>
      </c>
      <c r="K16" s="31" t="n">
        <v>0</v>
      </c>
      <c r="L16" s="30" t="n">
        <v>72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74.69</v>
      </c>
      <c r="P16" s="31" t="n">
        <v>61.47</v>
      </c>
      <c r="Q16" s="31" t="n">
        <v>440.45</v>
      </c>
      <c r="R16" s="30" t="inlineStr">
        <is>
          <t>Near 52W High Breakout</t>
        </is>
      </c>
      <c r="S16" s="30" t="inlineStr">
        <is>
          <t>Nifty 50</t>
        </is>
      </c>
      <c r="T16" s="31" t="n">
        <v>-0.79</v>
      </c>
      <c r="U16" s="31" t="n">
        <v>89.97</v>
      </c>
      <c r="V16" s="31" t="n">
        <v>91.48999999999999</v>
      </c>
      <c r="W16" s="31" t="n">
        <v>19.46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19</t>
        </is>
      </c>
      <c r="CG16" s="30">
        <f>IF(CF16&gt;20,10,IF(CF16&gt;=10,5,2))</f>
        <v/>
      </c>
    </row>
    <row r="17">
      <c r="A17" s="30">
        <f>IF(B17=0,"",RANK(B17,$B$2:$B$97,0))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SAKAR</t>
        </is>
      </c>
      <c r="D17" s="30" t="inlineStr">
        <is>
          <t>Sakar Healthcare Ltd</t>
        </is>
      </c>
      <c r="E17" s="30" t="inlineStr">
        <is>
          <t>healthcare</t>
        </is>
      </c>
      <c r="F17" s="30" t="inlineStr">
        <is>
          <t>Hospitals</t>
        </is>
      </c>
      <c r="G17" s="30" t="inlineStr">
        <is>
          <t>smallcap</t>
        </is>
      </c>
      <c r="H17" s="31" t="n">
        <v>2091.49</v>
      </c>
      <c r="I17" s="31" t="n">
        <v>940</v>
      </c>
      <c r="J17" s="31" t="n">
        <v>-1.44</v>
      </c>
      <c r="K17" s="31" t="n">
        <v>0</v>
      </c>
      <c r="L17" s="30" t="n">
        <v>90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72.09999999999999</v>
      </c>
      <c r="P17" s="31" t="n">
        <v>55.96</v>
      </c>
      <c r="Q17" s="31" t="n">
        <v>670.2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20.81</v>
      </c>
      <c r="U17" s="31" t="n">
        <v>187.36</v>
      </c>
      <c r="V17" s="31" t="n">
        <v>137.86</v>
      </c>
      <c r="W17" s="31" t="n">
        <v>31.8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22</t>
        </is>
      </c>
      <c r="CG17" s="30">
        <f>IF(CF17&gt;20,10,IF(CF17&gt;=10,5,2))</f>
        <v/>
      </c>
    </row>
    <row r="18">
      <c r="A18" s="30">
        <f>IF(B18=0,"",RANK(B18,$B$2:$B$97,0))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UNIPARTS</t>
        </is>
      </c>
      <c r="D18" s="30" t="inlineStr">
        <is>
          <t>Uniparts India Ltd</t>
        </is>
      </c>
      <c r="E18" s="30" t="inlineStr">
        <is>
          <t>industrials</t>
        </is>
      </c>
      <c r="F18" s="30" t="inlineStr">
        <is>
          <t>Castings, Forgings &amp; Fastners</t>
        </is>
      </c>
      <c r="G18" s="30" t="inlineStr">
        <is>
          <t>smallcap</t>
        </is>
      </c>
      <c r="H18" s="31" t="n">
        <v>3674.53</v>
      </c>
      <c r="I18" s="31" t="n">
        <v>813.65</v>
      </c>
      <c r="J18" s="31" t="n">
        <v>0.92</v>
      </c>
      <c r="K18" s="31" t="n">
        <v>0</v>
      </c>
      <c r="L18" s="30" t="n">
        <v>87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79.34</v>
      </c>
      <c r="P18" s="31" t="n">
        <v>61.7</v>
      </c>
      <c r="Q18" s="31" t="n">
        <v>651.38</v>
      </c>
      <c r="R18" s="30" t="inlineStr">
        <is>
          <t>Near 52W High Breakout</t>
        </is>
      </c>
      <c r="S18" s="30" t="inlineStr">
        <is>
          <t>Nifty 50</t>
        </is>
      </c>
      <c r="T18" s="31" t="n">
        <v>-0.79</v>
      </c>
      <c r="U18" s="31" t="n">
        <v>118.11</v>
      </c>
      <c r="V18" s="31" t="n">
        <v>119.85</v>
      </c>
      <c r="W18" s="31" t="n">
        <v>29.04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26</t>
        </is>
      </c>
      <c r="CG18" s="30">
        <f>IF(CF18&gt;20,10,IF(CF18&gt;=10,5,2))</f>
        <v/>
      </c>
    </row>
    <row r="19">
      <c r="A19" s="30">
        <f>IF(B19=0,"",RANK(B19,$B$2:$B$97,0))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UNIVCABLES</t>
        </is>
      </c>
      <c r="D19" s="30" t="inlineStr">
        <is>
          <t>Universal Cables Ltd</t>
        </is>
      </c>
      <c r="E19" s="30" t="inlineStr">
        <is>
          <t>industrials</t>
        </is>
      </c>
      <c r="F19" s="30" t="inlineStr">
        <is>
          <t>Cables - Power</t>
        </is>
      </c>
      <c r="G19" s="30" t="inlineStr">
        <is>
          <t>midcap</t>
        </is>
      </c>
      <c r="H19" s="31" t="n">
        <v>5898.91</v>
      </c>
      <c r="I19" s="31" t="n">
        <v>1700.2</v>
      </c>
      <c r="J19" s="31" t="n">
        <v>1.84</v>
      </c>
      <c r="K19" s="31" t="n">
        <v>0</v>
      </c>
      <c r="L19" s="30" t="n">
        <v>96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78.09</v>
      </c>
      <c r="P19" s="31" t="n">
        <v>58.23</v>
      </c>
      <c r="Q19" s="31" t="n">
        <v>1242.09</v>
      </c>
      <c r="R19" s="30" t="inlineStr">
        <is>
          <t>Volume Spike &amp; Near 52W High Breakout</t>
        </is>
      </c>
      <c r="S19" s="30" t="inlineStr">
        <is>
          <t>Nifty Energy</t>
        </is>
      </c>
      <c r="T19" s="31" t="n">
        <v>10</v>
      </c>
      <c r="U19" s="31" t="n">
        <v>131.29</v>
      </c>
      <c r="V19" s="31" t="n">
        <v>110.25</v>
      </c>
      <c r="W19" s="31" t="n">
        <v>46.24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26</t>
        </is>
      </c>
      <c r="CG19" s="30">
        <f>IF(CF19&gt;20,10,IF(CF19&gt;=10,5,2))</f>
        <v/>
      </c>
    </row>
    <row r="20">
      <c r="A20" s="30">
        <f>IF(B20=0,"",RANK(B20,$B$2:$B$97,0))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E2E</t>
        </is>
      </c>
      <c r="D20" s="30" t="inlineStr">
        <is>
          <t>E2E Networks Ltd</t>
        </is>
      </c>
      <c r="E20" s="30" t="inlineStr">
        <is>
          <t>i.t</t>
        </is>
      </c>
      <c r="F20" s="30" t="inlineStr">
        <is>
          <t>Data Centre</t>
        </is>
      </c>
      <c r="G20" s="30" t="inlineStr">
        <is>
          <t>midcap</t>
        </is>
      </c>
      <c r="H20" s="31" t="n">
        <v>13012.26</v>
      </c>
      <c r="I20" s="31" t="n">
        <v>633</v>
      </c>
      <c r="J20" s="31" t="n">
        <v>0.89</v>
      </c>
      <c r="K20" s="31" t="n">
        <v>0</v>
      </c>
      <c r="L20" s="30" t="n">
        <v>97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75.8</v>
      </c>
      <c r="P20" s="31" t="n">
        <v>48.27</v>
      </c>
      <c r="Q20" s="31" t="n">
        <v>441.25</v>
      </c>
      <c r="R20" s="30" t="inlineStr">
        <is>
          <t>Near 52W High Breakout</t>
        </is>
      </c>
      <c r="S20" s="30" t="inlineStr">
        <is>
          <t>Nifty IT</t>
        </is>
      </c>
      <c r="T20" s="31" t="n">
        <v>-10.05</v>
      </c>
      <c r="U20" s="31" t="n">
        <v>205.97</v>
      </c>
      <c r="V20" s="31" t="n">
        <v>240.15</v>
      </c>
      <c r="W20" s="31" t="n">
        <v>50.55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20</t>
        </is>
      </c>
      <c r="CG20" s="30">
        <f>IF(CF20&gt;20,10,IF(CF20&gt;=10,5,2))</f>
        <v/>
      </c>
    </row>
    <row r="21">
      <c r="A21" s="30">
        <f>IF(B21=0,"",RANK(B21,$B$2:$B$97,0))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KDDL</t>
        </is>
      </c>
      <c r="D21" s="30" t="inlineStr">
        <is>
          <t>KDDL Ltd</t>
        </is>
      </c>
      <c r="E21" s="30" t="inlineStr">
        <is>
          <t>consumer discretionary</t>
        </is>
      </c>
      <c r="F21" s="30" t="inlineStr">
        <is>
          <t>Watches</t>
        </is>
      </c>
      <c r="G21" s="30" t="inlineStr">
        <is>
          <t>smallcap</t>
        </is>
      </c>
      <c r="H21" s="31" t="n">
        <v>4761.05</v>
      </c>
      <c r="I21" s="31" t="n">
        <v>3871</v>
      </c>
      <c r="J21" s="31" t="n">
        <v>0.75</v>
      </c>
      <c r="K21" s="31" t="n">
        <v>0</v>
      </c>
      <c r="L21" s="30" t="n">
        <v>82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76.63</v>
      </c>
      <c r="P21" s="31" t="n">
        <v>40.69</v>
      </c>
      <c r="Q21" s="31" t="n">
        <v>2944.8</v>
      </c>
      <c r="R21" s="30" t="inlineStr">
        <is>
          <t>Near 52W High Breakout</t>
        </is>
      </c>
      <c r="S21" s="30" t="inlineStr">
        <is>
          <t>Nifty 50</t>
        </is>
      </c>
      <c r="T21" s="31" t="n">
        <v>-0.79</v>
      </c>
      <c r="U21" s="31" t="n">
        <v>49.81</v>
      </c>
      <c r="V21" s="31" t="n">
        <v>51.01</v>
      </c>
      <c r="W21" s="31" t="n">
        <v>25.92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IF(B22=0,"",RANK(B22,$B$2:$B$97,0))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STOVEKRAFT</t>
        </is>
      </c>
      <c r="D22" s="30" t="inlineStr">
        <is>
          <t>Stove Kraft Ltd</t>
        </is>
      </c>
      <c r="E22" s="30" t="inlineStr">
        <is>
          <t>consumer discretionary</t>
        </is>
      </c>
      <c r="F22" s="30" t="inlineStr">
        <is>
          <t>Domestic Appliances</t>
        </is>
      </c>
      <c r="G22" s="30" t="inlineStr">
        <is>
          <t>smallcap</t>
        </is>
      </c>
      <c r="H22" s="31" t="n">
        <v>2646.93</v>
      </c>
      <c r="I22" s="31" t="n">
        <v>799.5</v>
      </c>
      <c r="J22" s="31" t="n">
        <v>0.84</v>
      </c>
      <c r="K22" s="31" t="n">
        <v>0</v>
      </c>
      <c r="L22" s="30" t="n">
        <v>68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73.44</v>
      </c>
      <c r="P22" s="31" t="n">
        <v>47.93</v>
      </c>
      <c r="Q22" s="31" t="n">
        <v>620.04</v>
      </c>
      <c r="R22" s="30" t="inlineStr">
        <is>
          <t>Near 52W High Breakout</t>
        </is>
      </c>
      <c r="S22" s="30" t="inlineStr">
        <is>
          <t>Nifty 50</t>
        </is>
      </c>
      <c r="T22" s="31" t="n">
        <v>-0.79</v>
      </c>
      <c r="U22" s="31" t="n">
        <v>35.06</v>
      </c>
      <c r="V22" s="31" t="n">
        <v>36.14</v>
      </c>
      <c r="W22" s="31" t="n">
        <v>17.12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19</t>
        </is>
      </c>
      <c r="CG22" s="30">
        <f>IF(CF22&gt;20,10,IF(CF22&gt;=10,5,2))</f>
        <v/>
      </c>
    </row>
    <row r="23">
      <c r="A23" s="30">
        <f>IF(B23=0,"",RANK(B23,$B$2:$B$97,0))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MARKSANS</t>
        </is>
      </c>
      <c r="D23" s="33" t="inlineStr">
        <is>
          <t>Marksans Pharma Ltd</t>
        </is>
      </c>
      <c r="E23" s="30" t="inlineStr">
        <is>
          <t>healthcare</t>
        </is>
      </c>
      <c r="F23" s="30" t="inlineStr">
        <is>
          <t>Pharma - Formulators</t>
        </is>
      </c>
      <c r="G23" s="30" t="inlineStr">
        <is>
          <t>midcap</t>
        </is>
      </c>
      <c r="H23" s="31" t="n">
        <v>14025.42</v>
      </c>
      <c r="I23" s="31" t="n">
        <v>309.5</v>
      </c>
      <c r="J23" s="31" t="n">
        <v>10.95</v>
      </c>
      <c r="K23" s="31" t="n">
        <v>0</v>
      </c>
      <c r="L23" s="30" t="n">
        <v>80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75.23999999999999</v>
      </c>
      <c r="P23" s="31" t="n">
        <v>54.52</v>
      </c>
      <c r="Q23" s="31" t="n">
        <v>243.95</v>
      </c>
      <c r="R23" s="30" t="inlineStr">
        <is>
          <t>Volume Spike &amp; Near 52W High Breakout</t>
        </is>
      </c>
      <c r="S23" s="30" t="inlineStr">
        <is>
          <t>Nifty Pharma</t>
        </is>
      </c>
      <c r="T23" s="31" t="n">
        <v>20.81</v>
      </c>
      <c r="U23" s="31" t="n">
        <v>75.05</v>
      </c>
      <c r="V23" s="31" t="n">
        <v>44.89</v>
      </c>
      <c r="W23" s="31" t="n">
        <v>23.54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30</t>
        </is>
      </c>
      <c r="CG23" s="30">
        <f>IF(CF23&gt;20,10,IF(CF23&gt;=10,5,2))</f>
        <v/>
      </c>
    </row>
    <row r="24">
      <c r="A24" s="30">
        <f>IF(B24=0,"",RANK(B24,$B$2:$B$97,0))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3" t="inlineStr">
        <is>
          <t>INDSWFTLAB</t>
        </is>
      </c>
      <c r="D24" s="33" t="inlineStr">
        <is>
          <t>Ind-Swift Laboratories Ltd</t>
        </is>
      </c>
      <c r="E24" s="30" t="inlineStr">
        <is>
          <t>healthcare</t>
        </is>
      </c>
      <c r="F24" s="30" t="inlineStr">
        <is>
          <t>Pharma - API</t>
        </is>
      </c>
      <c r="G24" s="30" t="inlineStr">
        <is>
          <t>smallcap</t>
        </is>
      </c>
      <c r="H24" s="31" t="n">
        <v>2626.15</v>
      </c>
      <c r="I24" s="31" t="n">
        <v>301.99</v>
      </c>
      <c r="J24" s="31" t="n">
        <v>6.08</v>
      </c>
      <c r="K24" s="31" t="n">
        <v>0</v>
      </c>
      <c r="L24" s="30" t="n">
        <v>97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83.70999999999999</v>
      </c>
      <c r="P24" s="31" t="n">
        <v>60.53</v>
      </c>
      <c r="Q24" s="31" t="n">
        <v>225.99</v>
      </c>
      <c r="R24" s="30" t="inlineStr">
        <is>
          <t>Volume Spike &amp; Near 52W High Breakout</t>
        </is>
      </c>
      <c r="S24" s="30" t="inlineStr">
        <is>
          <t>Nifty Pharma</t>
        </is>
      </c>
      <c r="T24" s="31" t="n">
        <v>20.81</v>
      </c>
      <c r="U24" s="31" t="n">
        <v>195.74</v>
      </c>
      <c r="V24" s="31" t="n">
        <v>144.79</v>
      </c>
      <c r="W24" s="31" t="n">
        <v>55.99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28</t>
        </is>
      </c>
      <c r="CG24" s="30">
        <f>IF(CF24&gt;20,10,IF(CF24&gt;=10,5,2))</f>
        <v/>
      </c>
    </row>
    <row r="25">
      <c r="A25" s="30">
        <f>IF(B25=0,"",RANK(B25,$B$2:$B$97,0))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KPL</t>
        </is>
      </c>
      <c r="D25" s="30" t="inlineStr">
        <is>
          <t>Kwality Pharmaceuticals Ltd</t>
        </is>
      </c>
      <c r="E25" s="30" t="inlineStr">
        <is>
          <t>Healthcare</t>
        </is>
      </c>
      <c r="F25" s="30" t="inlineStr">
        <is>
          <t>Pharma - Formulators</t>
        </is>
      </c>
      <c r="G25" s="30" t="inlineStr">
        <is>
          <t>smallcap</t>
        </is>
      </c>
      <c r="H25" s="31" t="n">
        <v>3446.25</v>
      </c>
      <c r="I25" s="31" t="n">
        <v>3321.3</v>
      </c>
      <c r="J25" s="31" t="n">
        <v>0.39</v>
      </c>
      <c r="K25" s="31" t="n">
        <v>0</v>
      </c>
      <c r="L25" s="30" t="n">
        <v>96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78.93000000000001</v>
      </c>
      <c r="P25" s="31" t="n">
        <v>66.29000000000001</v>
      </c>
      <c r="Q25" s="31" t="n">
        <v>2450.34</v>
      </c>
      <c r="R25" s="30" t="inlineStr">
        <is>
          <t>Volume Spike &amp; Near 52W High Breakout</t>
        </is>
      </c>
      <c r="S25" s="30" t="inlineStr">
        <is>
          <t>Nifty Pharma</t>
        </is>
      </c>
      <c r="T25" s="31" t="n">
        <v>20.81</v>
      </c>
      <c r="U25" s="31" t="n">
        <v>210.44</v>
      </c>
      <c r="V25" s="31" t="n">
        <v>156.96</v>
      </c>
      <c r="W25" s="31" t="n">
        <v>49.05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Less than 50%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28</t>
        </is>
      </c>
      <c r="CG25" s="30">
        <f>IF(CF25&gt;20,10,IF(CF25&gt;=10,5,2))</f>
        <v/>
      </c>
    </row>
    <row r="26">
      <c r="A26" s="30">
        <f>IF(B26=0,"",RANK(B26,$B$2:$B$97,0))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CNL</t>
        </is>
      </c>
      <c r="D26" s="33" t="inlineStr">
        <is>
          <t>Creative Newtech Ltd</t>
        </is>
      </c>
      <c r="E26" s="30" t="inlineStr">
        <is>
          <t>Technology</t>
        </is>
      </c>
      <c r="F26" s="30" t="inlineStr">
        <is>
          <t>E-Commerce - Platform - Utility</t>
        </is>
      </c>
      <c r="G26" s="30" t="inlineStr">
        <is>
          <t>smallcap</t>
        </is>
      </c>
      <c r="H26" s="31" t="n">
        <v>1802</v>
      </c>
      <c r="I26" s="31" t="n">
        <v>1200</v>
      </c>
      <c r="J26" s="31" t="n">
        <v>7.57</v>
      </c>
      <c r="K26" s="31" t="n">
        <v>0</v>
      </c>
      <c r="L26" s="30" t="n">
        <v>92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87.95</v>
      </c>
      <c r="P26" s="31" t="n">
        <v>49.14</v>
      </c>
      <c r="Q26" s="31" t="n">
        <v>932.47</v>
      </c>
      <c r="R26" s="30" t="inlineStr">
        <is>
          <t>Near 52W High Breakout</t>
        </is>
      </c>
      <c r="S26" s="30" t="inlineStr">
        <is>
          <t>Nifty 50</t>
        </is>
      </c>
      <c r="T26" s="31" t="n">
        <v>-0.79</v>
      </c>
      <c r="U26" s="31" t="n">
        <v>94.16</v>
      </c>
      <c r="V26" s="31" t="n">
        <v>95.70999999999999</v>
      </c>
      <c r="W26" s="31" t="n">
        <v>36.52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Oligopoly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Between 0.7 to 1.2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19</t>
        </is>
      </c>
      <c r="CG26" s="30">
        <f>IF(CF26&gt;20,10,IF(CF26&gt;=10,5,2))</f>
        <v/>
      </c>
    </row>
    <row r="27">
      <c r="A27" s="30">
        <f>IF(B27=0,"",RANK(B27,$B$2:$B$97,0))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HAPPYFORGE</t>
        </is>
      </c>
      <c r="D27" s="33" t="inlineStr">
        <is>
          <t>Happy Forgings Ltd</t>
        </is>
      </c>
      <c r="E27" s="30" t="inlineStr">
        <is>
          <t>industrials</t>
        </is>
      </c>
      <c r="F27" s="30" t="inlineStr">
        <is>
          <t>Castings, Forgings &amp; Fastners</t>
        </is>
      </c>
      <c r="G27" s="30" t="inlineStr">
        <is>
          <t>midcap</t>
        </is>
      </c>
      <c r="H27" s="31" t="n">
        <v>19158.88</v>
      </c>
      <c r="I27" s="31" t="n">
        <v>2030</v>
      </c>
      <c r="J27" s="31" t="n">
        <v>6.41</v>
      </c>
      <c r="K27" s="31" t="n">
        <v>0</v>
      </c>
      <c r="L27" s="30" t="n">
        <v>86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84.7</v>
      </c>
      <c r="P27" s="31" t="n">
        <v>52.92</v>
      </c>
      <c r="Q27" s="31" t="n">
        <v>1658.2</v>
      </c>
      <c r="R27" s="30" t="inlineStr">
        <is>
          <t>Near 52W High Breakout</t>
        </is>
      </c>
      <c r="S27" s="30" t="inlineStr">
        <is>
          <t>Nifty Infra</t>
        </is>
      </c>
      <c r="T27" s="31" t="n">
        <v>3.79</v>
      </c>
      <c r="U27" s="31" t="n">
        <v>111.01</v>
      </c>
      <c r="V27" s="31" t="n">
        <v>103.31</v>
      </c>
      <c r="W27" s="31" t="n">
        <v>28.48</v>
      </c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21</t>
        </is>
      </c>
      <c r="CG27" s="30">
        <f>IF(CF27&gt;20,10,IF(CF27&gt;=10,5,2))</f>
        <v/>
      </c>
    </row>
    <row r="28">
      <c r="A28" s="30">
        <f>IF(B28=0,"",RANK(B28,$B$2:$B$97,0))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GHCLTEXTIL</t>
        </is>
      </c>
      <c r="D28" s="30" t="inlineStr">
        <is>
          <t>GHCL Textiles Ltd</t>
        </is>
      </c>
      <c r="E28" s="30" t="inlineStr">
        <is>
          <t>Consumer Cyclical</t>
        </is>
      </c>
      <c r="F28" s="30" t="inlineStr">
        <is>
          <t>Textiles - General</t>
        </is>
      </c>
      <c r="G28" s="30" t="inlineStr">
        <is>
          <t>smallcap</t>
        </is>
      </c>
      <c r="H28" s="31" t="n">
        <v>1113.1</v>
      </c>
      <c r="I28" s="31" t="n">
        <v>116.45</v>
      </c>
      <c r="J28" s="31" t="n">
        <v>-2.36</v>
      </c>
      <c r="K28" s="31" t="n">
        <v>0</v>
      </c>
      <c r="L28" s="30" t="n">
        <v>64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66.77</v>
      </c>
      <c r="P28" s="31" t="n">
        <v>32.92</v>
      </c>
      <c r="Q28" s="31" t="n">
        <v>94.06</v>
      </c>
      <c r="R28" s="30" t="inlineStr">
        <is>
          <t>Near 52W High Breakout</t>
        </is>
      </c>
      <c r="S28" s="30" t="inlineStr">
        <is>
          <t>Nifty 50</t>
        </is>
      </c>
      <c r="T28" s="31" t="n">
        <v>-0.79</v>
      </c>
      <c r="U28" s="31" t="n">
        <v>51.01</v>
      </c>
      <c r="V28" s="31" t="n">
        <v>52.21</v>
      </c>
      <c r="W28" s="31" t="n">
        <v>15.91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21</t>
        </is>
      </c>
      <c r="CG28" s="30">
        <f>IF(CF28&gt;20,10,IF(CF28&gt;=10,5,2))</f>
        <v/>
      </c>
    </row>
    <row r="29">
      <c r="A29" s="30">
        <f>IF(B29=0,"",RANK(B29,$B$2:$B$97,0))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MPSLTD</t>
        </is>
      </c>
      <c r="D29" s="30" t="inlineStr">
        <is>
          <t>MPS Ltd</t>
        </is>
      </c>
      <c r="E29" s="30" t="inlineStr">
        <is>
          <t>i.t</t>
        </is>
      </c>
      <c r="F29" s="30" t="inlineStr">
        <is>
          <t>E-Commerce - Platform - Utility</t>
        </is>
      </c>
      <c r="G29" s="30" t="inlineStr">
        <is>
          <t>smallcap</t>
        </is>
      </c>
      <c r="H29" s="31" t="n">
        <v>4863.18</v>
      </c>
      <c r="I29" s="31" t="n">
        <v>2843</v>
      </c>
      <c r="J29" s="31" t="n">
        <v>-0.22</v>
      </c>
      <c r="K29" s="31" t="n">
        <v>0</v>
      </c>
      <c r="L29" s="30" t="n">
        <v>77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74.48999999999999</v>
      </c>
      <c r="P29" s="31" t="n">
        <v>35.02</v>
      </c>
      <c r="Q29" s="31" t="n">
        <v>2317.15</v>
      </c>
      <c r="R29" s="30" t="inlineStr">
        <is>
          <t>Near 52W High Breakout</t>
        </is>
      </c>
      <c r="S29" s="30" t="inlineStr">
        <is>
          <t>Nifty IT</t>
        </is>
      </c>
      <c r="T29" s="31" t="n">
        <v>-10.05</v>
      </c>
      <c r="U29" s="31" t="n">
        <v>35.15</v>
      </c>
      <c r="V29" s="31" t="n">
        <v>50.25</v>
      </c>
      <c r="W29" s="31" t="n">
        <v>21.65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Oligopoly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20</t>
        </is>
      </c>
      <c r="CG29" s="30">
        <f>IF(CF29&gt;20,10,IF(CF29&gt;=10,5,2))</f>
        <v/>
      </c>
    </row>
    <row r="30">
      <c r="A30" s="30">
        <f>IF(B30=0,"",RANK(B30,$B$2:$B$97,0))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CENTENKA</t>
        </is>
      </c>
      <c r="D30" s="30" t="inlineStr">
        <is>
          <t>Century Enka Ltd</t>
        </is>
      </c>
      <c r="E30" s="30" t="inlineStr">
        <is>
          <t>textiles</t>
        </is>
      </c>
      <c r="F30" s="30" t="inlineStr">
        <is>
          <t>Textiles - Manmade Fibre - PFY/PSF</t>
        </is>
      </c>
      <c r="G30" s="30" t="inlineStr">
        <is>
          <t>smallcap</t>
        </is>
      </c>
      <c r="H30" s="31" t="n">
        <v>1315.62</v>
      </c>
      <c r="I30" s="31" t="n">
        <v>602.1</v>
      </c>
      <c r="J30" s="31" t="n">
        <v>-0.33</v>
      </c>
      <c r="K30" s="31" t="n">
        <v>0</v>
      </c>
      <c r="L30" s="30" t="n">
        <v>55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69.40000000000001</v>
      </c>
      <c r="P30" s="31" t="n">
        <v>64.03</v>
      </c>
      <c r="Q30" s="31" t="n">
        <v>473.77</v>
      </c>
      <c r="R30" s="30" t="inlineStr">
        <is>
          <t>Near 52W High Breakout</t>
        </is>
      </c>
      <c r="S30" s="30" t="inlineStr">
        <is>
          <t>Nifty 50</t>
        </is>
      </c>
      <c r="T30" s="31" t="n">
        <v>-0.79</v>
      </c>
      <c r="U30" s="31" t="n">
        <v>21.2</v>
      </c>
      <c r="V30" s="31" t="n">
        <v>22.16</v>
      </c>
      <c r="W30" s="31" t="n">
        <v>13.01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19</t>
        </is>
      </c>
      <c r="CG30" s="30">
        <f>IF(CF30&gt;20,10,IF(CF30&gt;=10,5,2))</f>
        <v/>
      </c>
    </row>
    <row r="31">
      <c r="A31" s="30">
        <f>IF(B31=0,"",RANK(B31,$B$2:$B$97,0))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NEULANDLAB</t>
        </is>
      </c>
      <c r="D31" s="30" t="inlineStr">
        <is>
          <t>Neuland Laboratories Ltd</t>
        </is>
      </c>
      <c r="E31" s="30" t="inlineStr">
        <is>
          <t>healthcare</t>
        </is>
      </c>
      <c r="F31" s="30" t="inlineStr">
        <is>
          <t>Pharma - API &amp; CRAMS</t>
        </is>
      </c>
      <c r="G31" s="30" t="inlineStr">
        <is>
          <t>largecap</t>
        </is>
      </c>
      <c r="H31" s="31" t="n">
        <v>28876.23</v>
      </c>
      <c r="I31" s="31" t="n">
        <v>22507</v>
      </c>
      <c r="J31" s="31" t="n">
        <v>-1.95</v>
      </c>
      <c r="K31" s="31" t="n">
        <v>0</v>
      </c>
      <c r="L31" s="30" t="n">
        <v>76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74.29000000000001</v>
      </c>
      <c r="P31" s="31" t="n">
        <v>52.39</v>
      </c>
      <c r="Q31" s="31" t="n">
        <v>18376.61</v>
      </c>
      <c r="R31" s="30" t="inlineStr">
        <is>
          <t>Near 52W High Breakout</t>
        </is>
      </c>
      <c r="S31" s="30" t="inlineStr">
        <is>
          <t>Nifty Pharma</t>
        </is>
      </c>
      <c r="T31" s="31" t="n">
        <v>20.81</v>
      </c>
      <c r="U31" s="31" t="n">
        <v>69.84</v>
      </c>
      <c r="V31" s="31" t="n">
        <v>40.58</v>
      </c>
      <c r="W31" s="31" t="n">
        <v>21.04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26</t>
        </is>
      </c>
      <c r="CG31" s="30">
        <f>IF(CF31&gt;20,10,IF(CF31&gt;=10,5,2))</f>
        <v/>
      </c>
    </row>
    <row r="32">
      <c r="A32" s="30">
        <f>IF(B32=0,"",RANK(B32,$B$2:$B$97,0))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VADILALIND</t>
        </is>
      </c>
      <c r="D32" s="30" t="inlineStr">
        <is>
          <t>Vadilal Industries Ltd</t>
        </is>
      </c>
      <c r="E32" s="30" t="inlineStr">
        <is>
          <t>fmcg</t>
        </is>
      </c>
      <c r="F32" s="30" t="inlineStr">
        <is>
          <t>FMCG - Dairy Products</t>
        </is>
      </c>
      <c r="G32" s="30" t="inlineStr">
        <is>
          <t>midcap</t>
        </is>
      </c>
      <c r="H32" s="31" t="n">
        <v>5246.04</v>
      </c>
      <c r="I32" s="31" t="n">
        <v>7298.5</v>
      </c>
      <c r="J32" s="31" t="n">
        <v>-0.85</v>
      </c>
      <c r="K32" s="31" t="n">
        <v>0</v>
      </c>
      <c r="L32" s="30" t="n">
        <v>78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75.97</v>
      </c>
      <c r="P32" s="31" t="n">
        <v>40.77</v>
      </c>
      <c r="Q32" s="31" t="n">
        <v>5878.04</v>
      </c>
      <c r="R32" s="30" t="inlineStr">
        <is>
          <t>Near 52W High Breakout</t>
        </is>
      </c>
      <c r="S32" s="30" t="inlineStr">
        <is>
          <t>Nifty FMCG</t>
        </is>
      </c>
      <c r="T32" s="31" t="n">
        <v>-11.27</v>
      </c>
      <c r="U32" s="31" t="n">
        <v>32.47</v>
      </c>
      <c r="V32" s="31" t="n">
        <v>49.29</v>
      </c>
      <c r="W32" s="31" t="n">
        <v>22.05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25</t>
        </is>
      </c>
      <c r="CG32" s="30">
        <f>IF(CF32&gt;20,10,IF(CF32&gt;=10,5,2))</f>
        <v/>
      </c>
    </row>
    <row r="33">
      <c r="A33" s="30">
        <f>IF(B33=0,"",RANK(B33,$B$2:$B$97,0))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3" t="inlineStr">
        <is>
          <t>VALIANT</t>
        </is>
      </c>
      <c r="D33" s="33" t="inlineStr">
        <is>
          <t>Valiant Communications Ltd</t>
        </is>
      </c>
      <c r="E33" s="30" t="inlineStr">
        <is>
          <t>Technology</t>
        </is>
      </c>
      <c r="F33" s="30" t="inlineStr">
        <is>
          <t>Telecom Services</t>
        </is>
      </c>
      <c r="G33" s="30" t="inlineStr">
        <is>
          <t>smallcap</t>
        </is>
      </c>
      <c r="H33" s="31" t="n">
        <v>1510.62</v>
      </c>
      <c r="I33" s="31" t="n">
        <v>1292</v>
      </c>
      <c r="J33" s="31" t="n">
        <v>5.89</v>
      </c>
      <c r="K33" s="31" t="n">
        <v>0</v>
      </c>
      <c r="L33" s="30" t="n">
        <v>66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63.43</v>
      </c>
      <c r="P33" s="31" t="n">
        <v>24.8</v>
      </c>
      <c r="Q33" s="31" t="n">
        <v>818.1</v>
      </c>
      <c r="R33" s="30" t="inlineStr">
        <is>
          <t>Volume Spike &amp; Near 52W High Breakout</t>
        </is>
      </c>
      <c r="S33" s="30" t="inlineStr">
        <is>
          <t>Nifty 50</t>
        </is>
      </c>
      <c r="T33" s="31" t="n">
        <v>-0.79</v>
      </c>
      <c r="U33" s="31" t="n">
        <v>96</v>
      </c>
      <c r="V33" s="31" t="n">
        <v>97.56999999999999</v>
      </c>
      <c r="W33" s="31" t="n">
        <v>16.85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Oligopoly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25</t>
        </is>
      </c>
      <c r="CG33" s="30">
        <f>IF(CF33&gt;20,10,IF(CF33&gt;=10,5,2))</f>
        <v/>
      </c>
    </row>
    <row r="34">
      <c r="A34" s="30">
        <f>IF(B34=0,"",RANK(B34,$B$2:$B$97,0))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3" t="inlineStr">
        <is>
          <t>DIVGIITTS</t>
        </is>
      </c>
      <c r="D34" s="33" t="inlineStr">
        <is>
          <t>Divgi Torqtransfer Systems Ltd</t>
        </is>
      </c>
      <c r="E34" s="30" t="inlineStr">
        <is>
          <t>auto</t>
        </is>
      </c>
      <c r="F34" s="30" t="inlineStr">
        <is>
          <t>Auto Ancillaries - Transmission</t>
        </is>
      </c>
      <c r="G34" s="30" t="inlineStr">
        <is>
          <t>smallcap</t>
        </is>
      </c>
      <c r="H34" s="31" t="n">
        <v>3746.41</v>
      </c>
      <c r="I34" s="31" t="n">
        <v>1225</v>
      </c>
      <c r="J34" s="31" t="n">
        <v>13.81</v>
      </c>
      <c r="K34" s="31" t="n">
        <v>0</v>
      </c>
      <c r="L34" s="30" t="n">
        <v>88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76.17</v>
      </c>
      <c r="P34" s="31" t="n">
        <v>45.2</v>
      </c>
      <c r="Q34" s="31" t="n">
        <v>940.64</v>
      </c>
      <c r="R34" s="30" t="inlineStr">
        <is>
          <t>Volume Spike &amp; Near 52W High Breakout</t>
        </is>
      </c>
      <c r="S34" s="30" t="inlineStr">
        <is>
          <t>Nifty Auto</t>
        </is>
      </c>
      <c r="T34" s="31" t="n">
        <v>23.47</v>
      </c>
      <c r="U34" s="31" t="n">
        <v>91.73</v>
      </c>
      <c r="V34" s="31" t="n">
        <v>55.28</v>
      </c>
      <c r="W34" s="31" t="n">
        <v>29.27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27</t>
        </is>
      </c>
      <c r="CG34" s="30">
        <f>IF(CF34&gt;20,10,IF(CF34&gt;=10,5,2))</f>
        <v/>
      </c>
    </row>
    <row r="35">
      <c r="A35" s="30">
        <f>IF(B35=0,"",RANK(B35,$B$2:$B$97,0))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AVALON</t>
        </is>
      </c>
      <c r="D35" s="30" t="inlineStr">
        <is>
          <t>Avalon Technologies Ltd</t>
        </is>
      </c>
      <c r="E35" s="30" t="inlineStr">
        <is>
          <t>consumer discretionary</t>
        </is>
      </c>
      <c r="F35" s="30" t="inlineStr">
        <is>
          <t>Consumer Electronics - EMS</t>
        </is>
      </c>
      <c r="G35" s="30" t="inlineStr">
        <is>
          <t>midcap</t>
        </is>
      </c>
      <c r="H35" s="31" t="n">
        <v>13186.64</v>
      </c>
      <c r="I35" s="31" t="n">
        <v>1973.7</v>
      </c>
      <c r="J35" s="31" t="n">
        <v>1.83</v>
      </c>
      <c r="K35" s="31" t="n">
        <v>0</v>
      </c>
      <c r="L35" s="30" t="n">
        <v>88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79.73</v>
      </c>
      <c r="P35" s="31" t="n">
        <v>58.39</v>
      </c>
      <c r="Q35" s="31" t="n">
        <v>1508.18</v>
      </c>
      <c r="R35" s="30" t="inlineStr">
        <is>
          <t>Near 52W High Breakout</t>
        </is>
      </c>
      <c r="S35" s="30" t="inlineStr">
        <is>
          <t>Nifty 50</t>
        </is>
      </c>
      <c r="T35" s="31" t="n">
        <v>-0.79</v>
      </c>
      <c r="U35" s="31" t="n">
        <v>134.43</v>
      </c>
      <c r="V35" s="31" t="n">
        <v>136.3</v>
      </c>
      <c r="W35" s="31" t="n">
        <v>29.61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24</t>
        </is>
      </c>
      <c r="CG35" s="30">
        <f>IF(CF35&gt;20,10,IF(CF35&gt;=10,5,2))</f>
        <v/>
      </c>
    </row>
    <row r="36">
      <c r="A36" s="30">
        <f>IF(B36=0,"",RANK(B36,$B$2:$B$97,0))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AETHER</t>
        </is>
      </c>
      <c r="D36" s="30" t="inlineStr">
        <is>
          <t>Aether Industries Ltd</t>
        </is>
      </c>
      <c r="E36" s="30" t="inlineStr">
        <is>
          <t>chemicals</t>
        </is>
      </c>
      <c r="F36" s="30" t="inlineStr">
        <is>
          <t>Speciality Chemicals</t>
        </is>
      </c>
      <c r="G36" s="30" t="inlineStr">
        <is>
          <t>largecap</t>
        </is>
      </c>
      <c r="H36" s="31" t="n">
        <v>21512.78</v>
      </c>
      <c r="I36" s="31" t="n">
        <v>1621</v>
      </c>
      <c r="J36" s="31" t="n">
        <v>-0.8100000000000001</v>
      </c>
      <c r="K36" s="31" t="n">
        <v>0</v>
      </c>
      <c r="L36" s="30" t="n">
        <v>83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75.63</v>
      </c>
      <c r="P36" s="31" t="n">
        <v>45.92</v>
      </c>
      <c r="Q36" s="31" t="n">
        <v>1301.54</v>
      </c>
      <c r="R36" s="30" t="inlineStr">
        <is>
          <t>Near 52W High Breakout</t>
        </is>
      </c>
      <c r="S36" s="30" t="inlineStr">
        <is>
          <t>Nifty 50</t>
        </is>
      </c>
      <c r="T36" s="31" t="n">
        <v>-0.79</v>
      </c>
      <c r="U36" s="31" t="n">
        <v>117.48</v>
      </c>
      <c r="V36" s="31" t="n">
        <v>119.22</v>
      </c>
      <c r="W36" s="31" t="n">
        <v>26.71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20</t>
        </is>
      </c>
      <c r="CG36" s="30">
        <f>IF(CF36&gt;20,10,IF(CF36&gt;=10,5,2))</f>
        <v/>
      </c>
    </row>
    <row r="37">
      <c r="A37" s="30">
        <f>IF(B37=0,"",RANK(B37,$B$2:$B$97,0))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STLTECH</t>
        </is>
      </c>
      <c r="D37" s="33" t="inlineStr">
        <is>
          <t>Sterlite Technologies Ltd</t>
        </is>
      </c>
      <c r="E37" s="30" t="inlineStr">
        <is>
          <t>industrials</t>
        </is>
      </c>
      <c r="F37" s="30" t="inlineStr">
        <is>
          <t>Cables - Telecom</t>
        </is>
      </c>
      <c r="G37" s="30" t="inlineStr">
        <is>
          <t>largecap</t>
        </is>
      </c>
      <c r="H37" s="31" t="n">
        <v>33455.62</v>
      </c>
      <c r="I37" s="31" t="n">
        <v>651</v>
      </c>
      <c r="J37" s="31" t="n">
        <v>5</v>
      </c>
      <c r="K37" s="31" t="n">
        <v>0</v>
      </c>
      <c r="L37" s="30" t="n">
        <v>99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74.45</v>
      </c>
      <c r="P37" s="31" t="n">
        <v>80.19</v>
      </c>
      <c r="Q37" s="31" t="n">
        <v>459.88</v>
      </c>
      <c r="R37" s="30" t="inlineStr">
        <is>
          <t>Near 52W High Breakout</t>
        </is>
      </c>
      <c r="S37" s="30" t="inlineStr">
        <is>
          <t>Nifty Infra</t>
        </is>
      </c>
      <c r="T37" s="31" t="n">
        <v>3.79</v>
      </c>
      <c r="U37" s="31" t="n">
        <v>455.03</v>
      </c>
      <c r="V37" s="31" t="n">
        <v>434.79</v>
      </c>
      <c r="W37" s="31" t="n">
        <v>93.22</v>
      </c>
      <c r="X37" s="30" t="inlineStr">
        <is>
          <t>Cyclical in an Upturn</t>
        </is>
      </c>
      <c r="Y37" s="30">
        <f>IF(X37="Growing Industry",10,IF(X37="Cyclical in an Upturn",5,0))</f>
        <v/>
      </c>
      <c r="Z37" s="30" t="inlineStr">
        <is>
          <t>Oligopoly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IF(B38=0,"",RANK(B38,$B$2:$B$97,0))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RRKABEL</t>
        </is>
      </c>
      <c r="D38" s="30" t="inlineStr">
        <is>
          <t>R R Kabel Ltd</t>
        </is>
      </c>
      <c r="E38" s="30" t="inlineStr">
        <is>
          <t>industrials</t>
        </is>
      </c>
      <c r="F38" s="30" t="inlineStr">
        <is>
          <t>Cables - Power</t>
        </is>
      </c>
      <c r="G38" s="30" t="inlineStr">
        <is>
          <t>largecap</t>
        </is>
      </c>
      <c r="H38" s="31" t="n">
        <v>31555.3</v>
      </c>
      <c r="I38" s="31" t="n">
        <v>2789.9</v>
      </c>
      <c r="J38" s="31" t="n">
        <v>-0.8100000000000001</v>
      </c>
      <c r="K38" s="31" t="n">
        <v>0</v>
      </c>
      <c r="L38" s="30" t="n">
        <v>93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77.5</v>
      </c>
      <c r="P38" s="31" t="n">
        <v>67.23</v>
      </c>
      <c r="Q38" s="31" t="n">
        <v>2223.56</v>
      </c>
      <c r="R38" s="30" t="inlineStr">
        <is>
          <t>Near 52W High Breakout</t>
        </is>
      </c>
      <c r="S38" s="30" t="inlineStr">
        <is>
          <t>Nifty Energy</t>
        </is>
      </c>
      <c r="T38" s="31" t="n">
        <v>10</v>
      </c>
      <c r="U38" s="31" t="n">
        <v>100.88</v>
      </c>
      <c r="V38" s="31" t="n">
        <v>82.61</v>
      </c>
      <c r="W38" s="31" t="n">
        <v>38.51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IF(B39=0,"",RANK(B39,$B$2:$B$97,0))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SHILPAMED</t>
        </is>
      </c>
      <c r="D39" s="30" t="inlineStr">
        <is>
          <t>Shilpa Medicare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15717.93</v>
      </c>
      <c r="I39" s="31" t="n">
        <v>803.65</v>
      </c>
      <c r="J39" s="31" t="n">
        <v>-1.96</v>
      </c>
      <c r="K39" s="31" t="n">
        <v>0</v>
      </c>
      <c r="L39" s="30" t="n">
        <v>88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88.38</v>
      </c>
      <c r="P39" s="31" t="n">
        <v>73.13</v>
      </c>
      <c r="Q39" s="31" t="n">
        <v>644.28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20.81</v>
      </c>
      <c r="U39" s="31" t="n">
        <v>77.44</v>
      </c>
      <c r="V39" s="31" t="n">
        <v>46.87</v>
      </c>
      <c r="W39" s="31" t="n">
        <v>30.55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26</t>
        </is>
      </c>
      <c r="CG39" s="30">
        <f>IF(CF39&gt;20,10,IF(CF39&gt;=10,5,2))</f>
        <v/>
      </c>
    </row>
    <row r="40">
      <c r="A40" s="30">
        <f>IF(B40=0,"",RANK(B40,$B$2:$B$97,0))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GLAND</t>
        </is>
      </c>
      <c r="D40" s="33" t="inlineStr">
        <is>
          <t>Gland Pharma Ltd</t>
        </is>
      </c>
      <c r="E40" s="30" t="inlineStr">
        <is>
          <t>healthcare</t>
        </is>
      </c>
      <c r="F40" s="30" t="inlineStr">
        <is>
          <t>Pharma - API &amp; CRAMS</t>
        </is>
      </c>
      <c r="G40" s="30" t="inlineStr">
        <is>
          <t>largecap</t>
        </is>
      </c>
      <c r="H40" s="31" t="n">
        <v>47508.75</v>
      </c>
      <c r="I40" s="31" t="n">
        <v>2879.9</v>
      </c>
      <c r="J40" s="31" t="n">
        <v>-1.52</v>
      </c>
      <c r="K40" s="31" t="n">
        <v>0</v>
      </c>
      <c r="L40" s="30" t="n">
        <v>76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78.69</v>
      </c>
      <c r="P40" s="31" t="n">
        <v>58.86</v>
      </c>
      <c r="Q40" s="31" t="n">
        <v>2361.15</v>
      </c>
      <c r="R40" s="30" t="inlineStr">
        <is>
          <t>Volume Spike &amp; Near 52W High Breakout</t>
        </is>
      </c>
      <c r="S40" s="30" t="inlineStr">
        <is>
          <t>Nifty Pharma</t>
        </is>
      </c>
      <c r="T40" s="31" t="n">
        <v>20.81</v>
      </c>
      <c r="U40" s="31" t="n">
        <v>47.44</v>
      </c>
      <c r="V40" s="31" t="n">
        <v>22.04</v>
      </c>
      <c r="W40" s="31" t="n">
        <v>21.34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21</t>
        </is>
      </c>
      <c r="CG40" s="30">
        <f>IF(CF40&gt;20,10,IF(CF40&gt;=10,5,2))</f>
        <v/>
      </c>
    </row>
    <row r="41">
      <c r="A41" s="30">
        <f>IF(B41=0,"",RANK(B41,$B$2:$B$97,0))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LAURUSLABS</t>
        </is>
      </c>
      <c r="D41" s="30" t="inlineStr">
        <is>
          <t>Laurus Labs Ltd</t>
        </is>
      </c>
      <c r="E41" s="30" t="inlineStr">
        <is>
          <t>healthcare</t>
        </is>
      </c>
      <c r="F41" s="30" t="inlineStr">
        <is>
          <t>Pharma - API &amp; CRAMS</t>
        </is>
      </c>
      <c r="G41" s="30" t="inlineStr">
        <is>
          <t>largecap</t>
        </is>
      </c>
      <c r="H41" s="31" t="n">
        <v>99957.75999999999</v>
      </c>
      <c r="I41" s="31" t="n">
        <v>1850</v>
      </c>
      <c r="J41" s="31" t="n">
        <v>-0.43</v>
      </c>
      <c r="K41" s="31" t="n">
        <v>0</v>
      </c>
      <c r="L41" s="30" t="n">
        <v>81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86.43000000000001</v>
      </c>
      <c r="P41" s="31" t="n">
        <v>64.89</v>
      </c>
      <c r="Q41" s="31" t="n">
        <v>1598.28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20.81</v>
      </c>
      <c r="U41" s="31" t="n">
        <v>115.58</v>
      </c>
      <c r="V41" s="31" t="n">
        <v>78.44</v>
      </c>
      <c r="W41" s="31" t="n">
        <v>25.62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21</t>
        </is>
      </c>
      <c r="CG41" s="30">
        <f>IF(CF41&gt;20,10,IF(CF41&gt;=10,5,2))</f>
        <v/>
      </c>
    </row>
    <row r="42">
      <c r="A42" s="30">
        <f>IF(B42=0,"",RANK(B42,$B$2:$B$97,0))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CHENNPETRO</t>
        </is>
      </c>
      <c r="D42" s="30" t="inlineStr">
        <is>
          <t>Chennai Petroleum Corporation Ltd</t>
        </is>
      </c>
      <c r="E42" s="30" t="inlineStr">
        <is>
          <t>energy</t>
        </is>
      </c>
      <c r="F42" s="30" t="inlineStr">
        <is>
          <t>Refineries</t>
        </is>
      </c>
      <c r="G42" s="30" t="inlineStr">
        <is>
          <t>largecap</t>
        </is>
      </c>
      <c r="H42" s="31" t="n">
        <v>20505.1</v>
      </c>
      <c r="I42" s="31" t="n">
        <v>1377</v>
      </c>
      <c r="J42" s="31" t="n">
        <v>-3.44</v>
      </c>
      <c r="K42" s="31" t="n">
        <v>0</v>
      </c>
      <c r="L42" s="30" t="n">
        <v>80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74.73999999999999</v>
      </c>
      <c r="P42" s="31" t="n">
        <v>49.4</v>
      </c>
      <c r="Q42" s="31" t="n">
        <v>1026.2</v>
      </c>
      <c r="R42" s="30" t="inlineStr">
        <is>
          <t>Volume Spike &amp; Near 52W High Breakout</t>
        </is>
      </c>
      <c r="S42" s="30" t="inlineStr">
        <is>
          <t>Nifty Energy</t>
        </is>
      </c>
      <c r="T42" s="31" t="n">
        <v>10</v>
      </c>
      <c r="U42" s="31" t="n">
        <v>112.59</v>
      </c>
      <c r="V42" s="31" t="n">
        <v>93.26000000000001</v>
      </c>
      <c r="W42" s="31" t="n">
        <v>24.85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Oligopoly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Cyclical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Volatile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29</t>
        </is>
      </c>
      <c r="CG42" s="30">
        <f>IF(CF42&gt;20,10,IF(CF42&gt;=10,5,2))</f>
        <v/>
      </c>
    </row>
    <row r="43">
      <c r="A43" s="30">
        <f>IF(B43=0,"",RANK(B43,$B$2:$B$97,0))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MACPOWER</t>
        </is>
      </c>
      <c r="D43" s="30" t="inlineStr">
        <is>
          <t>Macpower CNC Machines Ltd</t>
        </is>
      </c>
      <c r="E43" s="30" t="inlineStr">
        <is>
          <t>industrials</t>
        </is>
      </c>
      <c r="F43" s="30" t="inlineStr">
        <is>
          <t>CNC - Machines</t>
        </is>
      </c>
      <c r="G43" s="30" t="inlineStr">
        <is>
          <t>smallcap</t>
        </is>
      </c>
      <c r="H43" s="31" t="n">
        <v>1736.32</v>
      </c>
      <c r="I43" s="31" t="n">
        <v>1735.6</v>
      </c>
      <c r="J43" s="31" t="n">
        <v>-1.07</v>
      </c>
      <c r="K43" s="31" t="n">
        <v>0</v>
      </c>
      <c r="L43" s="30" t="n">
        <v>87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74.56</v>
      </c>
      <c r="P43" s="31" t="n">
        <v>31.31</v>
      </c>
      <c r="Q43" s="31" t="n">
        <v>1233.05</v>
      </c>
      <c r="R43" s="30" t="inlineStr">
        <is>
          <t>Near 52W High Breakout</t>
        </is>
      </c>
      <c r="S43" s="30" t="inlineStr">
        <is>
          <t>Nifty 50</t>
        </is>
      </c>
      <c r="T43" s="31" t="n">
        <v>-0.79</v>
      </c>
      <c r="U43" s="31" t="n">
        <v>102.75</v>
      </c>
      <c r="V43" s="31" t="n">
        <v>104.37</v>
      </c>
      <c r="W43" s="31" t="n">
        <v>28.78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29</t>
        </is>
      </c>
      <c r="CG43" s="30">
        <f>IF(CF43&gt;20,10,IF(CF43&gt;=10,5,2))</f>
        <v/>
      </c>
    </row>
    <row r="44">
      <c r="A44" s="30">
        <f>IF(B44=0,"",RANK(B44,$B$2:$B$97,0))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ARVSMART</t>
        </is>
      </c>
      <c r="D44" s="30" t="inlineStr">
        <is>
          <t>Arvind SmartSpaces Ltd</t>
        </is>
      </c>
      <c r="E44" s="30" t="inlineStr">
        <is>
          <t>realty</t>
        </is>
      </c>
      <c r="F44" s="30" t="inlineStr">
        <is>
          <t>Realty - Construction &amp; Contracting</t>
        </is>
      </c>
      <c r="G44" s="30" t="inlineStr">
        <is>
          <t>smallcap</t>
        </is>
      </c>
      <c r="H44" s="31" t="n">
        <v>3040.98</v>
      </c>
      <c r="I44" s="31" t="n">
        <v>663</v>
      </c>
      <c r="J44" s="31" t="n">
        <v>4.18</v>
      </c>
      <c r="K44" s="31" t="n">
        <v>0</v>
      </c>
      <c r="L44" s="30" t="n">
        <v>17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62.08</v>
      </c>
      <c r="P44" s="31" t="n">
        <v>25.99</v>
      </c>
      <c r="Q44" s="31" t="n">
        <v>526.2</v>
      </c>
      <c r="R44" s="30" t="inlineStr">
        <is>
          <t>Near 52W High Breakout</t>
        </is>
      </c>
      <c r="S44" s="30" t="inlineStr">
        <is>
          <t>Nifty Realty</t>
        </is>
      </c>
      <c r="T44" s="31" t="n">
        <v>-6.4</v>
      </c>
      <c r="U44" s="31" t="n">
        <v>6.5</v>
      </c>
      <c r="V44" s="31" t="n">
        <v>13.77</v>
      </c>
      <c r="W44" s="31" t="n">
        <v>4.01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26</t>
        </is>
      </c>
      <c r="CG44" s="30">
        <f>IF(CF44&gt;20,10,IF(CF44&gt;=10,5,2))</f>
        <v/>
      </c>
    </row>
    <row r="45">
      <c r="A45" s="30">
        <f>IF(B45=0,"",RANK(B45,$B$2:$B$97,0))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FINCABLES</t>
        </is>
      </c>
      <c r="D45" s="33" t="inlineStr">
        <is>
          <t>Finolex Cables Ltd</t>
        </is>
      </c>
      <c r="E45" s="30" t="inlineStr">
        <is>
          <t>industrials</t>
        </is>
      </c>
      <c r="F45" s="30" t="inlineStr">
        <is>
          <t>Cables - Telecom</t>
        </is>
      </c>
      <c r="G45" s="30" t="inlineStr">
        <is>
          <t>midcap</t>
        </is>
      </c>
      <c r="H45" s="31" t="n">
        <v>19400.36</v>
      </c>
      <c r="I45" s="31" t="n">
        <v>1268.5</v>
      </c>
      <c r="J45" s="31" t="n">
        <v>5.02</v>
      </c>
      <c r="K45" s="31" t="n">
        <v>0</v>
      </c>
      <c r="L45" s="30" t="n">
        <v>63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66.81</v>
      </c>
      <c r="P45" s="31" t="n">
        <v>35.43</v>
      </c>
      <c r="Q45" s="31" t="n">
        <v>953.37</v>
      </c>
      <c r="R45" s="30" t="inlineStr">
        <is>
          <t>Volume Spike &amp; Near 52W High Breakout</t>
        </is>
      </c>
      <c r="S45" s="30" t="inlineStr">
        <is>
          <t>Nifty Energy</t>
        </is>
      </c>
      <c r="T45" s="31" t="n">
        <v>10</v>
      </c>
      <c r="U45" s="31" t="n">
        <v>43.82</v>
      </c>
      <c r="V45" s="31" t="n">
        <v>30.74</v>
      </c>
      <c r="W45" s="31" t="n">
        <v>15.62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Oligopoly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23</t>
        </is>
      </c>
      <c r="CG45" s="30">
        <f>IF(CF45&gt;20,10,IF(CF45&gt;=10,5,2))</f>
        <v/>
      </c>
    </row>
    <row r="46">
      <c r="A46" s="30">
        <f>IF(B46=0,"",RANK(B46,$B$2:$B$97,0))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IRISDOREME</t>
        </is>
      </c>
      <c r="D46" s="30" t="inlineStr">
        <is>
          <t>Iris Clothings Ltd</t>
        </is>
      </c>
      <c r="E46" s="30" t="inlineStr">
        <is>
          <t>consumer discretionary</t>
        </is>
      </c>
      <c r="F46" s="30" t="inlineStr">
        <is>
          <t>Textiles - Readymade Apparel</t>
        </is>
      </c>
      <c r="G46" s="30" t="inlineStr">
        <is>
          <t>smallcap</t>
        </is>
      </c>
      <c r="H46" s="31" t="n">
        <v>1086.6</v>
      </c>
      <c r="I46" s="31" t="n">
        <v>57.09</v>
      </c>
      <c r="J46" s="31" t="n">
        <v>1.37</v>
      </c>
      <c r="K46" s="31" t="n">
        <v>0</v>
      </c>
      <c r="L46" s="30" t="n">
        <v>80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84.14</v>
      </c>
      <c r="P46" s="31" t="n">
        <v>39.35</v>
      </c>
      <c r="Q46" s="31" t="n">
        <v>43.86</v>
      </c>
      <c r="R46" s="30" t="inlineStr">
        <is>
          <t>Volume Spike &amp; Near 52W High Breakout</t>
        </is>
      </c>
      <c r="S46" s="30" t="inlineStr">
        <is>
          <t>Nifty 50</t>
        </is>
      </c>
      <c r="T46" s="31" t="n">
        <v>-0.79</v>
      </c>
      <c r="U46" s="31" t="n">
        <v>69.14</v>
      </c>
      <c r="V46" s="31" t="n">
        <v>70.48999999999999</v>
      </c>
      <c r="W46" s="31" t="n">
        <v>25.03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22</t>
        </is>
      </c>
      <c r="CG46" s="30">
        <f>IF(CF46&gt;20,10,IF(CF46&gt;=10,5,2))</f>
        <v/>
      </c>
    </row>
    <row r="47">
      <c r="A47" s="30">
        <f>IF(B47=0,"",RANK(B47,$B$2:$B$97,0))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2" t="inlineStr">
        <is>
          <t>ENTERO</t>
        </is>
      </c>
      <c r="D47" s="32" t="inlineStr">
        <is>
          <t>Entero Healthcare Solutions Ltd</t>
        </is>
      </c>
      <c r="E47" s="30" t="inlineStr">
        <is>
          <t>healthcare</t>
        </is>
      </c>
      <c r="F47" s="30" t="inlineStr">
        <is>
          <t>Pharmacy Distribution</t>
        </is>
      </c>
      <c r="G47" s="30" t="inlineStr">
        <is>
          <t>midcap</t>
        </is>
      </c>
      <c r="H47" s="31" t="n">
        <v>6202.04</v>
      </c>
      <c r="I47" s="31" t="n">
        <v>1425</v>
      </c>
      <c r="J47" s="31" t="n">
        <v>-0.15</v>
      </c>
      <c r="K47" s="31" t="n">
        <v>0</v>
      </c>
      <c r="L47" s="30" t="n">
        <v>34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65.15000000000001</v>
      </c>
      <c r="P47" s="31" t="n">
        <v>22.43</v>
      </c>
      <c r="Q47" s="31" t="n">
        <v>1093.25</v>
      </c>
      <c r="R47" s="30" t="inlineStr">
        <is>
          <t>Volume Spike &amp; Near 52W High Breakout</t>
        </is>
      </c>
      <c r="S47" s="30" t="inlineStr">
        <is>
          <t>Nifty Pharma</t>
        </is>
      </c>
      <c r="T47" s="31" t="n">
        <v>20.81</v>
      </c>
      <c r="U47" s="31" t="n">
        <v>17.73</v>
      </c>
      <c r="V47" s="31" t="n">
        <v>-2.55</v>
      </c>
      <c r="W47" s="31" t="n">
        <v>7.49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30</t>
        </is>
      </c>
      <c r="CG47" s="30">
        <f>IF(CF47&gt;20,10,IF(CF47&gt;=10,5,2))</f>
        <v/>
      </c>
    </row>
    <row r="48">
      <c r="A48" s="30">
        <f>IF(B48=0,"",RANK(B48,$B$2:$B$97,0))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TCPLPACK</t>
        </is>
      </c>
      <c r="D48" s="33" t="inlineStr">
        <is>
          <t>TCPL Packaging Ltd</t>
        </is>
      </c>
      <c r="E48" s="30" t="inlineStr">
        <is>
          <t>industrials</t>
        </is>
      </c>
      <c r="F48" s="30" t="inlineStr">
        <is>
          <t>Packaging - FMCG/Consumers</t>
        </is>
      </c>
      <c r="G48" s="30" t="inlineStr">
        <is>
          <t>smallcap</t>
        </is>
      </c>
      <c r="H48" s="31" t="n">
        <v>4013.92</v>
      </c>
      <c r="I48" s="31" t="n">
        <v>4410.9</v>
      </c>
      <c r="J48" s="31" t="n">
        <v>20</v>
      </c>
      <c r="K48" s="31" t="n">
        <v>0</v>
      </c>
      <c r="L48" s="30" t="n">
        <v>79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79.81</v>
      </c>
      <c r="P48" s="31" t="n">
        <v>25.56</v>
      </c>
      <c r="Q48" s="31" t="n">
        <v>3426.71</v>
      </c>
      <c r="R48" s="30" t="inlineStr">
        <is>
          <t>Volume Spike &amp; Near 52W High Breakout</t>
        </is>
      </c>
      <c r="S48" s="30" t="inlineStr">
        <is>
          <t>Nifty 50</t>
        </is>
      </c>
      <c r="T48" s="31" t="n">
        <v>-0.79</v>
      </c>
      <c r="U48" s="31" t="n">
        <v>32.11</v>
      </c>
      <c r="V48" s="31" t="n">
        <v>33.17</v>
      </c>
      <c r="W48" s="31" t="n">
        <v>22.24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22</t>
        </is>
      </c>
      <c r="CG48" s="30">
        <f>IF(CF48&gt;20,10,IF(CF48&gt;=10,5,2))</f>
        <v/>
      </c>
    </row>
    <row r="49">
      <c r="A49" s="30">
        <f>IF(B49=0,"",RANK(B49,$B$2:$B$97,0))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3" t="inlineStr">
        <is>
          <t>AKUMS</t>
        </is>
      </c>
      <c r="D49" s="33" t="inlineStr">
        <is>
          <t>Akums Drugs &amp; Pharmaceuticals Ltd</t>
        </is>
      </c>
      <c r="E49" s="30" t="inlineStr">
        <is>
          <t>healthcare</t>
        </is>
      </c>
      <c r="F49" s="30" t="inlineStr">
        <is>
          <t>Pharma - Formulators</t>
        </is>
      </c>
      <c r="G49" s="30" t="inlineStr">
        <is>
          <t>midcap</t>
        </is>
      </c>
      <c r="H49" s="31" t="n">
        <v>11804.55</v>
      </c>
      <c r="I49" s="31" t="n">
        <v>750</v>
      </c>
      <c r="J49" s="31" t="n">
        <v>-1.44</v>
      </c>
      <c r="K49" s="31" t="n">
        <v>0</v>
      </c>
      <c r="L49" s="30" t="n">
        <v>75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72.86</v>
      </c>
      <c r="P49" s="31" t="n">
        <v>50.75</v>
      </c>
      <c r="Q49" s="31" t="n">
        <v>604.92</v>
      </c>
      <c r="R49" s="30" t="inlineStr">
        <is>
          <t>Volume Spike &amp; Near 52W High Breakout</t>
        </is>
      </c>
      <c r="S49" s="30" t="inlineStr">
        <is>
          <t>Nifty Pharma</t>
        </is>
      </c>
      <c r="T49" s="31" t="n">
        <v>20.81</v>
      </c>
      <c r="U49" s="31" t="n">
        <v>60.1</v>
      </c>
      <c r="V49" s="31" t="n">
        <v>32.52</v>
      </c>
      <c r="W49" s="31" t="n">
        <v>20.52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Less than 12%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20</t>
        </is>
      </c>
      <c r="CG49" s="30">
        <f>IF(CF49&gt;20,10,IF(CF49&gt;=10,5,2))</f>
        <v/>
      </c>
    </row>
    <row r="50">
      <c r="A50" s="30">
        <f>IF(B50=0,"",RANK(B50,$B$2:$B$97,0))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SBCL</t>
        </is>
      </c>
      <c r="D50" s="30" t="inlineStr">
        <is>
          <t>Shivalik Bimetal Controls Ltd</t>
        </is>
      </c>
      <c r="E50" s="30" t="inlineStr">
        <is>
          <t>metals &amp; mining</t>
        </is>
      </c>
      <c r="F50" s="30" t="inlineStr">
        <is>
          <t>Shunt Resistors</t>
        </is>
      </c>
      <c r="G50" s="30" t="inlineStr">
        <is>
          <t>midcap</t>
        </is>
      </c>
      <c r="H50" s="31" t="n">
        <v>5929.2</v>
      </c>
      <c r="I50" s="31" t="n">
        <v>1029.3</v>
      </c>
      <c r="J50" s="31" t="n">
        <v>-0.95</v>
      </c>
      <c r="K50" s="31" t="n">
        <v>0</v>
      </c>
      <c r="L50" s="30" t="n">
        <v>90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80.28</v>
      </c>
      <c r="P50" s="31" t="n">
        <v>46.52</v>
      </c>
      <c r="Q50" s="31" t="n">
        <v>783.85</v>
      </c>
      <c r="R50" s="30" t="inlineStr">
        <is>
          <t>Volume Spike &amp; Near 52W High Breakout</t>
        </is>
      </c>
      <c r="S50" s="30" t="inlineStr">
        <is>
          <t>Nifty Metal</t>
        </is>
      </c>
      <c r="T50" s="31" t="n">
        <v>39.75</v>
      </c>
      <c r="U50" s="31" t="n">
        <v>86.65000000000001</v>
      </c>
      <c r="V50" s="31" t="n">
        <v>33.56</v>
      </c>
      <c r="W50" s="31" t="n">
        <v>32.67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Monopoly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Shallow Cyclical (2 to 3 Years Growth)</t>
        </is>
      </c>
      <c r="AG50" s="30">
        <f>IF(AF50="Structural (10 Years Consistency)",10,IF(AF50="Shallow Cyclical (2 to 3 years growth)",5,0))</f>
        <v/>
      </c>
      <c r="AH50" s="30" t="inlineStr">
        <is>
          <t>Yes due to Product Mix change or Operating Leverage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Fully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Yes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20</t>
        </is>
      </c>
      <c r="CG50" s="30">
        <f>IF(CF50&gt;20,10,IF(CF50&gt;=10,5,2))</f>
        <v/>
      </c>
    </row>
    <row r="51">
      <c r="A51" s="30">
        <f>IF(B51=0,"",RANK(B51,$B$2:$B$97,0))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YASHO</t>
        </is>
      </c>
      <c r="D51" s="30" t="inlineStr">
        <is>
          <t>Yasho Industries Ltd</t>
        </is>
      </c>
      <c r="E51" s="30" t="inlineStr">
        <is>
          <t>chemicals</t>
        </is>
      </c>
      <c r="F51" s="30" t="inlineStr">
        <is>
          <t>Speciality Chemicals</t>
        </is>
      </c>
      <c r="G51" s="30" t="inlineStr">
        <is>
          <t>midcap</t>
        </is>
      </c>
      <c r="H51" s="31" t="n">
        <v>5076.04</v>
      </c>
      <c r="I51" s="31" t="n">
        <v>4210</v>
      </c>
      <c r="J51" s="31" t="n">
        <v>-2.24</v>
      </c>
      <c r="K51" s="31" t="n">
        <v>0</v>
      </c>
      <c r="L51" s="30" t="n">
        <v>98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91.78</v>
      </c>
      <c r="P51" s="31" t="n">
        <v>65.09</v>
      </c>
      <c r="Q51" s="31" t="n">
        <v>3224.45</v>
      </c>
      <c r="R51" s="30" t="inlineStr">
        <is>
          <t>Near 52W High Breakout</t>
        </is>
      </c>
      <c r="S51" s="30" t="inlineStr">
        <is>
          <t>Nifty 50</t>
        </is>
      </c>
      <c r="T51" s="31" t="n">
        <v>-0.79</v>
      </c>
      <c r="U51" s="31" t="n">
        <v>141.73</v>
      </c>
      <c r="V51" s="31" t="n">
        <v>143.67</v>
      </c>
      <c r="W51" s="31" t="n">
        <v>59.84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More than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24</t>
        </is>
      </c>
      <c r="CG51" s="30">
        <f>IF(CF51&gt;20,10,IF(CF51&gt;=10,5,2))</f>
        <v/>
      </c>
    </row>
    <row r="52">
      <c r="A52" s="30">
        <f>IF(B52=0,"",RANK(B52,$B$2:$B$97,0))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KRISHANA</t>
        </is>
      </c>
      <c r="D52" s="30" t="inlineStr">
        <is>
          <t>Krishana Phoschem Ltd</t>
        </is>
      </c>
      <c r="E52" s="30" t="inlineStr">
        <is>
          <t>chemicals</t>
        </is>
      </c>
      <c r="F52" s="30" t="inlineStr">
        <is>
          <t>Fertilisers</t>
        </is>
      </c>
      <c r="G52" s="30" t="inlineStr">
        <is>
          <t>midcap</t>
        </is>
      </c>
      <c r="H52" s="31" t="n">
        <v>5757.7</v>
      </c>
      <c r="I52" s="31" t="n">
        <v>186.25</v>
      </c>
      <c r="J52" s="31" t="n">
        <v>-0.11</v>
      </c>
      <c r="K52" s="31" t="n">
        <v>0</v>
      </c>
      <c r="L52" s="30" t="n">
        <v>75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78.48999999999999</v>
      </c>
      <c r="P52" s="31" t="n">
        <v>46.26</v>
      </c>
      <c r="Q52" s="31" t="n">
        <v>146.39</v>
      </c>
      <c r="R52" s="30" t="inlineStr">
        <is>
          <t>Near 52W High Breakout</t>
        </is>
      </c>
      <c r="S52" s="30" t="inlineStr">
        <is>
          <t>Nifty 50</t>
        </is>
      </c>
      <c r="T52" s="31" t="n">
        <v>-0.79</v>
      </c>
      <c r="U52" s="31" t="n">
        <v>71.5</v>
      </c>
      <c r="V52" s="31" t="n">
        <v>72.87</v>
      </c>
      <c r="W52" s="31" t="n">
        <v>20.69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More than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22</t>
        </is>
      </c>
      <c r="CG52" s="30">
        <f>IF(CF52&gt;20,10,IF(CF52&gt;=10,5,2))</f>
        <v/>
      </c>
    </row>
    <row r="53">
      <c r="A53" s="30">
        <f>IF(B53=0,"",RANK(B53,$B$2:$B$97,0))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BLUESTONE</t>
        </is>
      </c>
      <c r="D53" s="30" t="inlineStr">
        <is>
          <t>Bluestone Jewellery &amp; Lifestyle Ltd</t>
        </is>
      </c>
      <c r="E53" s="30" t="inlineStr">
        <is>
          <t>Consumer Cyclical</t>
        </is>
      </c>
      <c r="F53" s="30" t="inlineStr">
        <is>
          <t>Diamond, Gems &amp; Jewellery</t>
        </is>
      </c>
      <c r="G53" s="30" t="inlineStr">
        <is>
          <t>midcap</t>
        </is>
      </c>
      <c r="H53" s="31" t="n">
        <v>13839.86</v>
      </c>
      <c r="I53" s="31" t="n">
        <v>906.05</v>
      </c>
      <c r="J53" s="31" t="n">
        <v>8.140000000000001</v>
      </c>
      <c r="K53" s="31" t="n">
        <v>0</v>
      </c>
      <c r="L53" s="30" t="n">
        <v>91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79.75</v>
      </c>
      <c r="P53" s="31" t="n">
        <v>33.23</v>
      </c>
      <c r="Q53" s="31" t="n">
        <v>663.58</v>
      </c>
      <c r="R53" s="30" t="inlineStr">
        <is>
          <t>Near 52W High Breakout</t>
        </is>
      </c>
      <c r="S53" s="30" t="inlineStr">
        <is>
          <t>Nifty 50</t>
        </is>
      </c>
      <c r="T53" s="31" t="n">
        <v>-1.75</v>
      </c>
      <c r="U53" s="31" t="n">
        <v>63.72</v>
      </c>
      <c r="V53" s="31" t="n">
        <v>66.63</v>
      </c>
      <c r="W53" s="31" t="n">
        <v>33.8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B2C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22</t>
        </is>
      </c>
      <c r="CG53" s="30">
        <f>IF(CF53&gt;20,10,IF(CF53&gt;=10,5,2))</f>
        <v/>
      </c>
    </row>
    <row r="54">
      <c r="A54" s="30">
        <f>IF(B54=0,"",RANK(B54,$B$2:$B$97,0))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KALYANKJIL</t>
        </is>
      </c>
      <c r="D54" s="30" t="inlineStr">
        <is>
          <t>Kalyan Jewellers India Ltd</t>
        </is>
      </c>
      <c r="E54" s="30" t="inlineStr">
        <is>
          <t>consumer discretionary</t>
        </is>
      </c>
      <c r="F54" s="30" t="inlineStr">
        <is>
          <t>Diamond, Gems &amp; Jewellery</t>
        </is>
      </c>
      <c r="G54" s="30" t="inlineStr">
        <is>
          <t>largecap</t>
        </is>
      </c>
      <c r="H54" s="31" t="n">
        <v>61624.25</v>
      </c>
      <c r="I54" s="31" t="n">
        <v>596.7</v>
      </c>
      <c r="J54" s="31" t="n">
        <v>-0.91</v>
      </c>
      <c r="K54" s="31" t="n">
        <v>0</v>
      </c>
      <c r="L54" s="30" t="n">
        <v>74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69.73999999999999</v>
      </c>
      <c r="P54" s="31" t="n">
        <v>33.13</v>
      </c>
      <c r="Q54" s="31" t="n">
        <v>464.4</v>
      </c>
      <c r="R54" s="30" t="inlineStr">
        <is>
          <t>Near 52W High Breakout</t>
        </is>
      </c>
      <c r="S54" s="30" t="inlineStr">
        <is>
          <t>Nifty 50</t>
        </is>
      </c>
      <c r="T54" s="31" t="n">
        <v>-0.79</v>
      </c>
      <c r="U54" s="31" t="n">
        <v>12.17</v>
      </c>
      <c r="V54" s="31" t="n">
        <v>13.07</v>
      </c>
      <c r="W54" s="31" t="n">
        <v>20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Between 0.7 to 1.2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21</t>
        </is>
      </c>
      <c r="CG54" s="30">
        <f>IF(CF54&gt;20,10,IF(CF54&gt;=10,5,2))</f>
        <v/>
      </c>
    </row>
    <row r="55">
      <c r="A55" s="30">
        <f>IF(B55=0,"",RANK(B55,$B$2:$B$97,0))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SIGMAADV</t>
        </is>
      </c>
      <c r="D55" s="30" t="inlineStr">
        <is>
          <t>Sigma Advanced System Ltd</t>
        </is>
      </c>
      <c r="E55" s="30" t="inlineStr">
        <is>
          <t>aerospace &amp; defence</t>
        </is>
      </c>
      <c r="F55" s="30" t="inlineStr">
        <is>
          <t>Aerospace &amp; Defence - Equipments</t>
        </is>
      </c>
      <c r="G55" s="30" t="inlineStr">
        <is>
          <t>midcap</t>
        </is>
      </c>
      <c r="H55" s="31" t="n">
        <v>12991.14</v>
      </c>
      <c r="I55" s="31" t="n">
        <v>684</v>
      </c>
      <c r="J55" s="31" t="n">
        <v>-2.54</v>
      </c>
      <c r="K55" s="31" t="n">
        <v>0</v>
      </c>
      <c r="L55" s="30" t="n">
        <v>98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75.81</v>
      </c>
      <c r="P55" s="31" t="n">
        <v>67.42</v>
      </c>
      <c r="Q55" s="31" t="n">
        <v>521.85</v>
      </c>
      <c r="R55" s="30" t="inlineStr">
        <is>
          <t>Near 52W High Breakout</t>
        </is>
      </c>
      <c r="S55" s="30" t="inlineStr">
        <is>
          <t>Nifty 50</t>
        </is>
      </c>
      <c r="T55" s="31" t="n">
        <v>-0.79</v>
      </c>
      <c r="U55" s="31" t="n">
        <v>505.55</v>
      </c>
      <c r="V55" s="31" t="n">
        <v>510.39</v>
      </c>
      <c r="W55" s="31" t="n">
        <v>74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20</t>
        </is>
      </c>
      <c r="CG55" s="30">
        <f>IF(CF55&gt;20,10,IF(CF55&gt;=10,5,2))</f>
        <v/>
      </c>
    </row>
    <row r="56">
      <c r="A56" s="30">
        <f>IF(B56=0,"",RANK(B56,$B$2:$B$97,0))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SAPL</t>
        </is>
      </c>
      <c r="D56" s="33" t="inlineStr">
        <is>
          <t>Sar Auto Products Ltd</t>
        </is>
      </c>
      <c r="E56" s="30" t="inlineStr">
        <is>
          <t>Consumer Cyclical</t>
        </is>
      </c>
      <c r="F56" s="30" t="inlineStr">
        <is>
          <t>Auto Ancillaries - Gears</t>
        </is>
      </c>
      <c r="G56" s="30" t="inlineStr">
        <is>
          <t>smallcap</t>
        </is>
      </c>
      <c r="H56" s="31" t="n">
        <v>1914.95</v>
      </c>
      <c r="I56" s="31" t="n">
        <v>4019</v>
      </c>
      <c r="J56" s="31" t="n">
        <v>-0.25</v>
      </c>
      <c r="K56" s="31" t="n">
        <v>0</v>
      </c>
      <c r="L56" s="30" t="n">
        <v>93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73.66</v>
      </c>
      <c r="P56" s="31" t="n">
        <v>35.5</v>
      </c>
      <c r="Q56" s="31" t="n">
        <v>3233.4</v>
      </c>
      <c r="R56" s="30" t="inlineStr">
        <is>
          <t>Volume Spike &amp; Near 52W High Breakout</t>
        </is>
      </c>
      <c r="S56" s="30" t="inlineStr">
        <is>
          <t>Nifty Auto</t>
        </is>
      </c>
      <c r="T56" s="31" t="n">
        <v>23.47</v>
      </c>
      <c r="U56" s="31" t="n">
        <v>135.79</v>
      </c>
      <c r="V56" s="31" t="n">
        <v>90.97</v>
      </c>
      <c r="W56" s="31" t="n">
        <v>36.94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B2C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More than 1.2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20</t>
        </is>
      </c>
      <c r="CG56" s="30">
        <f>IF(CF56&gt;20,10,IF(CF56&gt;=10,5,2))</f>
        <v/>
      </c>
    </row>
    <row r="57">
      <c r="A57" s="30">
        <f>IF(B57=0,"",RANK(B57,$B$2:$B$97,0))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PRECWIRE</t>
        </is>
      </c>
      <c r="D57" s="33" t="inlineStr">
        <is>
          <t>Precision Wires India Ltd</t>
        </is>
      </c>
      <c r="E57" s="30" t="inlineStr">
        <is>
          <t>metals &amp; mining</t>
        </is>
      </c>
      <c r="F57" s="30" t="inlineStr">
        <is>
          <t>Copper Wires</t>
        </is>
      </c>
      <c r="G57" s="30" t="inlineStr">
        <is>
          <t>midcap</t>
        </is>
      </c>
      <c r="H57" s="31" t="n">
        <v>7711.75</v>
      </c>
      <c r="I57" s="31" t="n">
        <v>421.85</v>
      </c>
      <c r="J57" s="31" t="n">
        <v>1.85</v>
      </c>
      <c r="K57" s="31" t="n">
        <v>0</v>
      </c>
      <c r="L57" s="30" t="n">
        <v>79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61.97</v>
      </c>
      <c r="P57" s="31" t="n">
        <v>43.37</v>
      </c>
      <c r="Q57" s="31" t="n">
        <v>303.37</v>
      </c>
      <c r="R57" s="30" t="inlineStr">
        <is>
          <t>Volume Spike &amp; Near 52W High Breakout</t>
        </is>
      </c>
      <c r="S57" s="30" t="inlineStr">
        <is>
          <t>Nifty Metal</t>
        </is>
      </c>
      <c r="T57" s="31" t="n">
        <v>39.75</v>
      </c>
      <c r="U57" s="31" t="n">
        <v>133.08</v>
      </c>
      <c r="V57" s="31" t="n">
        <v>66.79000000000001</v>
      </c>
      <c r="W57" s="31" t="n">
        <v>23.23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Cyclical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Volatile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IF(B58=0,"",RANK(B58,$B$2:$B$97,0))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KINGFA</t>
        </is>
      </c>
      <c r="D58" s="33" t="inlineStr">
        <is>
          <t>Kingfa Science &amp; Technology (India) Ltd</t>
        </is>
      </c>
      <c r="E58" s="30" t="inlineStr">
        <is>
          <t>plastic products</t>
        </is>
      </c>
      <c r="F58" s="30" t="inlineStr">
        <is>
          <t>Plastics - Plastic &amp; Plastic Products</t>
        </is>
      </c>
      <c r="G58" s="30" t="inlineStr">
        <is>
          <t>midcap</t>
        </is>
      </c>
      <c r="H58" s="31" t="n">
        <v>8076.62</v>
      </c>
      <c r="I58" s="31" t="n">
        <v>5960</v>
      </c>
      <c r="J58" s="31" t="n">
        <v>4.41</v>
      </c>
      <c r="K58" s="31" t="n">
        <v>0</v>
      </c>
      <c r="L58" s="30" t="n">
        <v>64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69.22</v>
      </c>
      <c r="P58" s="31" t="n">
        <v>31.21</v>
      </c>
      <c r="Q58" s="31" t="n">
        <v>4750.7</v>
      </c>
      <c r="R58" s="30" t="inlineStr">
        <is>
          <t>Volume Spike &amp; Near 52W High Breakout</t>
        </is>
      </c>
      <c r="S58" s="30" t="inlineStr">
        <is>
          <t>Nifty Infra</t>
        </is>
      </c>
      <c r="T58" s="31" t="n">
        <v>3.79</v>
      </c>
      <c r="U58" s="31" t="n">
        <v>64.7</v>
      </c>
      <c r="V58" s="31" t="n">
        <v>58.69</v>
      </c>
      <c r="W58" s="31" t="n">
        <v>16.04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Between 1.5 to 2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19</t>
        </is>
      </c>
      <c r="CG58" s="30">
        <f>IF(CF58&gt;20,10,IF(CF58&gt;=10,5,2))</f>
        <v/>
      </c>
    </row>
    <row r="59">
      <c r="A59" s="30">
        <f>IF(B59=0,"",RANK(B59,$B$2:$B$97,0))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MOREPENLAB</t>
        </is>
      </c>
      <c r="D59" s="30" t="inlineStr">
        <is>
          <t>Morepen Laboratories Ltd</t>
        </is>
      </c>
      <c r="E59" s="30" t="inlineStr">
        <is>
          <t>healthcare</t>
        </is>
      </c>
      <c r="F59" s="30" t="inlineStr">
        <is>
          <t>Pharma - API &amp; CRAMS</t>
        </is>
      </c>
      <c r="G59" s="30" t="inlineStr">
        <is>
          <t>smallcap</t>
        </is>
      </c>
      <c r="H59" s="31" t="n">
        <v>4024.72</v>
      </c>
      <c r="I59" s="31" t="n">
        <v>73.45</v>
      </c>
      <c r="J59" s="31" t="n">
        <v>-4.47</v>
      </c>
      <c r="K59" s="31" t="n">
        <v>0</v>
      </c>
      <c r="L59" s="30" t="n">
        <v>86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69.31</v>
      </c>
      <c r="P59" s="31" t="n">
        <v>34.43</v>
      </c>
      <c r="Q59" s="31" t="n">
        <v>58.74</v>
      </c>
      <c r="R59" s="30" t="inlineStr">
        <is>
          <t>Earnings / Momentum Support</t>
        </is>
      </c>
      <c r="S59" s="30" t="inlineStr">
        <is>
          <t>Nifty Pharma</t>
        </is>
      </c>
      <c r="T59" s="31" t="n">
        <v>20.81</v>
      </c>
      <c r="U59" s="31" t="n">
        <v>59.03</v>
      </c>
      <c r="V59" s="31" t="n">
        <v>31.63</v>
      </c>
      <c r="W59" s="31" t="n">
        <v>28.52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IF(B60=0,"",RANK(B60,$B$2:$B$97,0))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SKYGOLD</t>
        </is>
      </c>
      <c r="D60" s="30" t="inlineStr">
        <is>
          <t>Sky Gold &amp; Diamonds Ltd</t>
        </is>
      </c>
      <c r="E60" s="30" t="inlineStr">
        <is>
          <t>consumer discretionary</t>
        </is>
      </c>
      <c r="F60" s="30" t="inlineStr">
        <is>
          <t>Diamond, Gems &amp; Jewellery</t>
        </is>
      </c>
      <c r="G60" s="30" t="inlineStr">
        <is>
          <t>midcap</t>
        </is>
      </c>
      <c r="H60" s="31" t="n">
        <v>12990.82</v>
      </c>
      <c r="I60" s="31" t="n">
        <v>838.8</v>
      </c>
      <c r="J60" s="31" t="n">
        <v>6.17</v>
      </c>
      <c r="K60" s="31" t="n">
        <v>0</v>
      </c>
      <c r="L60" s="30" t="n">
        <v>96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82.45999999999999</v>
      </c>
      <c r="P60" s="31" t="n">
        <v>61.11</v>
      </c>
      <c r="Q60" s="31" t="n">
        <v>645.14</v>
      </c>
      <c r="R60" s="30" t="inlineStr">
        <is>
          <t>Volume Spike &amp; Near 52W High Breakout</t>
        </is>
      </c>
      <c r="S60" s="30" t="inlineStr">
        <is>
          <t>Nifty 50</t>
        </is>
      </c>
      <c r="T60" s="31" t="n">
        <v>-0.79</v>
      </c>
      <c r="U60" s="31" t="n">
        <v>205</v>
      </c>
      <c r="V60" s="31" t="n">
        <v>207.44</v>
      </c>
      <c r="W60" s="31" t="n">
        <v>45.51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34</t>
        </is>
      </c>
      <c r="CG60" s="30">
        <f>IF(CF60&gt;20,10,IF(CF60&gt;=10,5,2))</f>
        <v/>
      </c>
    </row>
    <row r="61">
      <c r="A61" s="30">
        <f>IF(B61=0,"",RANK(B61,$B$2:$B$97,0))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TDPOWERSYS</t>
        </is>
      </c>
      <c r="D61" s="33" t="inlineStr">
        <is>
          <t>TD Power Systems Ltd</t>
        </is>
      </c>
      <c r="E61" s="30" t="inlineStr">
        <is>
          <t>industrials</t>
        </is>
      </c>
      <c r="F61" s="30" t="inlineStr">
        <is>
          <t>Capital Goods - Gensets/Turbines</t>
        </is>
      </c>
      <c r="G61" s="30" t="inlineStr">
        <is>
          <t>largecap</t>
        </is>
      </c>
      <c r="H61" s="31" t="n">
        <v>23184.3</v>
      </c>
      <c r="I61" s="31" t="n">
        <v>1484</v>
      </c>
      <c r="J61" s="31" t="n">
        <v>16.34</v>
      </c>
      <c r="K61" s="31" t="n">
        <v>0</v>
      </c>
      <c r="L61" s="30" t="n">
        <v>87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69.91</v>
      </c>
      <c r="P61" s="31" t="n">
        <v>32.5</v>
      </c>
      <c r="Q61" s="31" t="n">
        <v>1054.21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-0.79</v>
      </c>
      <c r="U61" s="31" t="n">
        <v>191.68</v>
      </c>
      <c r="V61" s="31" t="n">
        <v>194.01</v>
      </c>
      <c r="W61" s="31" t="n">
        <v>28.8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Less than 50%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25</t>
        </is>
      </c>
      <c r="CG61" s="30">
        <f>IF(CF61&gt;20,10,IF(CF61&gt;=10,5,2))</f>
        <v/>
      </c>
    </row>
    <row r="62">
      <c r="A62" s="30">
        <f>IF(B62=0,"",RANK(B62,$B$2:$B$97,0))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AARTIIND</t>
        </is>
      </c>
      <c r="D62" s="33" t="inlineStr">
        <is>
          <t>Aarti Industries Ltd</t>
        </is>
      </c>
      <c r="E62" s="30" t="inlineStr">
        <is>
          <t>chemicals</t>
        </is>
      </c>
      <c r="F62" s="30" t="inlineStr">
        <is>
          <t>Speciality Chemicals</t>
        </is>
      </c>
      <c r="G62" s="30" t="inlineStr">
        <is>
          <t>midcap</t>
        </is>
      </c>
      <c r="H62" s="31" t="n">
        <v>19307.94</v>
      </c>
      <c r="I62" s="31" t="n">
        <v>532.3</v>
      </c>
      <c r="J62" s="31" t="n">
        <v>5.34</v>
      </c>
      <c r="K62" s="31" t="n">
        <v>0</v>
      </c>
      <c r="L62" s="30" t="n">
        <v>44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65.75</v>
      </c>
      <c r="P62" s="31" t="n">
        <v>22.79</v>
      </c>
      <c r="Q62" s="31" t="n">
        <v>423.19</v>
      </c>
      <c r="R62" s="30" t="inlineStr">
        <is>
          <t>Near 52W High Breakout</t>
        </is>
      </c>
      <c r="S62" s="30" t="inlineStr">
        <is>
          <t>Nifty 50</t>
        </is>
      </c>
      <c r="T62" s="31" t="n">
        <v>-0.79</v>
      </c>
      <c r="U62" s="31" t="n">
        <v>41.54</v>
      </c>
      <c r="V62" s="31" t="n">
        <v>42.67</v>
      </c>
      <c r="W62" s="31" t="n">
        <v>10.11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Between 0.7 to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21</t>
        </is>
      </c>
      <c r="CG62" s="30">
        <f>IF(CF62&gt;20,10,IF(CF62&gt;=10,5,2))</f>
        <v/>
      </c>
    </row>
    <row r="63">
      <c r="A63" s="30">
        <f>IF(B63=0,"",RANK(B63,$B$2:$B$97,0))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KABRAEXTRU</t>
        </is>
      </c>
      <c r="D63" s="30" t="inlineStr">
        <is>
          <t>Kabra Extrusion Technik Ltd</t>
        </is>
      </c>
      <c r="E63" s="30" t="inlineStr">
        <is>
          <t>industrials</t>
        </is>
      </c>
      <c r="F63" s="30" t="inlineStr">
        <is>
          <t>Capital Goods - Engineering Heavy</t>
        </is>
      </c>
      <c r="G63" s="30" t="inlineStr">
        <is>
          <t>smallcap</t>
        </is>
      </c>
      <c r="H63" s="31" t="n">
        <v>1730.46</v>
      </c>
      <c r="I63" s="31" t="n">
        <v>494.8</v>
      </c>
      <c r="J63" s="31" t="n">
        <v>-2.73</v>
      </c>
      <c r="K63" s="31" t="n">
        <v>0</v>
      </c>
      <c r="L63" s="30" t="n">
        <v>94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83.68000000000001</v>
      </c>
      <c r="P63" s="31" t="n">
        <v>33.69</v>
      </c>
      <c r="Q63" s="31" t="n">
        <v>367.67</v>
      </c>
      <c r="R63" s="30" t="inlineStr">
        <is>
          <t>Volume Spike &amp; Near 52W High Breakout</t>
        </is>
      </c>
      <c r="S63" s="30" t="inlineStr">
        <is>
          <t>Nifty Infra</t>
        </is>
      </c>
      <c r="T63" s="31" t="n">
        <v>3.79</v>
      </c>
      <c r="U63" s="31" t="n">
        <v>70.19</v>
      </c>
      <c r="V63" s="31" t="n">
        <v>63.98</v>
      </c>
      <c r="W63" s="31" t="n">
        <v>39.16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IF(B64=0,"",RANK(B64,$B$2:$B$97,0))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AARTIPHARM</t>
        </is>
      </c>
      <c r="D64" s="33" t="inlineStr">
        <is>
          <t>Aarti Pharmalabs Ltd</t>
        </is>
      </c>
      <c r="E64" s="30" t="inlineStr">
        <is>
          <t>healthcare</t>
        </is>
      </c>
      <c r="F64" s="30" t="inlineStr">
        <is>
          <t>Pharma - API</t>
        </is>
      </c>
      <c r="G64" s="30" t="inlineStr">
        <is>
          <t>midcap</t>
        </is>
      </c>
      <c r="H64" s="31" t="n">
        <v>8106.78</v>
      </c>
      <c r="I64" s="31" t="n">
        <v>894</v>
      </c>
      <c r="J64" s="31" t="n">
        <v>1.17</v>
      </c>
      <c r="K64" s="31" t="n">
        <v>0</v>
      </c>
      <c r="L64" s="30" t="n">
        <v>40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69.23999999999999</v>
      </c>
      <c r="P64" s="31" t="n">
        <v>10.38</v>
      </c>
      <c r="Q64" s="31" t="n">
        <v>688.08</v>
      </c>
      <c r="R64" s="30" t="inlineStr">
        <is>
          <t>Volume Spike &amp; Near 52W High Breakout</t>
        </is>
      </c>
      <c r="S64" s="30" t="inlineStr">
        <is>
          <t>Nifty Pharma</t>
        </is>
      </c>
      <c r="T64" s="31" t="n">
        <v>20.81</v>
      </c>
      <c r="U64" s="31" t="n">
        <v>17.88</v>
      </c>
      <c r="V64" s="31" t="n">
        <v>-2.43</v>
      </c>
      <c r="W64" s="31" t="n">
        <v>8.83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22</t>
        </is>
      </c>
      <c r="CG64" s="30">
        <f>IF(CF64&gt;20,10,IF(CF64&gt;=10,5,2))</f>
        <v/>
      </c>
    </row>
    <row r="65">
      <c r="A65" s="30">
        <f>IF(B65=0,"",RANK(B65,$B$2:$B$97,0))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COFORGE</t>
        </is>
      </c>
      <c r="D65" s="30" t="inlineStr">
        <is>
          <t>Coforge Ltd</t>
        </is>
      </c>
      <c r="E65" s="30" t="inlineStr">
        <is>
          <t>i.t</t>
        </is>
      </c>
      <c r="F65" s="30" t="inlineStr">
        <is>
          <t>IT - Software</t>
        </is>
      </c>
      <c r="G65" s="30" t="inlineStr">
        <is>
          <t>largecap</t>
        </is>
      </c>
      <c r="H65" s="31" t="n">
        <v>79792.13</v>
      </c>
      <c r="I65" s="31" t="n">
        <v>1801.5</v>
      </c>
      <c r="J65" s="31" t="n">
        <v>-0.96</v>
      </c>
      <c r="K65" s="31" t="n">
        <v>0</v>
      </c>
      <c r="L65" s="30" t="n">
        <v>53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67.61</v>
      </c>
      <c r="P65" s="31" t="n">
        <v>11.26</v>
      </c>
      <c r="Q65" s="31" t="n">
        <v>1425.4</v>
      </c>
      <c r="R65" s="30" t="inlineStr">
        <is>
          <t>Earnings / Momentum Support</t>
        </is>
      </c>
      <c r="S65" s="30" t="inlineStr">
        <is>
          <t>Nifty IT</t>
        </is>
      </c>
      <c r="T65" s="31" t="n">
        <v>-10.05</v>
      </c>
      <c r="U65" s="31" t="n">
        <v>10.73</v>
      </c>
      <c r="V65" s="31" t="n">
        <v>23.1</v>
      </c>
      <c r="W65" s="31" t="n">
        <v>12.43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IF(B66=0,"",RANK(B66,$B$2:$B$97,0))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RATEGAIN</t>
        </is>
      </c>
      <c r="D66" s="30" t="inlineStr">
        <is>
          <t>Rategain Travel Technologies Ltd</t>
        </is>
      </c>
      <c r="E66" s="30" t="inlineStr">
        <is>
          <t>Technology</t>
        </is>
      </c>
      <c r="F66" s="30" t="inlineStr">
        <is>
          <t>IT Product Companies</t>
        </is>
      </c>
      <c r="G66" s="30" t="inlineStr">
        <is>
          <t>midcap</t>
        </is>
      </c>
      <c r="H66" s="31" t="n">
        <v>11067.41</v>
      </c>
      <c r="I66" s="31" t="n">
        <v>934.25</v>
      </c>
      <c r="J66" s="31" t="n">
        <v>2.79</v>
      </c>
      <c r="K66" s="31" t="n">
        <v>0</v>
      </c>
      <c r="L66" s="30" t="n">
        <v>83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70.33</v>
      </c>
      <c r="P66" s="31" t="n">
        <v>44.25</v>
      </c>
      <c r="Q66" s="31" t="n">
        <v>717.73</v>
      </c>
      <c r="R66" s="30" t="inlineStr">
        <is>
          <t>Near 52W High Breakout</t>
        </is>
      </c>
      <c r="S66" s="30" t="inlineStr">
        <is>
          <t>Nifty IT</t>
        </is>
      </c>
      <c r="T66" s="31" t="n">
        <v>-10.05</v>
      </c>
      <c r="U66" s="31" t="n">
        <v>90.88</v>
      </c>
      <c r="V66" s="31" t="n">
        <v>112.21</v>
      </c>
      <c r="W66" s="31" t="n">
        <v>26.8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IF(B67=0,"",RANK(B67,$B$2:$B$97,0))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3" t="inlineStr">
        <is>
          <t>LUMAXTECH</t>
        </is>
      </c>
      <c r="D67" s="33" t="inlineStr">
        <is>
          <t>Lumax Auto Technologies Ltd</t>
        </is>
      </c>
      <c r="E67" s="30" t="inlineStr">
        <is>
          <t>auto</t>
        </is>
      </c>
      <c r="F67" s="30" t="inlineStr">
        <is>
          <t>Auto Ancillaries - Diversified</t>
        </is>
      </c>
      <c r="G67" s="30" t="inlineStr">
        <is>
          <t>midcap</t>
        </is>
      </c>
      <c r="H67" s="31" t="n">
        <v>13733.78</v>
      </c>
      <c r="I67" s="31" t="n">
        <v>2015</v>
      </c>
      <c r="J67" s="31" t="n">
        <v>-2.95</v>
      </c>
      <c r="K67" s="31" t="n">
        <v>0</v>
      </c>
      <c r="L67" s="30" t="n">
        <v>71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67.97</v>
      </c>
      <c r="P67" s="31" t="n">
        <v>14.45</v>
      </c>
      <c r="Q67" s="31" t="n">
        <v>1529.67</v>
      </c>
      <c r="R67" s="30" t="inlineStr">
        <is>
          <t>Volume Spike &amp; Near 52W High Breakout</t>
        </is>
      </c>
      <c r="S67" s="30" t="inlineStr">
        <is>
          <t>Nifty Auto</t>
        </is>
      </c>
      <c r="T67" s="31" t="n">
        <v>23.47</v>
      </c>
      <c r="U67" s="31" t="n">
        <v>98.16</v>
      </c>
      <c r="V67" s="31" t="n">
        <v>60.49</v>
      </c>
      <c r="W67" s="31" t="n">
        <v>18.7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27</t>
        </is>
      </c>
      <c r="CG67" s="30">
        <f>IF(CF67&gt;20,10,IF(CF67&gt;=10,5,2))</f>
        <v/>
      </c>
    </row>
    <row r="68">
      <c r="A68" s="30">
        <f>IF(B68=0,"",RANK(B68,$B$2:$B$97,0))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JGCHEM</t>
        </is>
      </c>
      <c r="D68" s="30" t="inlineStr">
        <is>
          <t>JGChemicals Ltd</t>
        </is>
      </c>
      <c r="E68" s="30" t="inlineStr">
        <is>
          <t>chemicals</t>
        </is>
      </c>
      <c r="F68" s="30" t="inlineStr">
        <is>
          <t>Chemicals - Inorganic</t>
        </is>
      </c>
      <c r="G68" s="30" t="inlineStr">
        <is>
          <t>smallcap</t>
        </is>
      </c>
      <c r="H68" s="31" t="n">
        <v>2374.68</v>
      </c>
      <c r="I68" s="31" t="n">
        <v>606</v>
      </c>
      <c r="J68" s="31" t="n">
        <v>-2.63</v>
      </c>
      <c r="K68" s="31" t="n">
        <v>0</v>
      </c>
      <c r="L68" s="30" t="n">
        <v>67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77.61</v>
      </c>
      <c r="P68" s="31" t="n">
        <v>31.29</v>
      </c>
      <c r="Q68" s="31" t="n">
        <v>470.73</v>
      </c>
      <c r="R68" s="30" t="inlineStr">
        <is>
          <t>Volume Spike &amp; Near 52W High Breakout</t>
        </is>
      </c>
      <c r="S68" s="30" t="inlineStr">
        <is>
          <t>Nifty 50</t>
        </is>
      </c>
      <c r="T68" s="31" t="n">
        <v>-0.79</v>
      </c>
      <c r="U68" s="31" t="n">
        <v>19.19</v>
      </c>
      <c r="V68" s="31" t="n">
        <v>20.14</v>
      </c>
      <c r="W68" s="31" t="n">
        <v>17.03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Between 12 to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25</t>
        </is>
      </c>
      <c r="CG68" s="30">
        <f>IF(CF68&gt;20,10,IF(CF68&gt;=10,5,2))</f>
        <v/>
      </c>
    </row>
    <row r="69">
      <c r="A69" s="30">
        <f>IF(B69=0,"",RANK(B69,$B$2:$B$97,0))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BOSCH-HCIL</t>
        </is>
      </c>
      <c r="D69" s="30" t="inlineStr">
        <is>
          <t>Bosch Home Comfort India Ltd</t>
        </is>
      </c>
      <c r="E69" s="30" t="inlineStr">
        <is>
          <t>consumer discretionary</t>
        </is>
      </c>
      <c r="F69" s="30" t="inlineStr">
        <is>
          <t>Consumer Electronics</t>
        </is>
      </c>
      <c r="G69" s="30" t="inlineStr">
        <is>
          <t>smallcap</t>
        </is>
      </c>
      <c r="H69" s="31" t="n">
        <v>4629.25</v>
      </c>
      <c r="I69" s="31" t="n">
        <v>1702.5</v>
      </c>
      <c r="J69" s="31" t="n">
        <v>0.34</v>
      </c>
      <c r="K69" s="31" t="n">
        <v>0</v>
      </c>
      <c r="L69" s="30" t="n">
        <v>25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69.45</v>
      </c>
      <c r="P69" s="31" t="n">
        <v>17.51</v>
      </c>
      <c r="Q69" s="31" t="n">
        <v>1384.82</v>
      </c>
      <c r="R69" s="30" t="inlineStr">
        <is>
          <t>Near 52W High Breakout</t>
        </is>
      </c>
      <c r="S69" s="30" t="inlineStr">
        <is>
          <t>Nifty 50</t>
        </is>
      </c>
      <c r="T69" s="31" t="n">
        <v>-0.79</v>
      </c>
      <c r="U69" s="31" t="n">
        <v>-0.49</v>
      </c>
      <c r="V69" s="31" t="n">
        <v>0.3</v>
      </c>
      <c r="W69" s="31" t="n">
        <v>5.58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Less than 12%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21</t>
        </is>
      </c>
      <c r="CG69" s="30">
        <f>IF(CF69&gt;20,10,IF(CF69&gt;=10,5,2))</f>
        <v/>
      </c>
    </row>
    <row r="70">
      <c r="A70" s="30">
        <f>IF(B70=0,"",RANK(B70,$B$2:$B$97,0))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MMFL</t>
        </is>
      </c>
      <c r="D70" s="30" t="inlineStr">
        <is>
          <t>M M Forgings Ltd</t>
        </is>
      </c>
      <c r="E70" s="30" t="inlineStr">
        <is>
          <t>industrials</t>
        </is>
      </c>
      <c r="F70" s="30" t="inlineStr">
        <is>
          <t>Castings, Forgings &amp; Fastners</t>
        </is>
      </c>
      <c r="G70" s="30" t="inlineStr">
        <is>
          <t>smallcap</t>
        </is>
      </c>
      <c r="H70" s="31" t="n">
        <v>3090.02</v>
      </c>
      <c r="I70" s="31" t="n">
        <v>640</v>
      </c>
      <c r="J70" s="31" t="n">
        <v>-0.49</v>
      </c>
      <c r="K70" s="31" t="n">
        <v>0</v>
      </c>
      <c r="L70" s="30" t="n">
        <v>85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77.22</v>
      </c>
      <c r="P70" s="31" t="n">
        <v>21.15</v>
      </c>
      <c r="Q70" s="31" t="n">
        <v>499.69</v>
      </c>
      <c r="R70" s="30" t="inlineStr">
        <is>
          <t>Near 52W High Breakout</t>
        </is>
      </c>
      <c r="S70" s="30" t="inlineStr">
        <is>
          <t>Nifty 50</t>
        </is>
      </c>
      <c r="T70" s="31" t="n">
        <v>-0.79</v>
      </c>
      <c r="U70" s="31" t="n">
        <v>115.46</v>
      </c>
      <c r="V70" s="31" t="n">
        <v>117.19</v>
      </c>
      <c r="W70" s="31" t="n">
        <v>27.87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More than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21</t>
        </is>
      </c>
      <c r="CG70" s="30">
        <f>IF(CF70&gt;20,10,IF(CF70&gt;=10,5,2))</f>
        <v/>
      </c>
    </row>
    <row r="71">
      <c r="A71" s="30">
        <f>IF(B71=0,"",RANK(B71,$B$2:$B$97,0))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ASKAUTOLTD</t>
        </is>
      </c>
      <c r="D71" s="30" t="inlineStr">
        <is>
          <t>ASK Automotive Ltd</t>
        </is>
      </c>
      <c r="E71" s="30" t="inlineStr">
        <is>
          <t>auto</t>
        </is>
      </c>
      <c r="F71" s="30" t="inlineStr">
        <is>
          <t>Auto Ancillaries - 2 Wheelers</t>
        </is>
      </c>
      <c r="G71" s="30" t="inlineStr">
        <is>
          <t>midcap</t>
        </is>
      </c>
      <c r="H71" s="31" t="n">
        <v>12853.7</v>
      </c>
      <c r="I71" s="31" t="n">
        <v>652</v>
      </c>
      <c r="J71" s="31" t="n">
        <v>-0.34</v>
      </c>
      <c r="K71" s="31" t="n">
        <v>0</v>
      </c>
      <c r="L71" s="30" t="n">
        <v>69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80.73999999999999</v>
      </c>
      <c r="P71" s="31" t="n">
        <v>19.56</v>
      </c>
      <c r="Q71" s="31" t="n">
        <v>526.66</v>
      </c>
      <c r="R71" s="30" t="inlineStr">
        <is>
          <t>Near 52W High Breakout</t>
        </is>
      </c>
      <c r="S71" s="30" t="inlineStr">
        <is>
          <t>Nifty Auto</t>
        </is>
      </c>
      <c r="T71" s="31" t="n">
        <v>23.47</v>
      </c>
      <c r="U71" s="31" t="n">
        <v>28.58</v>
      </c>
      <c r="V71" s="31" t="n">
        <v>4.14</v>
      </c>
      <c r="W71" s="31" t="n">
        <v>17.81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21</t>
        </is>
      </c>
      <c r="CG71" s="30">
        <f>IF(CF71&gt;20,10,IF(CF71&gt;=10,5,2))</f>
        <v/>
      </c>
    </row>
    <row r="72">
      <c r="A72" s="30">
        <f>IF(B72=0,"",RANK(B72,$B$2:$B$97,0))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COMSYN</t>
        </is>
      </c>
      <c r="D72" s="30" t="inlineStr">
        <is>
          <t>Commercial Syn Bags Ltd</t>
        </is>
      </c>
      <c r="E72" s="30" t="inlineStr">
        <is>
          <t>industrials</t>
        </is>
      </c>
      <c r="F72" s="30" t="inlineStr">
        <is>
          <t>Packaging - Polysacks</t>
        </is>
      </c>
      <c r="G72" s="30" t="inlineStr">
        <is>
          <t>smallcap</t>
        </is>
      </c>
      <c r="H72" s="31" t="n">
        <v>1082.3</v>
      </c>
      <c r="I72" s="31" t="n">
        <v>268.3</v>
      </c>
      <c r="J72" s="31" t="n">
        <v>0.28</v>
      </c>
      <c r="K72" s="31" t="n">
        <v>0</v>
      </c>
      <c r="L72" s="30" t="n">
        <v>90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79.53</v>
      </c>
      <c r="P72" s="31" t="n">
        <v>59.52</v>
      </c>
      <c r="Q72" s="31" t="n">
        <v>200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-0.79</v>
      </c>
      <c r="U72" s="31" t="n">
        <v>90.75</v>
      </c>
      <c r="V72" s="31" t="n">
        <v>92.27</v>
      </c>
      <c r="W72" s="31" t="n">
        <v>33.07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20</t>
        </is>
      </c>
      <c r="CG72" s="30">
        <f>IF(CF72&gt;20,10,IF(CF72&gt;=10,5,2))</f>
        <v/>
      </c>
    </row>
    <row r="73">
      <c r="A73" s="30">
        <f>IF(B73=0,"",RANK(B73,$B$2:$B$97,0))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KAPSTON</t>
        </is>
      </c>
      <c r="D73" s="30" t="inlineStr">
        <is>
          <t>Kapston Services Ltd</t>
        </is>
      </c>
      <c r="E73" s="30" t="inlineStr">
        <is>
          <t>miscellaneous</t>
        </is>
      </c>
      <c r="F73" s="30" t="inlineStr">
        <is>
          <t>Services - Others</t>
        </is>
      </c>
      <c r="G73" s="30" t="inlineStr">
        <is>
          <t>smallcap</t>
        </is>
      </c>
      <c r="H73" s="31" t="n">
        <v>1778.76</v>
      </c>
      <c r="I73" s="31" t="n">
        <v>584.5</v>
      </c>
      <c r="J73" s="31" t="n">
        <v>3.75</v>
      </c>
      <c r="K73" s="31" t="n">
        <v>0</v>
      </c>
      <c r="L73" s="30" t="n">
        <v>93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83.81</v>
      </c>
      <c r="P73" s="31" t="n">
        <v>30.19</v>
      </c>
      <c r="Q73" s="31" t="n">
        <v>453.74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-0.79</v>
      </c>
      <c r="U73" s="31" t="n">
        <v>136.13</v>
      </c>
      <c r="V73" s="31" t="n">
        <v>138.01</v>
      </c>
      <c r="W73" s="31" t="n">
        <v>37.99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Between 1.5 to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More than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IF(B74=0,"",RANK(B74,$B$2:$B$97,0))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BHEL</t>
        </is>
      </c>
      <c r="D74" s="30" t="inlineStr">
        <is>
          <t>Bharat Heavy Electricals Ltd</t>
        </is>
      </c>
      <c r="E74" s="30" t="inlineStr">
        <is>
          <t>industrials</t>
        </is>
      </c>
      <c r="F74" s="30" t="inlineStr">
        <is>
          <t>Capital Goods - Engineering Heavy</t>
        </is>
      </c>
      <c r="G74" s="30" t="inlineStr">
        <is>
          <t>largecap</t>
        </is>
      </c>
      <c r="H74" s="31" t="n">
        <v>146246.66</v>
      </c>
      <c r="I74" s="31" t="n">
        <v>420</v>
      </c>
      <c r="J74" s="31" t="n">
        <v>4.22</v>
      </c>
      <c r="K74" s="31" t="n">
        <v>0</v>
      </c>
      <c r="L74" s="30" t="n">
        <v>67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65.37</v>
      </c>
      <c r="P74" s="31" t="n">
        <v>41.88</v>
      </c>
      <c r="Q74" s="31" t="n">
        <v>339.24</v>
      </c>
      <c r="R74" s="30" t="inlineStr">
        <is>
          <t>Near 52W High Breakout</t>
        </is>
      </c>
      <c r="S74" s="30" t="inlineStr">
        <is>
          <t>Nifty 50</t>
        </is>
      </c>
      <c r="T74" s="31" t="n">
        <v>-0.79</v>
      </c>
      <c r="U74" s="31" t="n">
        <v>90.37</v>
      </c>
      <c r="V74" s="31" t="n">
        <v>91.90000000000001</v>
      </c>
      <c r="W74" s="31" t="n">
        <v>17.07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20</t>
        </is>
      </c>
      <c r="CG74" s="30">
        <f>IF(CF74&gt;20,10,IF(CF74&gt;=10,5,2))</f>
        <v/>
      </c>
    </row>
    <row r="75">
      <c r="A75" s="30">
        <f>IF(B75=0,"",RANK(B75,$B$2:$B$97,0))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MAHLIFE</t>
        </is>
      </c>
      <c r="D75" s="30" t="inlineStr">
        <is>
          <t>Mahindra Lifespace Developers Ltd</t>
        </is>
      </c>
      <c r="E75" s="30" t="inlineStr">
        <is>
          <t>Real Estate</t>
        </is>
      </c>
      <c r="F75" s="30" t="inlineStr">
        <is>
          <t>Construction &amp; Contracting</t>
        </is>
      </c>
      <c r="G75" s="30" t="inlineStr">
        <is>
          <t>midcap</t>
        </is>
      </c>
      <c r="H75" s="31" t="n">
        <v>8155.14</v>
      </c>
      <c r="I75" s="31" t="n">
        <v>382.2</v>
      </c>
      <c r="J75" s="31" t="n">
        <v>-0.12</v>
      </c>
      <c r="K75" s="31" t="n">
        <v>0</v>
      </c>
      <c r="L75" s="30" t="n">
        <v>26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58.87</v>
      </c>
      <c r="P75" s="31" t="n">
        <v>15.52</v>
      </c>
      <c r="Q75" s="31" t="n">
        <v>320.95</v>
      </c>
      <c r="R75" s="30" t="inlineStr">
        <is>
          <t>Earnings / Momentum Support</t>
        </is>
      </c>
      <c r="S75" s="30" t="inlineStr">
        <is>
          <t>Nifty Realty</t>
        </is>
      </c>
      <c r="T75" s="31" t="n">
        <v>-6.4</v>
      </c>
      <c r="U75" s="31" t="n">
        <v>4.46</v>
      </c>
      <c r="V75" s="31" t="n">
        <v>11.59</v>
      </c>
      <c r="W75" s="31" t="n">
        <v>5.78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20</t>
        </is>
      </c>
      <c r="CG75" s="30">
        <f>IF(CF75&gt;20,10,IF(CF75&gt;=10,5,2))</f>
        <v/>
      </c>
    </row>
    <row r="76">
      <c r="A76" s="30">
        <f>IF(B76=0,"",RANK(B76,$B$2:$B$97,0))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EMIL</t>
        </is>
      </c>
      <c r="D76" s="30" t="inlineStr">
        <is>
          <t>Electronics Mart India Ltd</t>
        </is>
      </c>
      <c r="E76" s="30" t="inlineStr">
        <is>
          <t>consumer discretionary</t>
        </is>
      </c>
      <c r="F76" s="30" t="inlineStr">
        <is>
          <t>Retail - Electronics</t>
        </is>
      </c>
      <c r="G76" s="30" t="inlineStr">
        <is>
          <t>midcap</t>
        </is>
      </c>
      <c r="H76" s="31" t="n">
        <v>7425.65</v>
      </c>
      <c r="I76" s="31" t="n">
        <v>193</v>
      </c>
      <c r="J76" s="31" t="n">
        <v>4.47</v>
      </c>
      <c r="K76" s="31" t="n">
        <v>0</v>
      </c>
      <c r="L76" s="30" t="n">
        <v>82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78.17</v>
      </c>
      <c r="P76" s="31" t="n">
        <v>26.83</v>
      </c>
      <c r="Q76" s="31" t="n">
        <v>148.71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-0.79</v>
      </c>
      <c r="U76" s="31" t="n">
        <v>62.4</v>
      </c>
      <c r="V76" s="31" t="n">
        <v>63.7</v>
      </c>
      <c r="W76" s="31" t="n">
        <v>25.71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B2C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More than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32</t>
        </is>
      </c>
      <c r="CG76" s="30">
        <f>IF(CF76&gt;20,10,IF(CF76&gt;=10,5,2))</f>
        <v/>
      </c>
    </row>
    <row r="77">
      <c r="A77" s="30">
        <f>IF(B77=0,"",RANK(B77,$B$2:$B$97,0))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SOTL</t>
        </is>
      </c>
      <c r="D77" s="30" t="inlineStr">
        <is>
          <t>Savita Oil Technologies Ltd</t>
        </is>
      </c>
      <c r="E77" s="30" t="inlineStr">
        <is>
          <t>energy</t>
        </is>
      </c>
      <c r="F77" s="30" t="inlineStr">
        <is>
          <t>Petrochem - Others</t>
        </is>
      </c>
      <c r="G77" s="30" t="inlineStr">
        <is>
          <t>smallcap</t>
        </is>
      </c>
      <c r="H77" s="31" t="n">
        <v>4799.23</v>
      </c>
      <c r="I77" s="31" t="n">
        <v>700</v>
      </c>
      <c r="J77" s="31" t="n">
        <v>-0.01</v>
      </c>
      <c r="K77" s="31" t="n">
        <v>0</v>
      </c>
      <c r="L77" s="30" t="n">
        <v>91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65.48</v>
      </c>
      <c r="P77" s="31" t="n">
        <v>50.07</v>
      </c>
      <c r="Q77" s="31" t="n">
        <v>544.23</v>
      </c>
      <c r="R77" s="30" t="inlineStr">
        <is>
          <t>Earnings / Momentum Support</t>
        </is>
      </c>
      <c r="S77" s="30" t="inlineStr">
        <is>
          <t>Nifty Energy</t>
        </is>
      </c>
      <c r="T77" s="31" t="n">
        <v>10</v>
      </c>
      <c r="U77" s="31" t="n">
        <v>73.95999999999999</v>
      </c>
      <c r="V77" s="31" t="n">
        <v>58.14</v>
      </c>
      <c r="W77" s="31" t="n">
        <v>34.58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26</t>
        </is>
      </c>
      <c r="CG77" s="30">
        <f>IF(CF77&gt;20,10,IF(CF77&gt;=10,5,2))</f>
        <v/>
      </c>
    </row>
    <row r="78">
      <c r="A78" s="30">
        <f>IF(B78=0,"",RANK(B78,$B$2:$B$97,0))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PAYTM</t>
        </is>
      </c>
      <c r="D78" s="30" t="inlineStr">
        <is>
          <t>One 97 Communications Ltd</t>
        </is>
      </c>
      <c r="E78" s="30" t="inlineStr">
        <is>
          <t>i.t</t>
        </is>
      </c>
      <c r="F78" s="30" t="inlineStr">
        <is>
          <t>E-Commerce - Platform - Utility</t>
        </is>
      </c>
      <c r="G78" s="30" t="inlineStr">
        <is>
          <t>largecap</t>
        </is>
      </c>
      <c r="H78" s="31" t="n">
        <v>103222.43</v>
      </c>
      <c r="I78" s="31" t="n">
        <v>1610</v>
      </c>
      <c r="J78" s="31" t="n">
        <v>1.02</v>
      </c>
      <c r="K78" s="31" t="n">
        <v>0</v>
      </c>
      <c r="L78" s="30" t="n">
        <v>67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73.70999999999999</v>
      </c>
      <c r="P78" s="31" t="n">
        <v>18.51</v>
      </c>
      <c r="Q78" s="31" t="n">
        <v>1287.66</v>
      </c>
      <c r="R78" s="30" t="inlineStr">
        <is>
          <t>Volume Spike &amp; Near 52W High Breakout</t>
        </is>
      </c>
      <c r="S78" s="30" t="inlineStr">
        <is>
          <t>Nifty IT</t>
        </is>
      </c>
      <c r="T78" s="31" t="n">
        <v>-10.05</v>
      </c>
      <c r="U78" s="31" t="n">
        <v>39.84</v>
      </c>
      <c r="V78" s="31" t="n">
        <v>55.47</v>
      </c>
      <c r="W78" s="31" t="n">
        <v>16.93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22</t>
        </is>
      </c>
      <c r="CG78" s="30">
        <f>IF(CF78&gt;20,10,IF(CF78&gt;=10,5,2))</f>
        <v/>
      </c>
    </row>
    <row r="79">
      <c r="A79" s="30">
        <f>IF(B79=0,"",RANK(B79,$B$2:$B$97,0))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DOLPHIN</t>
        </is>
      </c>
      <c r="D79" s="33" t="inlineStr">
        <is>
          <t>Dolphin Offshore Enterprises (India) Ltd</t>
        </is>
      </c>
      <c r="E79" s="30" t="inlineStr">
        <is>
          <t>energy</t>
        </is>
      </c>
      <c r="F79" s="30" t="inlineStr">
        <is>
          <t>Oil Drilling &amp; Exploration</t>
        </is>
      </c>
      <c r="G79" s="30" t="inlineStr">
        <is>
          <t>smallcap</t>
        </is>
      </c>
      <c r="H79" s="31" t="n">
        <v>1988.63</v>
      </c>
      <c r="I79" s="31" t="n">
        <v>497.1</v>
      </c>
      <c r="J79" s="31" t="n">
        <v>12.84</v>
      </c>
      <c r="K79" s="31" t="n">
        <v>0</v>
      </c>
      <c r="L79" s="30" t="n">
        <v>32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70.34</v>
      </c>
      <c r="P79" s="31" t="n">
        <v>27.56</v>
      </c>
      <c r="Q79" s="31" t="n">
        <v>369.24</v>
      </c>
      <c r="R79" s="30" t="inlineStr">
        <is>
          <t>Volume Spike &amp; Near 52W High Breakout</t>
        </is>
      </c>
      <c r="S79" s="30" t="inlineStr">
        <is>
          <t>Nifty Energy</t>
        </is>
      </c>
      <c r="T79" s="31" t="n">
        <v>10</v>
      </c>
      <c r="U79" s="31" t="n">
        <v>11.88</v>
      </c>
      <c r="V79" s="31" t="n">
        <v>1.71</v>
      </c>
      <c r="W79" s="31" t="n">
        <v>6.93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IF(B80=0,"",RANK(B80,$B$2:$B$97,0))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AURUM</t>
        </is>
      </c>
      <c r="D80" s="30" t="inlineStr">
        <is>
          <t>Aurum Proptech Ltd</t>
        </is>
      </c>
      <c r="E80" s="30" t="inlineStr">
        <is>
          <t>Real Estate</t>
        </is>
      </c>
      <c r="F80" s="30" t="inlineStr">
        <is>
          <t>IT Enabled Services</t>
        </is>
      </c>
      <c r="G80" s="30" t="inlineStr">
        <is>
          <t>smallcap</t>
        </is>
      </c>
      <c r="H80" s="31" t="n">
        <v>1621.45</v>
      </c>
      <c r="I80" s="31" t="n">
        <v>224.97</v>
      </c>
      <c r="J80" s="31" t="n">
        <v>-1.57</v>
      </c>
      <c r="K80" s="31" t="n">
        <v>0</v>
      </c>
      <c r="L80" s="30" t="n">
        <v>39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62.89</v>
      </c>
      <c r="P80" s="31" t="n">
        <v>46.1</v>
      </c>
      <c r="Q80" s="31" t="n">
        <v>181.99</v>
      </c>
      <c r="R80" s="30" t="inlineStr">
        <is>
          <t>Earnings / Momentum Support</t>
        </is>
      </c>
      <c r="S80" s="30" t="inlineStr">
        <is>
          <t>Nifty Realty</t>
        </is>
      </c>
      <c r="T80" s="31" t="n">
        <v>-6.4</v>
      </c>
      <c r="U80" s="31" t="n">
        <v>15.4</v>
      </c>
      <c r="V80" s="31" t="n">
        <v>23.29</v>
      </c>
      <c r="W80" s="31" t="n">
        <v>8.57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IF(B81=0,"",RANK(B81,$B$2:$B$97,0))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PANAMAPET</t>
        </is>
      </c>
      <c r="D81" s="33" t="inlineStr">
        <is>
          <t>Panama Petrochem Ltd</t>
        </is>
      </c>
      <c r="E81" s="30" t="inlineStr">
        <is>
          <t>Energy</t>
        </is>
      </c>
      <c r="F81" s="30" t="inlineStr">
        <is>
          <t>Speciality Chemicals</t>
        </is>
      </c>
      <c r="G81" s="30" t="inlineStr">
        <is>
          <t>smallcap</t>
        </is>
      </c>
      <c r="H81" s="31" t="n">
        <v>2894.62</v>
      </c>
      <c r="I81" s="31" t="n">
        <v>478.5</v>
      </c>
      <c r="J81" s="31" t="n">
        <v>-12.28</v>
      </c>
      <c r="K81" s="31" t="n">
        <v>0</v>
      </c>
      <c r="L81" s="30" t="n">
        <v>83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62.76</v>
      </c>
      <c r="P81" s="31" t="n">
        <v>53.12</v>
      </c>
      <c r="Q81" s="31" t="n">
        <v>333</v>
      </c>
      <c r="R81" s="30" t="inlineStr">
        <is>
          <t>Volume Spike &amp; Near 52W High Breakout</t>
        </is>
      </c>
      <c r="S81" s="30" t="inlineStr">
        <is>
          <t>Nifty Energy</t>
        </is>
      </c>
      <c r="T81" s="31" t="n">
        <v>10</v>
      </c>
      <c r="U81" s="31" t="n">
        <v>40.82</v>
      </c>
      <c r="V81" s="31" t="n">
        <v>28.01</v>
      </c>
      <c r="W81" s="31" t="n">
        <v>26.68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Oligopoly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Negative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IF(B82=0,"",RANK(B82,$B$2:$B$97,0))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INDOTECH</t>
        </is>
      </c>
      <c r="D82" s="33" t="inlineStr">
        <is>
          <t>Indo Tech Transformers Ltd</t>
        </is>
      </c>
      <c r="E82" s="30" t="inlineStr">
        <is>
          <t>industrials</t>
        </is>
      </c>
      <c r="F82" s="30" t="inlineStr">
        <is>
          <t>Capital Goods - Transformers</t>
        </is>
      </c>
      <c r="G82" s="30" t="inlineStr">
        <is>
          <t>smallcap</t>
        </is>
      </c>
      <c r="H82" s="31" t="n">
        <v>3758.42</v>
      </c>
      <c r="I82" s="31" t="n">
        <v>3539</v>
      </c>
      <c r="J82" s="31" t="n">
        <v>-5</v>
      </c>
      <c r="K82" s="31" t="n">
        <v>0</v>
      </c>
      <c r="L82" s="30" t="n">
        <v>89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70.45999999999999</v>
      </c>
      <c r="P82" s="31" t="n">
        <v>49.93</v>
      </c>
      <c r="Q82" s="31" t="n">
        <v>2821.63</v>
      </c>
      <c r="R82" s="30" t="inlineStr">
        <is>
          <t>Earnings / Momentum Support</t>
        </is>
      </c>
      <c r="S82" s="30" t="inlineStr">
        <is>
          <t>Nifty Infra</t>
        </is>
      </c>
      <c r="T82" s="31" t="n">
        <v>3.79</v>
      </c>
      <c r="U82" s="31" t="n">
        <v>91.01000000000001</v>
      </c>
      <c r="V82" s="31" t="n">
        <v>84.04000000000001</v>
      </c>
      <c r="W82" s="31" t="n">
        <v>30.84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Between 12 to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IF(B83=0,"",RANK(B83,$B$2:$B$97,0))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KOLTEPATIL</t>
        </is>
      </c>
      <c r="D83" s="30" t="inlineStr">
        <is>
          <t>Kolte Patil Developers Ltd</t>
        </is>
      </c>
      <c r="E83" s="30" t="inlineStr">
        <is>
          <t>realty</t>
        </is>
      </c>
      <c r="F83" s="30" t="inlineStr">
        <is>
          <t>Realty - Construction &amp; Contracting</t>
        </is>
      </c>
      <c r="G83" s="30" t="inlineStr">
        <is>
          <t>smallcap</t>
        </is>
      </c>
      <c r="H83" s="31" t="n">
        <v>4388.78</v>
      </c>
      <c r="I83" s="31" t="n">
        <v>494.9</v>
      </c>
      <c r="J83" s="31" t="n">
        <v>-4.2</v>
      </c>
      <c r="K83" s="31" t="n">
        <v>0</v>
      </c>
      <c r="L83" s="30" t="n">
        <v>41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73.95</v>
      </c>
      <c r="P83" s="31" t="n">
        <v>15.98</v>
      </c>
      <c r="Q83" s="31" t="n">
        <v>381.61</v>
      </c>
      <c r="R83" s="30" t="inlineStr">
        <is>
          <t>Volume Spike &amp; Near 52W High Breakout</t>
        </is>
      </c>
      <c r="S83" s="30" t="inlineStr">
        <is>
          <t>Nifty Realty</t>
        </is>
      </c>
      <c r="T83" s="31" t="n">
        <v>-6.4</v>
      </c>
      <c r="U83" s="31" t="n">
        <v>10.69</v>
      </c>
      <c r="V83" s="31" t="n">
        <v>18.26</v>
      </c>
      <c r="W83" s="31" t="n">
        <v>9.34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26</t>
        </is>
      </c>
      <c r="CG83" s="30">
        <f>IF(CF83&gt;20,10,IF(CF83&gt;=10,5,2))</f>
        <v/>
      </c>
    </row>
    <row r="84">
      <c r="A84" s="30">
        <f>IF(B84=0,"",RANK(B84,$B$2:$B$97,0))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RAMRAT</t>
        </is>
      </c>
      <c r="D84" s="33" t="inlineStr">
        <is>
          <t>Ram Ratna Wires Ltd</t>
        </is>
      </c>
      <c r="E84" s="30" t="inlineStr">
        <is>
          <t>metals &amp; mining</t>
        </is>
      </c>
      <c r="F84" s="30" t="inlineStr">
        <is>
          <t>Copper Wires</t>
        </is>
      </c>
      <c r="G84" s="30" t="inlineStr">
        <is>
          <t>smallcap</t>
        </is>
      </c>
      <c r="H84" s="31" t="n">
        <v>4420.08</v>
      </c>
      <c r="I84" s="31" t="n">
        <v>473.5</v>
      </c>
      <c r="J84" s="31" t="n">
        <v>5.34</v>
      </c>
      <c r="K84" s="31" t="n">
        <v>0</v>
      </c>
      <c r="L84" s="30" t="n">
        <v>53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69.37</v>
      </c>
      <c r="P84" s="31" t="n">
        <v>42.69</v>
      </c>
      <c r="Q84" s="31" t="n">
        <v>355.53</v>
      </c>
      <c r="R84" s="30" t="inlineStr">
        <is>
          <t>Near 52W High Breakout</t>
        </is>
      </c>
      <c r="S84" s="30" t="inlineStr">
        <is>
          <t>Nifty Metal</t>
        </is>
      </c>
      <c r="T84" s="31" t="n">
        <v>39.75</v>
      </c>
      <c r="U84" s="31" t="n">
        <v>36.21</v>
      </c>
      <c r="V84" s="31" t="n">
        <v>-2.53</v>
      </c>
      <c r="W84" s="31" t="n">
        <v>12.54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21</t>
        </is>
      </c>
      <c r="CG84" s="30">
        <f>IF(CF84&gt;20,10,IF(CF84&gt;=10,5,2))</f>
        <v/>
      </c>
    </row>
    <row r="85">
      <c r="A85" s="30">
        <f>IF(B85=0,"",RANK(B85,$B$2:$B$97,0))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NAVINFLUOR</t>
        </is>
      </c>
      <c r="D85" s="30" t="inlineStr">
        <is>
          <t>Navin Fluorine International Ltd</t>
        </is>
      </c>
      <c r="E85" s="30" t="inlineStr">
        <is>
          <t>chemicals</t>
        </is>
      </c>
      <c r="F85" s="30" t="inlineStr">
        <is>
          <t>Chemicals - Flourine</t>
        </is>
      </c>
      <c r="G85" s="30" t="inlineStr">
        <is>
          <t>largecap</t>
        </is>
      </c>
      <c r="H85" s="31" t="n">
        <v>42853.77</v>
      </c>
      <c r="I85" s="31" t="n">
        <v>8352.5</v>
      </c>
      <c r="J85" s="31" t="n">
        <v>2.41</v>
      </c>
      <c r="K85" s="31" t="n">
        <v>0</v>
      </c>
      <c r="L85" s="30" t="n">
        <v>61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75.13</v>
      </c>
      <c r="P85" s="31" t="n">
        <v>55.5</v>
      </c>
      <c r="Q85" s="31" t="n">
        <v>6894.32</v>
      </c>
      <c r="R85" s="30" t="inlineStr">
        <is>
          <t>Near 52W High Breakout</t>
        </is>
      </c>
      <c r="S85" s="30" t="inlineStr">
        <is>
          <t>Nifty 50</t>
        </is>
      </c>
      <c r="T85" s="31" t="n">
        <v>-0.79</v>
      </c>
      <c r="U85" s="31" t="n">
        <v>67.58</v>
      </c>
      <c r="V85" s="31" t="n">
        <v>68.92</v>
      </c>
      <c r="W85" s="31" t="n">
        <v>15.07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Shallow Cyclical (2 to 3 Years Growth)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23</t>
        </is>
      </c>
      <c r="CG85" s="30">
        <f>IF(CF85&gt;20,10,IF(CF85&gt;=10,5,2))</f>
        <v/>
      </c>
    </row>
    <row r="86">
      <c r="A86" s="30">
        <f>IF(B86=0,"",RANK(B86,$B$2:$B$97,0))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RKFORGE</t>
        </is>
      </c>
      <c r="D86" s="30" t="inlineStr">
        <is>
          <t>Ramkrishna Forgings Ltd</t>
        </is>
      </c>
      <c r="E86" s="30" t="inlineStr">
        <is>
          <t>industrials</t>
        </is>
      </c>
      <c r="F86" s="30" t="inlineStr">
        <is>
          <t>Castings, Forgings &amp; Fastners</t>
        </is>
      </c>
      <c r="G86" s="30" t="inlineStr">
        <is>
          <t>midcap</t>
        </is>
      </c>
      <c r="H86" s="31" t="n">
        <v>13517.02</v>
      </c>
      <c r="I86" s="31" t="n">
        <v>742</v>
      </c>
      <c r="J86" s="31" t="n">
        <v>-1.24</v>
      </c>
      <c r="K86" s="31" t="n">
        <v>0</v>
      </c>
      <c r="L86" s="30" t="n">
        <v>52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73.31</v>
      </c>
      <c r="P86" s="31" t="n">
        <v>12.59</v>
      </c>
      <c r="Q86" s="31" t="n">
        <v>604.46</v>
      </c>
      <c r="R86" s="30" t="inlineStr">
        <is>
          <t>Near 52W High Breakout</t>
        </is>
      </c>
      <c r="S86" s="30" t="inlineStr">
        <is>
          <t>Nifty 50</t>
        </is>
      </c>
      <c r="T86" s="31" t="n">
        <v>-0.79</v>
      </c>
      <c r="U86" s="31" t="n">
        <v>31.72</v>
      </c>
      <c r="V86" s="31" t="n">
        <v>32.78</v>
      </c>
      <c r="W86" s="31" t="n">
        <v>12.16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Between 0.7 to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IF(B87=0,"",RANK(B87,$B$2:$B$97,0))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PRICOLLTD</t>
        </is>
      </c>
      <c r="D87" s="30" t="inlineStr">
        <is>
          <t>Pricol Ltd</t>
        </is>
      </c>
      <c r="E87" s="30" t="inlineStr">
        <is>
          <t>auto</t>
        </is>
      </c>
      <c r="F87" s="30" t="inlineStr">
        <is>
          <t>Auto Ancillaries - 2 Wheelers</t>
        </is>
      </c>
      <c r="G87" s="30" t="inlineStr">
        <is>
          <t>midcap</t>
        </is>
      </c>
      <c r="H87" s="31" t="n">
        <v>9511.629999999999</v>
      </c>
      <c r="I87" s="31" t="n">
        <v>780.4</v>
      </c>
      <c r="J87" s="31" t="n">
        <v>5.87</v>
      </c>
      <c r="K87" s="31" t="n">
        <v>0</v>
      </c>
      <c r="L87" s="30" t="n">
        <v>72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74.78</v>
      </c>
      <c r="P87" s="31" t="n">
        <v>25.76</v>
      </c>
      <c r="Q87" s="31" t="n">
        <v>630.65</v>
      </c>
      <c r="R87" s="30" t="inlineStr">
        <is>
          <t>Near 52W High Breakout</t>
        </is>
      </c>
      <c r="S87" s="30" t="inlineStr">
        <is>
          <t>Nifty Auto</t>
        </is>
      </c>
      <c r="T87" s="31" t="n">
        <v>23.47</v>
      </c>
      <c r="U87" s="31" t="n">
        <v>79.58</v>
      </c>
      <c r="V87" s="31" t="n">
        <v>45.44</v>
      </c>
      <c r="W87" s="31" t="n">
        <v>19.35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Oligopoly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Shallow Cyclical (2 to 3 Years Growth)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Fully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Allocated capital in Non-core Areas</t>
        </is>
      </c>
      <c r="AU87" s="30">
        <f>IF(AT87="Good",10,0)</f>
        <v/>
      </c>
      <c r="AV87" s="30" t="inlineStr">
        <is>
          <t>Yes only for next 1 to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Between 12 to 20%</t>
        </is>
      </c>
      <c r="BO87" s="30">
        <f>IF(BN87="More than 20%",10,IF(BN87="Between 12 to 20%",5,IF(BN87="Less than 12%",0,0)))</f>
        <v/>
      </c>
      <c r="BP87" s="30" t="inlineStr">
        <is>
          <t>Yes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25</t>
        </is>
      </c>
      <c r="CG87" s="30">
        <f>IF(CF87&gt;20,10,IF(CF87&gt;=10,5,2))</f>
        <v/>
      </c>
    </row>
    <row r="88">
      <c r="A88" s="30">
        <f>IF(B88=0,"",RANK(B88,$B$2:$B$97,0))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DEEPINDS</t>
        </is>
      </c>
      <c r="D88" s="30" t="inlineStr">
        <is>
          <t>Deep Industries Ltd</t>
        </is>
      </c>
      <c r="E88" s="30" t="inlineStr">
        <is>
          <t>energy</t>
        </is>
      </c>
      <c r="F88" s="30" t="inlineStr">
        <is>
          <t>Oil Drilling &amp; Exploration</t>
        </is>
      </c>
      <c r="G88" s="30" t="inlineStr">
        <is>
          <t>smallcap</t>
        </is>
      </c>
      <c r="H88" s="31" t="n">
        <v>4437.12</v>
      </c>
      <c r="I88" s="31" t="n">
        <v>693.3</v>
      </c>
      <c r="J88" s="31" t="n">
        <v>3.47</v>
      </c>
      <c r="K88" s="31" t="n">
        <v>0</v>
      </c>
      <c r="L88" s="30" t="n">
        <v>75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77.20999999999999</v>
      </c>
      <c r="P88" s="31" t="n">
        <v>19.17</v>
      </c>
      <c r="Q88" s="31" t="n">
        <v>541.46</v>
      </c>
      <c r="R88" s="30" t="inlineStr">
        <is>
          <t>Near 52W High Breakout</t>
        </is>
      </c>
      <c r="S88" s="30" t="inlineStr">
        <is>
          <t>Nifty Energy</t>
        </is>
      </c>
      <c r="T88" s="31" t="n">
        <v>10</v>
      </c>
      <c r="U88" s="31" t="n">
        <v>55.25</v>
      </c>
      <c r="V88" s="31" t="n">
        <v>41.13</v>
      </c>
      <c r="W88" s="31" t="n">
        <v>20.62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22</t>
        </is>
      </c>
      <c r="CG88" s="30">
        <f>IF(CF88&gt;20,10,IF(CF88&gt;=10,5,2))</f>
        <v/>
      </c>
    </row>
    <row r="89">
      <c r="A89" s="30">
        <f>IF(B89=0,"",RANK(B89,$B$2:$B$97,0))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VMARCIND</t>
        </is>
      </c>
      <c r="D89" s="32" t="inlineStr">
        <is>
          <t>V-Marc India Ltd</t>
        </is>
      </c>
      <c r="E89" s="30" t="inlineStr">
        <is>
          <t>unknown</t>
        </is>
      </c>
      <c r="F89" s="30" t="inlineStr">
        <is>
          <t>Cables - Power</t>
        </is>
      </c>
      <c r="G89" s="30" t="inlineStr">
        <is>
          <t>midcap</t>
        </is>
      </c>
      <c r="H89" s="31" t="n">
        <v>5406.74</v>
      </c>
      <c r="I89" s="31" t="n">
        <v>369</v>
      </c>
      <c r="J89" s="31" t="n">
        <v>-2.38</v>
      </c>
      <c r="K89" s="31" t="n">
        <v>0</v>
      </c>
      <c r="L89" s="30" t="n">
        <v>1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38.78</v>
      </c>
      <c r="P89" s="31" t="n">
        <v>44.5</v>
      </c>
      <c r="Q89" s="31" t="n">
        <v>1116.03</v>
      </c>
      <c r="R89" s="30" t="inlineStr">
        <is>
          <t>Earnings / Momentum Support</t>
        </is>
      </c>
      <c r="S89" s="30" t="inlineStr">
        <is>
          <t>Nifty 50</t>
        </is>
      </c>
      <c r="T89" s="31" t="n">
        <v>-0.79</v>
      </c>
      <c r="U89" s="31" t="n">
        <v>-21.99</v>
      </c>
      <c r="V89" s="31" t="n">
        <v>-21.37</v>
      </c>
      <c r="W89" s="31" t="n">
        <v>-2.86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Below 45</t>
        </is>
      </c>
      <c r="BA89" s="30">
        <f>IF(AZ89="Between 50 to 75",10,IF(AZ89="Above 75",0,0))</f>
        <v/>
      </c>
      <c r="BB89" s="30" t="inlineStr">
        <is>
          <t>Stage 4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No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22</t>
        </is>
      </c>
      <c r="CG89" s="30">
        <f>IF(CF89&gt;20,10,IF(CF89&gt;=10,5,2))</f>
        <v/>
      </c>
    </row>
    <row r="90">
      <c r="A90" s="30">
        <f>IF(B90=0,"",RANK(B90,$B$2:$B$97,0))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IMFA</t>
        </is>
      </c>
      <c r="D90" s="30" t="inlineStr">
        <is>
          <t>Indian Metals &amp; Ferro Alloys Ltd</t>
        </is>
      </c>
      <c r="E90" s="30" t="inlineStr">
        <is>
          <t>metals &amp; mining</t>
        </is>
      </c>
      <c r="F90" s="30" t="inlineStr">
        <is>
          <t>Mining/Minerals</t>
        </is>
      </c>
      <c r="G90" s="30" t="inlineStr">
        <is>
          <t>midcap</t>
        </is>
      </c>
      <c r="H90" s="31" t="n">
        <v>7942.04</v>
      </c>
      <c r="I90" s="31" t="n">
        <v>1472</v>
      </c>
      <c r="J90" s="31" t="n">
        <v>-0.65</v>
      </c>
      <c r="K90" s="31" t="n">
        <v>0</v>
      </c>
      <c r="L90" s="30" t="n">
        <v>65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57.22</v>
      </c>
      <c r="P90" s="31" t="n">
        <v>13.91</v>
      </c>
      <c r="Q90" s="31" t="n">
        <v>1102.43</v>
      </c>
      <c r="R90" s="30" t="inlineStr">
        <is>
          <t>Earnings / Momentum Support</t>
        </is>
      </c>
      <c r="S90" s="30" t="inlineStr">
        <is>
          <t>Nifty Metal</t>
        </is>
      </c>
      <c r="T90" s="31" t="n">
        <v>39.75</v>
      </c>
      <c r="U90" s="31" t="n">
        <v>100.49</v>
      </c>
      <c r="V90" s="31" t="n">
        <v>43.47</v>
      </c>
      <c r="W90" s="31" t="n">
        <v>16.26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0 to 20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IF(B91=0,"",RANK(B91,$B$2:$B$97,0))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LLOYDSME</t>
        </is>
      </c>
      <c r="D91" s="32" t="inlineStr">
        <is>
          <t>Lloyds Metals &amp; Energy Ltd</t>
        </is>
      </c>
      <c r="E91" s="30" t="inlineStr">
        <is>
          <t>Basic Materials</t>
        </is>
      </c>
      <c r="F91" s="30" t="inlineStr">
        <is>
          <t>Mining/Minerals - Iron Ore</t>
        </is>
      </c>
      <c r="G91" s="30" t="inlineStr">
        <is>
          <t>largecap</t>
        </is>
      </c>
      <c r="H91" s="31" t="n">
        <v>107233.77</v>
      </c>
      <c r="I91" s="31" t="n">
        <v>1905</v>
      </c>
      <c r="J91" s="31" t="n">
        <v>-4.09</v>
      </c>
      <c r="K91" s="31" t="n">
        <v>0</v>
      </c>
      <c r="L91" s="30" t="n">
        <v>42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61.68</v>
      </c>
      <c r="P91" s="31" t="n">
        <v>42.68</v>
      </c>
      <c r="Q91" s="31" t="n">
        <v>1730.5</v>
      </c>
      <c r="R91" s="30" t="inlineStr">
        <is>
          <t>Earnings / Momentum Support</t>
        </is>
      </c>
      <c r="S91" s="30" t="inlineStr">
        <is>
          <t>Nifty Metal</t>
        </is>
      </c>
      <c r="T91" s="31" t="n">
        <v>39.75</v>
      </c>
      <c r="U91" s="31" t="n">
        <v>25.95</v>
      </c>
      <c r="V91" s="31" t="n">
        <v>-9.869999999999999</v>
      </c>
      <c r="W91" s="31" t="n">
        <v>9.56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More than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IF(B92=0,"",RANK(B92,$B$2:$B$97,0))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2" t="inlineStr">
        <is>
          <t>SILVERTUC</t>
        </is>
      </c>
      <c r="D92" s="32" t="inlineStr">
        <is>
          <t>Silver Touch Technologies Ltd</t>
        </is>
      </c>
      <c r="E92" s="30" t="inlineStr">
        <is>
          <t>i.t</t>
        </is>
      </c>
      <c r="F92" s="30" t="inlineStr">
        <is>
          <t>IT - Software</t>
        </is>
      </c>
      <c r="G92" s="30" t="inlineStr">
        <is>
          <t>smallcap</t>
        </is>
      </c>
      <c r="H92" s="31" t="n">
        <v>2611.02</v>
      </c>
      <c r="I92" s="31" t="n">
        <v>205.9</v>
      </c>
      <c r="J92" s="31" t="n">
        <v>-0.3</v>
      </c>
      <c r="K92" s="31" t="n">
        <v>0</v>
      </c>
      <c r="L92" s="30" t="n">
        <v>19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45.51</v>
      </c>
      <c r="P92" s="31" t="n">
        <v>17.99</v>
      </c>
      <c r="Q92" s="31" t="n">
        <v>115.04</v>
      </c>
      <c r="R92" s="30" t="inlineStr">
        <is>
          <t>Earnings / Momentum Support</t>
        </is>
      </c>
      <c r="S92" s="30" t="inlineStr">
        <is>
          <t>Nifty IT</t>
        </is>
      </c>
      <c r="T92" s="31" t="n">
        <v>-10.05</v>
      </c>
      <c r="U92" s="31" t="n">
        <v>-71.61</v>
      </c>
      <c r="V92" s="31" t="n">
        <v>-68.44</v>
      </c>
      <c r="W92" s="31" t="n">
        <v>4.3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Below 45</t>
        </is>
      </c>
      <c r="BA92" s="30">
        <f>IF(AZ92="Between 50 to 75",10,IF(AZ92="Above 75",0,0))</f>
        <v/>
      </c>
      <c r="BB92" s="30" t="inlineStr">
        <is>
          <t>Stage 4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26</t>
        </is>
      </c>
      <c r="CG92" s="30">
        <f>IF(CF92&gt;20,10,IF(CF92&gt;=10,5,2))</f>
        <v/>
      </c>
    </row>
    <row r="93">
      <c r="A93" s="30">
        <f>IF(B93=0,"",RANK(B93,$B$2:$B$97,0))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GIPCL</t>
        </is>
      </c>
      <c r="D93" s="33" t="inlineStr">
        <is>
          <t>Gujarat Industries Power Co Ltd</t>
        </is>
      </c>
      <c r="E93" s="30" t="inlineStr">
        <is>
          <t>power &amp; utilities</t>
        </is>
      </c>
      <c r="F93" s="30" t="inlineStr">
        <is>
          <t>Power - Generation/Distribution</t>
        </is>
      </c>
      <c r="G93" s="30" t="inlineStr">
        <is>
          <t>smallcap</t>
        </is>
      </c>
      <c r="H93" s="31" t="n">
        <v>2706.97</v>
      </c>
      <c r="I93" s="31" t="n">
        <v>174.4</v>
      </c>
      <c r="J93" s="31" t="n">
        <v>5.93</v>
      </c>
      <c r="K93" s="31" t="n">
        <v>0</v>
      </c>
      <c r="L93" s="30" t="n">
        <v>16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61.16</v>
      </c>
      <c r="P93" s="31" t="n">
        <v>11.82</v>
      </c>
      <c r="Q93" s="31" t="n">
        <v>139.31</v>
      </c>
      <c r="R93" s="30" t="inlineStr">
        <is>
          <t>Volume Spike / Accumulation</t>
        </is>
      </c>
      <c r="S93" s="30" t="inlineStr">
        <is>
          <t>Nifty IT</t>
        </is>
      </c>
      <c r="T93" s="31" t="n">
        <v>-10.05</v>
      </c>
      <c r="U93" s="31" t="n">
        <v>-3.95</v>
      </c>
      <c r="V93" s="31" t="n">
        <v>6.78</v>
      </c>
      <c r="W93" s="31" t="n">
        <v>3.63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Shallow Cyclical (2 to 3 Years Growth)</t>
        </is>
      </c>
      <c r="AG93" s="30">
        <f>IF(AF93="Structural (10 Years Consistency)",10,IF(AF93="Shallow Cyclical (2 to 3 years growth)",5,0))</f>
        <v/>
      </c>
      <c r="AH93" s="30" t="inlineStr">
        <is>
          <t>Yes due to Product Mix change or Operating Leverage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Allocated capital in Non-core Areas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Sideways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Overhead supply in last 2 years in last 2 years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More than 15%</t>
        </is>
      </c>
      <c r="CC93" s="30">
        <f>IF(CB93="More than 15%",-10,IF(CB93="Less than 15%",10,0))</f>
        <v/>
      </c>
      <c r="CD93" s="30" t="inlineStr">
        <is>
          <t>Yes Upto 10%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IF(B94=0,"",RANK(B94,$B$2:$B$97,0))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GAEL</t>
        </is>
      </c>
      <c r="D94" s="30" t="inlineStr">
        <is>
          <t>Gujarat Ambuja Exports Ltd</t>
        </is>
      </c>
      <c r="E94" s="30" t="inlineStr">
        <is>
          <t>Consumer Defensive</t>
        </is>
      </c>
      <c r="F94" s="30" t="inlineStr">
        <is>
          <t>Agricultural Processing - Maize</t>
        </is>
      </c>
      <c r="G94" s="30" t="inlineStr">
        <is>
          <t>midcap</t>
        </is>
      </c>
      <c r="H94" s="31" t="n">
        <v>7568.07</v>
      </c>
      <c r="I94" s="31" t="n">
        <v>165</v>
      </c>
      <c r="J94" s="31" t="n">
        <v>-2.29</v>
      </c>
      <c r="K94" s="31" t="n">
        <v>0</v>
      </c>
      <c r="L94" s="30" t="n">
        <v>49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58.81</v>
      </c>
      <c r="P94" s="31" t="n">
        <v>36.54</v>
      </c>
      <c r="Q94" s="31" t="n">
        <v>135.62</v>
      </c>
      <c r="R94" s="30" t="inlineStr">
        <is>
          <t>Near 52W High Breakout</t>
        </is>
      </c>
      <c r="S94" s="30" t="inlineStr">
        <is>
          <t>Nifty 50</t>
        </is>
      </c>
      <c r="T94" s="31" t="n">
        <v>-0.79</v>
      </c>
      <c r="U94" s="31" t="n">
        <v>62.09</v>
      </c>
      <c r="V94" s="31" t="n">
        <v>63.39</v>
      </c>
      <c r="W94" s="31" t="n">
        <v>11.21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Oligopoly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Shallow Cyclical (2 to 3 Years Growth)</t>
        </is>
      </c>
      <c r="AG94" s="30">
        <f>IF(AF94="Structural (10 Years Consistency)",10,IF(AF94="Shallow Cyclical (2 to 3 years growth)",5,0))</f>
        <v/>
      </c>
      <c r="AH94" s="30" t="inlineStr">
        <is>
          <t>Yes due to Product Mix change or Operating Leverage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Allocated capital in Non-core Areas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Sideways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Overhead supply in last 2 years in last 2 years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More than 15%</t>
        </is>
      </c>
      <c r="CC94" s="30">
        <f>IF(CB94="More than 15%",-10,IF(CB94="Less than 15%",10,0))</f>
        <v/>
      </c>
      <c r="CD94" s="30" t="inlineStr">
        <is>
          <t>Yes Upto 10%</t>
        </is>
      </c>
      <c r="CE94" s="30">
        <f>IF(CD94="Yes, more than 10%",-10,IF(CD94="No",10,0))</f>
        <v/>
      </c>
      <c r="CF94" s="30" t="inlineStr">
        <is>
          <t>19</t>
        </is>
      </c>
      <c r="CG94" s="30">
        <f>IF(CF94&gt;20,10,IF(CF94&gt;=10,5,2))</f>
        <v/>
      </c>
    </row>
    <row r="95">
      <c r="A95" s="30">
        <f>IF(B95=0,"",RANK(B95,$B$2:$B$97,0))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MONOLITH</t>
        </is>
      </c>
      <c r="D95" s="33" t="inlineStr">
        <is>
          <t>Monolithisch India Ltd</t>
        </is>
      </c>
      <c r="E95" s="30" t="inlineStr">
        <is>
          <t>unknown</t>
        </is>
      </c>
      <c r="F95" s="30" t="inlineStr">
        <is>
          <t>Refractories</t>
        </is>
      </c>
      <c r="G95" s="30" t="inlineStr">
        <is>
          <t>smallcap</t>
        </is>
      </c>
      <c r="H95" s="31" t="n">
        <v>2049.7</v>
      </c>
      <c r="I95" s="31" t="n">
        <v>943</v>
      </c>
      <c r="J95" s="31" t="n">
        <v>9.619999999999999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6">
      <c r="A96" s="30">
        <f>IF(B96=0,"",RANK(B96,$B$2:$B$97,0))</f>
        <v/>
      </c>
      <c r="B96" s="31">
        <f>SUM(N96,Y96,AA96,AC96,AE96,AG96,AI96,AK96,AM96,AO96,AQ96,AS96,AU96,AW96,AY96,BA96,BC96,BE96,BG96,BI96,BK96,BM96,BO96,BQ96,BS96,BU96,BW96,BY96,CA96,CC96,CE96,CG96)</f>
        <v/>
      </c>
      <c r="C96" s="30" t="inlineStr">
        <is>
          <t>THELEELA</t>
        </is>
      </c>
      <c r="D96" s="30" t="inlineStr">
        <is>
          <t>Leela Palaces Hotels &amp; Resorts Ltd</t>
        </is>
      </c>
      <c r="E96" s="30" t="inlineStr">
        <is>
          <t>unknown</t>
        </is>
      </c>
      <c r="F96" s="30" t="inlineStr">
        <is>
          <t>Hotels</t>
        </is>
      </c>
      <c r="G96" s="30" t="inlineStr">
        <is>
          <t>midcap</t>
        </is>
      </c>
      <c r="H96" s="31" t="n">
        <v>16704.57</v>
      </c>
      <c r="I96" s="31" t="n">
        <v>500.2</v>
      </c>
      <c r="J96" s="31" t="n">
        <v>-2.35</v>
      </c>
      <c r="K96" s="31" t="n">
        <v>0</v>
      </c>
      <c r="L96" s="30" t="inlineStr"/>
      <c r="M96" s="30" t="inlineStr"/>
      <c r="N96" s="31">
        <f>IF(M96="Underperforming",-5,IF(L96&gt;=95,15,IF(L96&gt;=90,10,IF(L96&gt;=80,5,0))))</f>
        <v/>
      </c>
      <c r="O96" s="31" t="inlineStr"/>
      <c r="P96" s="31" t="inlineStr"/>
      <c r="Q96" s="31" t="inlineStr"/>
      <c r="R96" s="30" t="inlineStr"/>
      <c r="S96" s="30" t="inlineStr"/>
      <c r="T96" s="31" t="inlineStr"/>
      <c r="U96" s="31" t="inlineStr"/>
      <c r="V96" s="31" t="inlineStr"/>
      <c r="W96" s="31" t="inlineStr"/>
      <c r="X96" s="30" t="n"/>
      <c r="Y96" s="30">
        <f>IF(X96="Growing Industry",10,IF(X96="Cyclical in an Upturn",5,0))</f>
        <v/>
      </c>
      <c r="Z96" s="30" t="n"/>
      <c r="AA96" s="30">
        <f>IF(Z96="Monopoly",10,IF(Z96="Oligopoly",5,IF(Z96="Duopoly that cooperate",10,IF(Z96="Duopoly that compete",5,IF(Z96="Too many players with High ROCE",5,0)))))</f>
        <v/>
      </c>
      <c r="AB96" s="30" t="n"/>
      <c r="AC96" s="30">
        <f>IF(AB96="No",5,0)</f>
        <v/>
      </c>
      <c r="AD96" s="30" t="n"/>
      <c r="AE96" s="30">
        <f>IF(AD96="Tailwind",10,0)</f>
        <v/>
      </c>
      <c r="AF96" s="30" t="n"/>
      <c r="AG96" s="30">
        <f>IF(AF96="Structural (10 Years Consistency)",10,IF(AF96="Shallow Cyclical (2 to 3 years growth)",5,0))</f>
        <v/>
      </c>
      <c r="AH96" s="30" t="n"/>
      <c r="AI96" s="30">
        <f>IF(AH96="Yes due to Product Mix change or Operating Leverage",10,IF(AH96="Yes, these are peak margins",-5,IF(AH96="No",5,0)))</f>
        <v/>
      </c>
      <c r="AJ96" s="30" t="n"/>
      <c r="AK96" s="30">
        <f>IF(AJ96="Stable",10,0)</f>
        <v/>
      </c>
      <c r="AL96" s="30" t="n"/>
      <c r="AM96" s="30">
        <f>IF(AL96="Yes",10,0)</f>
        <v/>
      </c>
      <c r="AN96" s="30" t="n"/>
      <c r="AO96" s="30">
        <f>IF(AN96="B2C",10,IF(AN96="B2B",5,0))</f>
        <v/>
      </c>
      <c r="AP96" s="30" t="n"/>
      <c r="AQ96" s="30">
        <f>IF(AP96="Yes",10,0)</f>
        <v/>
      </c>
      <c r="AR96" s="30" t="n"/>
      <c r="AS96" s="30">
        <f>IF(AR96="Fully Annuity",10,IF(AR96="Higher Annuity, Lower One Time",5,IF(AR96="Higher One Time, Lower Annuity",3,0)))</f>
        <v/>
      </c>
      <c r="AT96" s="30" t="n"/>
      <c r="AU96" s="30">
        <f>IF(AT96="Good",10,0)</f>
        <v/>
      </c>
      <c r="AV96" s="30" t="n"/>
      <c r="AW96" s="30">
        <f>IF(AV96="Yes for more than 2 years",10,IF(AV96="Yes only for next 1 to 2 years",5,0))</f>
        <v/>
      </c>
      <c r="AX96" s="30" t="n"/>
      <c r="AY96" s="30">
        <f>IF(AX96="Above 40",20,IF(AX96="20 to 40",10,IF(AX96="0 to 20",-5,0)))</f>
        <v/>
      </c>
      <c r="AZ96" s="30" t="n"/>
      <c r="BA96" s="30">
        <f>IF(AZ96="Between 50 to 75",10,IF(AZ96="Above 75",0,0))</f>
        <v/>
      </c>
      <c r="BB96" s="30" t="n"/>
      <c r="BC96" s="30">
        <f>IF(BB96="Stage 2",20,IF(BB96="Stage 1",0,IF(BB96="Stage 3",5,IF(BB96="Stage 4",-5,0))))</f>
        <v/>
      </c>
      <c r="BD96" s="30" t="n"/>
      <c r="BE96" s="30">
        <f>IF(BD96="Positive Trend",20,IF(BD96="Negative Trend",-10,0))</f>
        <v/>
      </c>
      <c r="BF96" s="30" t="n"/>
      <c r="BG96" s="30">
        <f>IF(BF96="Uptrend",10,IF(BF96="Sideways",5,0))</f>
        <v/>
      </c>
      <c r="BH96" s="30" t="n"/>
      <c r="BI96" s="30">
        <f>IF(BH96="Uptrend",10,IF(BH96="Sideways",5,0))</f>
        <v/>
      </c>
      <c r="BJ96" s="30" t="n"/>
      <c r="BK96" s="30">
        <f>IF(BJ96="Overhead supply in last 2 years in last 2 years",-5,IF(BJ96="Close to 52 week high or retracement",5,IF(BJ96="Blue sky scenario",10,IF(BJ96="Long term Downtrend",-10,0))))</f>
        <v/>
      </c>
      <c r="BL96" s="30" t="n"/>
      <c r="BM96" s="30">
        <f>IF(BL96="Yes",10,0)</f>
        <v/>
      </c>
      <c r="BN96" s="30" t="n"/>
      <c r="BO96" s="30">
        <f>IF(BN96="More than 20%",10,IF(BN96="Between 12 to 20%",5,IF(BN96="Less than 12%",0,0)))</f>
        <v/>
      </c>
      <c r="BP96" s="30" t="n"/>
      <c r="BQ96" s="30">
        <f>IF(BP96="No",10,0)</f>
        <v/>
      </c>
      <c r="BR96" s="30" t="n"/>
      <c r="BS96" s="30">
        <f>IF(BR96="NO",5,0)</f>
        <v/>
      </c>
      <c r="BT96" s="30" t="n"/>
      <c r="BU96" s="30">
        <f>IF(BT96="Above 2",0,IF(BT96="Between 1.5 to 2",5,IF(BT96="Less than 1.5",10,0)))</f>
        <v/>
      </c>
      <c r="BV96" s="30" t="n"/>
      <c r="BW96" s="30">
        <f>IF(BV96="Above 70%",10,IF(BV96="Between 50% to 70%",5,IF(BV96="Less than 50%",0,IF(BV96="Negative",-10,IF(BV96="Less than 50% and Borrowings are increasing",-5,0)))))</f>
        <v/>
      </c>
      <c r="BX96" s="30" t="n"/>
      <c r="BY96" s="30">
        <f>IF(BX96="More than 1.2",-10,IF(BX96="Between 0.7 to 1.2",0,IF(BX96="Less than 0.7",10,0)))</f>
        <v/>
      </c>
      <c r="BZ96" s="30" t="n"/>
      <c r="CA96" s="30">
        <f>IF(BZ96="Yes",-10,0)</f>
        <v/>
      </c>
      <c r="CB96" s="30" t="n"/>
      <c r="CC96" s="30">
        <f>IF(CB96="More than 15%",-10,IF(CB96="Less than 15%",10,0))</f>
        <v/>
      </c>
      <c r="CD96" s="30" t="n"/>
      <c r="CE96" s="30">
        <f>IF(CD96="Yes, more than 10%",-10,IF(CD96="No",10,0))</f>
        <v/>
      </c>
      <c r="CF96" s="30" t="n"/>
      <c r="CG96" s="30">
        <f>IF(CF96&gt;20,10,IF(CF96&gt;=10,5,2))</f>
        <v/>
      </c>
    </row>
    <row r="97">
      <c r="A97" s="30">
        <f>IF(B97=0,"",RANK(B97,$B$2:$B$97,0))</f>
        <v/>
      </c>
      <c r="B97" s="31">
        <f>SUM(N97,Y97,AA97,AC97,AE97,AG97,AI97,AK97,AM97,AO97,AQ97,AS97,AU97,AW97,AY97,BA97,BC97,BE97,BG97,BI97,BK97,BM97,BO97,BQ97,BS97,BU97,BW97,BY97,CA97,CC97,CE97,CG97)</f>
        <v/>
      </c>
      <c r="C97" s="30" t="inlineStr">
        <is>
          <t>KESAR</t>
        </is>
      </c>
      <c r="D97" s="30" t="inlineStr">
        <is>
          <t>Kesar India Ltd</t>
        </is>
      </c>
      <c r="E97" s="30" t="inlineStr">
        <is>
          <t>unknown</t>
        </is>
      </c>
      <c r="F97" s="30" t="inlineStr">
        <is>
          <t>Realty - Construction &amp; Contracting</t>
        </is>
      </c>
      <c r="G97" s="30" t="inlineStr">
        <is>
          <t>smallcap</t>
        </is>
      </c>
      <c r="H97" s="31" t="n">
        <v>3937.31</v>
      </c>
      <c r="I97" s="31" t="n">
        <v>1260</v>
      </c>
      <c r="J97" s="31" t="n">
        <v>-0.05</v>
      </c>
      <c r="K97" s="31" t="n">
        <v>0</v>
      </c>
      <c r="L97" s="30" t="inlineStr"/>
      <c r="M97" s="30" t="inlineStr"/>
      <c r="N97" s="31">
        <f>IF(M97="Underperforming",-5,IF(L97&gt;=95,15,IF(L97&gt;=90,10,IF(L97&gt;=80,5,0))))</f>
        <v/>
      </c>
      <c r="O97" s="31" t="inlineStr"/>
      <c r="P97" s="31" t="inlineStr"/>
      <c r="Q97" s="31" t="inlineStr"/>
      <c r="R97" s="30" t="inlineStr"/>
      <c r="S97" s="30" t="inlineStr"/>
      <c r="T97" s="31" t="inlineStr"/>
      <c r="U97" s="31" t="inlineStr"/>
      <c r="V97" s="31" t="inlineStr"/>
      <c r="W97" s="31" t="inlineStr"/>
      <c r="X97" s="30" t="n"/>
      <c r="Y97" s="30">
        <f>IF(X97="Growing Industry",10,IF(X97="Cyclical in an Upturn",5,0))</f>
        <v/>
      </c>
      <c r="Z97" s="30" t="n"/>
      <c r="AA97" s="30">
        <f>IF(Z97="Monopoly",10,IF(Z97="Oligopoly",5,IF(Z97="Duopoly that cooperate",10,IF(Z97="Duopoly that compete",5,IF(Z97="Too many players with High ROCE",5,0)))))</f>
        <v/>
      </c>
      <c r="AB97" s="30" t="n"/>
      <c r="AC97" s="30">
        <f>IF(AB97="No",5,0)</f>
        <v/>
      </c>
      <c r="AD97" s="30" t="n"/>
      <c r="AE97" s="30">
        <f>IF(AD97="Tailwind",10,0)</f>
        <v/>
      </c>
      <c r="AF97" s="30" t="n"/>
      <c r="AG97" s="30">
        <f>IF(AF97="Structural (10 Years Consistency)",10,IF(AF97="Shallow Cyclical (2 to 3 years growth)",5,0))</f>
        <v/>
      </c>
      <c r="AH97" s="30" t="n"/>
      <c r="AI97" s="30">
        <f>IF(AH97="Yes due to Product Mix change or Operating Leverage",10,IF(AH97="Yes, these are peak margins",-5,IF(AH97="No",5,0)))</f>
        <v/>
      </c>
      <c r="AJ97" s="30" t="n"/>
      <c r="AK97" s="30">
        <f>IF(AJ97="Stable",10,0)</f>
        <v/>
      </c>
      <c r="AL97" s="30" t="n"/>
      <c r="AM97" s="30">
        <f>IF(AL97="Yes",10,0)</f>
        <v/>
      </c>
      <c r="AN97" s="30" t="n"/>
      <c r="AO97" s="30">
        <f>IF(AN97="B2C",10,IF(AN97="B2B",5,0))</f>
        <v/>
      </c>
      <c r="AP97" s="30" t="n"/>
      <c r="AQ97" s="30">
        <f>IF(AP97="Yes",10,0)</f>
        <v/>
      </c>
      <c r="AR97" s="30" t="n"/>
      <c r="AS97" s="30">
        <f>IF(AR97="Fully Annuity",10,IF(AR97="Higher Annuity, Lower One Time",5,IF(AR97="Higher One Time, Lower Annuity",3,0)))</f>
        <v/>
      </c>
      <c r="AT97" s="30" t="n"/>
      <c r="AU97" s="30">
        <f>IF(AT97="Good",10,0)</f>
        <v/>
      </c>
      <c r="AV97" s="30" t="n"/>
      <c r="AW97" s="30">
        <f>IF(AV97="Yes for more than 2 years",10,IF(AV97="Yes only for next 1 to 2 years",5,0))</f>
        <v/>
      </c>
      <c r="AX97" s="30" t="n"/>
      <c r="AY97" s="30">
        <f>IF(AX97="Above 40",20,IF(AX97="20 to 40",10,IF(AX97="0 to 20",-5,0)))</f>
        <v/>
      </c>
      <c r="AZ97" s="30" t="n"/>
      <c r="BA97" s="30">
        <f>IF(AZ97="Between 50 to 75",10,IF(AZ97="Above 75",0,0))</f>
        <v/>
      </c>
      <c r="BB97" s="30" t="n"/>
      <c r="BC97" s="30">
        <f>IF(BB97="Stage 2",20,IF(BB97="Stage 1",0,IF(BB97="Stage 3",5,IF(BB97="Stage 4",-5,0))))</f>
        <v/>
      </c>
      <c r="BD97" s="30" t="n"/>
      <c r="BE97" s="30">
        <f>IF(BD97="Positive Trend",20,IF(BD97="Negative Trend",-10,0))</f>
        <v/>
      </c>
      <c r="BF97" s="30" t="n"/>
      <c r="BG97" s="30">
        <f>IF(BF97="Uptrend",10,IF(BF97="Sideways",5,0))</f>
        <v/>
      </c>
      <c r="BH97" s="30" t="n"/>
      <c r="BI97" s="30">
        <f>IF(BH97="Uptrend",10,IF(BH97="Sideways",5,0))</f>
        <v/>
      </c>
      <c r="BJ97" s="30" t="n"/>
      <c r="BK97" s="30">
        <f>IF(BJ97="Overhead supply in last 2 years in last 2 years",-5,IF(BJ97="Close to 52 week high or retracement",5,IF(BJ97="Blue sky scenario",10,IF(BJ97="Long term Downtrend",-10,0))))</f>
        <v/>
      </c>
      <c r="BL97" s="30" t="n"/>
      <c r="BM97" s="30">
        <f>IF(BL97="Yes",10,0)</f>
        <v/>
      </c>
      <c r="BN97" s="30" t="n"/>
      <c r="BO97" s="30">
        <f>IF(BN97="More than 20%",10,IF(BN97="Between 12 to 20%",5,IF(BN97="Less than 12%",0,0)))</f>
        <v/>
      </c>
      <c r="BP97" s="30" t="n"/>
      <c r="BQ97" s="30">
        <f>IF(BP97="No",10,0)</f>
        <v/>
      </c>
      <c r="BR97" s="30" t="n"/>
      <c r="BS97" s="30">
        <f>IF(BR97="NO",5,0)</f>
        <v/>
      </c>
      <c r="BT97" s="30" t="n"/>
      <c r="BU97" s="30">
        <f>IF(BT97="Above 2",0,IF(BT97="Between 1.5 to 2",5,IF(BT97="Less than 1.5",10,0)))</f>
        <v/>
      </c>
      <c r="BV97" s="30" t="n"/>
      <c r="BW97" s="30">
        <f>IF(BV97="Above 70%",10,IF(BV97="Between 50% to 70%",5,IF(BV97="Less than 50%",0,IF(BV97="Negative",-10,IF(BV97="Less than 50% and Borrowings are increasing",-5,0)))))</f>
        <v/>
      </c>
      <c r="BX97" s="30" t="n"/>
      <c r="BY97" s="30">
        <f>IF(BX97="More than 1.2",-10,IF(BX97="Between 0.7 to 1.2",0,IF(BX97="Less than 0.7",10,0)))</f>
        <v/>
      </c>
      <c r="BZ97" s="30" t="n"/>
      <c r="CA97" s="30">
        <f>IF(BZ97="Yes",-10,0)</f>
        <v/>
      </c>
      <c r="CB97" s="30" t="n"/>
      <c r="CC97" s="30">
        <f>IF(CB97="More than 15%",-10,IF(CB97="Less than 15%",10,0))</f>
        <v/>
      </c>
      <c r="CD97" s="30" t="n"/>
      <c r="CE97" s="30">
        <f>IF(CD97="Yes, more than 10%",-10,IF(CD97="No",10,0))</f>
        <v/>
      </c>
      <c r="CF97" s="30" t="n"/>
      <c r="CG97" s="30">
        <f>IF(CF97&gt;20,10,IF(CF97&gt;=10,5,2))</f>
        <v/>
      </c>
    </row>
    <row r="101">
      <c r="A101" s="24" t="inlineStr">
        <is>
          <t>❌ REMOVED SCAN MATCH STOCKS (THIS WEEK)</t>
        </is>
      </c>
    </row>
    <row r="102">
      <c r="A102" s="34" t="inlineStr">
        <is>
          <t>Symbol</t>
        </is>
      </c>
      <c r="B102" s="34" t="inlineStr">
        <is>
          <t>Company Name</t>
        </is>
      </c>
      <c r="C102" s="34" t="inlineStr">
        <is>
          <t>Sector</t>
        </is>
      </c>
      <c r="D102" s="34" t="inlineStr">
        <is>
          <t>Date of Removal</t>
        </is>
      </c>
    </row>
    <row r="103">
      <c r="A103" s="35" t="inlineStr">
        <is>
          <t>AEGISLOG</t>
        </is>
      </c>
      <c r="B103" s="36" t="inlineStr">
        <is>
          <t>AEGISLOG</t>
        </is>
      </c>
      <c r="C103" s="36" t="inlineStr">
        <is>
          <t>unknown</t>
        </is>
      </c>
      <c r="D103" s="37" t="inlineStr">
        <is>
          <t>2026-08-12</t>
        </is>
      </c>
    </row>
    <row r="104">
      <c r="A104" s="35" t="inlineStr">
        <is>
          <t>AIMTRON</t>
        </is>
      </c>
      <c r="B104" s="36" t="inlineStr">
        <is>
          <t>AIMTRON</t>
        </is>
      </c>
      <c r="C104" s="36" t="inlineStr">
        <is>
          <t>unknown</t>
        </is>
      </c>
      <c r="D104" s="37" t="inlineStr">
        <is>
          <t>2026-08-11</t>
        </is>
      </c>
    </row>
    <row r="105">
      <c r="A105" s="35" t="inlineStr">
        <is>
          <t>APCOTEXIND</t>
        </is>
      </c>
      <c r="B105" s="36" t="inlineStr">
        <is>
          <t>APCOTEXIND</t>
        </is>
      </c>
      <c r="C105" s="36" t="inlineStr">
        <is>
          <t>unknown</t>
        </is>
      </c>
      <c r="D105" s="37" t="inlineStr">
        <is>
          <t>2026-08-12</t>
        </is>
      </c>
    </row>
    <row r="106">
      <c r="A106" s="35" t="inlineStr">
        <is>
          <t>ATHERENERG</t>
        </is>
      </c>
      <c r="B106" s="36" t="inlineStr">
        <is>
          <t>Ather Energy Limited</t>
        </is>
      </c>
      <c r="C106" s="36" t="inlineStr">
        <is>
          <t>Consumer Cyclical</t>
        </is>
      </c>
      <c r="D106" s="37" t="inlineStr">
        <is>
          <t>2026-08-11</t>
        </is>
      </c>
    </row>
    <row r="107">
      <c r="A107" s="35" t="inlineStr">
        <is>
          <t>ATULAUTO</t>
        </is>
      </c>
      <c r="B107" s="36" t="inlineStr">
        <is>
          <t>ATULAUTO</t>
        </is>
      </c>
      <c r="C107" s="36" t="inlineStr">
        <is>
          <t>unknown</t>
        </is>
      </c>
      <c r="D107" s="37" t="inlineStr">
        <is>
          <t>2026-08-11</t>
        </is>
      </c>
    </row>
    <row r="108">
      <c r="A108" s="35" t="inlineStr">
        <is>
          <t>CGCL</t>
        </is>
      </c>
      <c r="B108" s="36" t="inlineStr">
        <is>
          <t>CGCL</t>
        </is>
      </c>
      <c r="C108" s="36" t="inlineStr">
        <is>
          <t>unknown</t>
        </is>
      </c>
      <c r="D108" s="37" t="inlineStr">
        <is>
          <t>2026-08-11</t>
        </is>
      </c>
    </row>
    <row r="109">
      <c r="A109" s="35" t="inlineStr">
        <is>
          <t>CRAFTSMAN</t>
        </is>
      </c>
      <c r="B109" s="36" t="inlineStr">
        <is>
          <t>Craftsman Automation Limited</t>
        </is>
      </c>
      <c r="C109" s="36" t="inlineStr">
        <is>
          <t>Consumer Cyclical</t>
        </is>
      </c>
      <c r="D109" s="37" t="inlineStr">
        <is>
          <t>2026-08-12</t>
        </is>
      </c>
    </row>
    <row r="110">
      <c r="A110" s="35" t="inlineStr">
        <is>
          <t>CYIENTDLM</t>
        </is>
      </c>
      <c r="B110" s="36" t="inlineStr">
        <is>
          <t>Cyient DLM Limited</t>
        </is>
      </c>
      <c r="C110" s="36" t="inlineStr">
        <is>
          <t>Industrials</t>
        </is>
      </c>
      <c r="D110" s="37" t="inlineStr">
        <is>
          <t>2026-08-12</t>
        </is>
      </c>
    </row>
    <row r="111">
      <c r="A111" s="35" t="inlineStr">
        <is>
          <t>DPABHUSHAN</t>
        </is>
      </c>
      <c r="B111" s="36" t="inlineStr">
        <is>
          <t>D. P. Abhushan Limited</t>
        </is>
      </c>
      <c r="C111" s="36" t="inlineStr">
        <is>
          <t>Consumer Cyclical</t>
        </is>
      </c>
      <c r="D111" s="37" t="inlineStr">
        <is>
          <t>2026-08-12</t>
        </is>
      </c>
    </row>
    <row r="112">
      <c r="A112" s="35" t="inlineStr">
        <is>
          <t>ETHOSLTD</t>
        </is>
      </c>
      <c r="B112" s="36" t="inlineStr">
        <is>
          <t>Ethos Limited</t>
        </is>
      </c>
      <c r="C112" s="36" t="inlineStr">
        <is>
          <t>Consumer Cyclical</t>
        </is>
      </c>
      <c r="D112" s="37" t="inlineStr">
        <is>
          <t>2026-08-11</t>
        </is>
      </c>
    </row>
    <row r="113">
      <c r="A113" s="35" t="inlineStr">
        <is>
          <t>FCL</t>
        </is>
      </c>
      <c r="B113" s="36" t="inlineStr">
        <is>
          <t>Fineotex Chemical Limited</t>
        </is>
      </c>
      <c r="C113" s="36" t="inlineStr">
        <is>
          <t>Basic Materials</t>
        </is>
      </c>
      <c r="D113" s="37" t="inlineStr">
        <is>
          <t>2026-08-12</t>
        </is>
      </c>
    </row>
    <row r="114">
      <c r="A114" s="35" t="inlineStr">
        <is>
          <t>FIEMIND</t>
        </is>
      </c>
      <c r="B114" s="36" t="inlineStr">
        <is>
          <t>Fiem Industries Limited</t>
        </is>
      </c>
      <c r="C114" s="36" t="inlineStr">
        <is>
          <t>Consumer Cyclical</t>
        </is>
      </c>
      <c r="D114" s="37" t="inlineStr">
        <is>
          <t>2026-08-12</t>
        </is>
      </c>
    </row>
    <row r="115">
      <c r="A115" s="35" t="inlineStr">
        <is>
          <t>GCSL</t>
        </is>
      </c>
      <c r="B115" s="36" t="inlineStr">
        <is>
          <t>GCSL</t>
        </is>
      </c>
      <c r="C115" s="36" t="inlineStr">
        <is>
          <t>unknown</t>
        </is>
      </c>
      <c r="D115" s="37" t="inlineStr">
        <is>
          <t>2026-08-11</t>
        </is>
      </c>
    </row>
    <row r="116">
      <c r="A116" s="35" t="inlineStr">
        <is>
          <t>IBULLSLTD</t>
        </is>
      </c>
      <c r="B116" s="36" t="inlineStr">
        <is>
          <t>IBULLSLTD</t>
        </is>
      </c>
      <c r="C116" s="36" t="inlineStr">
        <is>
          <t>unknown</t>
        </is>
      </c>
      <c r="D116" s="37" t="inlineStr">
        <is>
          <t>2026-08-12</t>
        </is>
      </c>
    </row>
    <row r="117">
      <c r="A117" s="35" t="inlineStr">
        <is>
          <t>IOLCP</t>
        </is>
      </c>
      <c r="B117" s="36" t="inlineStr">
        <is>
          <t>IOLCP</t>
        </is>
      </c>
      <c r="C117" s="36" t="inlineStr">
        <is>
          <t>unknown</t>
        </is>
      </c>
      <c r="D117" s="37" t="inlineStr">
        <is>
          <t>2026-08-11</t>
        </is>
      </c>
    </row>
    <row r="118">
      <c r="A118" s="35" t="inlineStr">
        <is>
          <t>KERNEX</t>
        </is>
      </c>
      <c r="B118" s="36" t="inlineStr">
        <is>
          <t>KERNEX</t>
        </is>
      </c>
      <c r="C118" s="36" t="inlineStr">
        <is>
          <t>unknown</t>
        </is>
      </c>
      <c r="D118" s="37" t="inlineStr">
        <is>
          <t>2026-08-12</t>
        </is>
      </c>
    </row>
    <row r="119">
      <c r="A119" s="35" t="inlineStr">
        <is>
          <t>KESAR</t>
        </is>
      </c>
      <c r="B119" s="36" t="inlineStr">
        <is>
          <t>KESAR</t>
        </is>
      </c>
      <c r="C119" s="36" t="inlineStr">
        <is>
          <t>unknown</t>
        </is>
      </c>
      <c r="D119" s="37" t="inlineStr">
        <is>
          <t>2026-08-12</t>
        </is>
      </c>
    </row>
    <row r="120">
      <c r="A120" s="35" t="inlineStr">
        <is>
          <t>KMEW</t>
        </is>
      </c>
      <c r="B120" s="36" t="inlineStr">
        <is>
          <t>Knowledge Marine &amp; Engineering Works Limited</t>
        </is>
      </c>
      <c r="C120" s="36" t="inlineStr">
        <is>
          <t>Industrials</t>
        </is>
      </c>
      <c r="D120" s="37" t="inlineStr">
        <is>
          <t>2026-08-12</t>
        </is>
      </c>
    </row>
    <row r="121">
      <c r="A121" s="35" t="inlineStr">
        <is>
          <t>LLOYDSENT</t>
        </is>
      </c>
      <c r="B121" s="36" t="inlineStr">
        <is>
          <t>LLOYDSENT</t>
        </is>
      </c>
      <c r="C121" s="36" t="inlineStr">
        <is>
          <t>unknown</t>
        </is>
      </c>
      <c r="D121" s="37" t="inlineStr">
        <is>
          <t>2026-08-11</t>
        </is>
      </c>
    </row>
    <row r="122">
      <c r="A122" s="35" t="inlineStr">
        <is>
          <t>MANINDS</t>
        </is>
      </c>
      <c r="B122" s="36" t="inlineStr">
        <is>
          <t>Man Industries (India) Limited</t>
        </is>
      </c>
      <c r="C122" s="36" t="inlineStr">
        <is>
          <t>Basic Materials</t>
        </is>
      </c>
      <c r="D122" s="37" t="inlineStr">
        <is>
          <t>2026-08-12</t>
        </is>
      </c>
    </row>
    <row r="123">
      <c r="A123" s="35" t="inlineStr">
        <is>
          <t>MENONBE</t>
        </is>
      </c>
      <c r="B123" s="36" t="inlineStr">
        <is>
          <t>Menon Bearings Limited</t>
        </is>
      </c>
      <c r="C123" s="36" t="inlineStr">
        <is>
          <t>Consumer Cyclical</t>
        </is>
      </c>
      <c r="D123" s="37" t="inlineStr">
        <is>
          <t>2026-08-12</t>
        </is>
      </c>
    </row>
    <row r="124">
      <c r="A124" s="35" t="inlineStr">
        <is>
          <t>NHIT</t>
        </is>
      </c>
      <c r="B124" s="36" t="inlineStr">
        <is>
          <t>NHIT</t>
        </is>
      </c>
      <c r="C124" s="36" t="inlineStr">
        <is>
          <t>unknown</t>
        </is>
      </c>
      <c r="D124" s="37" t="inlineStr">
        <is>
          <t>2026-08-12</t>
        </is>
      </c>
    </row>
    <row r="125">
      <c r="A125" s="35" t="inlineStr">
        <is>
          <t>PNGJL</t>
        </is>
      </c>
      <c r="B125" s="36" t="inlineStr">
        <is>
          <t>PNGJL</t>
        </is>
      </c>
      <c r="C125" s="36" t="inlineStr">
        <is>
          <t>unknown</t>
        </is>
      </c>
      <c r="D125" s="37" t="inlineStr">
        <is>
          <t>2026-08-12</t>
        </is>
      </c>
    </row>
    <row r="126">
      <c r="A126" s="35" t="inlineStr">
        <is>
          <t>RAMCOIND</t>
        </is>
      </c>
      <c r="B126" s="36" t="inlineStr">
        <is>
          <t>Ramco Industries Limited</t>
        </is>
      </c>
      <c r="C126" s="36" t="inlineStr">
        <is>
          <t>Industrials</t>
        </is>
      </c>
      <c r="D126" s="37" t="inlineStr">
        <is>
          <t>2026-08-11</t>
        </is>
      </c>
    </row>
    <row r="127">
      <c r="A127" s="35" t="inlineStr">
        <is>
          <t>RBA</t>
        </is>
      </c>
      <c r="B127" s="36" t="inlineStr">
        <is>
          <t>Restaurant Brands Asia Limited</t>
        </is>
      </c>
      <c r="C127" s="36" t="inlineStr">
        <is>
          <t>Consumer Cyclical</t>
        </is>
      </c>
      <c r="D127" s="37" t="inlineStr">
        <is>
          <t>2026-08-12</t>
        </is>
      </c>
    </row>
    <row r="128">
      <c r="A128" s="35" t="inlineStr">
        <is>
          <t>SGFIN</t>
        </is>
      </c>
      <c r="B128" s="36" t="inlineStr">
        <is>
          <t>SGFIN</t>
        </is>
      </c>
      <c r="C128" s="36" t="inlineStr">
        <is>
          <t>unknown</t>
        </is>
      </c>
      <c r="D128" s="37" t="inlineStr">
        <is>
          <t>2026-08-12</t>
        </is>
      </c>
    </row>
    <row r="129">
      <c r="A129" s="35" t="inlineStr">
        <is>
          <t>SPORTKING</t>
        </is>
      </c>
      <c r="B129" s="36" t="inlineStr">
        <is>
          <t>SPORTKING</t>
        </is>
      </c>
      <c r="C129" s="36" t="inlineStr">
        <is>
          <t>unknown</t>
        </is>
      </c>
      <c r="D129" s="37" t="inlineStr">
        <is>
          <t>2026-08-12</t>
        </is>
      </c>
    </row>
    <row r="130">
      <c r="A130" s="35" t="inlineStr">
        <is>
          <t>STOVEKRAFT</t>
        </is>
      </c>
      <c r="B130" s="36" t="inlineStr">
        <is>
          <t>Stove Kraft Limited</t>
        </is>
      </c>
      <c r="C130" s="36" t="inlineStr">
        <is>
          <t>Consumer Cyclical</t>
        </is>
      </c>
      <c r="D130" s="37" t="inlineStr">
        <is>
          <t>2026-08-11</t>
        </is>
      </c>
    </row>
    <row r="131">
      <c r="A131" s="35" t="inlineStr">
        <is>
          <t>SVRL</t>
        </is>
      </c>
      <c r="B131" s="36" t="inlineStr">
        <is>
          <t>SVRL</t>
        </is>
      </c>
      <c r="C131" s="36" t="inlineStr">
        <is>
          <t>unknown</t>
        </is>
      </c>
      <c r="D131" s="37" t="inlineStr">
        <is>
          <t>2026-08-12</t>
        </is>
      </c>
    </row>
    <row r="132">
      <c r="A132" s="35" t="inlineStr">
        <is>
          <t>TAALTECH</t>
        </is>
      </c>
      <c r="B132" s="36" t="inlineStr">
        <is>
          <t>TAALTECH</t>
        </is>
      </c>
      <c r="C132" s="36" t="inlineStr">
        <is>
          <t>unknown</t>
        </is>
      </c>
      <c r="D132" s="37" t="inlineStr">
        <is>
          <t>2026-08-12</t>
        </is>
      </c>
    </row>
    <row r="133">
      <c r="A133" s="35" t="inlineStr">
        <is>
          <t>TATVA</t>
        </is>
      </c>
      <c r="B133" s="36" t="inlineStr">
        <is>
          <t>Tatva Chintan Pharma Chem Limited</t>
        </is>
      </c>
      <c r="C133" s="36" t="inlineStr">
        <is>
          <t>Basic Materials</t>
        </is>
      </c>
      <c r="D133" s="37" t="inlineStr">
        <is>
          <t>2026-08-11</t>
        </is>
      </c>
    </row>
    <row r="134">
      <c r="A134" s="35" t="inlineStr">
        <is>
          <t>THEJO</t>
        </is>
      </c>
      <c r="B134" s="36" t="inlineStr">
        <is>
          <t>Thejo Engineering Limited</t>
        </is>
      </c>
      <c r="C134" s="36" t="inlineStr">
        <is>
          <t>Industrials</t>
        </is>
      </c>
      <c r="D134" s="37" t="inlineStr">
        <is>
          <t>2026-08-12</t>
        </is>
      </c>
    </row>
    <row r="135">
      <c r="A135" s="35" t="inlineStr">
        <is>
          <t>THELEELA</t>
        </is>
      </c>
      <c r="B135" s="36" t="inlineStr">
        <is>
          <t>THELEELA</t>
        </is>
      </c>
      <c r="C135" s="36" t="inlineStr">
        <is>
          <t>unknown</t>
        </is>
      </c>
      <c r="D135" s="37" t="inlineStr">
        <is>
          <t>2026-08-12</t>
        </is>
      </c>
    </row>
    <row r="136">
      <c r="A136" s="35" t="inlineStr">
        <is>
          <t>UEL</t>
        </is>
      </c>
      <c r="B136" s="36" t="inlineStr">
        <is>
          <t>Ujaas Energy Limited</t>
        </is>
      </c>
      <c r="C136" s="36" t="inlineStr">
        <is>
          <t>Technology</t>
        </is>
      </c>
      <c r="D136" s="37" t="inlineStr">
        <is>
          <t>2026-08-11</t>
        </is>
      </c>
    </row>
    <row r="137">
      <c r="A137" s="35" t="inlineStr">
        <is>
          <t>UFBL</t>
        </is>
      </c>
      <c r="B137" s="36" t="inlineStr">
        <is>
          <t>UFBL</t>
        </is>
      </c>
      <c r="C137" s="36" t="inlineStr">
        <is>
          <t>Consumer Cyclical</t>
        </is>
      </c>
      <c r="D137" s="37" t="inlineStr">
        <is>
          <t>2026-08-12</t>
        </is>
      </c>
    </row>
    <row r="138">
      <c r="A138" s="35" t="inlineStr">
        <is>
          <t>UNIMECH</t>
        </is>
      </c>
      <c r="B138" s="36" t="inlineStr">
        <is>
          <t>UNIMECH</t>
        </is>
      </c>
      <c r="C138" s="36" t="inlineStr">
        <is>
          <t>Industrials</t>
        </is>
      </c>
      <c r="D138" s="37" t="inlineStr">
        <is>
          <t>2026-08-12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IF(B2=0,"",RANK(B2,$B$2:$B$5,0))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UJJIVANSFB</t>
        </is>
      </c>
      <c r="D2" s="30" t="inlineStr">
        <is>
          <t>Ujjivan Small Finance Bank Ltd</t>
        </is>
      </c>
      <c r="E2" s="30" t="inlineStr">
        <is>
          <t>bank</t>
        </is>
      </c>
      <c r="F2" s="30" t="inlineStr">
        <is>
          <t>Banks - Small Finance</t>
        </is>
      </c>
      <c r="G2" s="30" t="inlineStr">
        <is>
          <t>midcap</t>
        </is>
      </c>
      <c r="H2" s="31" t="n">
        <v>14097.69</v>
      </c>
      <c r="I2" s="31" t="n">
        <v>72.34999999999999</v>
      </c>
      <c r="J2" s="31" t="n">
        <v>3.15</v>
      </c>
      <c r="K2" s="31" t="n">
        <v>0</v>
      </c>
      <c r="L2" s="30" t="n">
        <v>70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68.16</v>
      </c>
      <c r="P2" s="31" t="n">
        <v>35.92</v>
      </c>
      <c r="Q2" s="31" t="n">
        <v>57.69</v>
      </c>
      <c r="R2" s="30" t="inlineStr">
        <is>
          <t>Near 52W High Breakout</t>
        </is>
      </c>
      <c r="S2" s="30" t="inlineStr">
        <is>
          <t>Nifty Bank</t>
        </is>
      </c>
      <c r="T2" s="31" t="n">
        <v>4.6</v>
      </c>
      <c r="U2" s="31" t="n">
        <v>73.7</v>
      </c>
      <c r="V2" s="31" t="n">
        <v>66.06</v>
      </c>
      <c r="W2" s="31" t="n">
        <v>18.6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22</t>
        </is>
      </c>
      <c r="CC2" s="30">
        <f>IF(CB2&gt;20,10,IF(CB2&gt;=10,5,2))</f>
        <v/>
      </c>
    </row>
    <row r="3">
      <c r="A3" s="30">
        <f>IF(B3=0,"",RANK(B3,$B$2:$B$5,0))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TFCILTD</t>
        </is>
      </c>
      <c r="D3" s="30" t="inlineStr">
        <is>
          <t>Tourism Finance Corporation of India Ltd</t>
        </is>
      </c>
      <c r="E3" s="30" t="inlineStr">
        <is>
          <t>financials</t>
        </is>
      </c>
      <c r="F3" s="30" t="inlineStr">
        <is>
          <t>Finance - PSU Lending</t>
        </is>
      </c>
      <c r="G3" s="30" t="inlineStr">
        <is>
          <t>midcap</t>
        </is>
      </c>
      <c r="H3" s="31" t="n">
        <v>5328.87</v>
      </c>
      <c r="I3" s="31" t="n">
        <v>115.1</v>
      </c>
      <c r="J3" s="31" t="n">
        <v>-0.43</v>
      </c>
      <c r="K3" s="31" t="n">
        <v>0</v>
      </c>
      <c r="L3" s="30" t="n">
        <v>81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76.94</v>
      </c>
      <c r="P3" s="31" t="n">
        <v>51.34</v>
      </c>
      <c r="Q3" s="31" t="n">
        <v>93.06</v>
      </c>
      <c r="R3" s="30" t="inlineStr">
        <is>
          <t>Near 52W High Breakout</t>
        </is>
      </c>
      <c r="S3" s="30" t="inlineStr">
        <is>
          <t>Nifty Bank</t>
        </is>
      </c>
      <c r="T3" s="31" t="n">
        <v>4.6</v>
      </c>
      <c r="U3" s="31" t="n">
        <v>86.23</v>
      </c>
      <c r="V3" s="31" t="n">
        <v>78.05</v>
      </c>
      <c r="W3" s="31" t="n">
        <v>25.08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23</t>
        </is>
      </c>
      <c r="CC3" s="30">
        <f>IF(CB3&gt;20,10,IF(CB3&gt;=10,5,2))</f>
        <v/>
      </c>
    </row>
    <row r="4">
      <c r="A4" s="30">
        <f>IF(B4=0,"",RANK(B4,$B$2:$B$5,0))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SHRIRAMFIN</t>
        </is>
      </c>
      <c r="D4" s="30" t="inlineStr">
        <is>
          <t>Shriram Finance Ltd</t>
        </is>
      </c>
      <c r="E4" s="30" t="inlineStr">
        <is>
          <t>financials</t>
        </is>
      </c>
      <c r="F4" s="30" t="inlineStr">
        <is>
          <t>Finance &amp; Investments - CV Finance</t>
        </is>
      </c>
      <c r="G4" s="30" t="inlineStr">
        <is>
          <t>largecap</t>
        </is>
      </c>
      <c r="H4" s="31" t="n">
        <v>262871.4</v>
      </c>
      <c r="I4" s="31" t="n">
        <v>1117.2</v>
      </c>
      <c r="J4" s="31" t="n">
        <v>-1.12</v>
      </c>
      <c r="K4" s="31" t="n">
        <v>0</v>
      </c>
      <c r="L4" s="30" t="n">
        <v>70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64.72</v>
      </c>
      <c r="P4" s="31" t="n">
        <v>15.46</v>
      </c>
      <c r="Q4" s="31" t="n">
        <v>910.4299999999999</v>
      </c>
      <c r="R4" s="30" t="inlineStr">
        <is>
          <t>Near 52W High Breakout</t>
        </is>
      </c>
      <c r="S4" s="30" t="inlineStr">
        <is>
          <t>Nifty Bank</t>
        </is>
      </c>
      <c r="T4" s="31" t="n">
        <v>4.6</v>
      </c>
      <c r="U4" s="31" t="n">
        <v>83.37</v>
      </c>
      <c r="V4" s="31" t="n">
        <v>75.31</v>
      </c>
      <c r="W4" s="31" t="n">
        <v>18.27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0 to 20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IF(B5=0,"",RANK(B5,$B$2:$B$5,0))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OFSS</t>
        </is>
      </c>
      <c r="D5" s="30" t="inlineStr">
        <is>
          <t>Oracle Financial Services Software Ltd</t>
        </is>
      </c>
      <c r="E5" s="30" t="inlineStr">
        <is>
          <t>i.t</t>
        </is>
      </c>
      <c r="F5" s="30" t="inlineStr">
        <is>
          <t>IT Product Companies</t>
        </is>
      </c>
      <c r="G5" s="30" t="inlineStr">
        <is>
          <t>largecap</t>
        </is>
      </c>
      <c r="H5" s="31" t="n">
        <v>101695.49</v>
      </c>
      <c r="I5" s="31" t="n">
        <v>11679</v>
      </c>
      <c r="J5" s="31" t="n">
        <v>-1.82</v>
      </c>
      <c r="K5" s="31" t="n">
        <v>0</v>
      </c>
      <c r="L5" s="30" t="n">
        <v>62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67.63</v>
      </c>
      <c r="P5" s="31" t="n">
        <v>30.81</v>
      </c>
      <c r="Q5" s="31" t="n">
        <v>9398.67</v>
      </c>
      <c r="R5" s="30" t="inlineStr">
        <is>
          <t>Near 52W High Breakout</t>
        </is>
      </c>
      <c r="S5" s="30" t="inlineStr">
        <is>
          <t>Nifty IT</t>
        </is>
      </c>
      <c r="T5" s="31" t="n">
        <v>-10.05</v>
      </c>
      <c r="U5" s="31" t="n">
        <v>42.08</v>
      </c>
      <c r="V5" s="31" t="n">
        <v>57.96</v>
      </c>
      <c r="W5" s="31" t="n">
        <v>15.35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21</t>
        </is>
      </c>
      <c r="CC5" s="30">
        <f>IF(CB5&gt;20,10,IF(CB5&gt;=10,5,2))</f>
        <v/>
      </c>
    </row>
    <row r="9">
      <c r="A9" s="24" t="inlineStr">
        <is>
          <t>❌ REMOVED SCAN MATCH STOCKS (THIS WEEK)</t>
        </is>
      </c>
    </row>
    <row r="10">
      <c r="A10" s="34" t="inlineStr">
        <is>
          <t>Symbol</t>
        </is>
      </c>
      <c r="B10" s="34" t="inlineStr">
        <is>
          <t>Company Name</t>
        </is>
      </c>
      <c r="C10" s="34" t="inlineStr">
        <is>
          <t>Sector</t>
        </is>
      </c>
      <c r="D10" s="34" t="inlineStr">
        <is>
          <t>Date of Removal</t>
        </is>
      </c>
    </row>
    <row r="11">
      <c r="A11" s="35" t="inlineStr">
        <is>
          <t>ESAFSFB</t>
        </is>
      </c>
      <c r="B11" s="36" t="inlineStr">
        <is>
          <t>ESAF Small Finance Bank</t>
        </is>
      </c>
      <c r="C11" s="36" t="inlineStr">
        <is>
          <t>Financial Services</t>
        </is>
      </c>
      <c r="D11" s="37" t="inlineStr">
        <is>
          <t>2026-08-11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2026-08-12T16:41:24Z</dcterms:created>
  <dcterms:modified xmlns:dcterms="http://purl.org/dc/terms/" xmlns:xsi="http://www.w3.org/2001/XMLSchema-instance" xsi:type="dcterms:W3CDTF">2026-08-12T16:42:44Z</dcterms:modified>
</cp:coreProperties>
</file>