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Universe'!$A$1:$J$357</definedName>
    <definedName name="_xlnm._FilterDatabase" localSheetId="3" hidden="1">'Confluence Overlap'!$A$1:$K$98</definedName>
    <definedName name="_xlnm._FilterDatabase" localSheetId="4" hidden="1">'Monit Non Financial'!$A$1:$CE$326</definedName>
    <definedName name="_xlnm._FilterDatabase" localSheetId="5" hidden="1">'Monit Banks NBFC'!$A$1:$CA$32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02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5" customWidth="1" min="2" max="2"/>
    <col width="18" customWidth="1" min="3" max="3"/>
    <col width="38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678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98</v>
      </c>
      <c r="G6" s="19" t="n">
        <v>67361.58</v>
      </c>
      <c r="H6" s="18" t="inlineStr">
        <is>
          <t>Potential Leader</t>
        </is>
      </c>
      <c r="J6" s="18" t="inlineStr">
        <is>
          <t>media</t>
        </is>
      </c>
      <c r="K6" s="16" t="n">
        <v>16</v>
      </c>
      <c r="L6" s="16" t="n">
        <v>12</v>
      </c>
      <c r="M6" s="20" t="inlineStr">
        <is>
          <t>33.3%</t>
        </is>
      </c>
    </row>
    <row r="7">
      <c r="A7" s="16" t="n">
        <v>2</v>
      </c>
      <c r="B7" s="17" t="n">
        <v>570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80</v>
      </c>
      <c r="G7" s="19" t="n">
        <v>2977.37</v>
      </c>
      <c r="H7" s="18" t="inlineStr">
        <is>
          <t>Potential Leader</t>
        </is>
      </c>
      <c r="J7" s="18" t="inlineStr">
        <is>
          <t>textiles</t>
        </is>
      </c>
      <c r="K7" s="16" t="n">
        <v>68</v>
      </c>
      <c r="L7" s="16" t="n">
        <v>53</v>
      </c>
      <c r="M7" s="20" t="inlineStr">
        <is>
          <t>28.3%</t>
        </is>
      </c>
    </row>
    <row r="8">
      <c r="A8" s="16" t="n">
        <v>3</v>
      </c>
      <c r="B8" s="17" t="n">
        <v>564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79</v>
      </c>
      <c r="G8" s="19" t="n">
        <v>100572.86</v>
      </c>
      <c r="H8" s="18" t="inlineStr">
        <is>
          <t>Potential Leader</t>
        </is>
      </c>
      <c r="J8" s="18" t="inlineStr">
        <is>
          <t>power &amp; utilities</t>
        </is>
      </c>
      <c r="K8" s="16" t="n">
        <v>6</v>
      </c>
      <c r="L8" s="16" t="n">
        <v>5</v>
      </c>
      <c r="M8" s="20" t="inlineStr">
        <is>
          <t>20.0%</t>
        </is>
      </c>
    </row>
    <row r="9">
      <c r="A9" s="16" t="n">
        <v>4</v>
      </c>
      <c r="B9" s="17" t="n">
        <v>492</v>
      </c>
      <c r="C9" s="17" t="inlineStr">
        <is>
          <t>CUPID</t>
        </is>
      </c>
      <c r="D9" s="18" t="inlineStr">
        <is>
          <t>Cupid Limited</t>
        </is>
      </c>
      <c r="E9" s="18" t="inlineStr">
        <is>
          <t>fmcg</t>
        </is>
      </c>
      <c r="F9" s="16" t="n">
        <v>67</v>
      </c>
      <c r="G9" s="19" t="n">
        <v>36984.89</v>
      </c>
      <c r="H9" s="18" t="inlineStr">
        <is>
          <t>Potential Leader</t>
        </is>
      </c>
      <c r="J9" s="18" t="inlineStr">
        <is>
          <t>telecom</t>
        </is>
      </c>
      <c r="K9" s="16" t="n">
        <v>8</v>
      </c>
      <c r="L9" s="16" t="n">
        <v>7</v>
      </c>
      <c r="M9" s="20" t="inlineStr">
        <is>
          <t>14.3%</t>
        </is>
      </c>
    </row>
    <row r="10">
      <c r="A10" s="16" t="n">
        <v>5</v>
      </c>
      <c r="B10" s="17" t="n">
        <v>432</v>
      </c>
      <c r="C10" s="17" t="inlineStr">
        <is>
          <t>VADILALIND</t>
        </is>
      </c>
      <c r="D10" s="18" t="inlineStr">
        <is>
          <t>Vadilal Industries Limited</t>
        </is>
      </c>
      <c r="E10" s="18" t="inlineStr">
        <is>
          <t>fmcg</t>
        </is>
      </c>
      <c r="F10" s="16" t="n">
        <v>57</v>
      </c>
      <c r="G10" s="19" t="n">
        <v>5575.6</v>
      </c>
      <c r="H10" s="18" t="inlineStr">
        <is>
          <t>Potential Leader</t>
        </is>
      </c>
      <c r="J10" s="18" t="inlineStr">
        <is>
          <t>healthcare</t>
        </is>
      </c>
      <c r="K10" s="16" t="n">
        <v>241</v>
      </c>
      <c r="L10" s="16" t="n">
        <v>218</v>
      </c>
      <c r="M10" s="20" t="inlineStr">
        <is>
          <t>10.6%</t>
        </is>
      </c>
    </row>
    <row r="11">
      <c r="A11" s="16" t="n">
        <v>6</v>
      </c>
      <c r="B11" s="17" t="n">
        <v>414</v>
      </c>
      <c r="C11" s="17" t="inlineStr">
        <is>
          <t>HITECHCORP</t>
        </is>
      </c>
      <c r="D11" s="18" t="inlineStr">
        <is>
          <t>Hitech Corporation</t>
        </is>
      </c>
      <c r="E11" s="18" t="inlineStr">
        <is>
          <t>industrials</t>
        </is>
      </c>
      <c r="F11" s="16" t="n">
        <v>54</v>
      </c>
      <c r="G11" s="19" t="n">
        <v>579.9400000000001</v>
      </c>
      <c r="H11" s="18" t="inlineStr">
        <is>
          <t>Potential Leader</t>
        </is>
      </c>
      <c r="J11" s="18" t="inlineStr">
        <is>
          <t>miscellaneous</t>
        </is>
      </c>
      <c r="K11" s="16" t="n">
        <v>44</v>
      </c>
      <c r="L11" s="16" t="n">
        <v>40</v>
      </c>
      <c r="M11" s="20" t="inlineStr">
        <is>
          <t>10.0%</t>
        </is>
      </c>
    </row>
    <row r="12">
      <c r="A12" s="16" t="n">
        <v>7</v>
      </c>
      <c r="B12" s="17" t="n">
        <v>366</v>
      </c>
      <c r="C12" s="17" t="inlineStr">
        <is>
          <t>CYIENTDLM</t>
        </is>
      </c>
      <c r="D12" s="18" t="inlineStr">
        <is>
          <t>Cyient DLM Ltd</t>
        </is>
      </c>
      <c r="E12" s="18" t="inlineStr">
        <is>
          <t>aerospace &amp; defence</t>
        </is>
      </c>
      <c r="F12" s="16" t="n">
        <v>46</v>
      </c>
      <c r="G12" s="19" t="n">
        <v>6804.74</v>
      </c>
      <c r="H12" s="18" t="inlineStr">
        <is>
          <t>Potential Leader</t>
        </is>
      </c>
      <c r="J12" s="18" t="inlineStr">
        <is>
          <t>metals &amp; mining</t>
        </is>
      </c>
      <c r="K12" s="16" t="n">
        <v>131</v>
      </c>
      <c r="L12" s="16" t="n">
        <v>121</v>
      </c>
      <c r="M12" s="20" t="inlineStr">
        <is>
          <t>8.3%</t>
        </is>
      </c>
    </row>
    <row r="13">
      <c r="A13" s="16" t="n">
        <v>8</v>
      </c>
      <c r="B13" s="17" t="n">
        <v>366</v>
      </c>
      <c r="C13" s="17" t="inlineStr">
        <is>
          <t>IRISDOREME</t>
        </is>
      </c>
      <c r="D13" s="18" t="inlineStr">
        <is>
          <t>Iris Clothings Ltd</t>
        </is>
      </c>
      <c r="E13" s="18" t="inlineStr">
        <is>
          <t>consumer discretionary</t>
        </is>
      </c>
      <c r="F13" s="16" t="n">
        <v>46</v>
      </c>
      <c r="G13" s="19" t="n">
        <v>1101.07</v>
      </c>
      <c r="H13" s="18" t="inlineStr">
        <is>
          <t>Potential Leader</t>
        </is>
      </c>
      <c r="J13" s="18" t="inlineStr">
        <is>
          <t>i.t</t>
        </is>
      </c>
      <c r="K13" s="16" t="n">
        <v>103</v>
      </c>
      <c r="L13" s="16" t="n">
        <v>97</v>
      </c>
      <c r="M13" s="20" t="inlineStr">
        <is>
          <t>6.2%</t>
        </is>
      </c>
    </row>
    <row r="14">
      <c r="A14" s="16" t="n">
        <v>9</v>
      </c>
      <c r="B14" s="17" t="n">
        <v>360</v>
      </c>
      <c r="C14" s="17" t="inlineStr">
        <is>
          <t>SETL</t>
        </is>
      </c>
      <c r="D14" s="18" t="inlineStr">
        <is>
          <t>Standard Enginnering Technology Ltd</t>
        </is>
      </c>
      <c r="E14" s="18" t="inlineStr">
        <is>
          <t>industrials</t>
        </is>
      </c>
      <c r="F14" s="16" t="n">
        <v>45</v>
      </c>
      <c r="G14" s="19" t="n">
        <v>7721.32</v>
      </c>
      <c r="H14" s="18" t="inlineStr">
        <is>
          <t>Potential Leader</t>
        </is>
      </c>
      <c r="J14" s="18" t="inlineStr">
        <is>
          <t>energy</t>
        </is>
      </c>
      <c r="K14" s="16" t="n">
        <v>57</v>
      </c>
      <c r="L14" s="16" t="n">
        <v>55</v>
      </c>
      <c r="M14" s="20" t="inlineStr">
        <is>
          <t>3.6%</t>
        </is>
      </c>
    </row>
    <row r="15">
      <c r="A15" s="16" t="n">
        <v>10</v>
      </c>
      <c r="B15" s="17" t="n">
        <v>348</v>
      </c>
      <c r="C15" s="17" t="inlineStr">
        <is>
          <t>HAPPYFORGE</t>
        </is>
      </c>
      <c r="D15" s="18" t="inlineStr">
        <is>
          <t>Happy Forgings Ltd</t>
        </is>
      </c>
      <c r="E15" s="18" t="inlineStr">
        <is>
          <t>industrials</t>
        </is>
      </c>
      <c r="F15" s="16" t="n">
        <v>43</v>
      </c>
      <c r="G15" s="19" t="n">
        <v>22843.43</v>
      </c>
      <c r="H15" s="18" t="inlineStr">
        <is>
          <t>Potential Leader</t>
        </is>
      </c>
      <c r="J15" s="18" t="inlineStr">
        <is>
          <t>co-working</t>
        </is>
      </c>
      <c r="K15" s="16" t="n">
        <v>5</v>
      </c>
      <c r="L15" s="16" t="n">
        <v>5</v>
      </c>
      <c r="M15" s="20" t="inlineStr">
        <is>
          <t>0.0%</t>
        </is>
      </c>
    </row>
    <row r="16">
      <c r="A16" s="16" t="n">
        <v>11</v>
      </c>
      <c r="B16" s="17" t="n">
        <v>336</v>
      </c>
      <c r="C16" s="17" t="inlineStr">
        <is>
          <t>AETHER</t>
        </is>
      </c>
      <c r="D16" s="18" t="inlineStr">
        <is>
          <t>Aether Industries Ltd</t>
        </is>
      </c>
      <c r="E16" s="18" t="inlineStr">
        <is>
          <t>chemicals</t>
        </is>
      </c>
      <c r="F16" s="16" t="n">
        <v>41</v>
      </c>
      <c r="G16" s="19" t="n">
        <v>22344.82</v>
      </c>
      <c r="H16" s="18" t="inlineStr">
        <is>
          <t>Potential Leader</t>
        </is>
      </c>
      <c r="J16" s="18" t="inlineStr">
        <is>
          <t>plastic products</t>
        </is>
      </c>
      <c r="K16" s="16" t="n">
        <v>30</v>
      </c>
      <c r="L16" s="16" t="n">
        <v>30</v>
      </c>
      <c r="M16" s="20" t="inlineStr">
        <is>
          <t>0.0%</t>
        </is>
      </c>
    </row>
    <row r="17">
      <c r="A17" s="16" t="n">
        <v>12</v>
      </c>
      <c r="B17" s="17" t="n">
        <v>318</v>
      </c>
      <c r="C17" s="17" t="inlineStr">
        <is>
          <t>SUNDRMFAST</t>
        </is>
      </c>
      <c r="D17" s="18" t="inlineStr">
        <is>
          <t>Sundram Fasteners Limited</t>
        </is>
      </c>
      <c r="E17" s="18" t="inlineStr">
        <is>
          <t>auto</t>
        </is>
      </c>
      <c r="F17" s="16" t="n">
        <v>38</v>
      </c>
      <c r="G17" s="19" t="n">
        <v>25314.16</v>
      </c>
      <c r="H17" s="18" t="inlineStr">
        <is>
          <t>Potential Leader</t>
        </is>
      </c>
      <c r="J17" s="18" t="inlineStr">
        <is>
          <t>industrials</t>
        </is>
      </c>
      <c r="K17" s="16" t="n">
        <v>286</v>
      </c>
      <c r="L17" s="16" t="n">
        <v>298</v>
      </c>
      <c r="M17" s="21" t="inlineStr">
        <is>
          <t>-4.0%</t>
        </is>
      </c>
    </row>
    <row r="18">
      <c r="A18" s="16" t="n">
        <v>13</v>
      </c>
      <c r="B18" s="17" t="n">
        <v>294</v>
      </c>
      <c r="C18" s="17" t="inlineStr">
        <is>
          <t>KABRAEXTRU</t>
        </is>
      </c>
      <c r="D18" s="18" t="inlineStr">
        <is>
          <t>Kabra Extrusion Technik Limited</t>
        </is>
      </c>
      <c r="E18" s="18" t="inlineStr">
        <is>
          <t>industrials</t>
        </is>
      </c>
      <c r="F18" s="16" t="n">
        <v>34</v>
      </c>
      <c r="G18" s="19" t="n">
        <v>2026.33</v>
      </c>
      <c r="H18" s="18" t="inlineStr">
        <is>
          <t>Potential Leader</t>
        </is>
      </c>
      <c r="J18" s="18" t="inlineStr">
        <is>
          <t>consumer discretionary</t>
        </is>
      </c>
      <c r="K18" s="16" t="n">
        <v>124</v>
      </c>
      <c r="L18" s="16" t="n">
        <v>130</v>
      </c>
      <c r="M18" s="21" t="inlineStr">
        <is>
          <t>-4.6%</t>
        </is>
      </c>
    </row>
    <row r="19">
      <c r="A19" s="16" t="n">
        <v>14</v>
      </c>
      <c r="B19" s="17" t="n">
        <v>294</v>
      </c>
      <c r="C19" s="17" t="inlineStr">
        <is>
          <t>QUESS</t>
        </is>
      </c>
      <c r="D19" s="18" t="inlineStr">
        <is>
          <t>Quess Corp Limited</t>
        </is>
      </c>
      <c r="E19" s="18" t="inlineStr">
        <is>
          <t>miscellaneous</t>
        </is>
      </c>
      <c r="F19" s="16" t="n">
        <v>34</v>
      </c>
      <c r="G19" s="19" t="n">
        <v>5668.21</v>
      </c>
      <c r="H19" s="18" t="inlineStr">
        <is>
          <t>Potential Leader</t>
        </is>
      </c>
      <c r="J19" s="18" t="inlineStr">
        <is>
          <t>chemicals</t>
        </is>
      </c>
      <c r="K19" s="16" t="n">
        <v>149</v>
      </c>
      <c r="L19" s="16" t="n">
        <v>161</v>
      </c>
      <c r="M19" s="21" t="inlineStr">
        <is>
          <t>-7.5%</t>
        </is>
      </c>
    </row>
    <row r="20">
      <c r="A20" s="16" t="n">
        <v>15</v>
      </c>
      <c r="B20" s="17" t="n">
        <v>294</v>
      </c>
      <c r="C20" s="17" t="inlineStr">
        <is>
          <t>TITAN</t>
        </is>
      </c>
      <c r="D20" s="18" t="inlineStr">
        <is>
          <t>Titan Company Limited</t>
        </is>
      </c>
      <c r="E20" s="18" t="inlineStr">
        <is>
          <t>consumer discretionary</t>
        </is>
      </c>
      <c r="F20" s="16" t="n">
        <v>34</v>
      </c>
      <c r="G20" s="19" t="n">
        <v>448332.01</v>
      </c>
      <c r="H20" s="18" t="inlineStr">
        <is>
          <t>Potential Leader</t>
        </is>
      </c>
      <c r="J20" s="18" t="inlineStr">
        <is>
          <t>services</t>
        </is>
      </c>
      <c r="K20" s="16" t="n">
        <v>42</v>
      </c>
      <c r="L20" s="16" t="n">
        <v>47</v>
      </c>
      <c r="M20" s="21" t="inlineStr">
        <is>
          <t>-10.6%</t>
        </is>
      </c>
    </row>
    <row r="21">
      <c r="A21" s="16" t="n">
        <v>16</v>
      </c>
      <c r="B21" s="17" t="n">
        <v>282</v>
      </c>
      <c r="C21" s="17" t="inlineStr">
        <is>
          <t>BAJAJ-AUTO</t>
        </is>
      </c>
      <c r="D21" s="18" t="inlineStr">
        <is>
          <t>Bajaj Auto Limited</t>
        </is>
      </c>
      <c r="E21" s="18" t="inlineStr">
        <is>
          <t>auto</t>
        </is>
      </c>
      <c r="F21" s="16" t="n">
        <v>32</v>
      </c>
      <c r="G21" s="19" t="n">
        <v>345487.28</v>
      </c>
      <c r="H21" s="18" t="inlineStr">
        <is>
          <t>Potential Leader</t>
        </is>
      </c>
    </row>
    <row r="22">
      <c r="A22" s="16" t="n">
        <v>17</v>
      </c>
      <c r="B22" s="17" t="n">
        <v>282</v>
      </c>
      <c r="C22" s="17" t="inlineStr">
        <is>
          <t>DIVISLAB</t>
        </is>
      </c>
      <c r="D22" s="18" t="inlineStr">
        <is>
          <t>Divi's Laboratories Limited</t>
        </is>
      </c>
      <c r="E22" s="18" t="inlineStr">
        <is>
          <t>healthcare</t>
        </is>
      </c>
      <c r="F22" s="16" t="n">
        <v>32</v>
      </c>
      <c r="G22" s="19" t="n">
        <v>243301.95</v>
      </c>
      <c r="H22" s="18" t="inlineStr">
        <is>
          <t>Potential Leader</t>
        </is>
      </c>
    </row>
    <row r="23">
      <c r="A23" s="16" t="n">
        <v>18</v>
      </c>
      <c r="B23" s="17" t="n">
        <v>282</v>
      </c>
      <c r="C23" s="17" t="inlineStr">
        <is>
          <t>E2E</t>
        </is>
      </c>
      <c r="D23" s="18" t="inlineStr">
        <is>
          <t>E2E Networks Ltd</t>
        </is>
      </c>
      <c r="E23" s="18" t="inlineStr">
        <is>
          <t>i.t</t>
        </is>
      </c>
      <c r="F23" s="16" t="n">
        <v>32</v>
      </c>
      <c r="G23" s="19" t="n">
        <v>12763.52</v>
      </c>
      <c r="H23" s="18" t="inlineStr">
        <is>
          <t>Potential Leader</t>
        </is>
      </c>
    </row>
    <row r="24">
      <c r="A24" s="16" t="n">
        <v>19</v>
      </c>
      <c r="B24" s="17" t="n">
        <v>282</v>
      </c>
      <c r="C24" s="17" t="inlineStr">
        <is>
          <t>HEG</t>
        </is>
      </c>
      <c r="D24" s="18" t="inlineStr">
        <is>
          <t>Heg Limited</t>
        </is>
      </c>
      <c r="E24" s="18" t="inlineStr">
        <is>
          <t>industrials</t>
        </is>
      </c>
      <c r="F24" s="16" t="n">
        <v>32</v>
      </c>
      <c r="G24" s="19" t="n">
        <v>14085.43</v>
      </c>
      <c r="H24" s="18" t="inlineStr">
        <is>
          <t>Potential Leader</t>
        </is>
      </c>
    </row>
    <row r="25">
      <c r="A25" s="16" t="n">
        <v>20</v>
      </c>
      <c r="B25" s="17" t="n">
        <v>282</v>
      </c>
      <c r="C25" s="17" t="inlineStr">
        <is>
          <t>MENONBE</t>
        </is>
      </c>
      <c r="D25" s="18" t="inlineStr">
        <is>
          <t>Menon Bearings Limited</t>
        </is>
      </c>
      <c r="E25" s="18" t="inlineStr">
        <is>
          <t>auto</t>
        </is>
      </c>
      <c r="F25" s="16" t="n">
        <v>32</v>
      </c>
      <c r="G25" s="19" t="n">
        <v>1689.05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GPPL</t>
        </is>
      </c>
      <c r="B30" s="18" t="inlineStr">
        <is>
          <t>Gujarat Pipavav Port Limited</t>
        </is>
      </c>
      <c r="C30" s="18" t="inlineStr">
        <is>
          <t>transportation</t>
        </is>
      </c>
      <c r="D30" s="16" t="n">
        <v>10</v>
      </c>
      <c r="E30" s="16" t="n">
        <v>2</v>
      </c>
      <c r="F30" s="19" t="n">
        <v>8171.1</v>
      </c>
      <c r="J30" s="17" t="inlineStr">
        <is>
          <t>VADILALIND</t>
        </is>
      </c>
      <c r="K30" s="18" t="inlineStr">
        <is>
          <t>fmcg</t>
        </is>
      </c>
      <c r="L30" s="19" t="n">
        <v>300</v>
      </c>
      <c r="M30" s="19" t="n">
        <v>5575.6</v>
      </c>
      <c r="N30" s="16" t="n">
        <v>30</v>
      </c>
    </row>
    <row r="31">
      <c r="A31" s="17" t="inlineStr">
        <is>
          <t>KRBL</t>
        </is>
      </c>
      <c r="B31" s="18" t="inlineStr">
        <is>
          <t>Krbl Limited</t>
        </is>
      </c>
      <c r="C31" s="18" t="inlineStr">
        <is>
          <t>fmcg</t>
        </is>
      </c>
      <c r="D31" s="16" t="n">
        <v>10</v>
      </c>
      <c r="E31" s="16" t="n">
        <v>1</v>
      </c>
      <c r="F31" s="19" t="n">
        <v>9707.219999999999</v>
      </c>
      <c r="J31" s="17" t="inlineStr">
        <is>
          <t>VINDHYATEL</t>
        </is>
      </c>
      <c r="K31" s="18" t="inlineStr">
        <is>
          <t>realty</t>
        </is>
      </c>
      <c r="L31" s="19" t="n">
        <v>298</v>
      </c>
      <c r="M31" s="19" t="n">
        <v>3053.61</v>
      </c>
      <c r="N31" s="16" t="n">
        <v>23</v>
      </c>
    </row>
    <row r="32">
      <c r="A32" s="17" t="inlineStr">
        <is>
          <t>MAWANASUG</t>
        </is>
      </c>
      <c r="B32" s="18" t="inlineStr">
        <is>
          <t>Mawana Sugars Limited</t>
        </is>
      </c>
      <c r="C32" s="18" t="inlineStr">
        <is>
          <t>fmcg</t>
        </is>
      </c>
      <c r="D32" s="16" t="n">
        <v>10</v>
      </c>
      <c r="E32" s="16" t="n">
        <v>0</v>
      </c>
      <c r="F32" s="19" t="n">
        <v>556.67</v>
      </c>
      <c r="J32" s="17" t="inlineStr">
        <is>
          <t>MENONBE</t>
        </is>
      </c>
      <c r="K32" s="18" t="inlineStr">
        <is>
          <t>auto</t>
        </is>
      </c>
      <c r="L32" s="19" t="n">
        <v>295</v>
      </c>
      <c r="M32" s="19" t="n">
        <v>1689.05</v>
      </c>
      <c r="N32" s="16" t="n">
        <v>30</v>
      </c>
    </row>
    <row r="33">
      <c r="A33" s="17" t="inlineStr">
        <is>
          <t>BAJAJHIND</t>
        </is>
      </c>
      <c r="B33" s="18" t="inlineStr">
        <is>
          <t>Bajaj Hindusthan Sugar Limited</t>
        </is>
      </c>
      <c r="C33" s="18" t="inlineStr">
        <is>
          <t>fmcg</t>
        </is>
      </c>
      <c r="D33" s="16" t="n">
        <v>10</v>
      </c>
      <c r="E33" s="16" t="n">
        <v>1</v>
      </c>
      <c r="F33" s="19" t="n">
        <v>5240.34</v>
      </c>
      <c r="J33" s="17" t="inlineStr">
        <is>
          <t>TMB</t>
        </is>
      </c>
      <c r="K33" s="18" t="inlineStr">
        <is>
          <t>bank</t>
        </is>
      </c>
      <c r="L33" s="19" t="n">
        <v>295</v>
      </c>
      <c r="M33" s="19" t="n">
        <v>14379.9</v>
      </c>
      <c r="N33" s="16" t="n">
        <v>25</v>
      </c>
    </row>
    <row r="34">
      <c r="A34" s="17" t="inlineStr">
        <is>
          <t>20MICRONS</t>
        </is>
      </c>
      <c r="B34" s="18" t="inlineStr">
        <is>
          <t>20 Microns Limited</t>
        </is>
      </c>
      <c r="C34" s="18" t="inlineStr">
        <is>
          <t>metals &amp; mining</t>
        </is>
      </c>
      <c r="D34" s="16" t="n">
        <v>10</v>
      </c>
      <c r="E34" s="16" t="n">
        <v>0</v>
      </c>
      <c r="F34" s="19" t="n">
        <v>751.6</v>
      </c>
      <c r="J34" s="17" t="inlineStr">
        <is>
          <t>PREMIERPOL</t>
        </is>
      </c>
      <c r="K34" s="18" t="inlineStr">
        <is>
          <t>plastic products</t>
        </is>
      </c>
      <c r="L34" s="19" t="n">
        <v>293</v>
      </c>
      <c r="M34" s="19" t="n">
        <v>947.29</v>
      </c>
      <c r="N34" s="16" t="n">
        <v>21</v>
      </c>
    </row>
    <row r="35">
      <c r="A35" s="17" t="inlineStr">
        <is>
          <t>UDS</t>
        </is>
      </c>
      <c r="B35" s="18" t="inlineStr">
        <is>
          <t>Updater Services Ltd</t>
        </is>
      </c>
      <c r="C35" s="18" t="inlineStr">
        <is>
          <t>miscellaneous</t>
        </is>
      </c>
      <c r="D35" s="16" t="n">
        <v>9</v>
      </c>
      <c r="E35" s="16" t="n">
        <v>1</v>
      </c>
      <c r="F35" s="19" t="n">
        <v>1520.64</v>
      </c>
      <c r="J35" s="17" t="inlineStr">
        <is>
          <t>BLUSPRING</t>
        </is>
      </c>
      <c r="K35" s="18" t="inlineStr">
        <is>
          <t>miscellaneous</t>
        </is>
      </c>
      <c r="L35" s="19" t="n">
        <v>293</v>
      </c>
      <c r="M35" s="19" t="n">
        <v>1815.26</v>
      </c>
      <c r="N35" s="16" t="n">
        <v>17</v>
      </c>
    </row>
    <row r="36">
      <c r="A36" s="17" t="inlineStr">
        <is>
          <t>CHALET</t>
        </is>
      </c>
      <c r="B36" s="18" t="inlineStr">
        <is>
          <t>Chalet Hotels Ltd</t>
        </is>
      </c>
      <c r="C36" s="18" t="inlineStr">
        <is>
          <t>services</t>
        </is>
      </c>
      <c r="D36" s="16" t="n">
        <v>9</v>
      </c>
      <c r="E36" s="16" t="n">
        <v>0</v>
      </c>
      <c r="F36" s="19" t="n">
        <v>19654.72</v>
      </c>
      <c r="J36" s="17" t="inlineStr">
        <is>
          <t>IOLCP</t>
        </is>
      </c>
      <c r="K36" s="18" t="inlineStr">
        <is>
          <t>healthcare</t>
        </is>
      </c>
      <c r="L36" s="19" t="n">
        <v>292</v>
      </c>
      <c r="M36" s="19" t="n">
        <v>5591.11</v>
      </c>
      <c r="N36" s="16" t="n">
        <v>18</v>
      </c>
    </row>
    <row r="37">
      <c r="A37" s="17" t="inlineStr">
        <is>
          <t>ANURAS</t>
        </is>
      </c>
      <c r="B37" s="18" t="inlineStr">
        <is>
          <t>Anupam Rasayan India Ltd</t>
        </is>
      </c>
      <c r="C37" s="18" t="inlineStr">
        <is>
          <t>Basic Materials</t>
        </is>
      </c>
      <c r="D37" s="16" t="n">
        <v>9</v>
      </c>
      <c r="E37" s="16" t="n">
        <v>0</v>
      </c>
      <c r="F37" s="19" t="n">
        <v>14120.8</v>
      </c>
      <c r="J37" s="17" t="inlineStr">
        <is>
          <t>SUVEN</t>
        </is>
      </c>
      <c r="K37" s="18" t="inlineStr">
        <is>
          <t>healthcare</t>
        </is>
      </c>
      <c r="L37" s="19" t="n">
        <v>290</v>
      </c>
      <c r="M37" s="19" t="n">
        <v>737.2</v>
      </c>
      <c r="N37" s="16" t="n">
        <v>17</v>
      </c>
    </row>
    <row r="38">
      <c r="A38" s="17" t="inlineStr">
        <is>
          <t>BANARISUG</t>
        </is>
      </c>
      <c r="B38" s="18" t="inlineStr">
        <is>
          <t>Bannari Amman Sugars Limited</t>
        </is>
      </c>
      <c r="C38" s="18" t="inlineStr">
        <is>
          <t>fmcg</t>
        </is>
      </c>
      <c r="D38" s="16" t="n">
        <v>9</v>
      </c>
      <c r="E38" s="16" t="n">
        <v>2</v>
      </c>
      <c r="F38" s="19" t="n">
        <v>4722.7</v>
      </c>
      <c r="J38" s="17" t="inlineStr">
        <is>
          <t>VISHNU</t>
        </is>
      </c>
      <c r="K38" s="18" t="inlineStr">
        <is>
          <t>chemicals</t>
        </is>
      </c>
      <c r="L38" s="19" t="n">
        <v>288</v>
      </c>
      <c r="M38" s="19" t="n">
        <v>4454.59</v>
      </c>
      <c r="N38" s="16" t="n">
        <v>16</v>
      </c>
    </row>
    <row r="39">
      <c r="A39" s="17" t="inlineStr">
        <is>
          <t>JAYNECOIND</t>
        </is>
      </c>
      <c r="B39" s="18" t="inlineStr">
        <is>
          <t>Jayaswal Neco Industries Limited</t>
        </is>
      </c>
      <c r="C39" s="18" t="inlineStr">
        <is>
          <t>metals &amp; mining</t>
        </is>
      </c>
      <c r="D39" s="16" t="n">
        <v>9</v>
      </c>
      <c r="E39" s="16" t="n">
        <v>0</v>
      </c>
      <c r="F39" s="19" t="n">
        <v>9407.030000000001</v>
      </c>
      <c r="J39" s="17" t="inlineStr">
        <is>
          <t>MSTCLTD</t>
        </is>
      </c>
      <c r="K39" s="18" t="inlineStr">
        <is>
          <t>i.t</t>
        </is>
      </c>
      <c r="L39" s="19" t="n">
        <v>288</v>
      </c>
      <c r="M39" s="19" t="n">
        <v>5136.03</v>
      </c>
      <c r="N39" s="16" t="n">
        <v>13</v>
      </c>
    </row>
    <row r="40">
      <c r="A40" s="17" t="inlineStr">
        <is>
          <t>BALUFORGE</t>
        </is>
      </c>
      <c r="B40" s="18" t="inlineStr">
        <is>
          <t>Balu Forge Industries Ltd</t>
        </is>
      </c>
      <c r="C40" s="18" t="inlineStr">
        <is>
          <t>industrials</t>
        </is>
      </c>
      <c r="D40" s="16" t="n">
        <v>8</v>
      </c>
      <c r="E40" s="16" t="n">
        <v>0</v>
      </c>
      <c r="F40" s="19" t="n">
        <v>7443.02</v>
      </c>
      <c r="J40" s="17" t="inlineStr">
        <is>
          <t>ORIENTBELL</t>
        </is>
      </c>
      <c r="K40" s="18" t="inlineStr">
        <is>
          <t>building materials</t>
        </is>
      </c>
      <c r="L40" s="19" t="n">
        <v>288</v>
      </c>
      <c r="M40" s="19" t="n">
        <v>574.37</v>
      </c>
      <c r="N40" s="16" t="n">
        <v>14</v>
      </c>
    </row>
    <row r="41">
      <c r="A41" s="17" t="inlineStr">
        <is>
          <t>THEMISMED</t>
        </is>
      </c>
      <c r="B41" s="18" t="inlineStr">
        <is>
          <t>Themis Medicare Limited</t>
        </is>
      </c>
      <c r="C41" s="18" t="inlineStr">
        <is>
          <t>healthcare</t>
        </is>
      </c>
      <c r="D41" s="16" t="n">
        <v>8</v>
      </c>
      <c r="E41" s="16" t="n">
        <v>1</v>
      </c>
      <c r="F41" s="19" t="n">
        <v>1138.08</v>
      </c>
      <c r="J41" s="17" t="inlineStr">
        <is>
          <t>OCCLLTD</t>
        </is>
      </c>
      <c r="K41" s="18" t="inlineStr">
        <is>
          <t>chemicals</t>
        </is>
      </c>
      <c r="L41" s="19" t="n">
        <v>288</v>
      </c>
      <c r="M41" s="19" t="n">
        <v>814.24</v>
      </c>
      <c r="N41" s="16" t="n">
        <v>25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102.73</v>
      </c>
      <c r="D47" s="28" t="n">
        <v>270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35648.97</v>
      </c>
    </row>
    <row r="48">
      <c r="A48" s="16" t="n">
        <v>2</v>
      </c>
      <c r="B48" s="27" t="n">
        <v>99</v>
      </c>
      <c r="C48" s="28" t="n">
        <v>93.34</v>
      </c>
      <c r="D48" s="28" t="n">
        <v>287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36984.89</v>
      </c>
    </row>
    <row r="49">
      <c r="A49" s="16" t="n">
        <v>3</v>
      </c>
      <c r="B49" s="27" t="n">
        <v>98</v>
      </c>
      <c r="C49" s="28" t="n">
        <v>69.22</v>
      </c>
      <c r="D49" s="28" t="n">
        <v>258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14789.23</v>
      </c>
    </row>
    <row r="50">
      <c r="A50" s="16" t="n">
        <v>4</v>
      </c>
      <c r="B50" s="27" t="n">
        <v>98</v>
      </c>
      <c r="C50" s="28" t="n">
        <v>65.37</v>
      </c>
      <c r="D50" s="28" t="n">
        <v>273</v>
      </c>
      <c r="E50" s="17" t="inlineStr">
        <is>
          <t>SETL</t>
        </is>
      </c>
      <c r="F50" s="18" t="inlineStr">
        <is>
          <t>Standard Enginnering Technology Ltd</t>
        </is>
      </c>
      <c r="G50" s="18" t="inlineStr">
        <is>
          <t>industrials</t>
        </is>
      </c>
      <c r="H50" s="19" t="n">
        <v>7721.32</v>
      </c>
    </row>
    <row r="51">
      <c r="A51" s="16" t="n">
        <v>5</v>
      </c>
      <c r="B51" s="27" t="n">
        <v>98</v>
      </c>
      <c r="C51" s="28" t="n">
        <v>65.16</v>
      </c>
      <c r="D51" s="28" t="n">
        <v>285</v>
      </c>
      <c r="E51" s="17" t="inlineStr">
        <is>
          <t>RPEL</t>
        </is>
      </c>
      <c r="F51" s="18" t="inlineStr">
        <is>
          <t>Raghav Productivity Enhancers Ltd</t>
        </is>
      </c>
      <c r="G51" s="18" t="inlineStr">
        <is>
          <t>building materials</t>
        </is>
      </c>
      <c r="H51" s="19" t="n">
        <v>7931.18</v>
      </c>
    </row>
    <row r="52">
      <c r="A52" s="16" t="n">
        <v>6</v>
      </c>
      <c r="B52" s="27" t="n">
        <v>98</v>
      </c>
      <c r="C52" s="28" t="n">
        <v>64.66</v>
      </c>
      <c r="D52" s="28" t="n">
        <v>285</v>
      </c>
      <c r="E52" s="17" t="inlineStr">
        <is>
          <t>ATHERENERG</t>
        </is>
      </c>
      <c r="F52" s="18" t="inlineStr">
        <is>
          <t>Ather Energy Ltd</t>
        </is>
      </c>
      <c r="G52" s="18" t="inlineStr">
        <is>
          <t>auto</t>
        </is>
      </c>
      <c r="H52" s="19" t="n">
        <v>68010.25999999999</v>
      </c>
    </row>
    <row r="53">
      <c r="A53" s="16" t="n">
        <v>7</v>
      </c>
      <c r="B53" s="27" t="n">
        <v>97</v>
      </c>
      <c r="C53" s="28" t="n">
        <v>63.3</v>
      </c>
      <c r="D53" s="28" t="n">
        <v>277</v>
      </c>
      <c r="E53" s="17" t="inlineStr">
        <is>
          <t>INDSWFTLAB</t>
        </is>
      </c>
      <c r="F53" s="18" t="inlineStr">
        <is>
          <t>Ind-swift Laboratories Limited</t>
        </is>
      </c>
      <c r="G53" s="18" t="inlineStr">
        <is>
          <t>healthcare</t>
        </is>
      </c>
      <c r="H53" s="19" t="n">
        <v>3201.49</v>
      </c>
    </row>
    <row r="54">
      <c r="A54" s="16" t="n">
        <v>8</v>
      </c>
      <c r="B54" s="27" t="n">
        <v>97</v>
      </c>
      <c r="C54" s="28" t="n">
        <v>60.33</v>
      </c>
      <c r="D54" s="28" t="n">
        <v>277</v>
      </c>
      <c r="E54" s="17" t="inlineStr">
        <is>
          <t>MOREPENLAB</t>
        </is>
      </c>
      <c r="F54" s="18" t="inlineStr">
        <is>
          <t>Morepen Laboratories Limited</t>
        </is>
      </c>
      <c r="G54" s="18" t="inlineStr">
        <is>
          <t>healthcare</t>
        </is>
      </c>
      <c r="H54" s="19" t="n">
        <v>5679.54</v>
      </c>
    </row>
    <row r="55">
      <c r="A55" s="16" t="n">
        <v>9</v>
      </c>
      <c r="B55" s="27" t="n">
        <v>97</v>
      </c>
      <c r="C55" s="28" t="n">
        <v>59.73</v>
      </c>
      <c r="D55" s="28" t="n">
        <v>285</v>
      </c>
      <c r="E55" s="17" t="inlineStr">
        <is>
          <t>TBZ</t>
        </is>
      </c>
      <c r="F55" s="18" t="inlineStr">
        <is>
          <t>Tribhovandas Bhimji Zaveri Limited</t>
        </is>
      </c>
      <c r="G55" s="18" t="inlineStr">
        <is>
          <t>consumer discretionary</t>
        </is>
      </c>
      <c r="H55" s="19" t="n">
        <v>2447.68</v>
      </c>
    </row>
    <row r="56">
      <c r="A56" s="16" t="n">
        <v>10</v>
      </c>
      <c r="B56" s="27" t="n">
        <v>97</v>
      </c>
      <c r="C56" s="28" t="n">
        <v>58.4</v>
      </c>
      <c r="D56" s="28" t="n">
        <v>295</v>
      </c>
      <c r="E56" s="17" t="inlineStr">
        <is>
          <t>MENONBE</t>
        </is>
      </c>
      <c r="F56" s="18" t="inlineStr">
        <is>
          <t>Menon Bearings Limited</t>
        </is>
      </c>
      <c r="G56" s="18" t="inlineStr">
        <is>
          <t>auto</t>
        </is>
      </c>
      <c r="H56" s="19" t="n">
        <v>1689.05</v>
      </c>
    </row>
    <row r="57">
      <c r="A57" s="16" t="n">
        <v>11</v>
      </c>
      <c r="B57" s="27" t="n">
        <v>96</v>
      </c>
      <c r="C57" s="28" t="n">
        <v>53.68</v>
      </c>
      <c r="D57" s="28" t="n">
        <v>223</v>
      </c>
      <c r="E57" s="17" t="inlineStr">
        <is>
          <t>SALSTEEL</t>
        </is>
      </c>
      <c r="F57" s="18" t="inlineStr">
        <is>
          <t>SAL Steel</t>
        </is>
      </c>
      <c r="G57" s="18" t="inlineStr">
        <is>
          <t>metals &amp; mining</t>
        </is>
      </c>
      <c r="H57" s="19" t="n">
        <v>1193.31</v>
      </c>
    </row>
    <row r="58">
      <c r="A58" s="16" t="n">
        <v>12</v>
      </c>
      <c r="B58" s="27" t="n">
        <v>96</v>
      </c>
      <c r="C58" s="28" t="n">
        <v>53.26</v>
      </c>
      <c r="D58" s="28" t="n">
        <v>280</v>
      </c>
      <c r="E58" s="17" t="inlineStr">
        <is>
          <t>WELCORP</t>
        </is>
      </c>
      <c r="F58" s="18" t="inlineStr">
        <is>
          <t>Welspun Corp Limited</t>
        </is>
      </c>
      <c r="G58" s="18" t="inlineStr">
        <is>
          <t>industrials</t>
        </is>
      </c>
      <c r="H58" s="19" t="n">
        <v>67361.58</v>
      </c>
    </row>
    <row r="59">
      <c r="A59" s="16" t="n">
        <v>13</v>
      </c>
      <c r="B59" s="27" t="n">
        <v>96</v>
      </c>
      <c r="C59" s="28" t="n">
        <v>52.46</v>
      </c>
      <c r="D59" s="28" t="n">
        <v>258</v>
      </c>
      <c r="E59" s="17" t="inlineStr">
        <is>
          <t>KABRAEXTRU</t>
        </is>
      </c>
      <c r="F59" s="18" t="inlineStr">
        <is>
          <t>Kabra Extrusion Technik Limited</t>
        </is>
      </c>
      <c r="G59" s="18" t="inlineStr">
        <is>
          <t>industrials</t>
        </is>
      </c>
      <c r="H59" s="19" t="n">
        <v>2026.33</v>
      </c>
    </row>
    <row r="60">
      <c r="A60" s="16" t="n">
        <v>14</v>
      </c>
      <c r="B60" s="27" t="n">
        <v>96</v>
      </c>
      <c r="C60" s="28" t="n">
        <v>49.69</v>
      </c>
      <c r="D60" s="28" t="n">
        <v>280</v>
      </c>
      <c r="E60" s="17" t="inlineStr">
        <is>
          <t>MODISONLTD</t>
        </is>
      </c>
      <c r="F60" s="18" t="inlineStr">
        <is>
          <t>Modison Ltd</t>
        </is>
      </c>
      <c r="G60" s="18" t="inlineStr">
        <is>
          <t>industrials</t>
        </is>
      </c>
      <c r="H60" s="19" t="n">
        <v>1620.72</v>
      </c>
    </row>
    <row r="61">
      <c r="A61" s="16" t="n">
        <v>15</v>
      </c>
      <c r="B61" s="27" t="n">
        <v>95</v>
      </c>
      <c r="C61" s="28" t="n">
        <v>48.9</v>
      </c>
      <c r="D61" s="28" t="n">
        <v>263</v>
      </c>
      <c r="E61" s="17" t="inlineStr">
        <is>
          <t>UNIVASTU</t>
        </is>
      </c>
      <c r="F61" s="18" t="inlineStr">
        <is>
          <t>Univastu India Ltd</t>
        </is>
      </c>
      <c r="G61" s="18" t="inlineStr">
        <is>
          <t>realty</t>
        </is>
      </c>
      <c r="H61" s="19" t="n">
        <v>578.42</v>
      </c>
    </row>
    <row r="62">
      <c r="A62" s="16" t="n">
        <v>16</v>
      </c>
      <c r="B62" s="27" t="n">
        <v>95</v>
      </c>
      <c r="C62" s="28" t="n">
        <v>48.1</v>
      </c>
      <c r="D62" s="28" t="n">
        <v>265</v>
      </c>
      <c r="E62" s="17" t="inlineStr">
        <is>
          <t>AEROFLEX</t>
        </is>
      </c>
      <c r="F62" s="18" t="inlineStr">
        <is>
          <t>Aeroflex Industries Ltd</t>
        </is>
      </c>
      <c r="G62" s="18" t="inlineStr">
        <is>
          <t>metals &amp; mining</t>
        </is>
      </c>
      <c r="H62" s="19" t="n">
        <v>7305.32</v>
      </c>
    </row>
    <row r="63">
      <c r="A63" s="16" t="n">
        <v>17</v>
      </c>
      <c r="B63" s="27" t="n">
        <v>95</v>
      </c>
      <c r="C63" s="28" t="n">
        <v>47.3</v>
      </c>
      <c r="D63" s="28" t="n">
        <v>270</v>
      </c>
      <c r="E63" s="17" t="inlineStr">
        <is>
          <t>BLISSGVS</t>
        </is>
      </c>
      <c r="F63" s="18" t="inlineStr">
        <is>
          <t>Bliss Gvs Pharma Limited</t>
        </is>
      </c>
      <c r="G63" s="18" t="inlineStr">
        <is>
          <t>healthcare</t>
        </is>
      </c>
      <c r="H63" s="19" t="n">
        <v>6685.78</v>
      </c>
    </row>
    <row r="64">
      <c r="A64" s="16" t="n">
        <v>18</v>
      </c>
      <c r="B64" s="27" t="n">
        <v>95</v>
      </c>
      <c r="C64" s="28" t="n">
        <v>47.14</v>
      </c>
      <c r="D64" s="28" t="n">
        <v>285</v>
      </c>
      <c r="E64" s="17" t="inlineStr">
        <is>
          <t>BIRLACABLE</t>
        </is>
      </c>
      <c r="F64" s="18" t="inlineStr">
        <is>
          <t>Birla Cable Limited</t>
        </is>
      </c>
      <c r="G64" s="18" t="inlineStr">
        <is>
          <t>industrials</t>
        </is>
      </c>
      <c r="H64" s="19" t="n">
        <v>976.05</v>
      </c>
    </row>
    <row r="65">
      <c r="A65" s="16" t="n">
        <v>19</v>
      </c>
      <c r="B65" s="29" t="n">
        <v>94</v>
      </c>
      <c r="C65" s="28" t="n">
        <v>46.69</v>
      </c>
      <c r="D65" s="28" t="n">
        <v>260</v>
      </c>
      <c r="E65" s="17" t="inlineStr">
        <is>
          <t>BODALCHEM</t>
        </is>
      </c>
      <c r="F65" s="18" t="inlineStr">
        <is>
          <t>Bodal Chemicals Limited</t>
        </is>
      </c>
      <c r="G65" s="18" t="inlineStr">
        <is>
          <t>chemicals</t>
        </is>
      </c>
      <c r="H65" s="19" t="n">
        <v>1596.47</v>
      </c>
    </row>
    <row r="66">
      <c r="A66" s="16" t="n">
        <v>20</v>
      </c>
      <c r="B66" s="29" t="n">
        <v>94</v>
      </c>
      <c r="C66" s="28" t="n">
        <v>46.09</v>
      </c>
      <c r="D66" s="28" t="n">
        <v>250</v>
      </c>
      <c r="E66" s="17" t="inlineStr">
        <is>
          <t>PVP</t>
        </is>
      </c>
      <c r="F66" s="18" t="inlineStr">
        <is>
          <t>Pvp Ventures Limited</t>
        </is>
      </c>
      <c r="G66" s="18" t="inlineStr">
        <is>
          <t>realty</t>
        </is>
      </c>
      <c r="H66" s="19" t="n">
        <v>1694.19</v>
      </c>
    </row>
    <row r="67">
      <c r="A67" s="16" t="n">
        <v>21</v>
      </c>
      <c r="B67" s="29" t="n">
        <v>94</v>
      </c>
      <c r="C67" s="28" t="n">
        <v>45.4</v>
      </c>
      <c r="D67" s="28" t="n">
        <v>270</v>
      </c>
      <c r="E67" s="17" t="inlineStr">
        <is>
          <t>BAFNAPH</t>
        </is>
      </c>
      <c r="F67" s="18" t="inlineStr">
        <is>
          <t>Bafna Pharmaceuticals Ltd</t>
        </is>
      </c>
      <c r="G67" s="18" t="inlineStr">
        <is>
          <t>healthcare</t>
        </is>
      </c>
      <c r="H67" s="19" t="n">
        <v>739.5</v>
      </c>
    </row>
    <row r="68">
      <c r="A68" s="16" t="n">
        <v>22</v>
      </c>
      <c r="B68" s="29" t="n">
        <v>94</v>
      </c>
      <c r="C68" s="28" t="n">
        <v>43.69</v>
      </c>
      <c r="D68" s="28" t="n">
        <v>248</v>
      </c>
      <c r="E68" s="17" t="inlineStr">
        <is>
          <t>MAHASTEEL</t>
        </is>
      </c>
      <c r="F68" s="18" t="inlineStr">
        <is>
          <t>Mahamaya Steel Industries Limited</t>
        </is>
      </c>
      <c r="G68" s="18" t="inlineStr">
        <is>
          <t>metals &amp; mining</t>
        </is>
      </c>
      <c r="H68" s="19" t="n">
        <v>2291.12</v>
      </c>
    </row>
    <row r="69">
      <c r="A69" s="16" t="n">
        <v>23</v>
      </c>
      <c r="B69" s="29" t="n">
        <v>93</v>
      </c>
      <c r="C69" s="28" t="n">
        <v>43.2</v>
      </c>
      <c r="D69" s="28" t="n">
        <v>298</v>
      </c>
      <c r="E69" s="17" t="inlineStr">
        <is>
          <t>VINDHYATEL</t>
        </is>
      </c>
      <c r="F69" s="18" t="inlineStr">
        <is>
          <t>Vindhya Telelinks Limited</t>
        </is>
      </c>
      <c r="G69" s="18" t="inlineStr">
        <is>
          <t>realty</t>
        </is>
      </c>
      <c r="H69" s="19" t="n">
        <v>3053.61</v>
      </c>
    </row>
    <row r="70">
      <c r="A70" s="16" t="n">
        <v>24</v>
      </c>
      <c r="B70" s="29" t="n">
        <v>93</v>
      </c>
      <c r="C70" s="28" t="n">
        <v>42.88</v>
      </c>
      <c r="D70" s="28" t="n">
        <v>275</v>
      </c>
      <c r="E70" s="17" t="inlineStr">
        <is>
          <t>KMEW</t>
        </is>
      </c>
      <c r="F70" s="18" t="inlineStr">
        <is>
          <t>Knowledge Marine &amp; Engineering Works Ltd</t>
        </is>
      </c>
      <c r="G70" s="18" t="inlineStr">
        <is>
          <t>transportation</t>
        </is>
      </c>
      <c r="H70" s="19" t="n">
        <v>7176.79</v>
      </c>
    </row>
    <row r="71">
      <c r="A71" s="16" t="n">
        <v>25</v>
      </c>
      <c r="B71" s="29" t="n">
        <v>93</v>
      </c>
      <c r="C71" s="28" t="n">
        <v>42.27</v>
      </c>
      <c r="D71" s="28" t="n">
        <v>285</v>
      </c>
      <c r="E71" s="17" t="inlineStr">
        <is>
          <t>UNIVCABLES</t>
        </is>
      </c>
      <c r="F71" s="18" t="inlineStr">
        <is>
          <t>Universal Cables Limited</t>
        </is>
      </c>
      <c r="G71" s="18" t="inlineStr">
        <is>
          <t>industrials</t>
        </is>
      </c>
      <c r="H71" s="19" t="n">
        <v>5706</v>
      </c>
    </row>
    <row r="72">
      <c r="A72" s="16" t="n">
        <v>26</v>
      </c>
      <c r="B72" s="29" t="n">
        <v>93</v>
      </c>
      <c r="C72" s="28" t="n">
        <v>42.08</v>
      </c>
      <c r="D72" s="28" t="n">
        <v>267</v>
      </c>
      <c r="E72" s="17" t="inlineStr">
        <is>
          <t>HFCL</t>
        </is>
      </c>
      <c r="F72" s="18" t="inlineStr">
        <is>
          <t>HFCL Limited</t>
        </is>
      </c>
      <c r="G72" s="18" t="inlineStr">
        <is>
          <t>Technology</t>
        </is>
      </c>
      <c r="H72" s="19" t="n">
        <v>34625.28</v>
      </c>
    </row>
    <row r="73">
      <c r="A73" s="16" t="n">
        <v>27</v>
      </c>
      <c r="B73" s="29" t="n">
        <v>92</v>
      </c>
      <c r="C73" s="28" t="n">
        <v>41.41</v>
      </c>
      <c r="D73" s="28" t="n">
        <v>272</v>
      </c>
      <c r="E73" s="17" t="inlineStr">
        <is>
          <t>KPL</t>
        </is>
      </c>
      <c r="F73" s="18" t="inlineStr">
        <is>
          <t>Kwality Pharmaceuticals Limited</t>
        </is>
      </c>
      <c r="G73" s="18" t="inlineStr">
        <is>
          <t>Healthcare</t>
        </is>
      </c>
      <c r="H73" s="19" t="n">
        <v>3518.52</v>
      </c>
    </row>
    <row r="74">
      <c r="A74" s="16" t="n">
        <v>28</v>
      </c>
      <c r="B74" s="29" t="n">
        <v>92</v>
      </c>
      <c r="C74" s="28" t="n">
        <v>41.4</v>
      </c>
      <c r="D74" s="28" t="n">
        <v>260</v>
      </c>
      <c r="E74" s="17" t="inlineStr">
        <is>
          <t>SOTL</t>
        </is>
      </c>
      <c r="F74" s="18" t="inlineStr">
        <is>
          <t>Savita Oil Technologies Limited</t>
        </is>
      </c>
      <c r="G74" s="18" t="inlineStr">
        <is>
          <t>energy</t>
        </is>
      </c>
      <c r="H74" s="19" t="n">
        <v>5288.75</v>
      </c>
    </row>
    <row r="75">
      <c r="A75" s="16" t="n">
        <v>29</v>
      </c>
      <c r="B75" s="29" t="n">
        <v>92</v>
      </c>
      <c r="C75" s="28" t="n">
        <v>39.96</v>
      </c>
      <c r="D75" s="28" t="n">
        <v>272</v>
      </c>
      <c r="E75" s="17" t="inlineStr">
        <is>
          <t>TFCILTD</t>
        </is>
      </c>
      <c r="F75" s="18" t="inlineStr">
        <is>
          <t>Tourism Finance Corporation Of India Limited</t>
        </is>
      </c>
      <c r="G75" s="18" t="inlineStr">
        <is>
          <t>financials</t>
        </is>
      </c>
      <c r="H75" s="19" t="n">
        <v>6531.22</v>
      </c>
    </row>
    <row r="76">
      <c r="A76" s="16" t="n">
        <v>30</v>
      </c>
      <c r="B76" s="29" t="n">
        <v>92</v>
      </c>
      <c r="C76" s="28" t="n">
        <v>39.86</v>
      </c>
      <c r="D76" s="28" t="n">
        <v>277</v>
      </c>
      <c r="E76" s="17" t="inlineStr">
        <is>
          <t>CNL</t>
        </is>
      </c>
      <c r="F76" s="18" t="inlineStr">
        <is>
          <t>Creative Newtech Limited</t>
        </is>
      </c>
      <c r="G76" s="18" t="inlineStr">
        <is>
          <t>Technology</t>
        </is>
      </c>
      <c r="H76" s="19" t="n">
        <v>1891.5</v>
      </c>
    </row>
    <row r="77">
      <c r="A77" s="16" t="n">
        <v>31</v>
      </c>
      <c r="B77" s="29" t="n">
        <v>91</v>
      </c>
      <c r="C77" s="28" t="n">
        <v>39.6</v>
      </c>
      <c r="D77" s="28" t="n">
        <v>273</v>
      </c>
      <c r="E77" s="17" t="inlineStr">
        <is>
          <t>CYIENTDLM</t>
        </is>
      </c>
      <c r="F77" s="18" t="inlineStr">
        <is>
          <t>Cyient DLM Ltd</t>
        </is>
      </c>
      <c r="G77" s="18" t="inlineStr">
        <is>
          <t>aerospace &amp; defence</t>
        </is>
      </c>
      <c r="H77" s="19" t="n">
        <v>6804.74</v>
      </c>
    </row>
    <row r="78">
      <c r="A78" s="16" t="n">
        <v>32</v>
      </c>
      <c r="B78" s="29" t="n">
        <v>91</v>
      </c>
      <c r="C78" s="28" t="n">
        <v>39.4</v>
      </c>
      <c r="D78" s="28" t="n">
        <v>265</v>
      </c>
      <c r="E78" s="17" t="inlineStr">
        <is>
          <t>MACPOWER</t>
        </is>
      </c>
      <c r="F78" s="18" t="inlineStr">
        <is>
          <t>Macpower CNC Machines Ltd</t>
        </is>
      </c>
      <c r="G78" s="18" t="inlineStr">
        <is>
          <t>industrials</t>
        </is>
      </c>
      <c r="H78" s="19" t="n">
        <v>1912.1</v>
      </c>
    </row>
    <row r="79">
      <c r="A79" s="16" t="n">
        <v>33</v>
      </c>
      <c r="B79" s="29" t="n">
        <v>91</v>
      </c>
      <c r="C79" s="28" t="n">
        <v>39.17</v>
      </c>
      <c r="D79" s="28" t="n">
        <v>268</v>
      </c>
      <c r="E79" s="17" t="inlineStr">
        <is>
          <t>COMSYN</t>
        </is>
      </c>
      <c r="F79" s="18" t="inlineStr">
        <is>
          <t>Commercial Syn Bags Ltd</t>
        </is>
      </c>
      <c r="G79" s="18" t="inlineStr">
        <is>
          <t>industrials</t>
        </is>
      </c>
      <c r="H79" s="19" t="n">
        <v>1227.72</v>
      </c>
    </row>
    <row r="80">
      <c r="A80" s="16" t="n">
        <v>34</v>
      </c>
      <c r="B80" s="29" t="n">
        <v>91</v>
      </c>
      <c r="C80" s="28" t="n">
        <v>37.76</v>
      </c>
      <c r="D80" s="28" t="n">
        <v>245</v>
      </c>
      <c r="E80" s="17" t="inlineStr">
        <is>
          <t>RATNAVEER</t>
        </is>
      </c>
      <c r="F80" s="18" t="inlineStr">
        <is>
          <t>Ratnaveer Precision Engineering Ltd</t>
        </is>
      </c>
      <c r="G80" s="18" t="inlineStr">
        <is>
          <t>metals &amp; mining</t>
        </is>
      </c>
      <c r="H80" s="19" t="n">
        <v>2081.02</v>
      </c>
    </row>
    <row r="81">
      <c r="A81" s="16" t="n">
        <v>35</v>
      </c>
      <c r="B81" s="29" t="n">
        <v>90</v>
      </c>
      <c r="C81" s="28" t="n">
        <v>37.57</v>
      </c>
      <c r="D81" s="28" t="n">
        <v>275</v>
      </c>
      <c r="E81" s="17" t="inlineStr">
        <is>
          <t>MARINE</t>
        </is>
      </c>
      <c r="F81" s="18" t="inlineStr">
        <is>
          <t>Marine Electricals (India) Ltd</t>
        </is>
      </c>
      <c r="G81" s="18" t="inlineStr">
        <is>
          <t>industrials</t>
        </is>
      </c>
      <c r="H81" s="19" t="n">
        <v>6054</v>
      </c>
    </row>
    <row r="82">
      <c r="A82" s="16" t="n">
        <v>36</v>
      </c>
      <c r="B82" s="29" t="n">
        <v>90</v>
      </c>
      <c r="C82" s="28" t="n">
        <v>37.51</v>
      </c>
      <c r="D82" s="28" t="n">
        <v>273</v>
      </c>
      <c r="E82" s="17" t="inlineStr">
        <is>
          <t>HAPPYFORGE</t>
        </is>
      </c>
      <c r="F82" s="18" t="inlineStr">
        <is>
          <t>Happy Forgings Ltd</t>
        </is>
      </c>
      <c r="G82" s="18" t="inlineStr">
        <is>
          <t>industrials</t>
        </is>
      </c>
      <c r="H82" s="19" t="n">
        <v>22843.43</v>
      </c>
    </row>
    <row r="83">
      <c r="A83" s="16" t="n">
        <v>37</v>
      </c>
      <c r="B83" s="29" t="n">
        <v>90</v>
      </c>
      <c r="C83" s="28" t="n">
        <v>37.15</v>
      </c>
      <c r="D83" s="28" t="n">
        <v>272</v>
      </c>
      <c r="E83" s="17" t="inlineStr">
        <is>
          <t>SHILPAMED</t>
        </is>
      </c>
      <c r="F83" s="18" t="inlineStr">
        <is>
          <t>Shilpa Medicare Limited</t>
        </is>
      </c>
      <c r="G83" s="18" t="inlineStr">
        <is>
          <t>healthcare</t>
        </is>
      </c>
      <c r="H83" s="19" t="n">
        <v>17400.91</v>
      </c>
    </row>
    <row r="84">
      <c r="A84" s="16" t="n">
        <v>38</v>
      </c>
      <c r="B84" s="29" t="n">
        <v>90</v>
      </c>
      <c r="C84" s="28" t="n">
        <v>35.6</v>
      </c>
      <c r="D84" s="28" t="n">
        <v>263</v>
      </c>
      <c r="E84" s="17" t="inlineStr">
        <is>
          <t>KAPSTON</t>
        </is>
      </c>
      <c r="F84" s="18" t="inlineStr">
        <is>
          <t>Kapston Services Ltd</t>
        </is>
      </c>
      <c r="G84" s="18" t="inlineStr">
        <is>
          <t>miscellaneous</t>
        </is>
      </c>
      <c r="H84" s="19" t="n">
        <v>1741.63</v>
      </c>
    </row>
    <row r="85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ANTELOPUS</t>
        </is>
      </c>
      <c r="B2" s="31" t="inlineStr">
        <is>
          <t>Antelopus Selan Energy Ltd</t>
        </is>
      </c>
      <c r="C2" s="31" t="inlineStr">
        <is>
          <t>energy</t>
        </is>
      </c>
      <c r="D2" s="31" t="inlineStr">
        <is>
          <t>oil drilling / allied services</t>
        </is>
      </c>
      <c r="E2" s="31" t="inlineStr">
        <is>
          <t>smallcap</t>
        </is>
      </c>
      <c r="F2" s="31" t="n">
        <v>2787.14</v>
      </c>
      <c r="G2" s="31" t="n">
        <v>951.15</v>
      </c>
      <c r="H2" s="31" t="n">
        <v>20</v>
      </c>
      <c r="I2" s="31" t="n">
        <v>12446135</v>
      </c>
      <c r="J2" s="31" t="inlineStr">
        <is>
          <t>530075</t>
        </is>
      </c>
    </row>
    <row r="3">
      <c r="A3" s="31" t="inlineStr">
        <is>
          <t>BODALCHEM</t>
        </is>
      </c>
      <c r="B3" s="31" t="inlineStr">
        <is>
          <t>Bodal Chemicals Limited</t>
        </is>
      </c>
      <c r="C3" s="31" t="inlineStr">
        <is>
          <t>chemicals</t>
        </is>
      </c>
      <c r="D3" s="31" t="inlineStr">
        <is>
          <t>dyes and pigments</t>
        </is>
      </c>
      <c r="E3" s="31" t="inlineStr">
        <is>
          <t>smallcap</t>
        </is>
      </c>
      <c r="F3" s="31" t="n">
        <v>1596.47</v>
      </c>
      <c r="G3" s="31" t="n">
        <v>145.45</v>
      </c>
      <c r="H3" s="31" t="n">
        <v>14.74</v>
      </c>
      <c r="I3" s="31" t="n">
        <v>30271526</v>
      </c>
      <c r="J3" s="31" t="inlineStr">
        <is>
          <t>524370</t>
        </is>
      </c>
    </row>
    <row r="4">
      <c r="A4" s="31" t="inlineStr">
        <is>
          <t>TBZ</t>
        </is>
      </c>
      <c r="B4" s="31" t="inlineStr">
        <is>
          <t>Tribhovandas Bhimji Zaveri Limited</t>
        </is>
      </c>
      <c r="C4" s="31" t="inlineStr">
        <is>
          <t>consumer discretionary</t>
        </is>
      </c>
      <c r="D4" s="31" t="inlineStr">
        <is>
          <t>diamond cutting / jewellery</t>
        </is>
      </c>
      <c r="E4" s="31" t="inlineStr">
        <is>
          <t>smallcap</t>
        </is>
      </c>
      <c r="F4" s="31" t="n">
        <v>2447.68</v>
      </c>
      <c r="G4" s="31" t="n">
        <v>418.25</v>
      </c>
      <c r="H4" s="31" t="n">
        <v>14.03</v>
      </c>
      <c r="I4" s="31" t="n">
        <v>27976693</v>
      </c>
      <c r="J4" s="31" t="inlineStr">
        <is>
          <t>534369</t>
        </is>
      </c>
    </row>
    <row r="5">
      <c r="A5" s="31" t="inlineStr">
        <is>
          <t>ZIMLAB</t>
        </is>
      </c>
      <c r="B5" s="31" t="inlineStr">
        <is>
          <t>Zim Laboratories Ltd</t>
        </is>
      </c>
      <c r="C5" s="31" t="inlineStr">
        <is>
          <t>healthcare</t>
        </is>
      </c>
      <c r="D5" s="31" t="inlineStr">
        <is>
          <t>pharmaceuticals - indian - bulk drugs &amp; formln</t>
        </is>
      </c>
      <c r="E5" s="31" t="inlineStr">
        <is>
          <t>smallcap</t>
        </is>
      </c>
      <c r="F5" s="31" t="n">
        <v>631.5599999999999</v>
      </c>
      <c r="G5" s="31" t="n">
        <v>133.95</v>
      </c>
      <c r="H5" s="31" t="n">
        <v>13.57</v>
      </c>
      <c r="I5" s="31" t="n">
        <v>680389</v>
      </c>
      <c r="J5" s="31" t="inlineStr">
        <is>
          <t>541400</t>
        </is>
      </c>
    </row>
    <row r="6">
      <c r="A6" s="31" t="inlineStr">
        <is>
          <t>XPROINDIA</t>
        </is>
      </c>
      <c r="B6" s="31" t="inlineStr">
        <is>
          <t>Xpro India Limited</t>
        </is>
      </c>
      <c r="C6" s="31" t="inlineStr">
        <is>
          <t>industrials</t>
        </is>
      </c>
      <c r="D6" s="31" t="inlineStr">
        <is>
          <t>packaging</t>
        </is>
      </c>
      <c r="E6" s="31" t="inlineStr">
        <is>
          <t>smallcap</t>
        </is>
      </c>
      <c r="F6" s="31" t="n">
        <v>2665.77</v>
      </c>
      <c r="G6" s="31" t="n">
        <v>1285.6</v>
      </c>
      <c r="H6" s="31" t="n">
        <v>13.19</v>
      </c>
      <c r="I6" s="31" t="n">
        <v>1517669</v>
      </c>
      <c r="J6" s="31" t="inlineStr">
        <is>
          <t>590013</t>
        </is>
      </c>
    </row>
    <row r="7">
      <c r="A7" s="31" t="inlineStr">
        <is>
          <t>IFCI</t>
        </is>
      </c>
      <c r="B7" s="31" t="inlineStr">
        <is>
          <t>Ifci Limited</t>
        </is>
      </c>
      <c r="C7" s="31" t="inlineStr">
        <is>
          <t>financials</t>
        </is>
      </c>
      <c r="D7" s="31" t="inlineStr">
        <is>
          <t>finance - term-lending institutions</t>
        </is>
      </c>
      <c r="E7" s="31" t="inlineStr">
        <is>
          <t>largecap</t>
        </is>
      </c>
      <c r="F7" s="31" t="n">
        <v>23510.59</v>
      </c>
      <c r="G7" s="31" t="n">
        <v>98.31999999999999</v>
      </c>
      <c r="H7" s="31" t="n">
        <v>12.67</v>
      </c>
      <c r="I7" s="31" t="n">
        <v>428062214</v>
      </c>
      <c r="J7" s="31" t="inlineStr">
        <is>
          <t>500106</t>
        </is>
      </c>
    </row>
    <row r="8">
      <c r="A8" s="31" t="inlineStr">
        <is>
          <t>INDOCO</t>
        </is>
      </c>
      <c r="B8" s="31" t="inlineStr">
        <is>
          <t>Indoco Remedies Limited</t>
        </is>
      </c>
      <c r="C8" s="31" t="inlineStr">
        <is>
          <t>healthcare</t>
        </is>
      </c>
      <c r="D8" s="31" t="inlineStr">
        <is>
          <t>pharmaceuticals - indian - bulk drugs &amp; formln</t>
        </is>
      </c>
      <c r="E8" s="31" t="inlineStr">
        <is>
          <t>smallcap</t>
        </is>
      </c>
      <c r="F8" s="31" t="n">
        <v>2250.73</v>
      </c>
      <c r="G8" s="31" t="n">
        <v>273.77</v>
      </c>
      <c r="H8" s="31" t="n">
        <v>12.27</v>
      </c>
      <c r="I8" s="31" t="n">
        <v>19225160</v>
      </c>
      <c r="J8" s="31" t="inlineStr">
        <is>
          <t>532612</t>
        </is>
      </c>
    </row>
    <row r="9">
      <c r="A9" s="31" t="inlineStr">
        <is>
          <t>CENTENKA</t>
        </is>
      </c>
      <c r="B9" s="31" t="inlineStr">
        <is>
          <t>Century Enka Limited</t>
        </is>
      </c>
      <c r="C9" s="31" t="inlineStr">
        <is>
          <t>textiles</t>
        </is>
      </c>
      <c r="D9" s="31" t="inlineStr">
        <is>
          <t>textiles - manmade</t>
        </is>
      </c>
      <c r="E9" s="31" t="inlineStr">
        <is>
          <t>smallcap</t>
        </is>
      </c>
      <c r="F9" s="31" t="n">
        <v>1188.89</v>
      </c>
      <c r="G9" s="31" t="n">
        <v>602.35</v>
      </c>
      <c r="H9" s="31" t="n">
        <v>10.71</v>
      </c>
      <c r="I9" s="31" t="n">
        <v>9590323</v>
      </c>
      <c r="J9" s="31" t="inlineStr">
        <is>
          <t>500280</t>
        </is>
      </c>
    </row>
    <row r="10">
      <c r="A10" s="31" t="inlineStr">
        <is>
          <t>BLUSPRING</t>
        </is>
      </c>
      <c r="B10" s="31" t="inlineStr">
        <is>
          <t>Bluspring Enterprises Ltd</t>
        </is>
      </c>
      <c r="C10" s="31" t="inlineStr">
        <is>
          <t>miscellaneous</t>
        </is>
      </c>
      <c r="D10" s="31" t="inlineStr">
        <is>
          <t>diversified - large</t>
        </is>
      </c>
      <c r="E10" s="31" t="inlineStr">
        <is>
          <t>smallcap</t>
        </is>
      </c>
      <c r="F10" s="31" t="n">
        <v>1815.26</v>
      </c>
      <c r="G10" s="31" t="n">
        <v>132.44</v>
      </c>
      <c r="H10" s="31" t="n">
        <v>9.029999999999999</v>
      </c>
      <c r="I10" s="31" t="n">
        <v>1043522</v>
      </c>
      <c r="J10" s="31" t="inlineStr">
        <is>
          <t>544414</t>
        </is>
      </c>
    </row>
    <row r="11">
      <c r="A11" s="31" t="inlineStr">
        <is>
          <t>UFLEX</t>
        </is>
      </c>
      <c r="B11" s="31" t="inlineStr">
        <is>
          <t>Uflex Limited</t>
        </is>
      </c>
      <c r="C11" s="31" t="inlineStr">
        <is>
          <t>industrials</t>
        </is>
      </c>
      <c r="D11" s="31" t="inlineStr">
        <is>
          <t>packaging</t>
        </is>
      </c>
      <c r="E11" s="31" t="inlineStr">
        <is>
          <t>smallcap</t>
        </is>
      </c>
      <c r="F11" s="31" t="n">
        <v>4658</v>
      </c>
      <c r="G11" s="31" t="n">
        <v>701.8</v>
      </c>
      <c r="H11" s="31" t="n">
        <v>8.800000000000001</v>
      </c>
      <c r="I11" s="31" t="n">
        <v>2479035</v>
      </c>
      <c r="J11" s="31" t="inlineStr">
        <is>
          <t>500148</t>
        </is>
      </c>
    </row>
    <row r="12">
      <c r="A12" s="31" t="inlineStr">
        <is>
          <t>WINDLAS</t>
        </is>
      </c>
      <c r="B12" s="31" t="inlineStr">
        <is>
          <t>Windlas Biotech Ltd</t>
        </is>
      </c>
      <c r="C12" s="31" t="inlineStr">
        <is>
          <t>healthcare</t>
        </is>
      </c>
      <c r="D12" s="31" t="inlineStr">
        <is>
          <t>pharmaceuticals - indian - formulations</t>
        </is>
      </c>
      <c r="E12" s="31" t="inlineStr">
        <is>
          <t>smallcap</t>
        </is>
      </c>
      <c r="F12" s="31" t="n">
        <v>2080.85</v>
      </c>
      <c r="G12" s="31" t="n">
        <v>1096.6</v>
      </c>
      <c r="H12" s="31" t="n">
        <v>8.75</v>
      </c>
      <c r="I12" s="31" t="n">
        <v>1564975</v>
      </c>
      <c r="J12" s="31" t="inlineStr">
        <is>
          <t>543329</t>
        </is>
      </c>
    </row>
    <row r="13">
      <c r="A13" s="31" t="inlineStr">
        <is>
          <t>MOREPENLAB</t>
        </is>
      </c>
      <c r="B13" s="31" t="inlineStr">
        <is>
          <t>Morepen Laboratories Limited</t>
        </is>
      </c>
      <c r="C13" s="31" t="inlineStr">
        <is>
          <t>healthcare</t>
        </is>
      </c>
      <c r="D13" s="31" t="inlineStr">
        <is>
          <t>pharmaceuticals - indian - bulk drugs &amp; formln</t>
        </is>
      </c>
      <c r="E13" s="31" t="inlineStr">
        <is>
          <t>midcap</t>
        </is>
      </c>
      <c r="F13" s="31" t="n">
        <v>5679.54</v>
      </c>
      <c r="G13" s="31" t="n">
        <v>111.97</v>
      </c>
      <c r="H13" s="31" t="n">
        <v>8.029999999999999</v>
      </c>
      <c r="I13" s="31" t="n">
        <v>36392769</v>
      </c>
      <c r="J13" s="31" t="inlineStr">
        <is>
          <t>500288</t>
        </is>
      </c>
    </row>
    <row r="14">
      <c r="A14" s="31" t="inlineStr">
        <is>
          <t>ARIES</t>
        </is>
      </c>
      <c r="B14" s="31" t="inlineStr">
        <is>
          <t>Aries Agro Limited</t>
        </is>
      </c>
      <c r="C14" s="31" t="inlineStr">
        <is>
          <t>chemicals</t>
        </is>
      </c>
      <c r="D14" s="31" t="inlineStr">
        <is>
          <t>fertilizers</t>
        </is>
      </c>
      <c r="E14" s="31" t="inlineStr">
        <is>
          <t>smallcap</t>
        </is>
      </c>
      <c r="F14" s="31" t="n">
        <v>596.7</v>
      </c>
      <c r="G14" s="31" t="n">
        <v>495.35</v>
      </c>
      <c r="H14" s="31" t="n">
        <v>7.95</v>
      </c>
      <c r="I14" s="31" t="n">
        <v>480377</v>
      </c>
      <c r="J14" s="31" t="inlineStr">
        <is>
          <t>532935</t>
        </is>
      </c>
    </row>
    <row r="15">
      <c r="A15" s="31" t="inlineStr">
        <is>
          <t>RISHABH</t>
        </is>
      </c>
      <c r="B15" s="31" t="inlineStr">
        <is>
          <t>Rishabh Instruments Ltd</t>
        </is>
      </c>
      <c r="C15" s="31" t="inlineStr">
        <is>
          <t>industrials</t>
        </is>
      </c>
      <c r="D15" s="31" t="inlineStr">
        <is>
          <t>electric equipment</t>
        </is>
      </c>
      <c r="E15" s="31" t="inlineStr">
        <is>
          <t>smallcap</t>
        </is>
      </c>
      <c r="F15" s="31" t="n">
        <v>2681.65</v>
      </c>
      <c r="G15" s="31" t="n">
        <v>746</v>
      </c>
      <c r="H15" s="31" t="n">
        <v>7.23</v>
      </c>
      <c r="I15" s="31" t="n">
        <v>1177885</v>
      </c>
      <c r="J15" s="31" t="inlineStr">
        <is>
          <t>543977</t>
        </is>
      </c>
    </row>
    <row r="16">
      <c r="A16" s="31" t="inlineStr">
        <is>
          <t>NIACL</t>
        </is>
      </c>
      <c r="B16" s="31" t="inlineStr">
        <is>
          <t>New India Assurance Company Ltd</t>
        </is>
      </c>
      <c r="C16" s="31" t="inlineStr">
        <is>
          <t>financials</t>
        </is>
      </c>
      <c r="D16" s="31" t="inlineStr">
        <is>
          <t>finance &amp; investments</t>
        </is>
      </c>
      <c r="E16" s="31" t="inlineStr">
        <is>
          <t>largecap</t>
        </is>
      </c>
      <c r="F16" s="31" t="n">
        <v>30614.9</v>
      </c>
      <c r="G16" s="31" t="n">
        <v>199.11</v>
      </c>
      <c r="H16" s="31" t="n">
        <v>7.18</v>
      </c>
      <c r="I16" s="31" t="n">
        <v>24334669</v>
      </c>
      <c r="J16" s="31" t="inlineStr">
        <is>
          <t>540769</t>
        </is>
      </c>
    </row>
    <row r="17">
      <c r="A17" s="31" t="inlineStr">
        <is>
          <t>SYNCOMF</t>
        </is>
      </c>
      <c r="B17" s="31" t="inlineStr">
        <is>
          <t>Syncom Formulations (India) Ltd</t>
        </is>
      </c>
      <c r="C17" s="31" t="inlineStr">
        <is>
          <t>healthcare</t>
        </is>
      </c>
      <c r="D17" s="31" t="inlineStr">
        <is>
          <t>pharmaceuticals - indian - bulk drugs &amp; formln</t>
        </is>
      </c>
      <c r="E17" s="31" t="inlineStr">
        <is>
          <t>smallcap</t>
        </is>
      </c>
      <c r="F17" s="31" t="n">
        <v>1886.58</v>
      </c>
      <c r="G17" s="31" t="n">
        <v>21.39</v>
      </c>
      <c r="H17" s="31" t="n">
        <v>6.58</v>
      </c>
      <c r="I17" s="31" t="n">
        <v>28986293</v>
      </c>
      <c r="J17" s="31" t="inlineStr">
        <is>
          <t>524470</t>
        </is>
      </c>
    </row>
    <row r="18">
      <c r="A18" s="31" t="inlineStr">
        <is>
          <t>GLOBAL</t>
        </is>
      </c>
      <c r="B18" s="31" t="inlineStr">
        <is>
          <t>Global Education Ltd</t>
        </is>
      </c>
      <c r="C18" s="31" t="inlineStr">
        <is>
          <t>services</t>
        </is>
      </c>
      <c r="D18" s="31" t="inlineStr">
        <is>
          <t>miscellaneous</t>
        </is>
      </c>
      <c r="E18" s="31" t="inlineStr">
        <is>
          <t>smallcap</t>
        </is>
      </c>
      <c r="F18" s="31" t="n">
        <v>560.63</v>
      </c>
      <c r="G18" s="31" t="n">
        <v>117.31</v>
      </c>
      <c r="H18" s="31" t="n">
        <v>6.51</v>
      </c>
      <c r="I18" s="31" t="n">
        <v>496539</v>
      </c>
      <c r="J18" s="31" t="inlineStr">
        <is>
          <t>538406</t>
        </is>
      </c>
    </row>
    <row r="19">
      <c r="A19" s="31" t="inlineStr">
        <is>
          <t>VINDHYATEL</t>
        </is>
      </c>
      <c r="B19" s="31" t="inlineStr">
        <is>
          <t>Vindhya Telelinks Limited</t>
        </is>
      </c>
      <c r="C19" s="31" t="inlineStr">
        <is>
          <t>realty</t>
        </is>
      </c>
      <c r="D19" s="31" t="inlineStr">
        <is>
          <t>construction</t>
        </is>
      </c>
      <c r="E19" s="31" t="inlineStr">
        <is>
          <t>smallcap</t>
        </is>
      </c>
      <c r="F19" s="31" t="n">
        <v>3053.61</v>
      </c>
      <c r="G19" s="31" t="n">
        <v>2737.1</v>
      </c>
      <c r="H19" s="31" t="n">
        <v>6.23</v>
      </c>
      <c r="I19" s="31" t="n">
        <v>192191</v>
      </c>
      <c r="J19" s="31" t="inlineStr">
        <is>
          <t>517015</t>
        </is>
      </c>
    </row>
    <row r="20">
      <c r="A20" s="31" t="inlineStr">
        <is>
          <t>AYMSYNTEX</t>
        </is>
      </c>
      <c r="B20" s="31" t="inlineStr">
        <is>
          <t>Aym Syntex Limited</t>
        </is>
      </c>
      <c r="C20" s="31" t="inlineStr">
        <is>
          <t>textiles</t>
        </is>
      </c>
      <c r="D20" s="31" t="inlineStr">
        <is>
          <t>textiles - processing</t>
        </is>
      </c>
      <c r="E20" s="31" t="inlineStr">
        <is>
          <t>smallcap</t>
        </is>
      </c>
      <c r="F20" s="31" t="n">
        <v>1727.96</v>
      </c>
      <c r="G20" s="31" t="n">
        <v>312.5</v>
      </c>
      <c r="H20" s="31" t="n">
        <v>6.22</v>
      </c>
      <c r="I20" s="31" t="n">
        <v>601939</v>
      </c>
      <c r="J20" s="31" t="inlineStr">
        <is>
          <t>508933</t>
        </is>
      </c>
    </row>
    <row r="21">
      <c r="A21" s="31" t="inlineStr">
        <is>
          <t>AEGISVOPAK</t>
        </is>
      </c>
      <c r="B21" s="31" t="inlineStr">
        <is>
          <t>Aegis Vopak Terminals Ltd</t>
        </is>
      </c>
      <c r="C21" s="31" t="inlineStr">
        <is>
          <t>transportation</t>
        </is>
      </c>
      <c r="D21" s="31" t="inlineStr">
        <is>
          <t>miscellaneous</t>
        </is>
      </c>
      <c r="E21" s="31" t="inlineStr">
        <is>
          <t>largecap</t>
        </is>
      </c>
      <c r="F21" s="31" t="n">
        <v>29926.85</v>
      </c>
      <c r="G21" s="31" t="n">
        <v>286.3</v>
      </c>
      <c r="H21" s="31" t="n">
        <v>6</v>
      </c>
      <c r="I21" s="31" t="n">
        <v>3128778</v>
      </c>
      <c r="J21" s="31" t="inlineStr">
        <is>
          <t>544407</t>
        </is>
      </c>
    </row>
    <row r="22">
      <c r="A22" s="31" t="inlineStr">
        <is>
          <t>WELENT</t>
        </is>
      </c>
      <c r="B22" s="31" t="inlineStr">
        <is>
          <t>Welspun Enterprises Limited</t>
        </is>
      </c>
      <c r="C22" s="31" t="inlineStr">
        <is>
          <t>realty</t>
        </is>
      </c>
      <c r="D22" s="31" t="inlineStr">
        <is>
          <t>construction</t>
        </is>
      </c>
      <c r="E22" s="31" t="inlineStr">
        <is>
          <t>midcap</t>
        </is>
      </c>
      <c r="F22" s="31" t="n">
        <v>9765.790000000001</v>
      </c>
      <c r="G22" s="31" t="n">
        <v>741.7</v>
      </c>
      <c r="H22" s="31" t="n">
        <v>5.12</v>
      </c>
      <c r="I22" s="31" t="n">
        <v>1021703</v>
      </c>
      <c r="J22" s="31" t="inlineStr">
        <is>
          <t>532553</t>
        </is>
      </c>
    </row>
    <row r="23">
      <c r="A23" s="31" t="inlineStr">
        <is>
          <t>JTLIND</t>
        </is>
      </c>
      <c r="B23" s="31" t="inlineStr">
        <is>
          <t>JTL Industries Ltd</t>
        </is>
      </c>
      <c r="C23" s="31" t="inlineStr">
        <is>
          <t>metals &amp; mining</t>
        </is>
      </c>
      <c r="D23" s="31" t="inlineStr">
        <is>
          <t>steel - medium / small</t>
        </is>
      </c>
      <c r="E23" s="31" t="inlineStr">
        <is>
          <t>smallcap</t>
        </is>
      </c>
      <c r="F23" s="31" t="n">
        <v>3457.94</v>
      </c>
      <c r="G23" s="31" t="n">
        <v>92.40000000000001</v>
      </c>
      <c r="H23" s="31" t="n">
        <v>5.04</v>
      </c>
      <c r="I23" s="31" t="n">
        <v>10046013</v>
      </c>
      <c r="J23" s="31" t="inlineStr">
        <is>
          <t>534600</t>
        </is>
      </c>
    </row>
    <row r="24">
      <c r="A24" s="31" t="inlineStr">
        <is>
          <t>RAYMOND</t>
        </is>
      </c>
      <c r="B24" s="31" t="inlineStr">
        <is>
          <t>Raymond Limited</t>
        </is>
      </c>
      <c r="C24" s="31" t="inlineStr">
        <is>
          <t>transportation</t>
        </is>
      </c>
      <c r="D24" s="31" t="inlineStr">
        <is>
          <t>transport - airlines</t>
        </is>
      </c>
      <c r="E24" s="31" t="inlineStr">
        <is>
          <t>smallcap</t>
        </is>
      </c>
      <c r="F24" s="31" t="n">
        <v>4229.43</v>
      </c>
      <c r="G24" s="31" t="n">
        <v>667.25</v>
      </c>
      <c r="H24" s="31" t="n">
        <v>5.03</v>
      </c>
      <c r="I24" s="31" t="n">
        <v>2180718</v>
      </c>
      <c r="J24" s="31" t="inlineStr">
        <is>
          <t>500330</t>
        </is>
      </c>
    </row>
    <row r="25">
      <c r="A25" s="31" t="inlineStr">
        <is>
          <t>BHAGERIA</t>
        </is>
      </c>
      <c r="B25" s="31" t="inlineStr">
        <is>
          <t>Bhageria Industries Limited</t>
        </is>
      </c>
      <c r="C25" s="31" t="inlineStr">
        <is>
          <t>chemicals</t>
        </is>
      </c>
      <c r="D25" s="31" t="inlineStr">
        <is>
          <t>dyes and pigments</t>
        </is>
      </c>
      <c r="E25" s="31" t="inlineStr">
        <is>
          <t>smallcap</t>
        </is>
      </c>
      <c r="F25" s="31" t="n">
        <v>1148.71</v>
      </c>
      <c r="G25" s="31" t="n">
        <v>276.35</v>
      </c>
      <c r="H25" s="31" t="n">
        <v>5</v>
      </c>
      <c r="I25" s="31" t="n">
        <v>613964</v>
      </c>
      <c r="J25" s="31" t="inlineStr">
        <is>
          <t>530803</t>
        </is>
      </c>
    </row>
    <row r="26">
      <c r="A26" s="31" t="inlineStr">
        <is>
          <t>MANAKSTEEL</t>
        </is>
      </c>
      <c r="B26" s="31" t="inlineStr">
        <is>
          <t>Manaksia Steels Limited</t>
        </is>
      </c>
      <c r="C26" s="31" t="inlineStr">
        <is>
          <t>metals &amp; mining</t>
        </is>
      </c>
      <c r="D26" s="31" t="inlineStr">
        <is>
          <t>steel - medium / small</t>
        </is>
      </c>
      <c r="E26" s="31" t="inlineStr">
        <is>
          <t>smallcap</t>
        </is>
      </c>
      <c r="F26" s="31" t="n">
        <v>682.21</v>
      </c>
      <c r="G26" s="31" t="n">
        <v>109.3</v>
      </c>
      <c r="H26" s="31" t="n">
        <v>5</v>
      </c>
      <c r="I26" s="31" t="n">
        <v>509467</v>
      </c>
      <c r="J26" s="31" t="inlineStr">
        <is>
          <t>539044</t>
        </is>
      </c>
    </row>
    <row r="27">
      <c r="A27" s="31" t="inlineStr">
        <is>
          <t>ARROWGREEN</t>
        </is>
      </c>
      <c r="B27" s="31" t="inlineStr">
        <is>
          <t>Arrow Greentech Limited</t>
        </is>
      </c>
      <c r="C27" s="31" t="inlineStr">
        <is>
          <t>plastic products</t>
        </is>
      </c>
      <c r="D27" s="31" t="inlineStr">
        <is>
          <t>plastics products</t>
        </is>
      </c>
      <c r="E27" s="31" t="inlineStr">
        <is>
          <t>smallcap</t>
        </is>
      </c>
      <c r="F27" s="31" t="n">
        <v>1108.21</v>
      </c>
      <c r="G27" s="31" t="n">
        <v>771.2</v>
      </c>
      <c r="H27" s="31" t="n">
        <v>5</v>
      </c>
      <c r="I27" s="31" t="n">
        <v>26675</v>
      </c>
      <c r="J27" s="31" t="inlineStr">
        <is>
          <t>516064</t>
        </is>
      </c>
    </row>
    <row r="28">
      <c r="A28" s="31" t="inlineStr">
        <is>
          <t>SPAL</t>
        </is>
      </c>
      <c r="B28" s="31" t="inlineStr">
        <is>
          <t>S. P. Apparels Limited</t>
        </is>
      </c>
      <c r="C28" s="31" t="inlineStr">
        <is>
          <t>consumer discretionary</t>
        </is>
      </c>
      <c r="D28" s="31" t="inlineStr">
        <is>
          <t>textiles - products</t>
        </is>
      </c>
      <c r="E28" s="31" t="inlineStr">
        <is>
          <t>smallcap</t>
        </is>
      </c>
      <c r="F28" s="31" t="n">
        <v>2567.43</v>
      </c>
      <c r="G28" s="31" t="n">
        <v>1072.4</v>
      </c>
      <c r="H28" s="31" t="n">
        <v>5</v>
      </c>
      <c r="I28" s="31" t="n">
        <v>144792</v>
      </c>
      <c r="J28" s="31" t="inlineStr">
        <is>
          <t>540048</t>
        </is>
      </c>
    </row>
    <row r="29">
      <c r="A29" s="31" t="inlineStr">
        <is>
          <t>UNIVASTU</t>
        </is>
      </c>
      <c r="B29" s="31" t="inlineStr">
        <is>
          <t>Univastu India Ltd</t>
        </is>
      </c>
      <c r="C29" s="31" t="inlineStr">
        <is>
          <t>realty</t>
        </is>
      </c>
      <c r="D29" s="31" t="inlineStr">
        <is>
          <t>construction</t>
        </is>
      </c>
      <c r="E29" s="31" t="inlineStr">
        <is>
          <t>smallcap</t>
        </is>
      </c>
      <c r="F29" s="31" t="n">
        <v>578.42</v>
      </c>
      <c r="G29" s="31" t="n">
        <v>160.7</v>
      </c>
      <c r="H29" s="31" t="n">
        <v>4.99</v>
      </c>
      <c r="I29" s="31" t="n">
        <v>203175</v>
      </c>
      <c r="J29" s="31" t="inlineStr">
        <is>
          <t>538442</t>
        </is>
      </c>
    </row>
    <row r="30">
      <c r="A30" s="31" t="inlineStr">
        <is>
          <t>HMT</t>
        </is>
      </c>
      <c r="B30" s="31" t="inlineStr">
        <is>
          <t>Hmt Limited</t>
        </is>
      </c>
      <c r="C30" s="31" t="inlineStr">
        <is>
          <t>consumer discretionary</t>
        </is>
      </c>
      <c r="D30" s="31" t="inlineStr">
        <is>
          <t>miscellaneous</t>
        </is>
      </c>
      <c r="E30" s="31" t="inlineStr">
        <is>
          <t>midcap</t>
        </is>
      </c>
      <c r="F30" s="31" t="n">
        <v>7738.7</v>
      </c>
      <c r="G30" s="31" t="n">
        <v>67.48</v>
      </c>
      <c r="H30" s="31" t="n">
        <v>4.99</v>
      </c>
      <c r="I30" s="31" t="n">
        <v>46803</v>
      </c>
      <c r="J30" s="31" t="inlineStr">
        <is>
          <t>500191</t>
        </is>
      </c>
    </row>
    <row r="31">
      <c r="A31" s="31" t="inlineStr">
        <is>
          <t>BIRLACABLE</t>
        </is>
      </c>
      <c r="B31" s="31" t="inlineStr">
        <is>
          <t>Birla Cable Limited</t>
        </is>
      </c>
      <c r="C31" s="31" t="inlineStr">
        <is>
          <t>industrials</t>
        </is>
      </c>
      <c r="D31" s="31" t="inlineStr">
        <is>
          <t>cables - telephone</t>
        </is>
      </c>
      <c r="E31" s="31" t="inlineStr">
        <is>
          <t>smallcap</t>
        </is>
      </c>
      <c r="F31" s="31" t="n">
        <v>976.05</v>
      </c>
      <c r="G31" s="31" t="n">
        <v>341.6</v>
      </c>
      <c r="H31" s="31" t="n">
        <v>4.99</v>
      </c>
      <c r="I31" s="31" t="n">
        <v>324909</v>
      </c>
      <c r="J31" s="31" t="inlineStr">
        <is>
          <t>500060</t>
        </is>
      </c>
    </row>
    <row r="32">
      <c r="A32" s="31" t="inlineStr">
        <is>
          <t>GANESHBE</t>
        </is>
      </c>
      <c r="B32" s="31" t="inlineStr">
        <is>
          <t>Ganesh Benzoplast Ltd</t>
        </is>
      </c>
      <c r="C32" s="31" t="inlineStr">
        <is>
          <t>miscellaneous</t>
        </is>
      </c>
      <c r="D32" s="31" t="inlineStr">
        <is>
          <t>miscellaneous</t>
        </is>
      </c>
      <c r="E32" s="31" t="inlineStr">
        <is>
          <t>smallcap</t>
        </is>
      </c>
      <c r="F32" s="31" t="n">
        <v>837.74</v>
      </c>
      <c r="G32" s="31" t="n">
        <v>122.18</v>
      </c>
      <c r="H32" s="31" t="n">
        <v>4.99</v>
      </c>
      <c r="I32" s="31" t="n">
        <v>186820</v>
      </c>
      <c r="J32" s="31" t="inlineStr">
        <is>
          <t>500153</t>
        </is>
      </c>
    </row>
    <row r="33">
      <c r="A33" s="31" t="inlineStr">
        <is>
          <t>MOLDTECH</t>
        </is>
      </c>
      <c r="B33" s="31" t="inlineStr">
        <is>
          <t>Mold-tek Technologies Limited</t>
        </is>
      </c>
      <c r="C33" s="31" t="inlineStr">
        <is>
          <t>realty</t>
        </is>
      </c>
      <c r="D33" s="31" t="inlineStr">
        <is>
          <t>engineering - turnkey services</t>
        </is>
      </c>
      <c r="E33" s="31" t="inlineStr">
        <is>
          <t>smallcap</t>
        </is>
      </c>
      <c r="F33" s="31" t="n">
        <v>555.25</v>
      </c>
      <c r="G33" s="31" t="n">
        <v>202.38</v>
      </c>
      <c r="H33" s="31" t="n">
        <v>4.99</v>
      </c>
      <c r="I33" s="31" t="n">
        <v>135934</v>
      </c>
      <c r="J33" s="31" t="inlineStr">
        <is>
          <t>526263</t>
        </is>
      </c>
    </row>
    <row r="34">
      <c r="A34" s="31" t="inlineStr">
        <is>
          <t>MAITHANALL</t>
        </is>
      </c>
      <c r="B34" s="31" t="inlineStr">
        <is>
          <t>Maithan Alloys Limited</t>
        </is>
      </c>
      <c r="C34" s="31" t="inlineStr">
        <is>
          <t>metals &amp; mining</t>
        </is>
      </c>
      <c r="D34" s="31" t="inlineStr">
        <is>
          <t>mining / minerals / metals</t>
        </is>
      </c>
      <c r="E34" s="31" t="inlineStr">
        <is>
          <t>smallcap</t>
        </is>
      </c>
      <c r="F34" s="31" t="n">
        <v>2831.83</v>
      </c>
      <c r="G34" s="31" t="n">
        <v>1019.35</v>
      </c>
      <c r="H34" s="31" t="n">
        <v>4.79</v>
      </c>
      <c r="I34" s="31" t="n">
        <v>435952</v>
      </c>
      <c r="J34" s="31" t="inlineStr">
        <is>
          <t>590078</t>
        </is>
      </c>
    </row>
    <row r="35">
      <c r="A35" s="31" t="inlineStr">
        <is>
          <t>KRONOX</t>
        </is>
      </c>
      <c r="B35" s="31" t="inlineStr">
        <is>
          <t>Kronox Lab Sciences Ltd</t>
        </is>
      </c>
      <c r="C35" s="31" t="inlineStr">
        <is>
          <t>chemicals</t>
        </is>
      </c>
      <c r="D35" s="31" t="inlineStr">
        <is>
          <t>chemicals</t>
        </is>
      </c>
      <c r="E35" s="31" t="inlineStr">
        <is>
          <t>smallcap</t>
        </is>
      </c>
      <c r="F35" s="31" t="n">
        <v>672.29</v>
      </c>
      <c r="G35" s="31" t="n">
        <v>189.68</v>
      </c>
      <c r="H35" s="31" t="n">
        <v>4.69</v>
      </c>
      <c r="I35" s="31" t="n">
        <v>216651</v>
      </c>
      <c r="J35" s="31" t="inlineStr">
        <is>
          <t>544187</t>
        </is>
      </c>
    </row>
    <row r="36">
      <c r="A36" s="31" t="inlineStr">
        <is>
          <t>OMAXE</t>
        </is>
      </c>
      <c r="B36" s="31" t="inlineStr">
        <is>
          <t>Omaxe Limited</t>
        </is>
      </c>
      <c r="C36" s="31" t="inlineStr">
        <is>
          <t>realty</t>
        </is>
      </c>
      <c r="D36" s="31" t="inlineStr">
        <is>
          <t>construction</t>
        </is>
      </c>
      <c r="E36" s="31" t="inlineStr">
        <is>
          <t>smallcap</t>
        </is>
      </c>
      <c r="F36" s="31" t="n">
        <v>2318.63</v>
      </c>
      <c r="G36" s="31" t="n">
        <v>132.67</v>
      </c>
      <c r="H36" s="31" t="n">
        <v>4.65</v>
      </c>
      <c r="I36" s="31" t="n">
        <v>29571125</v>
      </c>
      <c r="J36" s="31" t="inlineStr">
        <is>
          <t>532880</t>
        </is>
      </c>
    </row>
    <row r="37">
      <c r="A37" s="31" t="inlineStr">
        <is>
          <t>SAILIFE</t>
        </is>
      </c>
      <c r="B37" s="31" t="inlineStr">
        <is>
          <t>Sai Life Sciences Ltd</t>
        </is>
      </c>
      <c r="C37" s="31" t="inlineStr">
        <is>
          <t>healthcare</t>
        </is>
      </c>
      <c r="D37" s="31" t="inlineStr">
        <is>
          <t>pharmaceuticals - indian - bulk drugs &amp; formln</t>
        </is>
      </c>
      <c r="E37" s="31" t="inlineStr">
        <is>
          <t>largecap</t>
        </is>
      </c>
      <c r="F37" s="31" t="n">
        <v>32227.14</v>
      </c>
      <c r="G37" s="31" t="n">
        <v>1587</v>
      </c>
      <c r="H37" s="31" t="n">
        <v>4.54</v>
      </c>
      <c r="I37" s="31" t="n">
        <v>2747154</v>
      </c>
      <c r="J37" s="31" t="inlineStr">
        <is>
          <t>544306</t>
        </is>
      </c>
    </row>
    <row r="38">
      <c r="A38" s="31" t="inlineStr">
        <is>
          <t>SHILPAMED</t>
        </is>
      </c>
      <c r="B38" s="31" t="inlineStr">
        <is>
          <t>Shilpa Medicare Limited</t>
        </is>
      </c>
      <c r="C38" s="31" t="inlineStr">
        <is>
          <t>healthcare</t>
        </is>
      </c>
      <c r="D38" s="31" t="inlineStr">
        <is>
          <t>pharmaceuticals - indian - formulations</t>
        </is>
      </c>
      <c r="E38" s="31" t="inlineStr">
        <is>
          <t>midcap</t>
        </is>
      </c>
      <c r="F38" s="31" t="n">
        <v>17400.91</v>
      </c>
      <c r="G38" s="31" t="n">
        <v>928.55</v>
      </c>
      <c r="H38" s="31" t="n">
        <v>4.37</v>
      </c>
      <c r="I38" s="31" t="n">
        <v>1465404</v>
      </c>
      <c r="J38" s="31" t="inlineStr">
        <is>
          <t>530549</t>
        </is>
      </c>
    </row>
    <row r="39">
      <c r="A39" s="31" t="inlineStr">
        <is>
          <t>DEEPINDS</t>
        </is>
      </c>
      <c r="B39" s="31" t="inlineStr">
        <is>
          <t>Deep Industries Ltd</t>
        </is>
      </c>
      <c r="C39" s="31" t="inlineStr">
        <is>
          <t>energy</t>
        </is>
      </c>
      <c r="D39" s="31" t="inlineStr">
        <is>
          <t>oil drilling / allied services</t>
        </is>
      </c>
      <c r="E39" s="31" t="inlineStr">
        <is>
          <t>smallcap</t>
        </is>
      </c>
      <c r="F39" s="31" t="n">
        <v>4256</v>
      </c>
      <c r="G39" s="31" t="n">
        <v>693.65</v>
      </c>
      <c r="H39" s="31" t="n">
        <v>4.31</v>
      </c>
      <c r="I39" s="31" t="n">
        <v>450290</v>
      </c>
      <c r="J39" s="31" t="inlineStr">
        <is>
          <t>543288</t>
        </is>
      </c>
    </row>
    <row r="40">
      <c r="A40" s="31" t="inlineStr">
        <is>
          <t>JINDRILL</t>
        </is>
      </c>
      <c r="B40" s="31" t="inlineStr">
        <is>
          <t>Jindal Drilling And Industries Limited</t>
        </is>
      </c>
      <c r="C40" s="31" t="inlineStr">
        <is>
          <t>energy</t>
        </is>
      </c>
      <c r="D40" s="31" t="inlineStr">
        <is>
          <t>oil drilling / allied services</t>
        </is>
      </c>
      <c r="E40" s="31" t="inlineStr">
        <is>
          <t>smallcap</t>
        </is>
      </c>
      <c r="F40" s="31" t="n">
        <v>1784.22</v>
      </c>
      <c r="G40" s="31" t="n">
        <v>642.1</v>
      </c>
      <c r="H40" s="31" t="n">
        <v>4.3</v>
      </c>
      <c r="I40" s="31" t="n">
        <v>610029</v>
      </c>
      <c r="J40" s="31" t="inlineStr">
        <is>
          <t>511034</t>
        </is>
      </c>
    </row>
    <row r="41">
      <c r="A41" s="31" t="inlineStr">
        <is>
          <t>MODISONLTD</t>
        </is>
      </c>
      <c r="B41" s="31" t="inlineStr">
        <is>
          <t>Modison Ltd</t>
        </is>
      </c>
      <c r="C41" s="31" t="inlineStr">
        <is>
          <t>industrials</t>
        </is>
      </c>
      <c r="D41" s="31" t="inlineStr">
        <is>
          <t>electric equipment</t>
        </is>
      </c>
      <c r="E41" s="31" t="inlineStr">
        <is>
          <t>smallcap</t>
        </is>
      </c>
      <c r="F41" s="31" t="n">
        <v>1620.72</v>
      </c>
      <c r="G41" s="31" t="n">
        <v>520.65</v>
      </c>
      <c r="H41" s="31" t="n">
        <v>4.24</v>
      </c>
      <c r="I41" s="31" t="n">
        <v>822776</v>
      </c>
      <c r="J41" s="31" t="inlineStr">
        <is>
          <t>506261</t>
        </is>
      </c>
    </row>
    <row r="42">
      <c r="A42" s="31" t="inlineStr">
        <is>
          <t>GUFICBIO</t>
        </is>
      </c>
      <c r="B42" s="31" t="inlineStr">
        <is>
          <t>Gufic Biosciences Limited</t>
        </is>
      </c>
      <c r="C42" s="31" t="inlineStr">
        <is>
          <t>healthcare</t>
        </is>
      </c>
      <c r="D42" s="31" t="inlineStr">
        <is>
          <t>pharmaceuticals - indian - bulk drugs &amp; formln</t>
        </is>
      </c>
      <c r="E42" s="31" t="inlineStr">
        <is>
          <t>smallcap</t>
        </is>
      </c>
      <c r="F42" s="31" t="n">
        <v>4222.39</v>
      </c>
      <c r="G42" s="31" t="n">
        <v>438.8</v>
      </c>
      <c r="H42" s="31" t="n">
        <v>4.22</v>
      </c>
      <c r="I42" s="31" t="n">
        <v>693834</v>
      </c>
      <c r="J42" s="31" t="inlineStr">
        <is>
          <t>509079</t>
        </is>
      </c>
    </row>
    <row r="43">
      <c r="A43" s="31" t="inlineStr">
        <is>
          <t>MAWANASUG</t>
        </is>
      </c>
      <c r="B43" s="31" t="inlineStr">
        <is>
          <t>Mawana Sugars Limited</t>
        </is>
      </c>
      <c r="C43" s="31" t="inlineStr">
        <is>
          <t>fmcg</t>
        </is>
      </c>
      <c r="D43" s="31" t="inlineStr">
        <is>
          <t>sugar</t>
        </is>
      </c>
      <c r="E43" s="31" t="inlineStr">
        <is>
          <t>smallcap</t>
        </is>
      </c>
      <c r="F43" s="31" t="n">
        <v>556.67</v>
      </c>
      <c r="G43" s="31" t="n">
        <v>147.87</v>
      </c>
      <c r="H43" s="31" t="n">
        <v>3.91</v>
      </c>
      <c r="I43" s="31" t="n">
        <v>734892</v>
      </c>
      <c r="J43" s="31" t="inlineStr">
        <is>
          <t>523371</t>
        </is>
      </c>
    </row>
    <row r="44">
      <c r="A44" s="31" t="inlineStr">
        <is>
          <t>REDINGTON</t>
        </is>
      </c>
      <c r="B44" s="31" t="inlineStr">
        <is>
          <t>Redington (india) Limited</t>
        </is>
      </c>
      <c r="C44" s="31" t="inlineStr">
        <is>
          <t>services</t>
        </is>
      </c>
      <c r="D44" s="31" t="inlineStr">
        <is>
          <t>trading</t>
        </is>
      </c>
      <c r="E44" s="31" t="inlineStr">
        <is>
          <t>largecap</t>
        </is>
      </c>
      <c r="F44" s="31" t="n">
        <v>27330.83</v>
      </c>
      <c r="G44" s="31" t="n">
        <v>363.2</v>
      </c>
      <c r="H44" s="31" t="n">
        <v>3.89</v>
      </c>
      <c r="I44" s="31" t="n">
        <v>10766413</v>
      </c>
      <c r="J44" s="31" t="inlineStr">
        <is>
          <t>532805</t>
        </is>
      </c>
    </row>
    <row r="45">
      <c r="A45" s="31" t="inlineStr">
        <is>
          <t>INNOVACAP</t>
        </is>
      </c>
      <c r="B45" s="31" t="inlineStr">
        <is>
          <t>Innova Captab Ltd</t>
        </is>
      </c>
      <c r="C45" s="31" t="inlineStr">
        <is>
          <t>healthcare</t>
        </is>
      </c>
      <c r="D45" s="31" t="inlineStr">
        <is>
          <t>pharmaceuticals - indian - bulk drugs &amp; formln</t>
        </is>
      </c>
      <c r="E45" s="31" t="inlineStr">
        <is>
          <t>midcap</t>
        </is>
      </c>
      <c r="F45" s="31" t="n">
        <v>6112.19</v>
      </c>
      <c r="G45" s="31" t="n">
        <v>1108.6</v>
      </c>
      <c r="H45" s="31" t="n">
        <v>3.79</v>
      </c>
      <c r="I45" s="31" t="n">
        <v>246228</v>
      </c>
      <c r="J45" s="31" t="inlineStr">
        <is>
          <t>544067</t>
        </is>
      </c>
    </row>
    <row r="46">
      <c r="A46" s="31" t="inlineStr">
        <is>
          <t>TCPLPACK</t>
        </is>
      </c>
      <c r="B46" s="31" t="inlineStr">
        <is>
          <t>TCPL Packaging Ltd</t>
        </is>
      </c>
      <c r="C46" s="31" t="inlineStr">
        <is>
          <t>industrials</t>
        </is>
      </c>
      <c r="D46" s="31" t="inlineStr">
        <is>
          <t>packaging</t>
        </is>
      </c>
      <c r="E46" s="31" t="inlineStr">
        <is>
          <t>smallcap</t>
        </is>
      </c>
      <c r="F46" s="31" t="n">
        <v>3512.78</v>
      </c>
      <c r="G46" s="31" t="n">
        <v>4000.3</v>
      </c>
      <c r="H46" s="31" t="n">
        <v>3.63</v>
      </c>
      <c r="I46" s="31" t="n">
        <v>12897</v>
      </c>
      <c r="J46" s="31" t="inlineStr">
        <is>
          <t>523301</t>
        </is>
      </c>
    </row>
    <row r="47">
      <c r="A47" s="31" t="inlineStr">
        <is>
          <t>TFCILTD</t>
        </is>
      </c>
      <c r="B47" s="31" t="inlineStr">
        <is>
          <t>Tourism Finance Corporation Of India Limited</t>
        </is>
      </c>
      <c r="C47" s="31" t="inlineStr">
        <is>
          <t>financials</t>
        </is>
      </c>
      <c r="D47" s="31" t="inlineStr">
        <is>
          <t>finance - term-lending institutions</t>
        </is>
      </c>
      <c r="E47" s="31" t="inlineStr">
        <is>
          <t>midcap</t>
        </is>
      </c>
      <c r="F47" s="31" t="n">
        <v>6531.22</v>
      </c>
      <c r="G47" s="31" t="n">
        <v>146.14</v>
      </c>
      <c r="H47" s="31" t="n">
        <v>3.59</v>
      </c>
      <c r="I47" s="31" t="n">
        <v>14852059</v>
      </c>
      <c r="J47" s="31" t="inlineStr">
        <is>
          <t>526650</t>
        </is>
      </c>
    </row>
    <row r="48">
      <c r="A48" s="31" t="inlineStr">
        <is>
          <t>GIPCL</t>
        </is>
      </c>
      <c r="B48" s="31" t="inlineStr">
        <is>
          <t>Gujarat Industries Power Company Limited</t>
        </is>
      </c>
      <c r="C48" s="31" t="inlineStr">
        <is>
          <t>power &amp; utilities</t>
        </is>
      </c>
      <c r="D48" s="31" t="inlineStr">
        <is>
          <t>power generation and supply</t>
        </is>
      </c>
      <c r="E48" s="31" t="inlineStr">
        <is>
          <t>smallcap</t>
        </is>
      </c>
      <c r="F48" s="31" t="n">
        <v>3085.69</v>
      </c>
      <c r="G48" s="31" t="n">
        <v>205.94</v>
      </c>
      <c r="H48" s="31" t="n">
        <v>3.59</v>
      </c>
      <c r="I48" s="31" t="n">
        <v>1526007</v>
      </c>
      <c r="J48" s="31" t="inlineStr">
        <is>
          <t>517300</t>
        </is>
      </c>
    </row>
    <row r="49">
      <c r="A49" s="31" t="inlineStr">
        <is>
          <t>INDOSTAR</t>
        </is>
      </c>
      <c r="B49" s="31" t="inlineStr">
        <is>
          <t>Indostar Capital Finance Ltd</t>
        </is>
      </c>
      <c r="C49" s="31" t="inlineStr">
        <is>
          <t>financials</t>
        </is>
      </c>
      <c r="D49" s="31" t="inlineStr">
        <is>
          <t>finance &amp; investments</t>
        </is>
      </c>
      <c r="E49" s="31" t="inlineStr">
        <is>
          <t>smallcap</t>
        </is>
      </c>
      <c r="F49" s="31" t="n">
        <v>4073.23</v>
      </c>
      <c r="G49" s="31" t="n">
        <v>261.07</v>
      </c>
      <c r="H49" s="31" t="n">
        <v>3.57</v>
      </c>
      <c r="I49" s="31" t="n">
        <v>130359</v>
      </c>
      <c r="J49" s="31" t="inlineStr">
        <is>
          <t>541336</t>
        </is>
      </c>
    </row>
    <row r="50">
      <c r="A50" s="31" t="inlineStr">
        <is>
          <t>KAMDHENU</t>
        </is>
      </c>
      <c r="B50" s="31" t="inlineStr">
        <is>
          <t>Kamdhenu Limited</t>
        </is>
      </c>
      <c r="C50" s="31" t="inlineStr">
        <is>
          <t>metals &amp; mining</t>
        </is>
      </c>
      <c r="D50" s="31" t="inlineStr">
        <is>
          <t>steel - medium / small</t>
        </is>
      </c>
      <c r="E50" s="31" t="inlineStr">
        <is>
          <t>smallcap</t>
        </is>
      </c>
      <c r="F50" s="31" t="n">
        <v>1019.29</v>
      </c>
      <c r="G50" s="31" t="n">
        <v>37.45</v>
      </c>
      <c r="H50" s="31" t="n">
        <v>3.57</v>
      </c>
      <c r="I50" s="31" t="n">
        <v>1034547</v>
      </c>
      <c r="J50" s="31" t="inlineStr">
        <is>
          <t>532741</t>
        </is>
      </c>
    </row>
    <row r="51">
      <c r="A51" s="31" t="inlineStr">
        <is>
          <t>MAXESTATES</t>
        </is>
      </c>
      <c r="B51" s="31" t="inlineStr">
        <is>
          <t>Max Estates Ltd</t>
        </is>
      </c>
      <c r="C51" s="31" t="inlineStr">
        <is>
          <t>realty</t>
        </is>
      </c>
      <c r="D51" s="31" t="inlineStr">
        <is>
          <t>construction</t>
        </is>
      </c>
      <c r="E51" s="31" t="inlineStr">
        <is>
          <t>midcap</t>
        </is>
      </c>
      <c r="F51" s="31" t="n">
        <v>8223.91</v>
      </c>
      <c r="G51" s="31" t="n">
        <v>520.65</v>
      </c>
      <c r="H51" s="31" t="n">
        <v>3.51</v>
      </c>
      <c r="I51" s="31" t="n">
        <v>193763</v>
      </c>
      <c r="J51" s="31" t="inlineStr">
        <is>
          <t>544008</t>
        </is>
      </c>
    </row>
    <row r="52">
      <c r="A52" s="31" t="inlineStr">
        <is>
          <t>UGARSUGAR</t>
        </is>
      </c>
      <c r="B52" s="31" t="inlineStr">
        <is>
          <t>The Ugar Sugar Works Limited</t>
        </is>
      </c>
      <c r="C52" s="31" t="inlineStr">
        <is>
          <t>fmcg</t>
        </is>
      </c>
      <c r="D52" s="31" t="inlineStr">
        <is>
          <t>sugar</t>
        </is>
      </c>
      <c r="E52" s="31" t="inlineStr">
        <is>
          <t>smallcap</t>
        </is>
      </c>
      <c r="F52" s="31" t="n">
        <v>597.9400000000001</v>
      </c>
      <c r="G52" s="31" t="n">
        <v>55.01</v>
      </c>
      <c r="H52" s="31" t="n">
        <v>3.5</v>
      </c>
      <c r="I52" s="31" t="n">
        <v>562806</v>
      </c>
      <c r="J52" s="31" t="inlineStr">
        <is>
          <t>530363</t>
        </is>
      </c>
    </row>
    <row r="53">
      <c r="A53" s="31" t="inlineStr">
        <is>
          <t>DOLPHIN</t>
        </is>
      </c>
      <c r="B53" s="31" t="inlineStr">
        <is>
          <t>Dolphin Offshore Enterprises (India) Ltd</t>
        </is>
      </c>
      <c r="C53" s="31" t="inlineStr">
        <is>
          <t>energy</t>
        </is>
      </c>
      <c r="D53" s="31" t="inlineStr">
        <is>
          <t>oil drilling / allied services</t>
        </is>
      </c>
      <c r="E53" s="31" t="inlineStr">
        <is>
          <t>smallcap</t>
        </is>
      </c>
      <c r="F53" s="31" t="n">
        <v>2333.47</v>
      </c>
      <c r="G53" s="31" t="n">
        <v>603.45</v>
      </c>
      <c r="H53" s="31" t="n">
        <v>3.45</v>
      </c>
      <c r="I53" s="31" t="n">
        <v>34269</v>
      </c>
      <c r="J53" s="31" t="inlineStr">
        <is>
          <t>522261</t>
        </is>
      </c>
    </row>
    <row r="54">
      <c r="A54" s="31" t="inlineStr">
        <is>
          <t>SEAMECLTD</t>
        </is>
      </c>
      <c r="B54" s="31" t="inlineStr">
        <is>
          <t>Seamec Limited</t>
        </is>
      </c>
      <c r="C54" s="31" t="inlineStr">
        <is>
          <t>miscellaneous</t>
        </is>
      </c>
      <c r="D54" s="31" t="inlineStr">
        <is>
          <t>miscellaneous</t>
        </is>
      </c>
      <c r="E54" s="31" t="inlineStr">
        <is>
          <t>smallcap</t>
        </is>
      </c>
      <c r="F54" s="31" t="n">
        <v>4268.35</v>
      </c>
      <c r="G54" s="31" t="n">
        <v>1735.7</v>
      </c>
      <c r="H54" s="31" t="n">
        <v>3.39</v>
      </c>
      <c r="I54" s="31" t="n">
        <v>168329</v>
      </c>
      <c r="J54" s="31" t="inlineStr">
        <is>
          <t>526807</t>
        </is>
      </c>
    </row>
    <row r="55">
      <c r="A55" s="31" t="inlineStr">
        <is>
          <t>SIMPLEXINF</t>
        </is>
      </c>
      <c r="B55" s="31" t="inlineStr">
        <is>
          <t>Simplex Infrastructures Limited</t>
        </is>
      </c>
      <c r="C55" s="31" t="inlineStr">
        <is>
          <t>realty</t>
        </is>
      </c>
      <c r="D55" s="31" t="inlineStr">
        <is>
          <t>construction</t>
        </is>
      </c>
      <c r="E55" s="31" t="inlineStr">
        <is>
          <t>smallcap</t>
        </is>
      </c>
      <c r="F55" s="31" t="n">
        <v>2029.59</v>
      </c>
      <c r="G55" s="31" t="n">
        <v>265.2</v>
      </c>
      <c r="H55" s="31" t="n">
        <v>3.35</v>
      </c>
      <c r="I55" s="31" t="n">
        <v>109146</v>
      </c>
      <c r="J55" s="31" t="inlineStr">
        <is>
          <t>523838</t>
        </is>
      </c>
    </row>
    <row r="56">
      <c r="A56" s="31" t="inlineStr">
        <is>
          <t>IDEA</t>
        </is>
      </c>
      <c r="B56" s="31" t="inlineStr">
        <is>
          <t>Vodafone Idea Ltd</t>
        </is>
      </c>
      <c r="C56" s="31" t="inlineStr">
        <is>
          <t>telecom-service</t>
        </is>
      </c>
      <c r="D56" s="31" t="inlineStr">
        <is>
          <t>telecommunications - service provider</t>
        </is>
      </c>
      <c r="E56" s="31" t="inlineStr">
        <is>
          <t>largecap</t>
        </is>
      </c>
      <c r="F56" s="31" t="n">
        <v>152330.31</v>
      </c>
      <c r="G56" s="31" t="n">
        <v>14.53</v>
      </c>
      <c r="H56" s="31" t="n">
        <v>3.34</v>
      </c>
      <c r="I56" s="31" t="n">
        <v>527024719</v>
      </c>
      <c r="J56" s="31" t="inlineStr">
        <is>
          <t>532822</t>
        </is>
      </c>
    </row>
    <row r="57">
      <c r="A57" s="31" t="inlineStr">
        <is>
          <t>ASIANENE</t>
        </is>
      </c>
      <c r="B57" s="31" t="inlineStr">
        <is>
          <t>Asian Energy Services Ltd</t>
        </is>
      </c>
      <c r="C57" s="31" t="inlineStr">
        <is>
          <t>energy</t>
        </is>
      </c>
      <c r="D57" s="31" t="inlineStr">
        <is>
          <t>oil drilling / allied services</t>
        </is>
      </c>
      <c r="E57" s="31" t="inlineStr">
        <is>
          <t>smallcap</t>
        </is>
      </c>
      <c r="F57" s="31" t="n">
        <v>2375.07</v>
      </c>
      <c r="G57" s="31" t="n">
        <v>504.1</v>
      </c>
      <c r="H57" s="31" t="n">
        <v>3.21</v>
      </c>
      <c r="I57" s="31" t="n">
        <v>919172</v>
      </c>
      <c r="J57" s="31" t="inlineStr">
        <is>
          <t>530355</t>
        </is>
      </c>
    </row>
    <row r="58">
      <c r="A58" s="31" t="inlineStr">
        <is>
          <t>BEML</t>
        </is>
      </c>
      <c r="B58" s="31" t="inlineStr">
        <is>
          <t>Beml Limited</t>
        </is>
      </c>
      <c r="C58" s="31" t="inlineStr">
        <is>
          <t>aerospace &amp; defence</t>
        </is>
      </c>
      <c r="D58" s="31" t="inlineStr">
        <is>
          <t>engineering</t>
        </is>
      </c>
      <c r="E58" s="31" t="inlineStr">
        <is>
          <t>midcap</t>
        </is>
      </c>
      <c r="F58" s="31" t="n">
        <v>16409.6</v>
      </c>
      <c r="G58" s="31" t="n">
        <v>2032.4</v>
      </c>
      <c r="H58" s="31" t="n">
        <v>3.16</v>
      </c>
      <c r="I58" s="31" t="n">
        <v>966324</v>
      </c>
      <c r="J58" s="31" t="inlineStr">
        <is>
          <t>500048</t>
        </is>
      </c>
    </row>
    <row r="59">
      <c r="A59" s="31" t="inlineStr">
        <is>
          <t>ICIL</t>
        </is>
      </c>
      <c r="B59" s="31" t="inlineStr">
        <is>
          <t>Indo Count Industries Limited</t>
        </is>
      </c>
      <c r="C59" s="31" t="inlineStr">
        <is>
          <t>textiles</t>
        </is>
      </c>
      <c r="D59" s="31" t="inlineStr">
        <is>
          <t>textiles - cotton/blended</t>
        </is>
      </c>
      <c r="E59" s="31" t="inlineStr">
        <is>
          <t>midcap</t>
        </is>
      </c>
      <c r="F59" s="31" t="n">
        <v>8584.67</v>
      </c>
      <c r="G59" s="31" t="n">
        <v>447.15</v>
      </c>
      <c r="H59" s="31" t="n">
        <v>3.16</v>
      </c>
      <c r="I59" s="31" t="n">
        <v>823554</v>
      </c>
      <c r="J59" s="31" t="inlineStr">
        <is>
          <t>521016</t>
        </is>
      </c>
    </row>
    <row r="60">
      <c r="A60" s="31" t="inlineStr">
        <is>
          <t>NUVAMA</t>
        </is>
      </c>
      <c r="B60" s="31" t="inlineStr">
        <is>
          <t>Nuvama Wealth Management Ltd</t>
        </is>
      </c>
      <c r="C60" s="31" t="inlineStr">
        <is>
          <t>financials</t>
        </is>
      </c>
      <c r="D60" s="31" t="inlineStr">
        <is>
          <t>finance &amp; investments</t>
        </is>
      </c>
      <c r="E60" s="31" t="inlineStr">
        <is>
          <t>largecap</t>
        </is>
      </c>
      <c r="F60" s="31" t="n">
        <v>32581.39</v>
      </c>
      <c r="G60" s="31" t="n">
        <v>1841</v>
      </c>
      <c r="H60" s="31" t="n">
        <v>3.14</v>
      </c>
      <c r="I60" s="31" t="n">
        <v>1438209</v>
      </c>
      <c r="J60" s="31" t="inlineStr">
        <is>
          <t>543988</t>
        </is>
      </c>
    </row>
    <row r="61">
      <c r="A61" s="31" t="inlineStr">
        <is>
          <t>MARKSANS</t>
        </is>
      </c>
      <c r="B61" s="31" t="inlineStr">
        <is>
          <t>Marksans Pharma Limited</t>
        </is>
      </c>
      <c r="C61" s="31" t="inlineStr">
        <is>
          <t>healthcare</t>
        </is>
      </c>
      <c r="D61" s="31" t="inlineStr">
        <is>
          <t>pharmaceuticals - indian - formulations</t>
        </is>
      </c>
      <c r="E61" s="31" t="inlineStr">
        <is>
          <t>midcap</t>
        </is>
      </c>
      <c r="F61" s="31" t="n">
        <v>14610</v>
      </c>
      <c r="G61" s="31" t="n">
        <v>332.5</v>
      </c>
      <c r="H61" s="31" t="n">
        <v>3.13</v>
      </c>
      <c r="I61" s="31" t="n">
        <v>6573003</v>
      </c>
      <c r="J61" s="31" t="inlineStr">
        <is>
          <t>524404</t>
        </is>
      </c>
    </row>
    <row r="62">
      <c r="A62" s="31" t="inlineStr">
        <is>
          <t>ARVIND</t>
        </is>
      </c>
      <c r="B62" s="31" t="inlineStr">
        <is>
          <t>Arvind Limited</t>
        </is>
      </c>
      <c r="C62" s="31" t="inlineStr">
        <is>
          <t>textiles</t>
        </is>
      </c>
      <c r="D62" s="31" t="inlineStr">
        <is>
          <t>textiles - cotton/blended</t>
        </is>
      </c>
      <c r="E62" s="31" t="inlineStr">
        <is>
          <t>midcap</t>
        </is>
      </c>
      <c r="F62" s="31" t="n">
        <v>15155.38</v>
      </c>
      <c r="G62" s="31" t="n">
        <v>574.05</v>
      </c>
      <c r="H62" s="31" t="n">
        <v>3.04</v>
      </c>
      <c r="I62" s="31" t="n">
        <v>790352</v>
      </c>
      <c r="J62" s="31" t="inlineStr">
        <is>
          <t>500101</t>
        </is>
      </c>
    </row>
    <row r="63">
      <c r="A63" s="31" t="inlineStr">
        <is>
          <t>KRYSTAL</t>
        </is>
      </c>
      <c r="B63" s="31" t="inlineStr">
        <is>
          <t>Krystal Integrated Services Ltd</t>
        </is>
      </c>
      <c r="C63" s="31" t="inlineStr">
        <is>
          <t>miscellaneous</t>
        </is>
      </c>
      <c r="D63" s="31" t="inlineStr">
        <is>
          <t>miscellaneous</t>
        </is>
      </c>
      <c r="E63" s="31" t="inlineStr">
        <is>
          <t>smallcap</t>
        </is>
      </c>
      <c r="F63" s="31" t="n">
        <v>904.47</v>
      </c>
      <c r="G63" s="31" t="n">
        <v>667</v>
      </c>
      <c r="H63" s="31" t="n">
        <v>3.04</v>
      </c>
      <c r="I63" s="31" t="n">
        <v>108555</v>
      </c>
      <c r="J63" s="31" t="inlineStr">
        <is>
          <t>544149</t>
        </is>
      </c>
    </row>
    <row r="64">
      <c r="A64" s="31" t="inlineStr">
        <is>
          <t>PASUPTAC</t>
        </is>
      </c>
      <c r="B64" s="31" t="inlineStr">
        <is>
          <t>Pasupati Acrylon Ltd</t>
        </is>
      </c>
      <c r="C64" s="31" t="inlineStr">
        <is>
          <t>textiles</t>
        </is>
      </c>
      <c r="D64" s="31" t="inlineStr">
        <is>
          <t>textiles - manmade</t>
        </is>
      </c>
      <c r="E64" s="31" t="inlineStr">
        <is>
          <t>smallcap</t>
        </is>
      </c>
      <c r="F64" s="31" t="n">
        <v>559.13</v>
      </c>
      <c r="G64" s="31" t="n">
        <v>64.64</v>
      </c>
      <c r="H64" s="31" t="n">
        <v>3.04</v>
      </c>
      <c r="I64" s="31" t="n">
        <v>126973</v>
      </c>
      <c r="J64" s="31" t="inlineStr">
        <is>
          <t>500456</t>
        </is>
      </c>
    </row>
    <row r="65">
      <c r="A65" s="31" t="inlineStr">
        <is>
          <t>STLTECH</t>
        </is>
      </c>
      <c r="B65" s="31" t="inlineStr">
        <is>
          <t>Sterlite Technologies Limited</t>
        </is>
      </c>
      <c r="C65" s="31" t="inlineStr">
        <is>
          <t>industrials</t>
        </is>
      </c>
      <c r="D65" s="31" t="inlineStr">
        <is>
          <t>cables - telephone</t>
        </is>
      </c>
      <c r="E65" s="31" t="inlineStr">
        <is>
          <t>largecap</t>
        </is>
      </c>
      <c r="F65" s="31" t="n">
        <v>35648.97</v>
      </c>
      <c r="G65" s="31" t="n">
        <v>714.35</v>
      </c>
      <c r="H65" s="31" t="n">
        <v>2.98</v>
      </c>
      <c r="I65" s="31" t="n">
        <v>1724135</v>
      </c>
      <c r="J65" s="31" t="inlineStr">
        <is>
          <t>532374</t>
        </is>
      </c>
    </row>
    <row r="66">
      <c r="A66" s="31" t="inlineStr">
        <is>
          <t>ASIANHOTNR</t>
        </is>
      </c>
      <c r="B66" s="31" t="inlineStr">
        <is>
          <t>Asian Hotels (north) Limited</t>
        </is>
      </c>
      <c r="C66" s="31" t="inlineStr">
        <is>
          <t>services</t>
        </is>
      </c>
      <c r="D66" s="31" t="inlineStr">
        <is>
          <t>hotels</t>
        </is>
      </c>
      <c r="E66" s="31" t="inlineStr">
        <is>
          <t>smallcap</t>
        </is>
      </c>
      <c r="F66" s="31" t="n">
        <v>1574.02</v>
      </c>
      <c r="G66" s="31" t="n">
        <v>379.9</v>
      </c>
      <c r="H66" s="31" t="n">
        <v>2.9</v>
      </c>
      <c r="I66" s="31" t="n">
        <v>26364</v>
      </c>
      <c r="J66" s="31" t="inlineStr">
        <is>
          <t>500023</t>
        </is>
      </c>
    </row>
    <row r="67">
      <c r="A67" s="31" t="inlineStr">
        <is>
          <t>BLISSGVS</t>
        </is>
      </c>
      <c r="B67" s="31" t="inlineStr">
        <is>
          <t>Bliss Gvs Pharma Limited</t>
        </is>
      </c>
      <c r="C67" s="31" t="inlineStr">
        <is>
          <t>healthcare</t>
        </is>
      </c>
      <c r="D67" s="31" t="inlineStr">
        <is>
          <t>pharmaceuticals - indian - formulations</t>
        </is>
      </c>
      <c r="E67" s="31" t="inlineStr">
        <is>
          <t>midcap</t>
        </is>
      </c>
      <c r="F67" s="31" t="n">
        <v>6685.78</v>
      </c>
      <c r="G67" s="31" t="n">
        <v>648.65</v>
      </c>
      <c r="H67" s="31" t="n">
        <v>2.9</v>
      </c>
      <c r="I67" s="31" t="n">
        <v>541997</v>
      </c>
      <c r="J67" s="31" t="inlineStr">
        <is>
          <t>506197</t>
        </is>
      </c>
    </row>
    <row r="68">
      <c r="A68" s="31" t="inlineStr">
        <is>
          <t>RUBYMILLS</t>
        </is>
      </c>
      <c r="B68" s="31" t="inlineStr">
        <is>
          <t>The Ruby Mills Limited</t>
        </is>
      </c>
      <c r="C68" s="31" t="inlineStr">
        <is>
          <t>textiles</t>
        </is>
      </c>
      <c r="D68" s="31" t="inlineStr">
        <is>
          <t>textiles - composite</t>
        </is>
      </c>
      <c r="E68" s="31" t="inlineStr">
        <is>
          <t>smallcap</t>
        </is>
      </c>
      <c r="F68" s="31" t="n">
        <v>1290.12</v>
      </c>
      <c r="G68" s="31" t="n">
        <v>396.8</v>
      </c>
      <c r="H68" s="31" t="n">
        <v>2.85</v>
      </c>
      <c r="I68" s="31" t="n">
        <v>5981</v>
      </c>
      <c r="J68" s="31" t="inlineStr">
        <is>
          <t>503169</t>
        </is>
      </c>
    </row>
    <row r="69">
      <c r="A69" s="31" t="inlineStr">
        <is>
          <t>ANDHRSUGAR</t>
        </is>
      </c>
      <c r="B69" s="31" t="inlineStr">
        <is>
          <t>The Andhra Sugars Limited</t>
        </is>
      </c>
      <c r="C69" s="31" t="inlineStr">
        <is>
          <t>chemicals</t>
        </is>
      </c>
      <c r="D69" s="31" t="inlineStr">
        <is>
          <t>chlor alkali / soda ash</t>
        </is>
      </c>
      <c r="E69" s="31" t="inlineStr">
        <is>
          <t>smallcap</t>
        </is>
      </c>
      <c r="F69" s="31" t="n">
        <v>1307.78</v>
      </c>
      <c r="G69" s="31" t="n">
        <v>99.2</v>
      </c>
      <c r="H69" s="31" t="n">
        <v>2.81</v>
      </c>
      <c r="I69" s="31" t="n">
        <v>490982</v>
      </c>
      <c r="J69" s="31" t="inlineStr">
        <is>
          <t>590062</t>
        </is>
      </c>
    </row>
    <row r="70">
      <c r="A70" s="31" t="inlineStr">
        <is>
          <t>ARFIN</t>
        </is>
      </c>
      <c r="B70" s="31" t="inlineStr">
        <is>
          <t>Arfin India Ltd</t>
        </is>
      </c>
      <c r="C70" s="31" t="inlineStr">
        <is>
          <t>metals &amp; mining</t>
        </is>
      </c>
      <c r="D70" s="31" t="inlineStr">
        <is>
          <t>aluminium and aluminium products</t>
        </is>
      </c>
      <c r="E70" s="31" t="inlineStr">
        <is>
          <t>smallcap</t>
        </is>
      </c>
      <c r="F70" s="31" t="n">
        <v>1442.58</v>
      </c>
      <c r="G70" s="31" t="n">
        <v>87.87</v>
      </c>
      <c r="H70" s="31" t="n">
        <v>2.77</v>
      </c>
      <c r="I70" s="31" t="n">
        <v>1010679</v>
      </c>
      <c r="J70" s="31" t="inlineStr">
        <is>
          <t>539151</t>
        </is>
      </c>
    </row>
    <row r="71">
      <c r="A71" s="31" t="inlineStr">
        <is>
          <t>RPEL</t>
        </is>
      </c>
      <c r="B71" s="31" t="inlineStr">
        <is>
          <t>Raghav Productivity Enhancers Ltd</t>
        </is>
      </c>
      <c r="C71" s="31" t="inlineStr">
        <is>
          <t>building materials</t>
        </is>
      </c>
      <c r="D71" s="31" t="inlineStr">
        <is>
          <t>refractories / intermediates</t>
        </is>
      </c>
      <c r="E71" s="31" t="inlineStr">
        <is>
          <t>midcap</t>
        </is>
      </c>
      <c r="F71" s="31" t="n">
        <v>7931.18</v>
      </c>
      <c r="G71" s="31" t="n">
        <v>1774.6</v>
      </c>
      <c r="H71" s="31" t="n">
        <v>2.75</v>
      </c>
      <c r="I71" s="31" t="n">
        <v>49856</v>
      </c>
      <c r="J71" s="31" t="inlineStr">
        <is>
          <t>539837</t>
        </is>
      </c>
    </row>
    <row r="72">
      <c r="A72" s="31" t="inlineStr">
        <is>
          <t>CONFIPET</t>
        </is>
      </c>
      <c r="B72" s="31" t="inlineStr">
        <is>
          <t>Confidence Petroleum India Ltd</t>
        </is>
      </c>
      <c r="C72" s="31" t="inlineStr">
        <is>
          <t>miscellaneous</t>
        </is>
      </c>
      <c r="D72" s="31" t="inlineStr">
        <is>
          <t>miscellaneous</t>
        </is>
      </c>
      <c r="E72" s="31" t="inlineStr">
        <is>
          <t>smallcap</t>
        </is>
      </c>
      <c r="F72" s="31" t="n">
        <v>2669.22</v>
      </c>
      <c r="G72" s="31" t="n">
        <v>82.55</v>
      </c>
      <c r="H72" s="31" t="n">
        <v>2.75</v>
      </c>
      <c r="I72" s="31" t="n">
        <v>5113322</v>
      </c>
      <c r="J72" s="31" t="inlineStr">
        <is>
          <t>526829</t>
        </is>
      </c>
    </row>
    <row r="73">
      <c r="A73" s="31" t="inlineStr">
        <is>
          <t>SOLARINDS</t>
        </is>
      </c>
      <c r="B73" s="31" t="inlineStr">
        <is>
          <t>Solar Industries India Limited</t>
        </is>
      </c>
      <c r="C73" s="31" t="inlineStr">
        <is>
          <t>aerospace &amp; defence</t>
        </is>
      </c>
      <c r="D73" s="31" t="inlineStr">
        <is>
          <t>chemicals</t>
        </is>
      </c>
      <c r="E73" s="31" t="inlineStr">
        <is>
          <t>largecap</t>
        </is>
      </c>
      <c r="F73" s="31" t="n">
        <v>181523.05</v>
      </c>
      <c r="G73" s="31" t="n">
        <v>20600</v>
      </c>
      <c r="H73" s="31" t="n">
        <v>2.69</v>
      </c>
      <c r="I73" s="31" t="n">
        <v>139030</v>
      </c>
      <c r="J73" s="31" t="inlineStr">
        <is>
          <t>532725</t>
        </is>
      </c>
    </row>
    <row r="74">
      <c r="A74" s="31" t="inlineStr">
        <is>
          <t>BANARISUG</t>
        </is>
      </c>
      <c r="B74" s="31" t="inlineStr">
        <is>
          <t>Bannari Amman Sugars Limited</t>
        </is>
      </c>
      <c r="C74" s="31" t="inlineStr">
        <is>
          <t>fmcg</t>
        </is>
      </c>
      <c r="D74" s="31" t="inlineStr">
        <is>
          <t>sugar</t>
        </is>
      </c>
      <c r="E74" s="31" t="inlineStr">
        <is>
          <t>smallcap</t>
        </is>
      </c>
      <c r="F74" s="31" t="n">
        <v>4722.7</v>
      </c>
      <c r="G74" s="31" t="n">
        <v>3864.8</v>
      </c>
      <c r="H74" s="31" t="n">
        <v>2.62</v>
      </c>
      <c r="I74" s="31" t="n">
        <v>2140</v>
      </c>
      <c r="J74" s="31" t="inlineStr">
        <is>
          <t>500041</t>
        </is>
      </c>
    </row>
    <row r="75">
      <c r="A75" s="31" t="inlineStr">
        <is>
          <t>KAJARIACER</t>
        </is>
      </c>
      <c r="B75" s="31" t="inlineStr">
        <is>
          <t>Kajaria Ceramics Limited</t>
        </is>
      </c>
      <c r="C75" s="31" t="inlineStr">
        <is>
          <t>building materials</t>
        </is>
      </c>
      <c r="D75" s="31" t="inlineStr">
        <is>
          <t>ceramics - tiles / sanitaryware</t>
        </is>
      </c>
      <c r="E75" s="31" t="inlineStr">
        <is>
          <t>midcap</t>
        </is>
      </c>
      <c r="F75" s="31" t="n">
        <v>19574.56</v>
      </c>
      <c r="G75" s="31" t="n">
        <v>1261.1</v>
      </c>
      <c r="H75" s="31" t="n">
        <v>2.61</v>
      </c>
      <c r="I75" s="31" t="n">
        <v>725742</v>
      </c>
      <c r="J75" s="31" t="inlineStr">
        <is>
          <t>500233</t>
        </is>
      </c>
    </row>
    <row r="76">
      <c r="A76" s="31" t="inlineStr">
        <is>
          <t>ORIENTBELL</t>
        </is>
      </c>
      <c r="B76" s="31" t="inlineStr">
        <is>
          <t>Orient Bell Limited</t>
        </is>
      </c>
      <c r="C76" s="31" t="inlineStr">
        <is>
          <t>building materials</t>
        </is>
      </c>
      <c r="D76" s="31" t="inlineStr">
        <is>
          <t>ceramics - tiles / sanitaryware</t>
        </is>
      </c>
      <c r="E76" s="31" t="inlineStr">
        <is>
          <t>smallcap</t>
        </is>
      </c>
      <c r="F76" s="31" t="n">
        <v>574.37</v>
      </c>
      <c r="G76" s="31" t="n">
        <v>400.65</v>
      </c>
      <c r="H76" s="31" t="n">
        <v>2.61</v>
      </c>
      <c r="I76" s="31" t="n">
        <v>46905</v>
      </c>
      <c r="J76" s="31" t="inlineStr">
        <is>
          <t>530365</t>
        </is>
      </c>
    </row>
    <row r="77">
      <c r="A77" s="31" t="inlineStr">
        <is>
          <t>OAL</t>
        </is>
      </c>
      <c r="B77" s="31" t="inlineStr">
        <is>
          <t>Oriental Aromatics Ltd</t>
        </is>
      </c>
      <c r="C77" s="31" t="inlineStr">
        <is>
          <t>chemicals</t>
        </is>
      </c>
      <c r="D77" s="31" t="inlineStr">
        <is>
          <t>chemicals</t>
        </is>
      </c>
      <c r="E77" s="31" t="inlineStr">
        <is>
          <t>smallcap</t>
        </is>
      </c>
      <c r="F77" s="31" t="n">
        <v>1501.96</v>
      </c>
      <c r="G77" s="31" t="n">
        <v>457.95</v>
      </c>
      <c r="H77" s="31" t="n">
        <v>2.61</v>
      </c>
      <c r="I77" s="31" t="n">
        <v>51928</v>
      </c>
      <c r="J77" s="31" t="inlineStr">
        <is>
          <t>500078</t>
        </is>
      </c>
    </row>
    <row r="78">
      <c r="A78" s="31" t="inlineStr">
        <is>
          <t>GENUSPOWER</t>
        </is>
      </c>
      <c r="B78" s="31" t="inlineStr">
        <is>
          <t>Genus Power Infrastructures Limited</t>
        </is>
      </c>
      <c r="C78" s="31" t="inlineStr">
        <is>
          <t>consumer discretionary</t>
        </is>
      </c>
      <c r="D78" s="31" t="inlineStr">
        <is>
          <t>electronics - components</t>
        </is>
      </c>
      <c r="E78" s="31" t="inlineStr">
        <is>
          <t>midcap</t>
        </is>
      </c>
      <c r="F78" s="31" t="n">
        <v>9976.120000000001</v>
      </c>
      <c r="G78" s="31" t="n">
        <v>336.15</v>
      </c>
      <c r="H78" s="31" t="n">
        <v>2.52</v>
      </c>
      <c r="I78" s="31" t="n">
        <v>3705712</v>
      </c>
      <c r="J78" s="31" t="inlineStr">
        <is>
          <t>530343</t>
        </is>
      </c>
    </row>
    <row r="79">
      <c r="A79" s="31" t="inlineStr">
        <is>
          <t>GODREJAGRO</t>
        </is>
      </c>
      <c r="B79" s="31" t="inlineStr">
        <is>
          <t>Godrej Agrovet Ltd</t>
        </is>
      </c>
      <c r="C79" s="31" t="inlineStr">
        <is>
          <t>fmcg</t>
        </is>
      </c>
      <c r="D79" s="31" t="inlineStr">
        <is>
          <t>food - processing - indian</t>
        </is>
      </c>
      <c r="E79" s="31" t="inlineStr">
        <is>
          <t>midcap</t>
        </is>
      </c>
      <c r="F79" s="31" t="n">
        <v>12588.04</v>
      </c>
      <c r="G79" s="31" t="n">
        <v>670.25</v>
      </c>
      <c r="H79" s="31" t="n">
        <v>2.42</v>
      </c>
      <c r="I79" s="31" t="n">
        <v>2230141</v>
      </c>
      <c r="J79" s="31" t="inlineStr">
        <is>
          <t>540743</t>
        </is>
      </c>
    </row>
    <row r="80">
      <c r="A80" s="31" t="inlineStr">
        <is>
          <t>MAHSEAMLES</t>
        </is>
      </c>
      <c r="B80" s="31" t="inlineStr">
        <is>
          <t>Maharashtra Seamless Limited</t>
        </is>
      </c>
      <c r="C80" s="31" t="inlineStr">
        <is>
          <t>metals &amp; mining</t>
        </is>
      </c>
      <c r="D80" s="31" t="inlineStr">
        <is>
          <t>steel - medium / small</t>
        </is>
      </c>
      <c r="E80" s="31" t="inlineStr">
        <is>
          <t>midcap</t>
        </is>
      </c>
      <c r="F80" s="31" t="n">
        <v>8704.59</v>
      </c>
      <c r="G80" s="31" t="n">
        <v>665.05</v>
      </c>
      <c r="H80" s="31" t="n">
        <v>2.38</v>
      </c>
      <c r="I80" s="31" t="n">
        <v>492471</v>
      </c>
      <c r="J80" s="31" t="inlineStr">
        <is>
          <t>500265</t>
        </is>
      </c>
    </row>
    <row r="81">
      <c r="A81" s="31" t="inlineStr">
        <is>
          <t>RBLBANK</t>
        </is>
      </c>
      <c r="B81" s="31" t="inlineStr">
        <is>
          <t>Rbl Bank Limited</t>
        </is>
      </c>
      <c r="C81" s="31" t="inlineStr">
        <is>
          <t>bank</t>
        </is>
      </c>
      <c r="D81" s="31" t="inlineStr">
        <is>
          <t>banks - private sector</t>
        </is>
      </c>
      <c r="E81" s="31" t="inlineStr">
        <is>
          <t>largecap</t>
        </is>
      </c>
      <c r="F81" s="31" t="n">
        <v>58922.63</v>
      </c>
      <c r="G81" s="31" t="n">
        <v>389.4</v>
      </c>
      <c r="H81" s="31" t="n">
        <v>2.34</v>
      </c>
      <c r="I81" s="31" t="n">
        <v>4297189</v>
      </c>
      <c r="J81" s="31" t="inlineStr">
        <is>
          <t>540065</t>
        </is>
      </c>
    </row>
    <row r="82">
      <c r="A82" s="31" t="inlineStr">
        <is>
          <t>STAR</t>
        </is>
      </c>
      <c r="B82" s="31" t="inlineStr">
        <is>
          <t>Strides Shasun Limited</t>
        </is>
      </c>
      <c r="C82" s="31" t="inlineStr">
        <is>
          <t>healthcare</t>
        </is>
      </c>
      <c r="D82" s="31" t="inlineStr">
        <is>
          <t>pharmaceuticals - indian - bulk drugs &amp; formln</t>
        </is>
      </c>
      <c r="E82" s="31" t="inlineStr">
        <is>
          <t>midcap</t>
        </is>
      </c>
      <c r="F82" s="31" t="n">
        <v>9440.33</v>
      </c>
      <c r="G82" s="31" t="n">
        <v>1047.8</v>
      </c>
      <c r="H82" s="31" t="n">
        <v>2.3</v>
      </c>
      <c r="I82" s="31" t="n">
        <v>327406</v>
      </c>
      <c r="J82" s="31" t="inlineStr">
        <is>
          <t>532531</t>
        </is>
      </c>
    </row>
    <row r="83">
      <c r="A83" s="31" t="inlineStr">
        <is>
          <t>KIRLFER</t>
        </is>
      </c>
      <c r="B83" s="31" t="inlineStr">
        <is>
          <t>Kirloskar Ferrous Industries Ltd</t>
        </is>
      </c>
      <c r="C83" s="31" t="inlineStr">
        <is>
          <t>metals &amp; mining</t>
        </is>
      </c>
      <c r="D83" s="31" t="inlineStr">
        <is>
          <t>steel - large</t>
        </is>
      </c>
      <c r="E83" s="31" t="inlineStr">
        <is>
          <t>midcap</t>
        </is>
      </c>
      <c r="F83" s="31" t="n">
        <v>7421.36</v>
      </c>
      <c r="G83" s="31" t="n">
        <v>460</v>
      </c>
      <c r="H83" s="31" t="n">
        <v>2.27</v>
      </c>
      <c r="I83" s="31" t="n">
        <v>126379</v>
      </c>
      <c r="J83" s="31" t="inlineStr">
        <is>
          <t>500245</t>
        </is>
      </c>
    </row>
    <row r="84">
      <c r="A84" s="31" t="inlineStr">
        <is>
          <t>CGCL</t>
        </is>
      </c>
      <c r="B84" s="31" t="inlineStr">
        <is>
          <t>Capri Global Capital Limited</t>
        </is>
      </c>
      <c r="C84" s="31" t="inlineStr">
        <is>
          <t>financials</t>
        </is>
      </c>
      <c r="D84" s="31" t="inlineStr">
        <is>
          <t>finance &amp; investments</t>
        </is>
      </c>
      <c r="E84" s="31" t="inlineStr">
        <is>
          <t>largecap</t>
        </is>
      </c>
      <c r="F84" s="31" t="n">
        <v>24140.44</v>
      </c>
      <c r="G84" s="31" t="n">
        <v>256.6</v>
      </c>
      <c r="H84" s="31" t="n">
        <v>2.27</v>
      </c>
      <c r="I84" s="31" t="n">
        <v>3713359</v>
      </c>
      <c r="J84" s="31" t="inlineStr">
        <is>
          <t>531595</t>
        </is>
      </c>
    </row>
    <row r="85">
      <c r="A85" s="31" t="inlineStr">
        <is>
          <t>MRPL</t>
        </is>
      </c>
      <c r="B85" s="31" t="inlineStr">
        <is>
          <t>Mangalore Refinery And Petrochemicals Limited</t>
        </is>
      </c>
      <c r="C85" s="31" t="inlineStr">
        <is>
          <t>energy</t>
        </is>
      </c>
      <c r="D85" s="31" t="inlineStr">
        <is>
          <t>refineries</t>
        </is>
      </c>
      <c r="E85" s="31" t="inlineStr">
        <is>
          <t>largecap</t>
        </is>
      </c>
      <c r="F85" s="31" t="n">
        <v>30043.05</v>
      </c>
      <c r="G85" s="31" t="n">
        <v>175.22</v>
      </c>
      <c r="H85" s="31" t="n">
        <v>2.22</v>
      </c>
      <c r="I85" s="31" t="n">
        <v>9772096</v>
      </c>
      <c r="J85" s="31" t="inlineStr">
        <is>
          <t>500109</t>
        </is>
      </c>
    </row>
    <row r="86">
      <c r="A86" s="31" t="inlineStr">
        <is>
          <t>ESAFSFB</t>
        </is>
      </c>
      <c r="B86" s="31" t="inlineStr">
        <is>
          <t>ESAF Small Finance Bank Ltd</t>
        </is>
      </c>
      <c r="C86" s="31" t="inlineStr">
        <is>
          <t>bank</t>
        </is>
      </c>
      <c r="D86" s="31" t="inlineStr">
        <is>
          <t>banks - private sector</t>
        </is>
      </c>
      <c r="E86" s="31" t="inlineStr">
        <is>
          <t>smallcap</t>
        </is>
      </c>
      <c r="F86" s="31" t="n">
        <v>2140.17</v>
      </c>
      <c r="G86" s="31" t="n">
        <v>42.36</v>
      </c>
      <c r="H86" s="31" t="n">
        <v>2.12</v>
      </c>
      <c r="I86" s="31" t="n">
        <v>366036</v>
      </c>
      <c r="J86" s="31" t="inlineStr">
        <is>
          <t>544020</t>
        </is>
      </c>
    </row>
    <row r="87">
      <c r="A87" s="31" t="inlineStr">
        <is>
          <t>SAKAR</t>
        </is>
      </c>
      <c r="B87" s="31" t="inlineStr">
        <is>
          <t>Sakar Healthcare Ltd</t>
        </is>
      </c>
      <c r="C87" s="31" t="inlineStr">
        <is>
          <t>healthcare</t>
        </is>
      </c>
      <c r="D87" s="31" t="inlineStr">
        <is>
          <t>pharmaceuticals - indian - bulk drugs &amp; formln</t>
        </is>
      </c>
      <c r="E87" s="31" t="inlineStr">
        <is>
          <t>smallcap</t>
        </is>
      </c>
      <c r="F87" s="31" t="n">
        <v>2148.79</v>
      </c>
      <c r="G87" s="31" t="n">
        <v>985.8</v>
      </c>
      <c r="H87" s="31" t="n">
        <v>2.08</v>
      </c>
      <c r="I87" s="31" t="n">
        <v>385693</v>
      </c>
      <c r="J87" s="31" t="inlineStr">
        <is>
          <t>538377</t>
        </is>
      </c>
    </row>
    <row r="88">
      <c r="A88" s="31" t="inlineStr">
        <is>
          <t>CUPID</t>
        </is>
      </c>
      <c r="B88" s="31" t="inlineStr">
        <is>
          <t>Cupid Limited</t>
        </is>
      </c>
      <c r="C88" s="31" t="inlineStr">
        <is>
          <t>fmcg</t>
        </is>
      </c>
      <c r="D88" s="31" t="inlineStr">
        <is>
          <t>personal care - indian</t>
        </is>
      </c>
      <c r="E88" s="31" t="inlineStr">
        <is>
          <t>largecap</t>
        </is>
      </c>
      <c r="F88" s="31" t="n">
        <v>36984.89</v>
      </c>
      <c r="G88" s="31" t="n">
        <v>280.7</v>
      </c>
      <c r="H88" s="31" t="n">
        <v>2.05</v>
      </c>
      <c r="I88" s="31" t="n">
        <v>9328144</v>
      </c>
      <c r="J88" s="31" t="inlineStr">
        <is>
          <t>530843</t>
        </is>
      </c>
    </row>
    <row r="89">
      <c r="A89" s="31" t="inlineStr">
        <is>
          <t>VSSL</t>
        </is>
      </c>
      <c r="B89" s="31" t="inlineStr">
        <is>
          <t>Vardhman Special Steels Limited</t>
        </is>
      </c>
      <c r="C89" s="31" t="inlineStr">
        <is>
          <t>metals &amp; mining</t>
        </is>
      </c>
      <c r="D89" s="31" t="inlineStr">
        <is>
          <t>steel - medium / small</t>
        </is>
      </c>
      <c r="E89" s="31" t="inlineStr">
        <is>
          <t>smallcap</t>
        </is>
      </c>
      <c r="F89" s="31" t="n">
        <v>3430.89</v>
      </c>
      <c r="G89" s="31" t="n">
        <v>362.1</v>
      </c>
      <c r="H89" s="31" t="n">
        <v>2.04</v>
      </c>
      <c r="I89" s="31" t="n">
        <v>106991</v>
      </c>
      <c r="J89" s="31" t="inlineStr">
        <is>
          <t>534392</t>
        </is>
      </c>
    </row>
    <row r="90">
      <c r="A90" s="31" t="inlineStr">
        <is>
          <t>CHENNPETRO</t>
        </is>
      </c>
      <c r="B90" s="31" t="inlineStr">
        <is>
          <t>Chennai Petroleum Corporation Limited</t>
        </is>
      </c>
      <c r="C90" s="31" t="inlineStr">
        <is>
          <t>energy</t>
        </is>
      </c>
      <c r="D90" s="31" t="inlineStr">
        <is>
          <t>refineries</t>
        </is>
      </c>
      <c r="E90" s="31" t="inlineStr">
        <is>
          <t>largecap</t>
        </is>
      </c>
      <c r="F90" s="31" t="n">
        <v>20654.01</v>
      </c>
      <c r="G90" s="31" t="n">
        <v>1414</v>
      </c>
      <c r="H90" s="31" t="n">
        <v>1.95</v>
      </c>
      <c r="I90" s="31" t="n">
        <v>1672746</v>
      </c>
      <c r="J90" s="31" t="inlineStr">
        <is>
          <t>500110</t>
        </is>
      </c>
    </row>
    <row r="91">
      <c r="A91" s="31" t="inlineStr">
        <is>
          <t>ORIENTHOT</t>
        </is>
      </c>
      <c r="B91" s="31" t="inlineStr">
        <is>
          <t>Oriental Hotels Limited</t>
        </is>
      </c>
      <c r="C91" s="31" t="inlineStr">
        <is>
          <t>services</t>
        </is>
      </c>
      <c r="D91" s="31" t="inlineStr">
        <is>
          <t>hotels</t>
        </is>
      </c>
      <c r="E91" s="31" t="inlineStr">
        <is>
          <t>smallcap</t>
        </is>
      </c>
      <c r="F91" s="31" t="n">
        <v>2476.28</v>
      </c>
      <c r="G91" s="31" t="n">
        <v>141.32</v>
      </c>
      <c r="H91" s="31" t="n">
        <v>1.93</v>
      </c>
      <c r="I91" s="31" t="n">
        <v>1214254</v>
      </c>
      <c r="J91" s="31" t="inlineStr">
        <is>
          <t>500314</t>
        </is>
      </c>
    </row>
    <row r="92">
      <c r="A92" s="31" t="inlineStr">
        <is>
          <t>UDS</t>
        </is>
      </c>
      <c r="B92" s="31" t="inlineStr">
        <is>
          <t>Updater Services Ltd</t>
        </is>
      </c>
      <c r="C92" s="31" t="inlineStr">
        <is>
          <t>miscellaneous</t>
        </is>
      </c>
      <c r="D92" s="31" t="inlineStr">
        <is>
          <t>miscellaneous</t>
        </is>
      </c>
      <c r="E92" s="31" t="inlineStr">
        <is>
          <t>smallcap</t>
        </is>
      </c>
      <c r="F92" s="31" t="n">
        <v>1520.64</v>
      </c>
      <c r="G92" s="31" t="n">
        <v>231.44</v>
      </c>
      <c r="H92" s="31" t="n">
        <v>1.9</v>
      </c>
      <c r="I92" s="31" t="n">
        <v>425241</v>
      </c>
      <c r="J92" s="31" t="inlineStr">
        <is>
          <t>543996</t>
        </is>
      </c>
    </row>
    <row r="93">
      <c r="A93" s="31" t="inlineStr">
        <is>
          <t>INGERRAND</t>
        </is>
      </c>
      <c r="B93" s="31" t="inlineStr">
        <is>
          <t>Ingersoll Rand (india) Limited</t>
        </is>
      </c>
      <c r="C93" s="31" t="inlineStr">
        <is>
          <t>industrials</t>
        </is>
      </c>
      <c r="D93" s="31" t="inlineStr">
        <is>
          <t>compressors / drilling equipment</t>
        </is>
      </c>
      <c r="E93" s="31" t="inlineStr">
        <is>
          <t>midcap</t>
        </is>
      </c>
      <c r="F93" s="31" t="n">
        <v>15133.7</v>
      </c>
      <c r="G93" s="31" t="n">
        <v>4883.5</v>
      </c>
      <c r="H93" s="31" t="n">
        <v>1.87</v>
      </c>
      <c r="I93" s="31" t="n">
        <v>78135</v>
      </c>
      <c r="J93" s="31" t="inlineStr">
        <is>
          <t>500210</t>
        </is>
      </c>
    </row>
    <row r="94">
      <c r="A94" s="31" t="inlineStr">
        <is>
          <t>KENNAMET</t>
        </is>
      </c>
      <c r="B94" s="31" t="inlineStr">
        <is>
          <t>Kennametal India Ltd</t>
        </is>
      </c>
      <c r="C94" s="31" t="inlineStr">
        <is>
          <t>industrials</t>
        </is>
      </c>
      <c r="D94" s="31" t="inlineStr">
        <is>
          <t>castings &amp; forgings</t>
        </is>
      </c>
      <c r="E94" s="31" t="inlineStr">
        <is>
          <t>midcap</t>
        </is>
      </c>
      <c r="F94" s="31" t="n">
        <v>10018.12</v>
      </c>
      <c r="G94" s="31" t="n">
        <v>4643.1</v>
      </c>
      <c r="H94" s="31" t="n">
        <v>1.86</v>
      </c>
      <c r="I94" s="31" t="n">
        <v>35878</v>
      </c>
      <c r="J94" s="31" t="inlineStr">
        <is>
          <t>505890</t>
        </is>
      </c>
    </row>
    <row r="95">
      <c r="A95" s="31" t="inlineStr">
        <is>
          <t>SBC</t>
        </is>
      </c>
      <c r="B95" s="31" t="inlineStr">
        <is>
          <t>SBC Exports Ltd</t>
        </is>
      </c>
      <c r="C95" s="31" t="inlineStr">
        <is>
          <t>textiles</t>
        </is>
      </c>
      <c r="D95" s="31" t="inlineStr">
        <is>
          <t>textiles - products</t>
        </is>
      </c>
      <c r="E95" s="31" t="inlineStr">
        <is>
          <t>smallcap</t>
        </is>
      </c>
      <c r="F95" s="31" t="n">
        <v>2001.9</v>
      </c>
      <c r="G95" s="31" t="n">
        <v>42.81</v>
      </c>
      <c r="H95" s="31" t="n">
        <v>1.83</v>
      </c>
      <c r="I95" s="31" t="n">
        <v>7904399</v>
      </c>
      <c r="J95" s="31" t="inlineStr">
        <is>
          <t>542725</t>
        </is>
      </c>
    </row>
    <row r="96">
      <c r="A96" s="31" t="inlineStr">
        <is>
          <t>SAIL</t>
        </is>
      </c>
      <c r="B96" s="31" t="inlineStr">
        <is>
          <t>Steel Authority Of India Limited</t>
        </is>
      </c>
      <c r="C96" s="31" t="inlineStr">
        <is>
          <t>metals &amp; mining</t>
        </is>
      </c>
      <c r="D96" s="31" t="inlineStr">
        <is>
          <t>steel - large</t>
        </is>
      </c>
      <c r="E96" s="31" t="inlineStr">
        <is>
          <t>largecap</t>
        </is>
      </c>
      <c r="F96" s="31" t="n">
        <v>79719.14</v>
      </c>
      <c r="G96" s="31" t="n">
        <v>196.5</v>
      </c>
      <c r="H96" s="31" t="n">
        <v>1.81</v>
      </c>
      <c r="I96" s="31" t="n">
        <v>19458118</v>
      </c>
      <c r="J96" s="31" t="inlineStr">
        <is>
          <t>500113</t>
        </is>
      </c>
    </row>
    <row r="97">
      <c r="A97" s="31" t="inlineStr">
        <is>
          <t>PRABHA</t>
        </is>
      </c>
      <c r="B97" s="31" t="inlineStr">
        <is>
          <t>Prabha Energy Ltd</t>
        </is>
      </c>
      <c r="C97" s="31" t="inlineStr">
        <is>
          <t>energy</t>
        </is>
      </c>
      <c r="D97" s="31" t="inlineStr">
        <is>
          <t>oil drilling / allied services</t>
        </is>
      </c>
      <c r="E97" s="31" t="inlineStr">
        <is>
          <t>smallcap</t>
        </is>
      </c>
      <c r="F97" s="31" t="n">
        <v>3115.55</v>
      </c>
      <c r="G97" s="31" t="n">
        <v>216.27</v>
      </c>
      <c r="H97" s="31" t="n">
        <v>1.75</v>
      </c>
      <c r="I97" s="31" t="n">
        <v>161854</v>
      </c>
      <c r="J97" s="31" t="inlineStr">
        <is>
          <t>544379</t>
        </is>
      </c>
    </row>
    <row r="98">
      <c r="A98" s="31" t="inlineStr">
        <is>
          <t>ELECTCAST</t>
        </is>
      </c>
      <c r="B98" s="31" t="inlineStr">
        <is>
          <t>Electrosteel Castings Limited</t>
        </is>
      </c>
      <c r="C98" s="31" t="inlineStr">
        <is>
          <t>industrials</t>
        </is>
      </c>
      <c r="D98" s="31" t="inlineStr">
        <is>
          <t>castings &amp; forgings</t>
        </is>
      </c>
      <c r="E98" s="31" t="inlineStr">
        <is>
          <t>midcap</t>
        </is>
      </c>
      <c r="F98" s="31" t="n">
        <v>5182.24</v>
      </c>
      <c r="G98" s="31" t="n">
        <v>85.28</v>
      </c>
      <c r="H98" s="31" t="n">
        <v>1.73</v>
      </c>
      <c r="I98" s="31" t="n">
        <v>3654988</v>
      </c>
      <c r="J98" s="31" t="inlineStr">
        <is>
          <t>500128</t>
        </is>
      </c>
    </row>
    <row r="99">
      <c r="A99" s="31" t="inlineStr">
        <is>
          <t>ADOR</t>
        </is>
      </c>
      <c r="B99" s="31" t="inlineStr">
        <is>
          <t>Ador Welding Ltd</t>
        </is>
      </c>
      <c r="C99" s="31" t="inlineStr">
        <is>
          <t>industrials</t>
        </is>
      </c>
      <c r="D99" s="31" t="inlineStr">
        <is>
          <t>electrodes - welding equipment</t>
        </is>
      </c>
      <c r="E99" s="31" t="inlineStr">
        <is>
          <t>smallcap</t>
        </is>
      </c>
      <c r="F99" s="31" t="n">
        <v>2959.87</v>
      </c>
      <c r="G99" s="31" t="n">
        <v>1730.3</v>
      </c>
      <c r="H99" s="31" t="n">
        <v>1.73</v>
      </c>
      <c r="I99" s="31" t="n">
        <v>71667</v>
      </c>
      <c r="J99" s="31" t="inlineStr">
        <is>
          <t>517041</t>
        </is>
      </c>
    </row>
    <row r="100">
      <c r="A100" s="31" t="inlineStr">
        <is>
          <t>PITTIENG</t>
        </is>
      </c>
      <c r="B100" s="31" t="inlineStr">
        <is>
          <t>Pitti Engineering Ltd</t>
        </is>
      </c>
      <c r="C100" s="31" t="inlineStr">
        <is>
          <t>industrials</t>
        </is>
      </c>
      <c r="D100" s="31" t="inlineStr">
        <is>
          <t>engineering</t>
        </is>
      </c>
      <c r="E100" s="31" t="inlineStr">
        <is>
          <t>smallcap</t>
        </is>
      </c>
      <c r="F100" s="31" t="n">
        <v>4046.63</v>
      </c>
      <c r="G100" s="31" t="n">
        <v>1093</v>
      </c>
      <c r="H100" s="31" t="n">
        <v>1.7</v>
      </c>
      <c r="I100" s="31" t="n">
        <v>71422</v>
      </c>
      <c r="J100" s="31" t="inlineStr">
        <is>
          <t>513519</t>
        </is>
      </c>
    </row>
    <row r="101">
      <c r="A101" s="31" t="inlineStr">
        <is>
          <t>OIL</t>
        </is>
      </c>
      <c r="B101" s="31" t="inlineStr">
        <is>
          <t>Oil India Limited</t>
        </is>
      </c>
      <c r="C101" s="31" t="inlineStr">
        <is>
          <t>energy</t>
        </is>
      </c>
      <c r="D101" s="31" t="inlineStr">
        <is>
          <t>oil drilling / allied services</t>
        </is>
      </c>
      <c r="E101" s="31" t="inlineStr">
        <is>
          <t>largecap</t>
        </is>
      </c>
      <c r="F101" s="31" t="n">
        <v>79703.78</v>
      </c>
      <c r="G101" s="31" t="n">
        <v>498.15</v>
      </c>
      <c r="H101" s="31" t="n">
        <v>1.66</v>
      </c>
      <c r="I101" s="31" t="n">
        <v>4334724</v>
      </c>
      <c r="J101" s="31" t="inlineStr">
        <is>
          <t>533106</t>
        </is>
      </c>
    </row>
    <row r="102">
      <c r="A102" s="31" t="inlineStr">
        <is>
          <t>NRL</t>
        </is>
      </c>
      <c r="B102" s="31" t="inlineStr">
        <is>
          <t>Nupur Recyclers Ltd</t>
        </is>
      </c>
      <c r="C102" s="31" t="inlineStr">
        <is>
          <t>services</t>
        </is>
      </c>
      <c r="D102" s="31" t="inlineStr">
        <is>
          <t>trading</t>
        </is>
      </c>
      <c r="E102" s="31" t="inlineStr">
        <is>
          <t>smallcap</t>
        </is>
      </c>
      <c r="F102" s="31" t="n">
        <v>829.17</v>
      </c>
      <c r="G102" s="31" t="n">
        <v>122</v>
      </c>
      <c r="H102" s="31" t="n">
        <v>1.62</v>
      </c>
      <c r="I102" s="31" t="n">
        <v>159039</v>
      </c>
      <c r="J102" s="31" t="inlineStr">
        <is>
          <t>535413</t>
        </is>
      </c>
    </row>
    <row r="103">
      <c r="A103" s="31" t="inlineStr">
        <is>
          <t>GANDHAR</t>
        </is>
      </c>
      <c r="B103" s="31" t="inlineStr">
        <is>
          <t>Gandhar Oil Refinery (India) Ltd</t>
        </is>
      </c>
      <c r="C103" s="31" t="inlineStr">
        <is>
          <t>energy</t>
        </is>
      </c>
      <c r="D103" s="31" t="inlineStr">
        <is>
          <t>refineries</t>
        </is>
      </c>
      <c r="E103" s="31" t="inlineStr">
        <is>
          <t>smallcap</t>
        </is>
      </c>
      <c r="F103" s="31" t="n">
        <v>2562.49</v>
      </c>
      <c r="G103" s="31" t="n">
        <v>265.95</v>
      </c>
      <c r="H103" s="31" t="n">
        <v>1.59</v>
      </c>
      <c r="I103" s="31" t="n">
        <v>1018241</v>
      </c>
      <c r="J103" s="31" t="inlineStr">
        <is>
          <t>544029</t>
        </is>
      </c>
    </row>
    <row r="104">
      <c r="A104" s="31" t="inlineStr">
        <is>
          <t>SREEL</t>
        </is>
      </c>
      <c r="B104" s="31" t="inlineStr">
        <is>
          <t>Sreeleathers Limited</t>
        </is>
      </c>
      <c r="C104" s="31" t="inlineStr">
        <is>
          <t>consumer discretionary</t>
        </is>
      </c>
      <c r="D104" s="31" t="inlineStr">
        <is>
          <t>trading</t>
        </is>
      </c>
      <c r="E104" s="31" t="inlineStr">
        <is>
          <t>smallcap</t>
        </is>
      </c>
      <c r="F104" s="31" t="n">
        <v>578.27</v>
      </c>
      <c r="G104" s="31" t="n">
        <v>253.7</v>
      </c>
      <c r="H104" s="31" t="n">
        <v>1.59</v>
      </c>
      <c r="I104" s="31" t="n">
        <v>19178</v>
      </c>
      <c r="J104" s="31" t="inlineStr">
        <is>
          <t>535601</t>
        </is>
      </c>
    </row>
    <row r="105">
      <c r="A105" s="31" t="inlineStr">
        <is>
          <t>ECLERX</t>
        </is>
      </c>
      <c r="B105" s="31" t="inlineStr">
        <is>
          <t>Eclerx Services Limited</t>
        </is>
      </c>
      <c r="C105" s="31" t="inlineStr">
        <is>
          <t>i.t</t>
        </is>
      </c>
      <c r="D105" s="31" t="inlineStr">
        <is>
          <t>computers - software - medium / small</t>
        </is>
      </c>
      <c r="E105" s="31" t="inlineStr">
        <is>
          <t>midcap</t>
        </is>
      </c>
      <c r="F105" s="31" t="n">
        <v>18563.73</v>
      </c>
      <c r="G105" s="31" t="n">
        <v>2004.5</v>
      </c>
      <c r="H105" s="31" t="n">
        <v>1.56</v>
      </c>
      <c r="I105" s="31" t="n">
        <v>264722</v>
      </c>
      <c r="J105" s="31" t="inlineStr">
        <is>
          <t>532927</t>
        </is>
      </c>
    </row>
    <row r="106">
      <c r="A106" s="31" t="inlineStr">
        <is>
          <t>POLYMED</t>
        </is>
      </c>
      <c r="B106" s="31" t="inlineStr">
        <is>
          <t>Poly Medicure Limited</t>
        </is>
      </c>
      <c r="C106" s="31" t="inlineStr">
        <is>
          <t>healthcare</t>
        </is>
      </c>
      <c r="D106" s="31" t="inlineStr">
        <is>
          <t>healthcare</t>
        </is>
      </c>
      <c r="E106" s="31" t="inlineStr">
        <is>
          <t>midcap</t>
        </is>
      </c>
      <c r="F106" s="31" t="n">
        <v>17802.78</v>
      </c>
      <c r="G106" s="31" t="n">
        <v>1783.8</v>
      </c>
      <c r="H106" s="31" t="n">
        <v>1.56</v>
      </c>
      <c r="I106" s="31" t="n">
        <v>744104</v>
      </c>
      <c r="J106" s="31" t="inlineStr">
        <is>
          <t>531768</t>
        </is>
      </c>
    </row>
    <row r="107">
      <c r="A107" s="31" t="inlineStr">
        <is>
          <t>PNB</t>
        </is>
      </c>
      <c r="B107" s="31" t="inlineStr">
        <is>
          <t>Punjab National Bank Ltd</t>
        </is>
      </c>
      <c r="C107" s="31" t="inlineStr">
        <is>
          <t>bank</t>
        </is>
      </c>
      <c r="D107" s="31" t="inlineStr">
        <is>
          <t>banks - public sector</t>
        </is>
      </c>
      <c r="E107" s="31" t="inlineStr">
        <is>
          <t>largecap</t>
        </is>
      </c>
      <c r="F107" s="31" t="n">
        <v>132421.69</v>
      </c>
      <c r="G107" s="31" t="n">
        <v>117</v>
      </c>
      <c r="H107" s="31" t="n">
        <v>1.54</v>
      </c>
      <c r="I107" s="31" t="n">
        <v>21100041</v>
      </c>
      <c r="J107" s="31" t="inlineStr">
        <is>
          <t>532461</t>
        </is>
      </c>
    </row>
    <row r="108">
      <c r="A108" s="31" t="inlineStr">
        <is>
          <t>NILKAMAL</t>
        </is>
      </c>
      <c r="B108" s="31" t="inlineStr">
        <is>
          <t>Nilkamal Limited</t>
        </is>
      </c>
      <c r="C108" s="31" t="inlineStr">
        <is>
          <t>plastic products</t>
        </is>
      </c>
      <c r="D108" s="31" t="inlineStr">
        <is>
          <t>plastics products</t>
        </is>
      </c>
      <c r="E108" s="31" t="inlineStr">
        <is>
          <t>smallcap</t>
        </is>
      </c>
      <c r="F108" s="31" t="n">
        <v>3035.24</v>
      </c>
      <c r="G108" s="31" t="n">
        <v>2063.1</v>
      </c>
      <c r="H108" s="31" t="n">
        <v>1.43</v>
      </c>
      <c r="I108" s="31" t="n">
        <v>16375</v>
      </c>
      <c r="J108" s="31" t="inlineStr">
        <is>
          <t>523385</t>
        </is>
      </c>
    </row>
    <row r="109">
      <c r="A109" s="31" t="inlineStr">
        <is>
          <t>LINCOLN</t>
        </is>
      </c>
      <c r="B109" s="31" t="inlineStr">
        <is>
          <t>Lincoln Pharmaceuticals Limited</t>
        </is>
      </c>
      <c r="C109" s="31" t="inlineStr">
        <is>
          <t>healthcare</t>
        </is>
      </c>
      <c r="D109" s="31" t="inlineStr">
        <is>
          <t>pharmaceuticals - indian - formulations</t>
        </is>
      </c>
      <c r="E109" s="31" t="inlineStr">
        <is>
          <t>smallcap</t>
        </is>
      </c>
      <c r="F109" s="31" t="n">
        <v>1221.11</v>
      </c>
      <c r="G109" s="31" t="n">
        <v>618.35</v>
      </c>
      <c r="H109" s="31" t="n">
        <v>1.43</v>
      </c>
      <c r="I109" s="31" t="n">
        <v>56377</v>
      </c>
      <c r="J109" s="31" t="inlineStr">
        <is>
          <t>531633</t>
        </is>
      </c>
    </row>
    <row r="110">
      <c r="A110" s="31" t="inlineStr">
        <is>
          <t>JAYNECOIND</t>
        </is>
      </c>
      <c r="B110" s="31" t="inlineStr">
        <is>
          <t>Jayaswal Neco Industries Limited</t>
        </is>
      </c>
      <c r="C110" s="31" t="inlineStr">
        <is>
          <t>metals &amp; mining</t>
        </is>
      </c>
      <c r="D110" s="31" t="inlineStr">
        <is>
          <t>steel - large</t>
        </is>
      </c>
      <c r="E110" s="31" t="inlineStr">
        <is>
          <t>midcap</t>
        </is>
      </c>
      <c r="F110" s="31" t="n">
        <v>9407.030000000001</v>
      </c>
      <c r="G110" s="31" t="n">
        <v>98.19</v>
      </c>
      <c r="H110" s="31" t="n">
        <v>1.35</v>
      </c>
      <c r="I110" s="31" t="n">
        <v>2257984</v>
      </c>
      <c r="J110" s="31" t="inlineStr">
        <is>
          <t>522285</t>
        </is>
      </c>
    </row>
    <row r="111">
      <c r="A111" s="31" t="inlineStr">
        <is>
          <t>AFSL</t>
        </is>
      </c>
      <c r="B111" s="31" t="inlineStr">
        <is>
          <t>Abans Financial Services Ltd</t>
        </is>
      </c>
      <c r="C111" s="31" t="inlineStr">
        <is>
          <t>financials</t>
        </is>
      </c>
      <c r="D111" s="31" t="inlineStr">
        <is>
          <t>finance &amp; investments</t>
        </is>
      </c>
      <c r="E111" s="31" t="inlineStr">
        <is>
          <t>smallcap</t>
        </is>
      </c>
      <c r="F111" s="31" t="n">
        <v>1056.09</v>
      </c>
      <c r="G111" s="31" t="n">
        <v>210.47</v>
      </c>
      <c r="H111" s="31" t="n">
        <v>1.32</v>
      </c>
      <c r="I111" s="31" t="n">
        <v>6924</v>
      </c>
      <c r="J111" s="31" t="inlineStr">
        <is>
          <t>543712</t>
        </is>
      </c>
    </row>
    <row r="112">
      <c r="A112" s="31" t="inlineStr">
        <is>
          <t>ALEMBICLTD</t>
        </is>
      </c>
      <c r="B112" s="31" t="inlineStr">
        <is>
          <t>Alembic Limited</t>
        </is>
      </c>
      <c r="C112" s="31" t="inlineStr">
        <is>
          <t>realty</t>
        </is>
      </c>
      <c r="D112" s="31" t="inlineStr">
        <is>
          <t>construction</t>
        </is>
      </c>
      <c r="E112" s="31" t="inlineStr">
        <is>
          <t>smallcap</t>
        </is>
      </c>
      <c r="F112" s="31" t="n">
        <v>2538.29</v>
      </c>
      <c r="G112" s="31" t="n">
        <v>100.14</v>
      </c>
      <c r="H112" s="31" t="n">
        <v>1.31</v>
      </c>
      <c r="I112" s="31" t="n">
        <v>645226</v>
      </c>
      <c r="J112" s="31" t="inlineStr">
        <is>
          <t>506235</t>
        </is>
      </c>
    </row>
    <row r="113">
      <c r="A113" s="31" t="inlineStr">
        <is>
          <t>HATSUN</t>
        </is>
      </c>
      <c r="B113" s="31" t="inlineStr">
        <is>
          <t>Hatsun Agro Product Limited</t>
        </is>
      </c>
      <c r="C113" s="31" t="inlineStr">
        <is>
          <t>fmcg</t>
        </is>
      </c>
      <c r="D113" s="31" t="inlineStr">
        <is>
          <t>food - processing - indian</t>
        </is>
      </c>
      <c r="E113" s="31" t="inlineStr">
        <is>
          <t>largecap</t>
        </is>
      </c>
      <c r="F113" s="31" t="n">
        <v>26250.88</v>
      </c>
      <c r="G113" s="31" t="n">
        <v>1193.6</v>
      </c>
      <c r="H113" s="31" t="n">
        <v>1.28</v>
      </c>
      <c r="I113" s="31" t="n">
        <v>244250</v>
      </c>
      <c r="J113" s="31" t="inlineStr">
        <is>
          <t>531531</t>
        </is>
      </c>
    </row>
    <row r="114">
      <c r="A114" s="31" t="inlineStr">
        <is>
          <t>TEJASNET</t>
        </is>
      </c>
      <c r="B114" s="31" t="inlineStr">
        <is>
          <t>Tejas Networks Ltd</t>
        </is>
      </c>
      <c r="C114" s="31" t="inlineStr">
        <is>
          <t>telecom</t>
        </is>
      </c>
      <c r="D114" s="31" t="inlineStr">
        <is>
          <t>telecommunications - equipment</t>
        </is>
      </c>
      <c r="E114" s="31" t="inlineStr">
        <is>
          <t>midcap</t>
        </is>
      </c>
      <c r="F114" s="31" t="n">
        <v>9644.41</v>
      </c>
      <c r="G114" s="31" t="n">
        <v>548.85</v>
      </c>
      <c r="H114" s="31" t="n">
        <v>1.28</v>
      </c>
      <c r="I114" s="31" t="n">
        <v>2071490</v>
      </c>
      <c r="J114" s="31" t="inlineStr">
        <is>
          <t>540595</t>
        </is>
      </c>
    </row>
    <row r="115">
      <c r="A115" s="31" t="inlineStr">
        <is>
          <t>LTFOODS</t>
        </is>
      </c>
      <c r="B115" s="31" t="inlineStr">
        <is>
          <t>L T Foods Ltd</t>
        </is>
      </c>
      <c r="C115" s="31" t="inlineStr">
        <is>
          <t>fmcg</t>
        </is>
      </c>
      <c r="D115" s="31" t="inlineStr">
        <is>
          <t>food - processing - indian</t>
        </is>
      </c>
      <c r="E115" s="31" t="inlineStr">
        <is>
          <t>midcap</t>
        </is>
      </c>
      <c r="F115" s="31" t="n">
        <v>15174.95</v>
      </c>
      <c r="G115" s="31" t="n">
        <v>442.45</v>
      </c>
      <c r="H115" s="31" t="n">
        <v>1.25</v>
      </c>
      <c r="I115" s="31" t="n">
        <v>718335</v>
      </c>
      <c r="J115" s="31" t="inlineStr">
        <is>
          <t>532783</t>
        </is>
      </c>
    </row>
    <row r="116">
      <c r="A116" s="31" t="inlineStr">
        <is>
          <t>POLICYBZR</t>
        </is>
      </c>
      <c r="B116" s="31" t="inlineStr">
        <is>
          <t>PB Fintech Ltd</t>
        </is>
      </c>
      <c r="C116" s="31" t="inlineStr">
        <is>
          <t>i.t</t>
        </is>
      </c>
      <c r="D116" s="31" t="inlineStr">
        <is>
          <t>miscellaneous</t>
        </is>
      </c>
      <c r="E116" s="31" t="inlineStr">
        <is>
          <t>largecap</t>
        </is>
      </c>
      <c r="F116" s="31" t="n">
        <v>84636.14999999999</v>
      </c>
      <c r="G116" s="31" t="n">
        <v>1851.9</v>
      </c>
      <c r="H116" s="31" t="n">
        <v>1.24</v>
      </c>
      <c r="I116" s="31" t="n">
        <v>610594</v>
      </c>
      <c r="J116" s="31" t="inlineStr">
        <is>
          <t>543390</t>
        </is>
      </c>
    </row>
    <row r="117">
      <c r="A117" s="31" t="inlineStr">
        <is>
          <t>SOMANYCERA</t>
        </is>
      </c>
      <c r="B117" s="31" t="inlineStr">
        <is>
          <t>Somany Ceramics Limited</t>
        </is>
      </c>
      <c r="C117" s="31" t="inlineStr">
        <is>
          <t>building materials</t>
        </is>
      </c>
      <c r="D117" s="31" t="inlineStr">
        <is>
          <t>ceramics - tiles / sanitaryware</t>
        </is>
      </c>
      <c r="E117" s="31" t="inlineStr">
        <is>
          <t>smallcap</t>
        </is>
      </c>
      <c r="F117" s="31" t="n">
        <v>2309.64</v>
      </c>
      <c r="G117" s="31" t="n">
        <v>570.1</v>
      </c>
      <c r="H117" s="31" t="n">
        <v>1.23</v>
      </c>
      <c r="I117" s="31" t="n">
        <v>180890</v>
      </c>
      <c r="J117" s="31" t="inlineStr">
        <is>
          <t>531548</t>
        </is>
      </c>
    </row>
    <row r="118">
      <c r="A118" s="31" t="inlineStr">
        <is>
          <t>NOVARTIND</t>
        </is>
      </c>
      <c r="B118" s="31" t="inlineStr">
        <is>
          <t>Novartis India Ltd</t>
        </is>
      </c>
      <c r="C118" s="31" t="inlineStr">
        <is>
          <t>healthcare</t>
        </is>
      </c>
      <c r="D118" s="31" t="inlineStr">
        <is>
          <t>pharmaceuticals - multinational</t>
        </is>
      </c>
      <c r="E118" s="31" t="inlineStr">
        <is>
          <t>smallcap</t>
        </is>
      </c>
      <c r="F118" s="31" t="n">
        <v>3906.33</v>
      </c>
      <c r="G118" s="31" t="n">
        <v>1601.5</v>
      </c>
      <c r="H118" s="31" t="n">
        <v>1.23</v>
      </c>
      <c r="I118" s="31" t="n">
        <v>7814</v>
      </c>
      <c r="J118" s="31" t="inlineStr">
        <is>
          <t>500672</t>
        </is>
      </c>
    </row>
    <row r="119">
      <c r="A119" s="31" t="inlineStr">
        <is>
          <t>TI</t>
        </is>
      </c>
      <c r="B119" s="31" t="inlineStr">
        <is>
          <t>Tilaknagar Industries Limited</t>
        </is>
      </c>
      <c r="C119" s="31" t="inlineStr">
        <is>
          <t>fmcg</t>
        </is>
      </c>
      <c r="D119" s="31" t="inlineStr">
        <is>
          <t>breweries &amp; distilleries</t>
        </is>
      </c>
      <c r="E119" s="31" t="inlineStr">
        <is>
          <t>midcap</t>
        </is>
      </c>
      <c r="F119" s="31" t="n">
        <v>13504.65</v>
      </c>
      <c r="G119" s="31" t="n">
        <v>552.35</v>
      </c>
      <c r="H119" s="31" t="n">
        <v>1.22</v>
      </c>
      <c r="I119" s="31" t="n">
        <v>582156</v>
      </c>
      <c r="J119" s="31" t="inlineStr">
        <is>
          <t>507205</t>
        </is>
      </c>
    </row>
    <row r="120">
      <c r="A120" s="31" t="inlineStr">
        <is>
          <t>LICHSGFIN</t>
        </is>
      </c>
      <c r="B120" s="31" t="inlineStr">
        <is>
          <t>Lic Housing Finance Limited</t>
        </is>
      </c>
      <c r="C120" s="31" t="inlineStr">
        <is>
          <t>financials</t>
        </is>
      </c>
      <c r="D120" s="31" t="inlineStr">
        <is>
          <t>finance - housing</t>
        </is>
      </c>
      <c r="E120" s="31" t="inlineStr">
        <is>
          <t>largecap</t>
        </is>
      </c>
      <c r="F120" s="31" t="n">
        <v>29422.87</v>
      </c>
      <c r="G120" s="31" t="n">
        <v>541.25</v>
      </c>
      <c r="H120" s="31" t="n">
        <v>1.19</v>
      </c>
      <c r="I120" s="31" t="n">
        <v>2788144</v>
      </c>
      <c r="J120" s="31" t="inlineStr">
        <is>
          <t>500253</t>
        </is>
      </c>
    </row>
    <row r="121">
      <c r="A121" s="31" t="inlineStr">
        <is>
          <t>DBOL</t>
        </is>
      </c>
      <c r="B121" s="31" t="inlineStr">
        <is>
          <t>Dhampur Bio Organics Ltd</t>
        </is>
      </c>
      <c r="C121" s="31" t="inlineStr">
        <is>
          <t>fmcg</t>
        </is>
      </c>
      <c r="D121" s="31" t="inlineStr">
        <is>
          <t>sugar</t>
        </is>
      </c>
      <c r="E121" s="31" t="inlineStr">
        <is>
          <t>smallcap</t>
        </is>
      </c>
      <c r="F121" s="31" t="n">
        <v>841.53</v>
      </c>
      <c r="G121" s="31" t="n">
        <v>128.18</v>
      </c>
      <c r="H121" s="31" t="n">
        <v>1.12</v>
      </c>
      <c r="I121" s="31" t="n">
        <v>136571</v>
      </c>
      <c r="J121" s="31" t="inlineStr">
        <is>
          <t>543593</t>
        </is>
      </c>
    </row>
    <row r="122">
      <c r="A122" s="31" t="inlineStr">
        <is>
          <t>THEJO</t>
        </is>
      </c>
      <c r="B122" s="31" t="inlineStr">
        <is>
          <t>Thejo Engineering Ltd</t>
        </is>
      </c>
      <c r="C122" s="31" t="inlineStr">
        <is>
          <t>industrials</t>
        </is>
      </c>
      <c r="D122" s="31" t="inlineStr">
        <is>
          <t>engineering</t>
        </is>
      </c>
      <c r="E122" s="31" t="inlineStr">
        <is>
          <t>smallcap</t>
        </is>
      </c>
      <c r="F122" s="31" t="n">
        <v>2251.29</v>
      </c>
      <c r="G122" s="31" t="n">
        <v>2098.7</v>
      </c>
      <c r="H122" s="31" t="n">
        <v>1.12</v>
      </c>
      <c r="I122" s="31" t="n">
        <v>2835</v>
      </c>
      <c r="J122" s="31" t="inlineStr">
        <is>
          <t>500492</t>
        </is>
      </c>
    </row>
    <row r="123">
      <c r="A123" s="31" t="inlineStr">
        <is>
          <t>PANACHE</t>
        </is>
      </c>
      <c r="B123" s="31" t="inlineStr">
        <is>
          <t>Panache Digilife Ltd</t>
        </is>
      </c>
      <c r="C123" s="31" t="inlineStr">
        <is>
          <t>i.t</t>
        </is>
      </c>
      <c r="D123" s="31" t="inlineStr">
        <is>
          <t>computers - hardware</t>
        </is>
      </c>
      <c r="E123" s="31" t="inlineStr">
        <is>
          <t>smallcap</t>
        </is>
      </c>
      <c r="F123" s="31" t="n">
        <v>831.77</v>
      </c>
      <c r="G123" s="31" t="n">
        <v>525.05</v>
      </c>
      <c r="H123" s="31" t="n">
        <v>1.09</v>
      </c>
      <c r="I123" s="31" t="n">
        <v>1973</v>
      </c>
      <c r="J123" s="31" t="inlineStr">
        <is>
          <t>538424</t>
        </is>
      </c>
    </row>
    <row r="124">
      <c r="A124" s="31" t="inlineStr">
        <is>
          <t>AGARWALEYE</t>
        </is>
      </c>
      <c r="B124" s="31" t="inlineStr">
        <is>
          <t>Dr Agarwals Health Care Ltd</t>
        </is>
      </c>
      <c r="C124" s="31" t="inlineStr">
        <is>
          <t>healthcare</t>
        </is>
      </c>
      <c r="D124" s="31" t="inlineStr">
        <is>
          <t>healthcare</t>
        </is>
      </c>
      <c r="E124" s="31" t="inlineStr">
        <is>
          <t>midcap</t>
        </is>
      </c>
      <c r="F124" s="31" t="n">
        <v>16124.93</v>
      </c>
      <c r="G124" s="31" t="n">
        <v>514.25</v>
      </c>
      <c r="H124" s="31" t="n">
        <v>1.09</v>
      </c>
      <c r="I124" s="31" t="n">
        <v>640862</v>
      </c>
      <c r="J124" s="31" t="inlineStr">
        <is>
          <t>544350</t>
        </is>
      </c>
    </row>
    <row r="125">
      <c r="A125" s="31" t="inlineStr">
        <is>
          <t>ANTHEM</t>
        </is>
      </c>
      <c r="B125" s="31" t="inlineStr">
        <is>
          <t>Anthem Biosciences Ltd</t>
        </is>
      </c>
      <c r="C125" s="31" t="inlineStr">
        <is>
          <t>healthcare</t>
        </is>
      </c>
      <c r="D125" s="31" t="inlineStr">
        <is>
          <t>pharmaceuticals - indian - bulk drugs &amp; formln</t>
        </is>
      </c>
      <c r="E125" s="31" t="inlineStr">
        <is>
          <t>largecap</t>
        </is>
      </c>
      <c r="F125" s="31" t="n">
        <v>52084.92</v>
      </c>
      <c r="G125" s="31" t="n">
        <v>934.5</v>
      </c>
      <c r="H125" s="31" t="n">
        <v>1.08</v>
      </c>
      <c r="I125" s="31" t="n">
        <v>1484697</v>
      </c>
      <c r="J125" s="31" t="inlineStr">
        <is>
          <t>544449</t>
        </is>
      </c>
    </row>
    <row r="126">
      <c r="A126" s="31" t="inlineStr">
        <is>
          <t>UNIONBANK</t>
        </is>
      </c>
      <c r="B126" s="31" t="inlineStr">
        <is>
          <t>Union Bank Of India Ltd</t>
        </is>
      </c>
      <c r="C126" s="31" t="inlineStr">
        <is>
          <t>bank</t>
        </is>
      </c>
      <c r="D126" s="31" t="inlineStr">
        <is>
          <t>banks - public sector</t>
        </is>
      </c>
      <c r="E126" s="31" t="inlineStr">
        <is>
          <t>largecap</t>
        </is>
      </c>
      <c r="F126" s="31" t="n">
        <v>141145.37</v>
      </c>
      <c r="G126" s="31" t="n">
        <v>186.86</v>
      </c>
      <c r="H126" s="31" t="n">
        <v>1.06</v>
      </c>
      <c r="I126" s="31" t="n">
        <v>9420048</v>
      </c>
      <c r="J126" s="31" t="inlineStr">
        <is>
          <t>532477</t>
        </is>
      </c>
    </row>
    <row r="127">
      <c r="A127" s="31" t="inlineStr">
        <is>
          <t>TNPETRO</t>
        </is>
      </c>
      <c r="B127" s="31" t="inlineStr">
        <is>
          <t>Tamilnadu Petroproducts Limited</t>
        </is>
      </c>
      <c r="C127" s="31" t="inlineStr">
        <is>
          <t>energy</t>
        </is>
      </c>
      <c r="D127" s="31" t="inlineStr">
        <is>
          <t>petrochemicals</t>
        </is>
      </c>
      <c r="E127" s="31" t="inlineStr">
        <is>
          <t>smallcap</t>
        </is>
      </c>
      <c r="F127" s="31" t="n">
        <v>1190.77</v>
      </c>
      <c r="G127" s="31" t="n">
        <v>133.73</v>
      </c>
      <c r="H127" s="31" t="n">
        <v>1.04</v>
      </c>
      <c r="I127" s="31" t="n">
        <v>4876318</v>
      </c>
      <c r="J127" s="31" t="inlineStr">
        <is>
          <t>500777</t>
        </is>
      </c>
    </row>
    <row r="128">
      <c r="A128" s="31" t="inlineStr">
        <is>
          <t>IRISDOREME</t>
        </is>
      </c>
      <c r="B128" s="31" t="inlineStr">
        <is>
          <t>Iris Clothings Ltd</t>
        </is>
      </c>
      <c r="C128" s="31" t="inlineStr">
        <is>
          <t>consumer discretionary</t>
        </is>
      </c>
      <c r="D128" s="31" t="inlineStr">
        <is>
          <t>textiles - products</t>
        </is>
      </c>
      <c r="E128" s="31" t="inlineStr">
        <is>
          <t>smallcap</t>
        </is>
      </c>
      <c r="F128" s="31" t="n">
        <v>1101.07</v>
      </c>
      <c r="G128" s="31" t="n">
        <v>58.39</v>
      </c>
      <c r="H128" s="31" t="n">
        <v>0.93</v>
      </c>
      <c r="I128" s="31" t="n">
        <v>676779</v>
      </c>
      <c r="J128" s="31" t="inlineStr">
        <is>
          <t>535123</t>
        </is>
      </c>
    </row>
    <row r="129">
      <c r="A129" s="31" t="inlineStr">
        <is>
          <t>BIL</t>
        </is>
      </c>
      <c r="B129" s="31" t="inlineStr">
        <is>
          <t>Bhartiya International Limited</t>
        </is>
      </c>
      <c r="C129" s="31" t="inlineStr">
        <is>
          <t>consumer discretionary</t>
        </is>
      </c>
      <c r="D129" s="31" t="inlineStr">
        <is>
          <t>leather / leather products</t>
        </is>
      </c>
      <c r="E129" s="31" t="inlineStr">
        <is>
          <t>smallcap</t>
        </is>
      </c>
      <c r="F129" s="31" t="n">
        <v>1187.42</v>
      </c>
      <c r="G129" s="31" t="n">
        <v>893.2</v>
      </c>
      <c r="H129" s="31" t="n">
        <v>0.88</v>
      </c>
      <c r="I129" s="31" t="n">
        <v>18069</v>
      </c>
      <c r="J129" s="31" t="inlineStr">
        <is>
          <t>526666</t>
        </is>
      </c>
    </row>
    <row r="130">
      <c r="A130" s="31" t="inlineStr">
        <is>
          <t>FEDFINA</t>
        </is>
      </c>
      <c r="B130" s="31" t="inlineStr">
        <is>
          <t>Fedbank Financial Services Ltd</t>
        </is>
      </c>
      <c r="C130" s="31" t="inlineStr">
        <is>
          <t>financials</t>
        </is>
      </c>
      <c r="D130" s="31" t="inlineStr">
        <is>
          <t>finance &amp; investments</t>
        </is>
      </c>
      <c r="E130" s="31" t="inlineStr">
        <is>
          <t>midcap</t>
        </is>
      </c>
      <c r="F130" s="31" t="n">
        <v>5856.41</v>
      </c>
      <c r="G130" s="31" t="n">
        <v>157.57</v>
      </c>
      <c r="H130" s="31" t="n">
        <v>0.87</v>
      </c>
      <c r="I130" s="31" t="n">
        <v>704394</v>
      </c>
      <c r="J130" s="31" t="inlineStr">
        <is>
          <t>544027</t>
        </is>
      </c>
    </row>
    <row r="131">
      <c r="A131" s="31" t="inlineStr">
        <is>
          <t>MANGLMCEM</t>
        </is>
      </c>
      <c r="B131" s="31" t="inlineStr">
        <is>
          <t>Mangalam Cement Limited</t>
        </is>
      </c>
      <c r="C131" s="31" t="inlineStr">
        <is>
          <t>building materials</t>
        </is>
      </c>
      <c r="D131" s="31" t="inlineStr">
        <is>
          <t>cement - north india</t>
        </is>
      </c>
      <c r="E131" s="31" t="inlineStr">
        <is>
          <t>smallcap</t>
        </is>
      </c>
      <c r="F131" s="31" t="n">
        <v>2980.71</v>
      </c>
      <c r="G131" s="31" t="n">
        <v>1092.9</v>
      </c>
      <c r="H131" s="31" t="n">
        <v>0.82</v>
      </c>
      <c r="I131" s="31" t="n">
        <v>304145</v>
      </c>
      <c r="J131" s="31" t="inlineStr">
        <is>
          <t>502157</t>
        </is>
      </c>
    </row>
    <row r="132">
      <c r="A132" s="31" t="inlineStr">
        <is>
          <t>WELSPUNLIV</t>
        </is>
      </c>
      <c r="B132" s="31" t="inlineStr">
        <is>
          <t>Welspun Living Ltd</t>
        </is>
      </c>
      <c r="C132" s="31" t="inlineStr">
        <is>
          <t>textiles</t>
        </is>
      </c>
      <c r="D132" s="31" t="inlineStr">
        <is>
          <t>textiles - products</t>
        </is>
      </c>
      <c r="E132" s="31" t="inlineStr">
        <is>
          <t>midcap</t>
        </is>
      </c>
      <c r="F132" s="31" t="n">
        <v>18744.83</v>
      </c>
      <c r="G132" s="31" t="n">
        <v>200.01</v>
      </c>
      <c r="H132" s="31" t="n">
        <v>0.8100000000000001</v>
      </c>
      <c r="I132" s="31" t="n">
        <v>3448721</v>
      </c>
      <c r="J132" s="31" t="inlineStr">
        <is>
          <t>514162</t>
        </is>
      </c>
    </row>
    <row r="133">
      <c r="A133" s="31" t="inlineStr">
        <is>
          <t>SHREEPUSHK</t>
        </is>
      </c>
      <c r="B133" s="31" t="inlineStr">
        <is>
          <t>Shree Pushkar Chemicals &amp; Fertilisers Limited</t>
        </is>
      </c>
      <c r="C133" s="31" t="inlineStr">
        <is>
          <t>chemicals</t>
        </is>
      </c>
      <c r="D133" s="31" t="inlineStr">
        <is>
          <t>dyes and pigments</t>
        </is>
      </c>
      <c r="E133" s="31" t="inlineStr">
        <is>
          <t>smallcap</t>
        </is>
      </c>
      <c r="F133" s="31" t="n">
        <v>1501.92</v>
      </c>
      <c r="G133" s="31" t="n">
        <v>468.05</v>
      </c>
      <c r="H133" s="31" t="n">
        <v>0.78</v>
      </c>
      <c r="I133" s="31" t="n">
        <v>71193</v>
      </c>
      <c r="J133" s="31" t="inlineStr">
        <is>
          <t>539334</t>
        </is>
      </c>
    </row>
    <row r="134">
      <c r="A134" s="31" t="inlineStr">
        <is>
          <t>KPRMILL</t>
        </is>
      </c>
      <c r="B134" s="31" t="inlineStr">
        <is>
          <t>K.p.r. Mill Limited</t>
        </is>
      </c>
      <c r="C134" s="31" t="inlineStr">
        <is>
          <t>consumer discretionary</t>
        </is>
      </c>
      <c r="D134" s="31" t="inlineStr">
        <is>
          <t>textiles - products</t>
        </is>
      </c>
      <c r="E134" s="31" t="inlineStr">
        <is>
          <t>largecap</t>
        </is>
      </c>
      <c r="F134" s="31" t="n">
        <v>39599.15</v>
      </c>
      <c r="G134" s="31" t="n">
        <v>1167.4</v>
      </c>
      <c r="H134" s="31" t="n">
        <v>0.77</v>
      </c>
      <c r="I134" s="31" t="n">
        <v>308659</v>
      </c>
      <c r="J134" s="31" t="inlineStr">
        <is>
          <t>532889</t>
        </is>
      </c>
    </row>
    <row r="135">
      <c r="A135" s="31" t="inlineStr">
        <is>
          <t>FCL</t>
        </is>
      </c>
      <c r="B135" s="31" t="inlineStr">
        <is>
          <t>Fineotex Chemical Limited</t>
        </is>
      </c>
      <c r="C135" s="31" t="inlineStr">
        <is>
          <t>chemicals</t>
        </is>
      </c>
      <c r="D135" s="31" t="inlineStr">
        <is>
          <t>chemicals</t>
        </is>
      </c>
      <c r="E135" s="31" t="inlineStr">
        <is>
          <t>midcap</t>
        </is>
      </c>
      <c r="F135" s="31" t="n">
        <v>5686.26</v>
      </c>
      <c r="G135" s="31" t="n">
        <v>49.19</v>
      </c>
      <c r="H135" s="31" t="n">
        <v>0.74</v>
      </c>
      <c r="I135" s="31" t="n">
        <v>7723374</v>
      </c>
      <c r="J135" s="31" t="inlineStr">
        <is>
          <t>533333</t>
        </is>
      </c>
    </row>
    <row r="136">
      <c r="A136" s="31" t="inlineStr">
        <is>
          <t>JSWDULUX</t>
        </is>
      </c>
      <c r="B136" s="31" t="inlineStr">
        <is>
          <t>JSW Dulux Ltd</t>
        </is>
      </c>
      <c r="C136" s="31" t="inlineStr">
        <is>
          <t>building materials</t>
        </is>
      </c>
      <c r="D136" s="31" t="inlineStr">
        <is>
          <t>paints / varnishes</t>
        </is>
      </c>
      <c r="E136" s="31" t="inlineStr">
        <is>
          <t>midcap</t>
        </is>
      </c>
      <c r="F136" s="31" t="n">
        <v>14315.14</v>
      </c>
      <c r="G136" s="31" t="n">
        <v>3163.3</v>
      </c>
      <c r="H136" s="31" t="n">
        <v>0.63</v>
      </c>
      <c r="I136" s="31" t="n">
        <v>29237</v>
      </c>
      <c r="J136" s="31" t="inlineStr">
        <is>
          <t>500710</t>
        </is>
      </c>
    </row>
    <row r="137">
      <c r="A137" s="31" t="inlineStr">
        <is>
          <t>TASTYBITE</t>
        </is>
      </c>
      <c r="B137" s="31" t="inlineStr">
        <is>
          <t>Tasty Bite Eatables Ltd</t>
        </is>
      </c>
      <c r="C137" s="31" t="inlineStr">
        <is>
          <t>fmcg</t>
        </is>
      </c>
      <c r="D137" s="31" t="inlineStr">
        <is>
          <t>food - processing - indian</t>
        </is>
      </c>
      <c r="E137" s="31" t="inlineStr">
        <is>
          <t>smallcap</t>
        </is>
      </c>
      <c r="F137" s="31" t="n">
        <v>2552.14</v>
      </c>
      <c r="G137" s="31" t="n">
        <v>10008</v>
      </c>
      <c r="H137" s="31" t="n">
        <v>0.62</v>
      </c>
      <c r="I137" s="31" t="n">
        <v>2420</v>
      </c>
      <c r="J137" s="31" t="inlineStr">
        <is>
          <t>519091</t>
        </is>
      </c>
    </row>
    <row r="138">
      <c r="A138" s="31" t="inlineStr">
        <is>
          <t>VENKEYS</t>
        </is>
      </c>
      <c r="B138" s="31" t="inlineStr">
        <is>
          <t>Venky's (india) Limited</t>
        </is>
      </c>
      <c r="C138" s="31" t="inlineStr">
        <is>
          <t>fmcg</t>
        </is>
      </c>
      <c r="D138" s="31" t="inlineStr">
        <is>
          <t>miscellaneous</t>
        </is>
      </c>
      <c r="E138" s="31" t="inlineStr">
        <is>
          <t>smallcap</t>
        </is>
      </c>
      <c r="F138" s="31" t="n">
        <v>2323</v>
      </c>
      <c r="G138" s="31" t="n">
        <v>1659</v>
      </c>
      <c r="H138" s="31" t="n">
        <v>0.61</v>
      </c>
      <c r="I138" s="31" t="n">
        <v>70557</v>
      </c>
      <c r="J138" s="31" t="inlineStr">
        <is>
          <t>523261</t>
        </is>
      </c>
    </row>
    <row r="139">
      <c r="A139" s="31" t="inlineStr">
        <is>
          <t>LALPATHLAB</t>
        </is>
      </c>
      <c r="B139" s="31" t="inlineStr">
        <is>
          <t>Dr. Lal Path Labs Ltd.</t>
        </is>
      </c>
      <c r="C139" s="31" t="inlineStr">
        <is>
          <t>healthcare</t>
        </is>
      </c>
      <c r="D139" s="31" t="inlineStr">
        <is>
          <t>healthcare</t>
        </is>
      </c>
      <c r="E139" s="31" t="inlineStr">
        <is>
          <t>largecap</t>
        </is>
      </c>
      <c r="F139" s="31" t="n">
        <v>31924.94</v>
      </c>
      <c r="G139" s="31" t="n">
        <v>1916.1</v>
      </c>
      <c r="H139" s="31" t="n">
        <v>0.61</v>
      </c>
      <c r="I139" s="31" t="n">
        <v>178401</v>
      </c>
      <c r="J139" s="31" t="inlineStr">
        <is>
          <t>539524</t>
        </is>
      </c>
    </row>
    <row r="140">
      <c r="A140" s="31" t="inlineStr">
        <is>
          <t>RGL</t>
        </is>
      </c>
      <c r="B140" s="31" t="inlineStr">
        <is>
          <t>Renaissance Global Ltd</t>
        </is>
      </c>
      <c r="C140" s="31" t="inlineStr">
        <is>
          <t>consumer discretionary</t>
        </is>
      </c>
      <c r="D140" s="31" t="inlineStr">
        <is>
          <t>diamond cutting / jewellery</t>
        </is>
      </c>
      <c r="E140" s="31" t="inlineStr">
        <is>
          <t>smallcap</t>
        </is>
      </c>
      <c r="F140" s="31" t="n">
        <v>1470.52</v>
      </c>
      <c r="G140" s="31" t="n">
        <v>137.79</v>
      </c>
      <c r="H140" s="31" t="n">
        <v>0.61</v>
      </c>
      <c r="I140" s="31" t="n">
        <v>523746</v>
      </c>
      <c r="J140" s="31" t="inlineStr">
        <is>
          <t>532923</t>
        </is>
      </c>
    </row>
    <row r="141">
      <c r="A141" s="31" t="inlineStr">
        <is>
          <t>DIVISLAB</t>
        </is>
      </c>
      <c r="B141" s="31" t="inlineStr">
        <is>
          <t>Divi's Laboratories Limited</t>
        </is>
      </c>
      <c r="C141" s="31" t="inlineStr">
        <is>
          <t>healthcare</t>
        </is>
      </c>
      <c r="D141" s="31" t="inlineStr">
        <is>
          <t>pharmaceuticals - indian - bulk drugs</t>
        </is>
      </c>
      <c r="E141" s="31" t="inlineStr">
        <is>
          <t>largecap</t>
        </is>
      </c>
      <c r="F141" s="31" t="n">
        <v>243301.95</v>
      </c>
      <c r="G141" s="31" t="n">
        <v>9220</v>
      </c>
      <c r="H141" s="31" t="n">
        <v>0.6</v>
      </c>
      <c r="I141" s="31" t="n">
        <v>403619</v>
      </c>
      <c r="J141" s="31" t="inlineStr">
        <is>
          <t>532488</t>
        </is>
      </c>
    </row>
    <row r="142">
      <c r="A142" s="31" t="inlineStr">
        <is>
          <t>UNICHEMLAB</t>
        </is>
      </c>
      <c r="B142" s="31" t="inlineStr">
        <is>
          <t>Unichem Laboratories Limited</t>
        </is>
      </c>
      <c r="C142" s="31" t="inlineStr">
        <is>
          <t>healthcare</t>
        </is>
      </c>
      <c r="D142" s="31" t="inlineStr">
        <is>
          <t>pharmaceuticals - indian - bulk drugs &amp; formln</t>
        </is>
      </c>
      <c r="E142" s="31" t="inlineStr">
        <is>
          <t>smallcap</t>
        </is>
      </c>
      <c r="F142" s="31" t="n">
        <v>3917.02</v>
      </c>
      <c r="G142" s="31" t="n">
        <v>559.65</v>
      </c>
      <c r="H142" s="31" t="n">
        <v>0.59</v>
      </c>
      <c r="I142" s="31" t="n">
        <v>155387</v>
      </c>
      <c r="J142" s="31" t="inlineStr">
        <is>
          <t>506690</t>
        </is>
      </c>
    </row>
    <row r="143">
      <c r="A143" s="31" t="inlineStr">
        <is>
          <t>PGIL</t>
        </is>
      </c>
      <c r="B143" s="31" t="inlineStr">
        <is>
          <t>Pearl Global Industries Limited</t>
        </is>
      </c>
      <c r="C143" s="31" t="inlineStr">
        <is>
          <t>consumer discretionary</t>
        </is>
      </c>
      <c r="D143" s="31" t="inlineStr">
        <is>
          <t>textiles - products</t>
        </is>
      </c>
      <c r="E143" s="31" t="inlineStr">
        <is>
          <t>midcap</t>
        </is>
      </c>
      <c r="F143" s="31" t="n">
        <v>10844.03</v>
      </c>
      <c r="G143" s="31" t="n">
        <v>2361.6</v>
      </c>
      <c r="H143" s="31" t="n">
        <v>0.58</v>
      </c>
      <c r="I143" s="31" t="n">
        <v>74186</v>
      </c>
      <c r="J143" s="31" t="inlineStr">
        <is>
          <t>532808</t>
        </is>
      </c>
    </row>
    <row r="144">
      <c r="A144" s="31" t="inlineStr">
        <is>
          <t>KOPRAN</t>
        </is>
      </c>
      <c r="B144" s="31" t="inlineStr">
        <is>
          <t>Kopran Limited</t>
        </is>
      </c>
      <c r="C144" s="31" t="inlineStr">
        <is>
          <t>healthcare</t>
        </is>
      </c>
      <c r="D144" s="31" t="inlineStr">
        <is>
          <t>pharmaceuticals - indian - bulk drugs &amp; formln</t>
        </is>
      </c>
      <c r="E144" s="31" t="inlineStr">
        <is>
          <t>smallcap</t>
        </is>
      </c>
      <c r="F144" s="31" t="n">
        <v>1050.6</v>
      </c>
      <c r="G144" s="31" t="n">
        <v>218.81</v>
      </c>
      <c r="H144" s="31" t="n">
        <v>0.57</v>
      </c>
      <c r="I144" s="31" t="n">
        <v>212685</v>
      </c>
      <c r="J144" s="31" t="inlineStr">
        <is>
          <t>524280</t>
        </is>
      </c>
    </row>
    <row r="145">
      <c r="A145" s="31" t="inlineStr">
        <is>
          <t>TEXINFRA</t>
        </is>
      </c>
      <c r="B145" s="31" t="inlineStr">
        <is>
          <t>Texmaco Infrastructure &amp; Holdings Limited</t>
        </is>
      </c>
      <c r="C145" s="31" t="inlineStr">
        <is>
          <t>realty</t>
        </is>
      </c>
      <c r="D145" s="31" t="inlineStr">
        <is>
          <t>construction</t>
        </is>
      </c>
      <c r="E145" s="31" t="inlineStr">
        <is>
          <t>smallcap</t>
        </is>
      </c>
      <c r="F145" s="31" t="n">
        <v>1444.13</v>
      </c>
      <c r="G145" s="31" t="n">
        <v>113.96</v>
      </c>
      <c r="H145" s="31" t="n">
        <v>0.5600000000000001</v>
      </c>
      <c r="I145" s="31" t="n">
        <v>169201</v>
      </c>
      <c r="J145" s="31" t="inlineStr">
        <is>
          <t>505400</t>
        </is>
      </c>
    </row>
    <row r="146">
      <c r="A146" s="31" t="inlineStr">
        <is>
          <t>MUKKA</t>
        </is>
      </c>
      <c r="B146" s="31" t="inlineStr">
        <is>
          <t>Mukka Proteins Ltd</t>
        </is>
      </c>
      <c r="C146" s="31" t="inlineStr">
        <is>
          <t>fmcg</t>
        </is>
      </c>
      <c r="D146" s="31" t="inlineStr">
        <is>
          <t>food - processing - indian</t>
        </is>
      </c>
      <c r="E146" s="31" t="inlineStr">
        <is>
          <t>smallcap</t>
        </is>
      </c>
      <c r="F146" s="31" t="n">
        <v>801</v>
      </c>
      <c r="G146" s="31" t="n">
        <v>26.85</v>
      </c>
      <c r="H146" s="31" t="n">
        <v>0.5600000000000001</v>
      </c>
      <c r="I146" s="31" t="n">
        <v>966096</v>
      </c>
      <c r="J146" s="31" t="inlineStr">
        <is>
          <t>544135</t>
        </is>
      </c>
    </row>
    <row r="147">
      <c r="A147" s="31" t="inlineStr">
        <is>
          <t>PANAMAPET</t>
        </is>
      </c>
      <c r="B147" s="31" t="inlineStr">
        <is>
          <t>Panama Petrochem Limited</t>
        </is>
      </c>
      <c r="C147" s="31" t="inlineStr">
        <is>
          <t>energy</t>
        </is>
      </c>
      <c r="D147" s="31" t="inlineStr">
        <is>
          <t>petrochemicals</t>
        </is>
      </c>
      <c r="E147" s="31" t="inlineStr">
        <is>
          <t>smallcap</t>
        </is>
      </c>
      <c r="F147" s="31" t="n">
        <v>2946.34</v>
      </c>
      <c r="G147" s="31" t="n">
        <v>489.75</v>
      </c>
      <c r="H147" s="31" t="n">
        <v>0.55</v>
      </c>
      <c r="I147" s="31" t="n">
        <v>309631</v>
      </c>
      <c r="J147" s="31" t="inlineStr">
        <is>
          <t>524820</t>
        </is>
      </c>
    </row>
    <row r="148">
      <c r="A148" s="31" t="inlineStr">
        <is>
          <t>SAGILITY</t>
        </is>
      </c>
      <c r="B148" s="31" t="inlineStr">
        <is>
          <t>Sagility India Ltd</t>
        </is>
      </c>
      <c r="C148" s="31" t="inlineStr">
        <is>
          <t>i.t</t>
        </is>
      </c>
      <c r="D148" s="31" t="inlineStr">
        <is>
          <t>computers - software - medium / small</t>
        </is>
      </c>
      <c r="E148" s="31" t="inlineStr">
        <is>
          <t>largecap</t>
        </is>
      </c>
      <c r="F148" s="31" t="n">
        <v>21744.77</v>
      </c>
      <c r="G148" s="31" t="n">
        <v>46.7</v>
      </c>
      <c r="H148" s="31" t="n">
        <v>0.54</v>
      </c>
      <c r="I148" s="31" t="n">
        <v>16448512</v>
      </c>
      <c r="J148" s="31" t="inlineStr">
        <is>
          <t>544282</t>
        </is>
      </c>
    </row>
    <row r="149">
      <c r="A149" s="31" t="inlineStr">
        <is>
          <t>KMEW</t>
        </is>
      </c>
      <c r="B149" s="31" t="inlineStr">
        <is>
          <t>Knowledge Marine &amp; Engineering Works Ltd</t>
        </is>
      </c>
      <c r="C149" s="31" t="inlineStr">
        <is>
          <t>transportation</t>
        </is>
      </c>
      <c r="D149" s="31" t="inlineStr">
        <is>
          <t>miscellaneous</t>
        </is>
      </c>
      <c r="E149" s="31" t="inlineStr">
        <is>
          <t>midcap</t>
        </is>
      </c>
      <c r="F149" s="31" t="n">
        <v>7176.79</v>
      </c>
      <c r="G149" s="31" t="n">
        <v>2951.6</v>
      </c>
      <c r="H149" s="31" t="n">
        <v>0.53</v>
      </c>
      <c r="I149" s="31" t="n">
        <v>35123</v>
      </c>
      <c r="J149" s="31" t="inlineStr">
        <is>
          <t>543273</t>
        </is>
      </c>
    </row>
    <row r="150">
      <c r="A150" s="31" t="inlineStr">
        <is>
          <t>TITAN</t>
        </is>
      </c>
      <c r="B150" s="31" t="inlineStr">
        <is>
          <t>Titan Company Limited</t>
        </is>
      </c>
      <c r="C150" s="31" t="inlineStr">
        <is>
          <t>consumer discretionary</t>
        </is>
      </c>
      <c r="D150" s="31" t="inlineStr">
        <is>
          <t>diamond cutting / jewellery</t>
        </is>
      </c>
      <c r="E150" s="31" t="inlineStr">
        <is>
          <t>largecap</t>
        </is>
      </c>
      <c r="F150" s="31" t="n">
        <v>448332.01</v>
      </c>
      <c r="G150" s="31" t="n">
        <v>5074</v>
      </c>
      <c r="H150" s="31" t="n">
        <v>0.48</v>
      </c>
      <c r="I150" s="31" t="n">
        <v>812660</v>
      </c>
      <c r="J150" s="31" t="inlineStr">
        <is>
          <t>500114</t>
        </is>
      </c>
    </row>
    <row r="151">
      <c r="A151" s="31" t="inlineStr">
        <is>
          <t>KRN</t>
        </is>
      </c>
      <c r="B151" s="31" t="inlineStr">
        <is>
          <t>KRN Heat Exchanger and Refrigeration Ltd</t>
        </is>
      </c>
      <c r="C151" s="31" t="inlineStr">
        <is>
          <t>industrials</t>
        </is>
      </c>
      <c r="D151" s="31" t="inlineStr">
        <is>
          <t>engineering</t>
        </is>
      </c>
      <c r="E151" s="31" t="inlineStr">
        <is>
          <t>midcap</t>
        </is>
      </c>
      <c r="F151" s="31" t="n">
        <v>9998.129999999999</v>
      </c>
      <c r="G151" s="31" t="n">
        <v>1534.8</v>
      </c>
      <c r="H151" s="31" t="n">
        <v>0.48</v>
      </c>
      <c r="I151" s="31" t="n">
        <v>161090</v>
      </c>
      <c r="J151" s="31" t="inlineStr">
        <is>
          <t>544263</t>
        </is>
      </c>
    </row>
    <row r="152">
      <c r="A152" s="31" t="inlineStr">
        <is>
          <t>KSL</t>
        </is>
      </c>
      <c r="B152" s="31" t="inlineStr">
        <is>
          <t>Kalyani Steels Limited</t>
        </is>
      </c>
      <c r="C152" s="31" t="inlineStr">
        <is>
          <t>metals &amp; mining</t>
        </is>
      </c>
      <c r="D152" s="31" t="inlineStr">
        <is>
          <t>steel - medium / small</t>
        </is>
      </c>
      <c r="E152" s="31" t="inlineStr">
        <is>
          <t>smallcap</t>
        </is>
      </c>
      <c r="F152" s="31" t="n">
        <v>3928.78</v>
      </c>
      <c r="G152" s="31" t="n">
        <v>904.3</v>
      </c>
      <c r="H152" s="31" t="n">
        <v>0.48</v>
      </c>
      <c r="I152" s="31" t="n">
        <v>110343</v>
      </c>
      <c r="J152" s="31" t="inlineStr">
        <is>
          <t>500235</t>
        </is>
      </c>
    </row>
    <row r="153">
      <c r="A153" s="31" t="inlineStr">
        <is>
          <t>THEMISMED</t>
        </is>
      </c>
      <c r="B153" s="31" t="inlineStr">
        <is>
          <t>Themis Medicare Limited</t>
        </is>
      </c>
      <c r="C153" s="31" t="inlineStr">
        <is>
          <t>healthcare</t>
        </is>
      </c>
      <c r="D153" s="31" t="inlineStr">
        <is>
          <t>pharmaceuticals - indian - bulk drugs &amp; formln</t>
        </is>
      </c>
      <c r="E153" s="31" t="inlineStr">
        <is>
          <t>smallcap</t>
        </is>
      </c>
      <c r="F153" s="31" t="n">
        <v>1138.08</v>
      </c>
      <c r="G153" s="31" t="n">
        <v>124.15</v>
      </c>
      <c r="H153" s="31" t="n">
        <v>0.47</v>
      </c>
      <c r="I153" s="31" t="n">
        <v>107957</v>
      </c>
      <c r="J153" s="31" t="inlineStr">
        <is>
          <t>530199</t>
        </is>
      </c>
    </row>
    <row r="154">
      <c r="A154" s="31" t="inlineStr">
        <is>
          <t>EMIL</t>
        </is>
      </c>
      <c r="B154" s="31" t="inlineStr">
        <is>
          <t>Electronics Mart India Ltd</t>
        </is>
      </c>
      <c r="C154" s="31" t="inlineStr">
        <is>
          <t>consumer discretionary</t>
        </is>
      </c>
      <c r="D154" s="31" t="inlineStr">
        <is>
          <t>trading</t>
        </is>
      </c>
      <c r="E154" s="31" t="inlineStr">
        <is>
          <t>midcap</t>
        </is>
      </c>
      <c r="F154" s="31" t="n">
        <v>6760.04</v>
      </c>
      <c r="G154" s="31" t="n">
        <v>176.44</v>
      </c>
      <c r="H154" s="31" t="n">
        <v>0.42</v>
      </c>
      <c r="I154" s="31" t="n">
        <v>942548</v>
      </c>
      <c r="J154" s="31" t="inlineStr">
        <is>
          <t>543626</t>
        </is>
      </c>
    </row>
    <row r="155">
      <c r="A155" s="31" t="inlineStr">
        <is>
          <t>TARSONS</t>
        </is>
      </c>
      <c r="B155" s="31" t="inlineStr">
        <is>
          <t>Tarsons Products Ltd</t>
        </is>
      </c>
      <c r="C155" s="31" t="inlineStr">
        <is>
          <t>healthcare</t>
        </is>
      </c>
      <c r="D155" s="31" t="inlineStr">
        <is>
          <t>miscellaneous</t>
        </is>
      </c>
      <c r="E155" s="31" t="inlineStr">
        <is>
          <t>smallcap</t>
        </is>
      </c>
      <c r="F155" s="31" t="n">
        <v>1830.83</v>
      </c>
      <c r="G155" s="31" t="n">
        <v>345.35</v>
      </c>
      <c r="H155" s="31" t="n">
        <v>0.36</v>
      </c>
      <c r="I155" s="31" t="n">
        <v>113735</v>
      </c>
      <c r="J155" s="31" t="inlineStr">
        <is>
          <t>543399</t>
        </is>
      </c>
    </row>
    <row r="156">
      <c r="A156" s="31" t="inlineStr">
        <is>
          <t>COSMOFIRST</t>
        </is>
      </c>
      <c r="B156" s="31" t="inlineStr">
        <is>
          <t>Cosmo First Ltd</t>
        </is>
      </c>
      <c r="C156" s="31" t="inlineStr">
        <is>
          <t>industrials</t>
        </is>
      </c>
      <c r="D156" s="31" t="inlineStr">
        <is>
          <t>packaging</t>
        </is>
      </c>
      <c r="E156" s="31" t="inlineStr">
        <is>
          <t>smallcap</t>
        </is>
      </c>
      <c r="F156" s="31" t="n">
        <v>2492.81</v>
      </c>
      <c r="G156" s="31" t="n">
        <v>952.85</v>
      </c>
      <c r="H156" s="31" t="n">
        <v>0.34</v>
      </c>
      <c r="I156" s="31" t="n">
        <v>136691</v>
      </c>
      <c r="J156" s="31" t="inlineStr">
        <is>
          <t>508814</t>
        </is>
      </c>
    </row>
    <row r="157">
      <c r="A157" s="31" t="inlineStr">
        <is>
          <t>CAPLIPOINT</t>
        </is>
      </c>
      <c r="B157" s="31" t="inlineStr">
        <is>
          <t>Caplin Point Laboratories Limited</t>
        </is>
      </c>
      <c r="C157" s="31" t="inlineStr">
        <is>
          <t>healthcare</t>
        </is>
      </c>
      <c r="D157" s="31" t="inlineStr">
        <is>
          <t>pharmaceuticals - indian - formulations</t>
        </is>
      </c>
      <c r="E157" s="31" t="inlineStr">
        <is>
          <t>largecap</t>
        </is>
      </c>
      <c r="F157" s="31" t="n">
        <v>20608.29</v>
      </c>
      <c r="G157" s="31" t="n">
        <v>2720.5</v>
      </c>
      <c r="H157" s="31" t="n">
        <v>0.34</v>
      </c>
      <c r="I157" s="31" t="n">
        <v>373618</v>
      </c>
      <c r="J157" s="31" t="inlineStr">
        <is>
          <t>524742</t>
        </is>
      </c>
    </row>
    <row r="158">
      <c r="A158" s="31" t="inlineStr">
        <is>
          <t>SBCL</t>
        </is>
      </c>
      <c r="B158" s="31" t="inlineStr">
        <is>
          <t>Shivalik Bimetal Controls Ltd</t>
        </is>
      </c>
      <c r="C158" s="31" t="inlineStr">
        <is>
          <t>metals &amp; mining</t>
        </is>
      </c>
      <c r="D158" s="31" t="inlineStr">
        <is>
          <t>mining / minerals / metals</t>
        </is>
      </c>
      <c r="E158" s="31" t="inlineStr">
        <is>
          <t>midcap</t>
        </is>
      </c>
      <c r="F158" s="31" t="n">
        <v>6036.34</v>
      </c>
      <c r="G158" s="31" t="n">
        <v>1050.9</v>
      </c>
      <c r="H158" s="31" t="n">
        <v>0.29</v>
      </c>
      <c r="I158" s="31" t="n">
        <v>240612</v>
      </c>
      <c r="J158" s="31" t="inlineStr">
        <is>
          <t>513097</t>
        </is>
      </c>
    </row>
    <row r="159">
      <c r="A159" s="31" t="inlineStr">
        <is>
          <t>PPLPHARMA</t>
        </is>
      </c>
      <c r="B159" s="31" t="inlineStr">
        <is>
          <t>Piramal Pharma Ltd</t>
        </is>
      </c>
      <c r="C159" s="31" t="inlineStr">
        <is>
          <t>healthcare</t>
        </is>
      </c>
      <c r="D159" s="31" t="inlineStr">
        <is>
          <t>pharmaceuticals - indian - bulk drugs &amp; formln</t>
        </is>
      </c>
      <c r="E159" s="31" t="inlineStr">
        <is>
          <t>largecap</t>
        </is>
      </c>
      <c r="F159" s="31" t="n">
        <v>28384.34</v>
      </c>
      <c r="G159" s="31" t="n">
        <v>213.78</v>
      </c>
      <c r="H159" s="31" t="n">
        <v>0.27</v>
      </c>
      <c r="I159" s="31" t="n">
        <v>3102064</v>
      </c>
      <c r="J159" s="31" t="inlineStr">
        <is>
          <t>543635</t>
        </is>
      </c>
    </row>
    <row r="160">
      <c r="A160" s="31" t="inlineStr">
        <is>
          <t>TTKHLTCARE</t>
        </is>
      </c>
      <c r="B160" s="31" t="inlineStr">
        <is>
          <t>Ttk Healthcare Limited</t>
        </is>
      </c>
      <c r="C160" s="31" t="inlineStr">
        <is>
          <t>miscellaneous</t>
        </is>
      </c>
      <c r="D160" s="31" t="inlineStr">
        <is>
          <t>diversified - medium / small</t>
        </is>
      </c>
      <c r="E160" s="31" t="inlineStr">
        <is>
          <t>smallcap</t>
        </is>
      </c>
      <c r="F160" s="31" t="n">
        <v>1594.89</v>
      </c>
      <c r="G160" s="31" t="n">
        <v>1131.5</v>
      </c>
      <c r="H160" s="31" t="n">
        <v>0.25</v>
      </c>
      <c r="I160" s="31" t="n">
        <v>27903</v>
      </c>
      <c r="J160" s="31" t="inlineStr">
        <is>
          <t>507747</t>
        </is>
      </c>
    </row>
    <row r="161">
      <c r="A161" s="31" t="inlineStr">
        <is>
          <t>KAPSTON</t>
        </is>
      </c>
      <c r="B161" s="31" t="inlineStr">
        <is>
          <t>Kapston Services Ltd</t>
        </is>
      </c>
      <c r="C161" s="31" t="inlineStr">
        <is>
          <t>miscellaneous</t>
        </is>
      </c>
      <c r="D161" s="31" t="inlineStr">
        <is>
          <t>miscellaneous</t>
        </is>
      </c>
      <c r="E161" s="31" t="inlineStr">
        <is>
          <t>smallcap</t>
        </is>
      </c>
      <c r="F161" s="31" t="n">
        <v>1741.63</v>
      </c>
      <c r="G161" s="31" t="n">
        <v>573.75</v>
      </c>
      <c r="H161" s="31" t="n">
        <v>0.25</v>
      </c>
      <c r="I161" s="31" t="n">
        <v>47094</v>
      </c>
      <c r="J161" s="31" t="inlineStr">
        <is>
          <t>535064</t>
        </is>
      </c>
    </row>
    <row r="162">
      <c r="A162" s="31" t="inlineStr">
        <is>
          <t>AARTIPHARM</t>
        </is>
      </c>
      <c r="B162" s="31" t="inlineStr">
        <is>
          <t>Aarti Pharmalabs Ltd</t>
        </is>
      </c>
      <c r="C162" s="31" t="inlineStr">
        <is>
          <t>healthcare</t>
        </is>
      </c>
      <c r="D162" s="31" t="inlineStr">
        <is>
          <t>pharmaceuticals - indian - bulk drugs &amp; formln</t>
        </is>
      </c>
      <c r="E162" s="31" t="inlineStr">
        <is>
          <t>midcap</t>
        </is>
      </c>
      <c r="F162" s="31" t="n">
        <v>7845.62</v>
      </c>
      <c r="G162" s="31" t="n">
        <v>867.25</v>
      </c>
      <c r="H162" s="31" t="n">
        <v>0.24</v>
      </c>
      <c r="I162" s="31" t="n">
        <v>343720</v>
      </c>
      <c r="J162" s="31" t="inlineStr">
        <is>
          <t>543748</t>
        </is>
      </c>
    </row>
    <row r="163">
      <c r="A163" s="31" t="inlineStr">
        <is>
          <t>POLYPLEX</t>
        </is>
      </c>
      <c r="B163" s="31" t="inlineStr">
        <is>
          <t>Polyplex Corporation Limited</t>
        </is>
      </c>
      <c r="C163" s="31" t="inlineStr">
        <is>
          <t>industrials</t>
        </is>
      </c>
      <c r="D163" s="31" t="inlineStr">
        <is>
          <t>packaging</t>
        </is>
      </c>
      <c r="E163" s="31" t="inlineStr">
        <is>
          <t>smallcap</t>
        </is>
      </c>
      <c r="F163" s="31" t="n">
        <v>3728.48</v>
      </c>
      <c r="G163" s="31" t="n">
        <v>1190.4</v>
      </c>
      <c r="H163" s="31" t="n">
        <v>0.23</v>
      </c>
      <c r="I163" s="31" t="n">
        <v>46020</v>
      </c>
      <c r="J163" s="31" t="inlineStr">
        <is>
          <t>524051</t>
        </is>
      </c>
    </row>
    <row r="164">
      <c r="A164" s="31" t="inlineStr">
        <is>
          <t>MMP</t>
        </is>
      </c>
      <c r="B164" s="31" t="inlineStr">
        <is>
          <t>MMP Industries Ltd</t>
        </is>
      </c>
      <c r="C164" s="31" t="inlineStr">
        <is>
          <t>metals &amp; mining</t>
        </is>
      </c>
      <c r="D164" s="31" t="inlineStr">
        <is>
          <t>aluminium and aluminium products</t>
        </is>
      </c>
      <c r="E164" s="31" t="inlineStr">
        <is>
          <t>smallcap</t>
        </is>
      </c>
      <c r="F164" s="31" t="n">
        <v>725.14</v>
      </c>
      <c r="G164" s="31" t="n">
        <v>384.1</v>
      </c>
      <c r="H164" s="31" t="n">
        <v>0.22</v>
      </c>
      <c r="I164" s="31" t="n">
        <v>61096</v>
      </c>
      <c r="J164" s="31" t="inlineStr">
        <is>
          <t>535071</t>
        </is>
      </c>
    </row>
    <row r="165">
      <c r="A165" s="31" t="inlineStr">
        <is>
          <t>GUJALKALI</t>
        </is>
      </c>
      <c r="B165" s="31" t="inlineStr">
        <is>
          <t>Gujarat Alkalies And Chemicals Limited</t>
        </is>
      </c>
      <c r="C165" s="31" t="inlineStr">
        <is>
          <t>chemicals</t>
        </is>
      </c>
      <c r="D165" s="31" t="inlineStr">
        <is>
          <t>chemicals</t>
        </is>
      </c>
      <c r="E165" s="31" t="inlineStr">
        <is>
          <t>midcap</t>
        </is>
      </c>
      <c r="F165" s="31" t="n">
        <v>5238.26</v>
      </c>
      <c r="G165" s="31" t="n">
        <v>714.8</v>
      </c>
      <c r="H165" s="31" t="n">
        <v>0.21</v>
      </c>
      <c r="I165" s="31" t="n">
        <v>107798</v>
      </c>
      <c r="J165" s="31" t="inlineStr">
        <is>
          <t>530001</t>
        </is>
      </c>
    </row>
    <row r="166">
      <c r="A166" s="31" t="inlineStr">
        <is>
          <t>OCCLLTD</t>
        </is>
      </c>
      <c r="B166" s="31" t="inlineStr">
        <is>
          <t>OCCL Ltd</t>
        </is>
      </c>
      <c r="C166" s="31" t="inlineStr">
        <is>
          <t>chemicals</t>
        </is>
      </c>
      <c r="D166" s="31" t="inlineStr">
        <is>
          <t>chemicals</t>
        </is>
      </c>
      <c r="E166" s="31" t="inlineStr">
        <is>
          <t>smallcap</t>
        </is>
      </c>
      <c r="F166" s="31" t="n">
        <v>814.24</v>
      </c>
      <c r="G166" s="31" t="n">
        <v>163.35</v>
      </c>
      <c r="H166" s="31" t="n">
        <v>0.21</v>
      </c>
      <c r="I166" s="31" t="n">
        <v>34223</v>
      </c>
      <c r="J166" s="31" t="inlineStr">
        <is>
          <t>544278</t>
        </is>
      </c>
    </row>
    <row r="167">
      <c r="A167" s="31" t="inlineStr">
        <is>
          <t>NOCIL</t>
        </is>
      </c>
      <c r="B167" s="31" t="inlineStr">
        <is>
          <t>Nocil Limited</t>
        </is>
      </c>
      <c r="C167" s="31" t="inlineStr">
        <is>
          <t>chemicals</t>
        </is>
      </c>
      <c r="D167" s="31" t="inlineStr">
        <is>
          <t>chemicals</t>
        </is>
      </c>
      <c r="E167" s="31" t="inlineStr">
        <is>
          <t>smallcap</t>
        </is>
      </c>
      <c r="F167" s="31" t="n">
        <v>2833.08</v>
      </c>
      <c r="G167" s="31" t="n">
        <v>169.95</v>
      </c>
      <c r="H167" s="31" t="n">
        <v>0.19</v>
      </c>
      <c r="I167" s="31" t="n">
        <v>416607</v>
      </c>
      <c r="J167" s="31" t="inlineStr">
        <is>
          <t>500730</t>
        </is>
      </c>
    </row>
    <row r="168">
      <c r="A168" s="31" t="inlineStr">
        <is>
          <t>NSLNISP</t>
        </is>
      </c>
      <c r="B168" s="31" t="inlineStr">
        <is>
          <t>NMDC Steel Ltd</t>
        </is>
      </c>
      <c r="C168" s="31" t="inlineStr">
        <is>
          <t>metals &amp; mining</t>
        </is>
      </c>
      <c r="D168" s="31" t="inlineStr">
        <is>
          <t>steel - large</t>
        </is>
      </c>
      <c r="E168" s="31" t="inlineStr">
        <is>
          <t>midcap</t>
        </is>
      </c>
      <c r="F168" s="31" t="n">
        <v>13366.49</v>
      </c>
      <c r="G168" s="31" t="n">
        <v>45.69</v>
      </c>
      <c r="H168" s="31" t="n">
        <v>0.18</v>
      </c>
      <c r="I168" s="31" t="n">
        <v>10189200</v>
      </c>
      <c r="J168" s="31" t="inlineStr">
        <is>
          <t>543768</t>
        </is>
      </c>
    </row>
    <row r="169">
      <c r="A169" s="31" t="inlineStr">
        <is>
          <t>MOTILALOFS</t>
        </is>
      </c>
      <c r="B169" s="31" t="inlineStr">
        <is>
          <t>Motilal Oswal Financial Services Limited</t>
        </is>
      </c>
      <c r="C169" s="31" t="inlineStr">
        <is>
          <t>financials</t>
        </is>
      </c>
      <c r="D169" s="31" t="inlineStr">
        <is>
          <t>finance &amp; investments</t>
        </is>
      </c>
      <c r="E169" s="31" t="inlineStr">
        <is>
          <t>largecap</t>
        </is>
      </c>
      <c r="F169" s="31" t="n">
        <v>61178.11</v>
      </c>
      <c r="G169" s="31" t="n">
        <v>1017.6</v>
      </c>
      <c r="H169" s="31" t="n">
        <v>0.16</v>
      </c>
      <c r="I169" s="31" t="n">
        <v>1044243</v>
      </c>
      <c r="J169" s="31" t="inlineStr">
        <is>
          <t>532892</t>
        </is>
      </c>
    </row>
    <row r="170">
      <c r="A170" s="31" t="inlineStr">
        <is>
          <t>GNFC</t>
        </is>
      </c>
      <c r="B170" s="31" t="inlineStr">
        <is>
          <t>Gujarat Narmada Valley Fertilizers And Chemicals Limited</t>
        </is>
      </c>
      <c r="C170" s="31" t="inlineStr">
        <is>
          <t>chemicals</t>
        </is>
      </c>
      <c r="D170" s="31" t="inlineStr">
        <is>
          <t>chemicals</t>
        </is>
      </c>
      <c r="E170" s="31" t="inlineStr">
        <is>
          <t>midcap</t>
        </is>
      </c>
      <c r="F170" s="31" t="n">
        <v>8463.780000000001</v>
      </c>
      <c r="G170" s="31" t="n">
        <v>576.95</v>
      </c>
      <c r="H170" s="31" t="n">
        <v>0.16</v>
      </c>
      <c r="I170" s="31" t="n">
        <v>610680</v>
      </c>
      <c r="J170" s="31" t="inlineStr">
        <is>
          <t>500670</t>
        </is>
      </c>
    </row>
    <row r="171">
      <c r="A171" s="31" t="inlineStr">
        <is>
          <t>WHEELS</t>
        </is>
      </c>
      <c r="B171" s="31" t="inlineStr">
        <is>
          <t>Wheels India Limited</t>
        </is>
      </c>
      <c r="C171" s="31" t="inlineStr">
        <is>
          <t>auto</t>
        </is>
      </c>
      <c r="D171" s="31" t="inlineStr">
        <is>
          <t>auto ancillaries</t>
        </is>
      </c>
      <c r="E171" s="31" t="inlineStr">
        <is>
          <t>smallcap</t>
        </is>
      </c>
      <c r="F171" s="31" t="n">
        <v>3767.08</v>
      </c>
      <c r="G171" s="31" t="n">
        <v>1544.3</v>
      </c>
      <c r="H171" s="31" t="n">
        <v>0.16</v>
      </c>
      <c r="I171" s="31" t="n">
        <v>100218</v>
      </c>
      <c r="J171" s="31" t="inlineStr">
        <is>
          <t>590073</t>
        </is>
      </c>
    </row>
    <row r="172">
      <c r="A172" s="31" t="inlineStr">
        <is>
          <t>KPIL</t>
        </is>
      </c>
      <c r="B172" s="31" t="inlineStr">
        <is>
          <t>Kalpataru Projects International Ltd</t>
        </is>
      </c>
      <c r="C172" s="31" t="inlineStr">
        <is>
          <t>realty</t>
        </is>
      </c>
      <c r="D172" s="31" t="inlineStr">
        <is>
          <t>transmisson line towers / equipment</t>
        </is>
      </c>
      <c r="E172" s="31" t="inlineStr">
        <is>
          <t>largecap</t>
        </is>
      </c>
      <c r="F172" s="31" t="n">
        <v>24051.61</v>
      </c>
      <c r="G172" s="31" t="n">
        <v>1410.5</v>
      </c>
      <c r="H172" s="31" t="n">
        <v>0.15</v>
      </c>
      <c r="I172" s="31" t="n">
        <v>78306</v>
      </c>
      <c r="J172" s="31" t="inlineStr">
        <is>
          <t>522287</t>
        </is>
      </c>
    </row>
    <row r="173">
      <c r="A173" s="31" t="inlineStr">
        <is>
          <t>LAURUSLABS</t>
        </is>
      </c>
      <c r="B173" s="31" t="inlineStr">
        <is>
          <t>Laurus Labs Limited</t>
        </is>
      </c>
      <c r="C173" s="31" t="inlineStr">
        <is>
          <t>healthcare</t>
        </is>
      </c>
      <c r="D173" s="31" t="inlineStr">
        <is>
          <t>pharmaceuticals - indian - bulk drugs &amp; formln</t>
        </is>
      </c>
      <c r="E173" s="31" t="inlineStr">
        <is>
          <t>largecap</t>
        </is>
      </c>
      <c r="F173" s="31" t="n">
        <v>100572.86</v>
      </c>
      <c r="G173" s="31" t="n">
        <v>1864</v>
      </c>
      <c r="H173" s="31" t="n">
        <v>0.13</v>
      </c>
      <c r="I173" s="31" t="n">
        <v>2265630</v>
      </c>
      <c r="J173" s="31" t="inlineStr">
        <is>
          <t>540222</t>
        </is>
      </c>
    </row>
    <row r="174">
      <c r="A174" s="31" t="inlineStr">
        <is>
          <t>JSL</t>
        </is>
      </c>
      <c r="B174" s="31" t="inlineStr">
        <is>
          <t>Jindal Stainless Limited</t>
        </is>
      </c>
      <c r="C174" s="31" t="inlineStr">
        <is>
          <t>metals &amp; mining</t>
        </is>
      </c>
      <c r="D174" s="31" t="inlineStr">
        <is>
          <t>steel - large</t>
        </is>
      </c>
      <c r="E174" s="31" t="inlineStr">
        <is>
          <t>largecap</t>
        </is>
      </c>
      <c r="F174" s="31" t="n">
        <v>60512.4</v>
      </c>
      <c r="G174" s="31" t="n">
        <v>734.9</v>
      </c>
      <c r="H174" s="31" t="n">
        <v>0.12</v>
      </c>
      <c r="I174" s="31" t="n">
        <v>485040</v>
      </c>
      <c r="J174" s="31" t="inlineStr">
        <is>
          <t>532508</t>
        </is>
      </c>
    </row>
    <row r="175">
      <c r="A175" s="31" t="inlineStr">
        <is>
          <t>BEPL</t>
        </is>
      </c>
      <c r="B175" s="31" t="inlineStr">
        <is>
          <t>Bhansali Engineering Polymers Limited</t>
        </is>
      </c>
      <c r="C175" s="31" t="inlineStr">
        <is>
          <t>energy</t>
        </is>
      </c>
      <c r="D175" s="31" t="inlineStr">
        <is>
          <t>petrochemicals</t>
        </is>
      </c>
      <c r="E175" s="31" t="inlineStr">
        <is>
          <t>smallcap</t>
        </is>
      </c>
      <c r="F175" s="31" t="n">
        <v>3164.48</v>
      </c>
      <c r="G175" s="31" t="n">
        <v>127.29</v>
      </c>
      <c r="H175" s="31" t="n">
        <v>0.1</v>
      </c>
      <c r="I175" s="31" t="n">
        <v>1468903</v>
      </c>
      <c r="J175" s="31" t="inlineStr">
        <is>
          <t>500052</t>
        </is>
      </c>
    </row>
    <row r="176">
      <c r="A176" s="31" t="inlineStr">
        <is>
          <t>JAYAGROGN</t>
        </is>
      </c>
      <c r="B176" s="31" t="inlineStr">
        <is>
          <t>Jayant Agro Organics Limited</t>
        </is>
      </c>
      <c r="C176" s="31" t="inlineStr">
        <is>
          <t>chemicals</t>
        </is>
      </c>
      <c r="D176" s="31" t="inlineStr">
        <is>
          <t>chemicals</t>
        </is>
      </c>
      <c r="E176" s="31" t="inlineStr">
        <is>
          <t>smallcap</t>
        </is>
      </c>
      <c r="F176" s="31" t="n">
        <v>688.26</v>
      </c>
      <c r="G176" s="31" t="n">
        <v>229.57</v>
      </c>
      <c r="H176" s="31" t="n">
        <v>0.07000000000000001</v>
      </c>
      <c r="I176" s="31" t="n">
        <v>18896</v>
      </c>
      <c r="J176" s="31" t="inlineStr">
        <is>
          <t>524330</t>
        </is>
      </c>
    </row>
    <row r="177">
      <c r="A177" s="31" t="inlineStr">
        <is>
          <t>KRBL</t>
        </is>
      </c>
      <c r="B177" s="31" t="inlineStr">
        <is>
          <t>Krbl Limited</t>
        </is>
      </c>
      <c r="C177" s="31" t="inlineStr">
        <is>
          <t>fmcg</t>
        </is>
      </c>
      <c r="D177" s="31" t="inlineStr">
        <is>
          <t>food - processing - indian</t>
        </is>
      </c>
      <c r="E177" s="31" t="inlineStr">
        <is>
          <t>midcap</t>
        </is>
      </c>
      <c r="F177" s="31" t="n">
        <v>9707.219999999999</v>
      </c>
      <c r="G177" s="31" t="n">
        <v>424.4</v>
      </c>
      <c r="H177" s="31" t="n">
        <v>0.07000000000000001</v>
      </c>
      <c r="I177" s="31" t="n">
        <v>442674</v>
      </c>
      <c r="J177" s="31" t="inlineStr">
        <is>
          <t>530813</t>
        </is>
      </c>
    </row>
    <row r="178">
      <c r="A178" s="31" t="inlineStr">
        <is>
          <t>VHL</t>
        </is>
      </c>
      <c r="B178" s="31" t="inlineStr">
        <is>
          <t>Vardhman Holdings Limited</t>
        </is>
      </c>
      <c r="C178" s="31" t="inlineStr">
        <is>
          <t>financials</t>
        </is>
      </c>
      <c r="D178" s="31" t="inlineStr">
        <is>
          <t>finance &amp; investments</t>
        </is>
      </c>
      <c r="E178" s="31" t="inlineStr">
        <is>
          <t>smallcap</t>
        </is>
      </c>
      <c r="F178" s="31" t="n">
        <v>1138.87</v>
      </c>
      <c r="G178" s="31" t="n">
        <v>3570.4</v>
      </c>
      <c r="H178" s="31" t="n">
        <v>0.06</v>
      </c>
      <c r="I178" s="31" t="n">
        <v>748</v>
      </c>
      <c r="J178" s="31" t="inlineStr">
        <is>
          <t>500439</t>
        </is>
      </c>
    </row>
    <row r="179">
      <c r="A179" s="31" t="inlineStr">
        <is>
          <t>ANANDRATHI</t>
        </is>
      </c>
      <c r="B179" s="31" t="inlineStr">
        <is>
          <t>Anand Rathi Wealth Ltd</t>
        </is>
      </c>
      <c r="C179" s="31" t="inlineStr">
        <is>
          <t>financials</t>
        </is>
      </c>
      <c r="D179" s="31" t="inlineStr">
        <is>
          <t>finance &amp; investments</t>
        </is>
      </c>
      <c r="E179" s="31" t="inlineStr">
        <is>
          <t>largecap</t>
        </is>
      </c>
      <c r="F179" s="31" t="n">
        <v>36479.27</v>
      </c>
      <c r="G179" s="31" t="n">
        <v>2198.3</v>
      </c>
      <c r="H179" s="31" t="n">
        <v>0.06</v>
      </c>
      <c r="I179" s="31" t="n">
        <v>183620</v>
      </c>
      <c r="J179" s="31" t="inlineStr">
        <is>
          <t>543415</t>
        </is>
      </c>
    </row>
    <row r="180">
      <c r="A180" s="31" t="inlineStr">
        <is>
          <t>CHALET</t>
        </is>
      </c>
      <c r="B180" s="31" t="inlineStr">
        <is>
          <t>Chalet Hotels Ltd</t>
        </is>
      </c>
      <c r="C180" s="31" t="inlineStr">
        <is>
          <t>services</t>
        </is>
      </c>
      <c r="D180" s="31" t="inlineStr">
        <is>
          <t>hotels</t>
        </is>
      </c>
      <c r="E180" s="31" t="inlineStr">
        <is>
          <t>midcap</t>
        </is>
      </c>
      <c r="F180" s="31" t="n">
        <v>19654.72</v>
      </c>
      <c r="G180" s="31" t="n">
        <v>897.95</v>
      </c>
      <c r="H180" s="31" t="n">
        <v>0.05</v>
      </c>
      <c r="I180" s="31" t="n">
        <v>70205</v>
      </c>
      <c r="J180" s="31" t="inlineStr">
        <is>
          <t>542399</t>
        </is>
      </c>
    </row>
    <row r="181">
      <c r="A181" s="31" t="inlineStr">
        <is>
          <t>SHRIPISTON</t>
        </is>
      </c>
      <c r="B181" s="31" t="inlineStr">
        <is>
          <t>Shriram Pistons &amp; Rings Limited</t>
        </is>
      </c>
      <c r="C181" s="31" t="inlineStr">
        <is>
          <t>auto</t>
        </is>
      </c>
      <c r="D181" s="31" t="inlineStr">
        <is>
          <t>auto ancillaries</t>
        </is>
      </c>
      <c r="E181" s="31" t="inlineStr">
        <is>
          <t>largecap</t>
        </is>
      </c>
      <c r="F181" s="31" t="n">
        <v>21329.34</v>
      </c>
      <c r="G181" s="31" t="n">
        <v>4600.4</v>
      </c>
      <c r="H181" s="31" t="n">
        <v>0.05</v>
      </c>
      <c r="I181" s="31" t="n">
        <v>95112</v>
      </c>
      <c r="J181" s="31" t="n"/>
    </row>
    <row r="182">
      <c r="A182" s="31" t="inlineStr">
        <is>
          <t>EIMCOELECO</t>
        </is>
      </c>
      <c r="B182" s="31" t="inlineStr">
        <is>
          <t>Eimco Elecon (india) Limited</t>
        </is>
      </c>
      <c r="C182" s="31" t="inlineStr">
        <is>
          <t>industrials</t>
        </is>
      </c>
      <c r="D182" s="31" t="inlineStr">
        <is>
          <t>engineering</t>
        </is>
      </c>
      <c r="E182" s="31" t="inlineStr">
        <is>
          <t>smallcap</t>
        </is>
      </c>
      <c r="F182" s="31" t="n">
        <v>1265.24</v>
      </c>
      <c r="G182" s="31" t="n">
        <v>2194.6</v>
      </c>
      <c r="H182" s="31" t="n">
        <v>0.05</v>
      </c>
      <c r="I182" s="31" t="n">
        <v>22028</v>
      </c>
      <c r="J182" s="31" t="inlineStr">
        <is>
          <t>523708</t>
        </is>
      </c>
    </row>
    <row r="183">
      <c r="A183" s="31" t="inlineStr">
        <is>
          <t>VRLLOG</t>
        </is>
      </c>
      <c r="B183" s="31" t="inlineStr">
        <is>
          <t>Vrl Logistics Limited</t>
        </is>
      </c>
      <c r="C183" s="31" t="inlineStr">
        <is>
          <t>transportation</t>
        </is>
      </c>
      <c r="D183" s="31" t="inlineStr">
        <is>
          <t>miscellaneous</t>
        </is>
      </c>
      <c r="E183" s="31" t="inlineStr">
        <is>
          <t>midcap</t>
        </is>
      </c>
      <c r="F183" s="31" t="n">
        <v>5245.49</v>
      </c>
      <c r="G183" s="31" t="n">
        <v>299.85</v>
      </c>
      <c r="H183" s="31" t="n">
        <v>0</v>
      </c>
      <c r="I183" s="31" t="n">
        <v>178174</v>
      </c>
      <c r="J183" s="31" t="inlineStr">
        <is>
          <t>539118</t>
        </is>
      </c>
    </row>
    <row r="184">
      <c r="A184" s="31" t="inlineStr">
        <is>
          <t>METROPOLIS</t>
        </is>
      </c>
      <c r="B184" s="31" t="inlineStr">
        <is>
          <t>Metropolis Healthcare Ltd</t>
        </is>
      </c>
      <c r="C184" s="31" t="inlineStr">
        <is>
          <t>healthcare</t>
        </is>
      </c>
      <c r="D184" s="31" t="inlineStr">
        <is>
          <t>healthcare</t>
        </is>
      </c>
      <c r="E184" s="31" t="inlineStr">
        <is>
          <t>midcap</t>
        </is>
      </c>
      <c r="F184" s="31" t="n">
        <v>12071.9</v>
      </c>
      <c r="G184" s="31" t="n">
        <v>582.2</v>
      </c>
      <c r="H184" s="31" t="n">
        <v>-0.01</v>
      </c>
      <c r="I184" s="31" t="n">
        <v>135132</v>
      </c>
      <c r="J184" s="31" t="inlineStr">
        <is>
          <t>542650</t>
        </is>
      </c>
    </row>
    <row r="185">
      <c r="A185" s="31" t="inlineStr">
        <is>
          <t>ASAHIINDIA</t>
        </is>
      </c>
      <c r="B185" s="31" t="inlineStr">
        <is>
          <t>Asahi India Glass Limited</t>
        </is>
      </c>
      <c r="C185" s="31" t="inlineStr">
        <is>
          <t>building materials</t>
        </is>
      </c>
      <c r="D185" s="31" t="inlineStr">
        <is>
          <t>glass &amp; glass products</t>
        </is>
      </c>
      <c r="E185" s="31" t="inlineStr">
        <is>
          <t>largecap</t>
        </is>
      </c>
      <c r="F185" s="31" t="n">
        <v>24248.67</v>
      </c>
      <c r="G185" s="31" t="n">
        <v>951.05</v>
      </c>
      <c r="H185" s="31" t="n">
        <v>-0.02</v>
      </c>
      <c r="I185" s="31" t="n">
        <v>213328</v>
      </c>
      <c r="J185" s="31" t="inlineStr">
        <is>
          <t>515030</t>
        </is>
      </c>
    </row>
    <row r="186">
      <c r="A186" s="31" t="inlineStr">
        <is>
          <t>VMART</t>
        </is>
      </c>
      <c r="B186" s="31" t="inlineStr">
        <is>
          <t>V-mart Retail Limited</t>
        </is>
      </c>
      <c r="C186" s="31" t="inlineStr">
        <is>
          <t>consumer discretionary</t>
        </is>
      </c>
      <c r="D186" s="31" t="inlineStr">
        <is>
          <t>trading</t>
        </is>
      </c>
      <c r="E186" s="31" t="inlineStr">
        <is>
          <t>midcap</t>
        </is>
      </c>
      <c r="F186" s="31" t="n">
        <v>6763.97</v>
      </c>
      <c r="G186" s="31" t="n">
        <v>849.95</v>
      </c>
      <c r="H186" s="31" t="n">
        <v>-0.04</v>
      </c>
      <c r="I186" s="31" t="n">
        <v>35124</v>
      </c>
      <c r="J186" s="31" t="inlineStr">
        <is>
          <t>534976</t>
        </is>
      </c>
    </row>
    <row r="187">
      <c r="A187" s="31" t="inlineStr">
        <is>
          <t>JINDALSTEL</t>
        </is>
      </c>
      <c r="B187" s="31" t="inlineStr">
        <is>
          <t>Jindal Steel Ltd</t>
        </is>
      </c>
      <c r="C187" s="31" t="inlineStr">
        <is>
          <t>metals &amp; mining</t>
        </is>
      </c>
      <c r="D187" s="31" t="inlineStr">
        <is>
          <t>steel - large</t>
        </is>
      </c>
      <c r="E187" s="31" t="inlineStr">
        <is>
          <t>largecap</t>
        </is>
      </c>
      <c r="F187" s="31" t="n">
        <v>118330.22</v>
      </c>
      <c r="G187" s="31" t="n">
        <v>1159.4</v>
      </c>
      <c r="H187" s="31" t="n">
        <v>-0.05</v>
      </c>
      <c r="I187" s="31" t="n">
        <v>706262</v>
      </c>
      <c r="J187" s="31" t="inlineStr">
        <is>
          <t>532286</t>
        </is>
      </c>
    </row>
    <row r="188">
      <c r="A188" s="31" t="inlineStr">
        <is>
          <t>QUESS</t>
        </is>
      </c>
      <c r="B188" s="31" t="inlineStr">
        <is>
          <t>Quess Corp Limited</t>
        </is>
      </c>
      <c r="C188" s="31" t="inlineStr">
        <is>
          <t>miscellaneous</t>
        </is>
      </c>
      <c r="D188" s="31" t="inlineStr">
        <is>
          <t>diversified - large</t>
        </is>
      </c>
      <c r="E188" s="31" t="inlineStr">
        <is>
          <t>midcap</t>
        </is>
      </c>
      <c r="F188" s="31" t="n">
        <v>5668.21</v>
      </c>
      <c r="G188" s="31" t="n">
        <v>379.25</v>
      </c>
      <c r="H188" s="31" t="n">
        <v>-0.07000000000000001</v>
      </c>
      <c r="I188" s="31" t="n">
        <v>401103</v>
      </c>
      <c r="J188" s="31" t="inlineStr">
        <is>
          <t>539978</t>
        </is>
      </c>
    </row>
    <row r="189">
      <c r="A189" s="31" t="inlineStr">
        <is>
          <t>SMARTWORKS</t>
        </is>
      </c>
      <c r="B189" s="31" t="inlineStr">
        <is>
          <t>Smartworks Coworking Spaces Ltd</t>
        </is>
      </c>
      <c r="C189" s="31" t="inlineStr">
        <is>
          <t>co-working</t>
        </is>
      </c>
      <c r="D189" s="31" t="inlineStr">
        <is>
          <t>miscellaneous</t>
        </is>
      </c>
      <c r="E189" s="31" t="inlineStr">
        <is>
          <t>midcap</t>
        </is>
      </c>
      <c r="F189" s="31" t="n">
        <v>6009.04</v>
      </c>
      <c r="G189" s="31" t="n">
        <v>525.45</v>
      </c>
      <c r="H189" s="31" t="n">
        <v>-0.09</v>
      </c>
      <c r="I189" s="31" t="n">
        <v>41047</v>
      </c>
      <c r="J189" s="31" t="inlineStr">
        <is>
          <t>544447</t>
        </is>
      </c>
    </row>
    <row r="190">
      <c r="A190" s="31" t="inlineStr">
        <is>
          <t>INDIGOPNTS</t>
        </is>
      </c>
      <c r="B190" s="31" t="inlineStr">
        <is>
          <t>Indigo Paints Ltd</t>
        </is>
      </c>
      <c r="C190" s="31" t="inlineStr">
        <is>
          <t>building materials</t>
        </is>
      </c>
      <c r="D190" s="31" t="inlineStr">
        <is>
          <t>paints / varnishes</t>
        </is>
      </c>
      <c r="E190" s="31" t="inlineStr">
        <is>
          <t>midcap</t>
        </is>
      </c>
      <c r="F190" s="31" t="n">
        <v>5589.49</v>
      </c>
      <c r="G190" s="31" t="n">
        <v>1171</v>
      </c>
      <c r="H190" s="31" t="n">
        <v>-0.12</v>
      </c>
      <c r="I190" s="31" t="n">
        <v>106322</v>
      </c>
      <c r="J190" s="31" t="inlineStr">
        <is>
          <t>543258</t>
        </is>
      </c>
    </row>
    <row r="191">
      <c r="A191" s="31" t="inlineStr">
        <is>
          <t>SURAKSHA</t>
        </is>
      </c>
      <c r="B191" s="31" t="inlineStr">
        <is>
          <t>Suraksha Diagnostic Ltd</t>
        </is>
      </c>
      <c r="C191" s="31" t="inlineStr">
        <is>
          <t>healthcare</t>
        </is>
      </c>
      <c r="D191" s="31" t="inlineStr">
        <is>
          <t>healthcare</t>
        </is>
      </c>
      <c r="E191" s="31" t="inlineStr">
        <is>
          <t>smallcap</t>
        </is>
      </c>
      <c r="F191" s="31" t="n">
        <v>1774.91</v>
      </c>
      <c r="G191" s="31" t="n">
        <v>340.35</v>
      </c>
      <c r="H191" s="31" t="n">
        <v>-0.13</v>
      </c>
      <c r="I191" s="31" t="n">
        <v>117448</v>
      </c>
      <c r="J191" s="31" t="inlineStr">
        <is>
          <t>544293</t>
        </is>
      </c>
    </row>
    <row r="192">
      <c r="A192" s="31" t="inlineStr">
        <is>
          <t>ETERNAL</t>
        </is>
      </c>
      <c r="B192" s="31" t="inlineStr">
        <is>
          <t>Eternal Ltd</t>
        </is>
      </c>
      <c r="C192" s="31" t="inlineStr">
        <is>
          <t>i.t</t>
        </is>
      </c>
      <c r="D192" s="31" t="inlineStr">
        <is>
          <t>miscellaneous</t>
        </is>
      </c>
      <c r="E192" s="31" t="inlineStr">
        <is>
          <t>largecap</t>
        </is>
      </c>
      <c r="F192" s="31" t="n">
        <v>316290.24</v>
      </c>
      <c r="G192" s="31" t="n">
        <v>327.3</v>
      </c>
      <c r="H192" s="31" t="n">
        <v>-0.14</v>
      </c>
      <c r="I192" s="31" t="n">
        <v>20138975</v>
      </c>
      <c r="J192" s="31" t="inlineStr">
        <is>
          <t>543320</t>
        </is>
      </c>
    </row>
    <row r="193">
      <c r="A193" s="31" t="inlineStr">
        <is>
          <t>SHANTIGEAR</t>
        </is>
      </c>
      <c r="B193" s="31" t="inlineStr">
        <is>
          <t>Shanthi Gears Limited</t>
        </is>
      </c>
      <c r="C193" s="31" t="inlineStr">
        <is>
          <t>industrials</t>
        </is>
      </c>
      <c r="D193" s="31" t="inlineStr">
        <is>
          <t>engineering</t>
        </is>
      </c>
      <c r="E193" s="31" t="inlineStr">
        <is>
          <t>smallcap</t>
        </is>
      </c>
      <c r="F193" s="31" t="n">
        <v>4070.93</v>
      </c>
      <c r="G193" s="31" t="n">
        <v>529.85</v>
      </c>
      <c r="H193" s="31" t="n">
        <v>-0.15</v>
      </c>
      <c r="I193" s="31" t="n">
        <v>71215</v>
      </c>
      <c r="J193" s="31" t="inlineStr">
        <is>
          <t>522034</t>
        </is>
      </c>
    </row>
    <row r="194">
      <c r="A194" s="31" t="inlineStr">
        <is>
          <t>DIFFNKG</t>
        </is>
      </c>
      <c r="B194" s="31" t="inlineStr">
        <is>
          <t>Diffusion Engineers Ltd</t>
        </is>
      </c>
      <c r="C194" s="31" t="inlineStr">
        <is>
          <t>industrials</t>
        </is>
      </c>
      <c r="D194" s="31" t="inlineStr">
        <is>
          <t>electrodes - welding equipment</t>
        </is>
      </c>
      <c r="E194" s="31" t="inlineStr">
        <is>
          <t>smallcap</t>
        </is>
      </c>
      <c r="F194" s="31" t="n">
        <v>1787.1</v>
      </c>
      <c r="G194" s="31" t="n">
        <v>476.8</v>
      </c>
      <c r="H194" s="31" t="n">
        <v>-0.15</v>
      </c>
      <c r="I194" s="31" t="n">
        <v>306772</v>
      </c>
      <c r="J194" s="31" t="inlineStr">
        <is>
          <t>544264</t>
        </is>
      </c>
    </row>
    <row r="195">
      <c r="A195" s="31" t="inlineStr">
        <is>
          <t>CPPLUS</t>
        </is>
      </c>
      <c r="B195" s="31" t="inlineStr">
        <is>
          <t>Aditya Infotech Ltd</t>
        </is>
      </c>
      <c r="C195" s="31" t="inlineStr">
        <is>
          <t>consumer discretionary</t>
        </is>
      </c>
      <c r="D195" s="31" t="inlineStr">
        <is>
          <t>trading</t>
        </is>
      </c>
      <c r="E195" s="31" t="inlineStr">
        <is>
          <t>largecap</t>
        </is>
      </c>
      <c r="F195" s="31" t="n">
        <v>43921.7</v>
      </c>
      <c r="G195" s="31" t="n">
        <v>3721.4</v>
      </c>
      <c r="H195" s="31" t="n">
        <v>-0.15</v>
      </c>
      <c r="I195" s="31" t="n">
        <v>222182</v>
      </c>
      <c r="J195" s="31" t="inlineStr">
        <is>
          <t>544466</t>
        </is>
      </c>
    </row>
    <row r="196">
      <c r="A196" s="31" t="inlineStr">
        <is>
          <t>TIIL</t>
        </is>
      </c>
      <c r="B196" s="31" t="inlineStr">
        <is>
          <t>Technocraft Industries (india) Limited</t>
        </is>
      </c>
      <c r="C196" s="31" t="inlineStr">
        <is>
          <t>metals &amp; mining</t>
        </is>
      </c>
      <c r="D196" s="31" t="inlineStr">
        <is>
          <t>steel - medium / small</t>
        </is>
      </c>
      <c r="E196" s="31" t="inlineStr">
        <is>
          <t>midcap</t>
        </is>
      </c>
      <c r="F196" s="31" t="n">
        <v>7408.34</v>
      </c>
      <c r="G196" s="31" t="n">
        <v>3262</v>
      </c>
      <c r="H196" s="31" t="n">
        <v>-0.17</v>
      </c>
      <c r="I196" s="31" t="n">
        <v>40346</v>
      </c>
      <c r="J196" s="31" t="inlineStr">
        <is>
          <t>532804</t>
        </is>
      </c>
    </row>
    <row r="197">
      <c r="A197" s="31" t="inlineStr">
        <is>
          <t>KTKBANK</t>
        </is>
      </c>
      <c r="B197" s="31" t="inlineStr">
        <is>
          <t>The Karnataka Bank Limited</t>
        </is>
      </c>
      <c r="C197" s="31" t="inlineStr">
        <is>
          <t>bank</t>
        </is>
      </c>
      <c r="D197" s="31" t="inlineStr">
        <is>
          <t>banks - private sector</t>
        </is>
      </c>
      <c r="E197" s="31" t="inlineStr">
        <is>
          <t>midcap</t>
        </is>
      </c>
      <c r="F197" s="31" t="n">
        <v>12514.75</v>
      </c>
      <c r="G197" s="31" t="n">
        <v>330.35</v>
      </c>
      <c r="H197" s="31" t="n">
        <v>-0.17</v>
      </c>
      <c r="I197" s="31" t="n">
        <v>2245525</v>
      </c>
      <c r="J197" s="31" t="inlineStr">
        <is>
          <t>532652</t>
        </is>
      </c>
    </row>
    <row r="198">
      <c r="A198" s="31" t="inlineStr">
        <is>
          <t>TMB</t>
        </is>
      </c>
      <c r="B198" s="31" t="inlineStr">
        <is>
          <t>Tamilnad Mercantile Bank Ltd</t>
        </is>
      </c>
      <c r="C198" s="31" t="inlineStr">
        <is>
          <t>bank</t>
        </is>
      </c>
      <c r="D198" s="31" t="inlineStr">
        <is>
          <t>banks - private sector</t>
        </is>
      </c>
      <c r="E198" s="31" t="inlineStr">
        <is>
          <t>midcap</t>
        </is>
      </c>
      <c r="F198" s="31" t="n">
        <v>14379.9</v>
      </c>
      <c r="G198" s="31" t="n">
        <v>906.6</v>
      </c>
      <c r="H198" s="31" t="n">
        <v>-0.17</v>
      </c>
      <c r="I198" s="31" t="n">
        <v>123515</v>
      </c>
      <c r="J198" s="31" t="inlineStr">
        <is>
          <t>543596</t>
        </is>
      </c>
    </row>
    <row r="199">
      <c r="A199" s="31" t="inlineStr">
        <is>
          <t>PTCIL</t>
        </is>
      </c>
      <c r="B199" s="31" t="inlineStr">
        <is>
          <t>PTC Industries Ltd</t>
        </is>
      </c>
      <c r="C199" s="31" t="inlineStr">
        <is>
          <t>industrials</t>
        </is>
      </c>
      <c r="D199" s="31" t="inlineStr">
        <is>
          <t>castings &amp; forgings</t>
        </is>
      </c>
      <c r="E199" s="31" t="inlineStr">
        <is>
          <t>largecap</t>
        </is>
      </c>
      <c r="F199" s="31" t="n">
        <v>34115.55</v>
      </c>
      <c r="G199" s="31" t="n">
        <v>22715</v>
      </c>
      <c r="H199" s="31" t="n">
        <v>-0.18</v>
      </c>
      <c r="I199" s="31" t="n">
        <v>33761</v>
      </c>
      <c r="J199" s="31" t="inlineStr">
        <is>
          <t>539006</t>
        </is>
      </c>
    </row>
    <row r="200">
      <c r="A200" s="31" t="inlineStr">
        <is>
          <t>LGBBROSLTD</t>
        </is>
      </c>
      <c r="B200" s="31" t="inlineStr">
        <is>
          <t>Lg Balakrishnan &amp; Bros Limited</t>
        </is>
      </c>
      <c r="C200" s="31" t="inlineStr">
        <is>
          <t>auto</t>
        </is>
      </c>
      <c r="D200" s="31" t="inlineStr">
        <is>
          <t>bearings</t>
        </is>
      </c>
      <c r="E200" s="31" t="inlineStr">
        <is>
          <t>midcap</t>
        </is>
      </c>
      <c r="F200" s="31" t="n">
        <v>5430.96</v>
      </c>
      <c r="G200" s="31" t="n">
        <v>1699.9</v>
      </c>
      <c r="H200" s="31" t="n">
        <v>-0.18</v>
      </c>
      <c r="I200" s="31" t="n">
        <v>22848</v>
      </c>
      <c r="J200" s="31" t="inlineStr">
        <is>
          <t>500250</t>
        </is>
      </c>
    </row>
    <row r="201">
      <c r="A201" s="31" t="inlineStr">
        <is>
          <t>JINDALSAW</t>
        </is>
      </c>
      <c r="B201" s="31" t="inlineStr">
        <is>
          <t>Jindal Saw Limited</t>
        </is>
      </c>
      <c r="C201" s="31" t="inlineStr">
        <is>
          <t>industrials</t>
        </is>
      </c>
      <c r="D201" s="31" t="inlineStr">
        <is>
          <t>steel - large</t>
        </is>
      </c>
      <c r="E201" s="31" t="inlineStr">
        <is>
          <t>midcap</t>
        </is>
      </c>
      <c r="F201" s="31" t="n">
        <v>19808.77</v>
      </c>
      <c r="G201" s="31" t="n">
        <v>309.15</v>
      </c>
      <c r="H201" s="31" t="n">
        <v>-0.19</v>
      </c>
      <c r="I201" s="31" t="n">
        <v>2082953</v>
      </c>
      <c r="J201" s="31" t="inlineStr">
        <is>
          <t>500378</t>
        </is>
      </c>
    </row>
    <row r="202">
      <c r="A202" s="31" t="inlineStr">
        <is>
          <t>ROSSTECH</t>
        </is>
      </c>
      <c r="B202" s="31" t="inlineStr">
        <is>
          <t>Rossell Techsys Ltd</t>
        </is>
      </c>
      <c r="C202" s="31" t="inlineStr">
        <is>
          <t>aerospace &amp; defence</t>
        </is>
      </c>
      <c r="D202" s="31" t="inlineStr">
        <is>
          <t>engineering</t>
        </is>
      </c>
      <c r="E202" s="31" t="inlineStr">
        <is>
          <t>smallcap</t>
        </is>
      </c>
      <c r="F202" s="31" t="n">
        <v>4283.07</v>
      </c>
      <c r="G202" s="31" t="n">
        <v>1134</v>
      </c>
      <c r="H202" s="31" t="n">
        <v>-0.19</v>
      </c>
      <c r="I202" s="31" t="n">
        <v>164242</v>
      </c>
      <c r="J202" s="31" t="inlineStr">
        <is>
          <t>544294</t>
        </is>
      </c>
    </row>
    <row r="203">
      <c r="A203" s="31" t="inlineStr">
        <is>
          <t>GLAND</t>
        </is>
      </c>
      <c r="B203" s="31" t="inlineStr">
        <is>
          <t>Gland Pharma Ltd</t>
        </is>
      </c>
      <c r="C203" s="31" t="inlineStr">
        <is>
          <t>healthcare</t>
        </is>
      </c>
      <c r="D203" s="31" t="inlineStr">
        <is>
          <t>pharmaceuticals - indian - formulations</t>
        </is>
      </c>
      <c r="E203" s="31" t="inlineStr">
        <is>
          <t>largecap</t>
        </is>
      </c>
      <c r="F203" s="31" t="n">
        <v>47425.91</v>
      </c>
      <c r="G203" s="31" t="n">
        <v>2868.4</v>
      </c>
      <c r="H203" s="31" t="n">
        <v>-0.23</v>
      </c>
      <c r="I203" s="31" t="n">
        <v>556481</v>
      </c>
      <c r="J203" s="31" t="inlineStr">
        <is>
          <t>543245</t>
        </is>
      </c>
    </row>
    <row r="204">
      <c r="A204" s="31" t="inlineStr">
        <is>
          <t>OFSS</t>
        </is>
      </c>
      <c r="B204" s="31" t="inlineStr">
        <is>
          <t>Oracle Financial Services Software Limited</t>
        </is>
      </c>
      <c r="C204" s="31" t="inlineStr">
        <is>
          <t>i.t</t>
        </is>
      </c>
      <c r="D204" s="31" t="inlineStr">
        <is>
          <t>computers - software - large</t>
        </is>
      </c>
      <c r="E204" s="31" t="inlineStr">
        <is>
          <t>largecap</t>
        </is>
      </c>
      <c r="F204" s="31" t="n">
        <v>106114.82</v>
      </c>
      <c r="G204" s="31" t="n">
        <v>12158</v>
      </c>
      <c r="H204" s="31" t="n">
        <v>-0.24</v>
      </c>
      <c r="I204" s="31" t="n">
        <v>238698</v>
      </c>
      <c r="J204" s="31" t="inlineStr">
        <is>
          <t>532466</t>
        </is>
      </c>
    </row>
    <row r="205">
      <c r="A205" s="31" t="inlineStr">
        <is>
          <t>MARINE</t>
        </is>
      </c>
      <c r="B205" s="31" t="inlineStr">
        <is>
          <t>Marine Electricals (India) Ltd</t>
        </is>
      </c>
      <c r="C205" s="31" t="inlineStr">
        <is>
          <t>industrials</t>
        </is>
      </c>
      <c r="D205" s="31" t="inlineStr">
        <is>
          <t>electric equipment</t>
        </is>
      </c>
      <c r="E205" s="31" t="inlineStr">
        <is>
          <t>midcap</t>
        </is>
      </c>
      <c r="F205" s="31" t="n">
        <v>6054</v>
      </c>
      <c r="G205" s="31" t="n">
        <v>431.5</v>
      </c>
      <c r="H205" s="31" t="n">
        <v>-0.25</v>
      </c>
      <c r="I205" s="31" t="n">
        <v>956684</v>
      </c>
      <c r="J205" s="31" t="inlineStr">
        <is>
          <t>535119</t>
        </is>
      </c>
    </row>
    <row r="206">
      <c r="A206" s="31" t="inlineStr">
        <is>
          <t>FLUOROCHEM</t>
        </is>
      </c>
      <c r="B206" s="31" t="inlineStr">
        <is>
          <t>Gujarat Fluorochemicals Ltd</t>
        </is>
      </c>
      <c r="C206" s="31" t="inlineStr">
        <is>
          <t>chemicals</t>
        </is>
      </c>
      <c r="D206" s="31" t="inlineStr">
        <is>
          <t>chemicals</t>
        </is>
      </c>
      <c r="E206" s="31" t="inlineStr">
        <is>
          <t>largecap</t>
        </is>
      </c>
      <c r="F206" s="31" t="n">
        <v>52070</v>
      </c>
      <c r="G206" s="31" t="n">
        <v>4727.7</v>
      </c>
      <c r="H206" s="31" t="n">
        <v>-0.26</v>
      </c>
      <c r="I206" s="31" t="n">
        <v>116596</v>
      </c>
      <c r="J206" s="31" t="inlineStr">
        <is>
          <t>542812</t>
        </is>
      </c>
    </row>
    <row r="207">
      <c r="A207" s="31" t="inlineStr">
        <is>
          <t>SIEMENS</t>
        </is>
      </c>
      <c r="B207" s="31" t="inlineStr">
        <is>
          <t>Siemens Limited</t>
        </is>
      </c>
      <c r="C207" s="31" t="inlineStr">
        <is>
          <t>industrials</t>
        </is>
      </c>
      <c r="D207" s="31" t="inlineStr">
        <is>
          <t>electric equipment</t>
        </is>
      </c>
      <c r="E207" s="31" t="inlineStr">
        <is>
          <t>largecap</t>
        </is>
      </c>
      <c r="F207" s="31" t="n">
        <v>143516.56</v>
      </c>
      <c r="G207" s="31" t="n">
        <v>4018.9</v>
      </c>
      <c r="H207" s="31" t="n">
        <v>-0.28</v>
      </c>
      <c r="I207" s="31" t="n">
        <v>263290</v>
      </c>
      <c r="J207" s="31" t="inlineStr">
        <is>
          <t>500550</t>
        </is>
      </c>
    </row>
    <row r="208">
      <c r="A208" s="31" t="inlineStr">
        <is>
          <t>NEULANDLAB</t>
        </is>
      </c>
      <c r="B208" s="31" t="inlineStr">
        <is>
          <t>Neuland Laboratories Limited</t>
        </is>
      </c>
      <c r="C208" s="31" t="inlineStr">
        <is>
          <t>healthcare</t>
        </is>
      </c>
      <c r="D208" s="31" t="inlineStr">
        <is>
          <t>pharmaceuticals - indian - bulk drugs</t>
        </is>
      </c>
      <c r="E208" s="31" t="inlineStr">
        <is>
          <t>largecap</t>
        </is>
      </c>
      <c r="F208" s="31" t="n">
        <v>29540.82</v>
      </c>
      <c r="G208" s="31" t="n">
        <v>22960</v>
      </c>
      <c r="H208" s="31" t="n">
        <v>-0.28</v>
      </c>
      <c r="I208" s="31" t="n">
        <v>39701</v>
      </c>
      <c r="J208" s="31" t="inlineStr">
        <is>
          <t>524558</t>
        </is>
      </c>
    </row>
    <row r="209">
      <c r="A209" s="31" t="inlineStr">
        <is>
          <t>CYIENTDLM</t>
        </is>
      </c>
      <c r="B209" s="31" t="inlineStr">
        <is>
          <t>Cyient DLM Ltd</t>
        </is>
      </c>
      <c r="C209" s="31" t="inlineStr">
        <is>
          <t>aerospace &amp; defence</t>
        </is>
      </c>
      <c r="D209" s="31" t="inlineStr">
        <is>
          <t>electronics - components</t>
        </is>
      </c>
      <c r="E209" s="31" t="inlineStr">
        <is>
          <t>midcap</t>
        </is>
      </c>
      <c r="F209" s="31" t="n">
        <v>6804.74</v>
      </c>
      <c r="G209" s="31" t="n">
        <v>854.75</v>
      </c>
      <c r="H209" s="31" t="n">
        <v>-0.29</v>
      </c>
      <c r="I209" s="31" t="n">
        <v>581016</v>
      </c>
      <c r="J209" s="31" t="inlineStr">
        <is>
          <t>543933</t>
        </is>
      </c>
    </row>
    <row r="210">
      <c r="A210" s="31" t="inlineStr">
        <is>
          <t>KARURVYSYA</t>
        </is>
      </c>
      <c r="B210" s="31" t="inlineStr">
        <is>
          <t>Karur Vysya Bank Limited</t>
        </is>
      </c>
      <c r="C210" s="31" t="inlineStr">
        <is>
          <t>bank</t>
        </is>
      </c>
      <c r="D210" s="31" t="inlineStr">
        <is>
          <t>banks - private sector</t>
        </is>
      </c>
      <c r="E210" s="31" t="inlineStr">
        <is>
          <t>largecap</t>
        </is>
      </c>
      <c r="F210" s="31" t="n">
        <v>33601.41</v>
      </c>
      <c r="G210" s="31" t="n">
        <v>346.6</v>
      </c>
      <c r="H210" s="31" t="n">
        <v>-0.29</v>
      </c>
      <c r="I210" s="31" t="n">
        <v>1317009</v>
      </c>
      <c r="J210" s="31" t="inlineStr">
        <is>
          <t>590003</t>
        </is>
      </c>
    </row>
    <row r="211">
      <c r="A211" s="31" t="inlineStr">
        <is>
          <t>STOVEKRAFT</t>
        </is>
      </c>
      <c r="B211" s="31" t="inlineStr">
        <is>
          <t>Stove Kraft Ltd</t>
        </is>
      </c>
      <c r="C211" s="31" t="inlineStr">
        <is>
          <t>consumer discretionary</t>
        </is>
      </c>
      <c r="D211" s="31" t="inlineStr">
        <is>
          <t>domestic appliances</t>
        </is>
      </c>
      <c r="E211" s="31" t="inlineStr">
        <is>
          <t>smallcap</t>
        </is>
      </c>
      <c r="F211" s="31" t="n">
        <v>2804.52</v>
      </c>
      <c r="G211" s="31" t="n">
        <v>844.4</v>
      </c>
      <c r="H211" s="31" t="n">
        <v>-0.32</v>
      </c>
      <c r="I211" s="31" t="n">
        <v>120280</v>
      </c>
      <c r="J211" s="31" t="inlineStr">
        <is>
          <t>543260</t>
        </is>
      </c>
    </row>
    <row r="212">
      <c r="A212" s="31" t="inlineStr">
        <is>
          <t>CLSEL</t>
        </is>
      </c>
      <c r="B212" s="31" t="inlineStr">
        <is>
          <t>Chamanlal Setia Exports Ltd</t>
        </is>
      </c>
      <c r="C212" s="31" t="inlineStr">
        <is>
          <t>fmcg</t>
        </is>
      </c>
      <c r="D212" s="31" t="inlineStr">
        <is>
          <t>food - processing - indian</t>
        </is>
      </c>
      <c r="E212" s="31" t="inlineStr">
        <is>
          <t>smallcap</t>
        </is>
      </c>
      <c r="F212" s="31" t="n">
        <v>1503.7</v>
      </c>
      <c r="G212" s="31" t="n">
        <v>301.4</v>
      </c>
      <c r="H212" s="31" t="n">
        <v>-0.33</v>
      </c>
      <c r="I212" s="31" t="n">
        <v>70678</v>
      </c>
      <c r="J212" s="31" t="inlineStr">
        <is>
          <t>530307</t>
        </is>
      </c>
    </row>
    <row r="213">
      <c r="A213" s="31" t="inlineStr">
        <is>
          <t>HITECHCORP</t>
        </is>
      </c>
      <c r="B213" s="31" t="inlineStr">
        <is>
          <t>Hitech Corporation</t>
        </is>
      </c>
      <c r="C213" s="31" t="inlineStr">
        <is>
          <t>industrials</t>
        </is>
      </c>
      <c r="D213" s="31" t="inlineStr">
        <is>
          <t>packaging</t>
        </is>
      </c>
      <c r="E213" s="31" t="inlineStr">
        <is>
          <t>smallcap</t>
        </is>
      </c>
      <c r="F213" s="31" t="n">
        <v>579.9400000000001</v>
      </c>
      <c r="G213" s="31" t="n">
        <v>336.55</v>
      </c>
      <c r="H213" s="31" t="n">
        <v>-0.33</v>
      </c>
      <c r="I213" s="31" t="n">
        <v>7808</v>
      </c>
      <c r="J213" s="31" t="inlineStr">
        <is>
          <t>526217</t>
        </is>
      </c>
    </row>
    <row r="214">
      <c r="A214" s="31" t="inlineStr">
        <is>
          <t>VISHNU</t>
        </is>
      </c>
      <c r="B214" s="31" t="inlineStr">
        <is>
          <t>Vishnu Chemicals Limited</t>
        </is>
      </c>
      <c r="C214" s="31" t="inlineStr">
        <is>
          <t>chemicals</t>
        </is>
      </c>
      <c r="D214" s="31" t="inlineStr">
        <is>
          <t>chemicals</t>
        </is>
      </c>
      <c r="E214" s="31" t="inlineStr">
        <is>
          <t>smallcap</t>
        </is>
      </c>
      <c r="F214" s="31" t="n">
        <v>4454.59</v>
      </c>
      <c r="G214" s="31" t="n">
        <v>659.55</v>
      </c>
      <c r="H214" s="31" t="n">
        <v>-0.33</v>
      </c>
      <c r="I214" s="31" t="n">
        <v>114032</v>
      </c>
      <c r="J214" s="31" t="inlineStr">
        <is>
          <t>516072</t>
        </is>
      </c>
    </row>
    <row r="215">
      <c r="A215" s="31" t="inlineStr">
        <is>
          <t>SUNDRMFAST</t>
        </is>
      </c>
      <c r="B215" s="31" t="inlineStr">
        <is>
          <t>Sundram Fasteners Limited</t>
        </is>
      </c>
      <c r="C215" s="31" t="inlineStr">
        <is>
          <t>auto</t>
        </is>
      </c>
      <c r="D215" s="31" t="inlineStr">
        <is>
          <t>auto ancillaries</t>
        </is>
      </c>
      <c r="E215" s="31" t="inlineStr">
        <is>
          <t>largecap</t>
        </is>
      </c>
      <c r="F215" s="31" t="n">
        <v>25314.16</v>
      </c>
      <c r="G215" s="31" t="n">
        <v>1200.7</v>
      </c>
      <c r="H215" s="31" t="n">
        <v>-0.33</v>
      </c>
      <c r="I215" s="31" t="n">
        <v>77604</v>
      </c>
      <c r="J215" s="31" t="inlineStr">
        <is>
          <t>500403</t>
        </is>
      </c>
    </row>
    <row r="216">
      <c r="A216" s="31" t="inlineStr">
        <is>
          <t>NAHARINDUS</t>
        </is>
      </c>
      <c r="B216" s="31" t="inlineStr">
        <is>
          <t>Nahar Industrial Enterprises Limited</t>
        </is>
      </c>
      <c r="C216" s="31" t="inlineStr">
        <is>
          <t>textiles</t>
        </is>
      </c>
      <c r="D216" s="31" t="inlineStr">
        <is>
          <t>textiles - cotton/blended</t>
        </is>
      </c>
      <c r="E216" s="31" t="inlineStr">
        <is>
          <t>smallcap</t>
        </is>
      </c>
      <c r="F216" s="31" t="n">
        <v>580.34</v>
      </c>
      <c r="G216" s="31" t="n">
        <v>133.86</v>
      </c>
      <c r="H216" s="31" t="n">
        <v>-0.34</v>
      </c>
      <c r="I216" s="31" t="n">
        <v>9869</v>
      </c>
      <c r="J216" s="31" t="inlineStr">
        <is>
          <t>519136</t>
        </is>
      </c>
    </row>
    <row r="217">
      <c r="A217" s="31" t="inlineStr">
        <is>
          <t>KOTAKBANK</t>
        </is>
      </c>
      <c r="B217" s="31" t="inlineStr">
        <is>
          <t>Kotak Mahindra Bank Limited</t>
        </is>
      </c>
      <c r="C217" s="31" t="inlineStr">
        <is>
          <t>bank</t>
        </is>
      </c>
      <c r="D217" s="31" t="inlineStr">
        <is>
          <t>banks - private sector</t>
        </is>
      </c>
      <c r="E217" s="31" t="inlineStr">
        <is>
          <t>largecap</t>
        </is>
      </c>
      <c r="F217" s="31" t="n">
        <v>422735.14</v>
      </c>
      <c r="G217" s="31" t="n">
        <v>423.5</v>
      </c>
      <c r="H217" s="31" t="n">
        <v>-0.35</v>
      </c>
      <c r="I217" s="31" t="n">
        <v>10022695</v>
      </c>
      <c r="J217" s="31" t="inlineStr">
        <is>
          <t>500247</t>
        </is>
      </c>
    </row>
    <row r="218">
      <c r="A218" s="31" t="inlineStr">
        <is>
          <t>INDSWFTLAB</t>
        </is>
      </c>
      <c r="B218" s="31" t="inlineStr">
        <is>
          <t>Ind-swift Laboratories Limited</t>
        </is>
      </c>
      <c r="C218" s="31" t="inlineStr">
        <is>
          <t>healthcare</t>
        </is>
      </c>
      <c r="D218" s="31" t="inlineStr">
        <is>
          <t>pharmaceuticals - indian - bulk drugs &amp; formln</t>
        </is>
      </c>
      <c r="E218" s="31" t="inlineStr">
        <is>
          <t>smallcap</t>
        </is>
      </c>
      <c r="F218" s="31" t="n">
        <v>3201.49</v>
      </c>
      <c r="G218" s="31" t="n">
        <v>366.85</v>
      </c>
      <c r="H218" s="31" t="n">
        <v>-0.35</v>
      </c>
      <c r="I218" s="31" t="n">
        <v>473769</v>
      </c>
      <c r="J218" s="31" t="inlineStr">
        <is>
          <t>532305</t>
        </is>
      </c>
    </row>
    <row r="219">
      <c r="A219" s="31" t="inlineStr">
        <is>
          <t>IGPL</t>
        </is>
      </c>
      <c r="B219" s="31" t="inlineStr">
        <is>
          <t>Ig Petrochemicals Limited</t>
        </is>
      </c>
      <c r="C219" s="31" t="inlineStr">
        <is>
          <t>chemicals</t>
        </is>
      </c>
      <c r="D219" s="31" t="inlineStr">
        <is>
          <t>chemicals</t>
        </is>
      </c>
      <c r="E219" s="31" t="inlineStr">
        <is>
          <t>smallcap</t>
        </is>
      </c>
      <c r="F219" s="31" t="n">
        <v>1688.64</v>
      </c>
      <c r="G219" s="31" t="n">
        <v>546.4</v>
      </c>
      <c r="H219" s="31" t="n">
        <v>-0.36</v>
      </c>
      <c r="I219" s="31" t="n">
        <v>75076</v>
      </c>
      <c r="J219" s="31" t="inlineStr">
        <is>
          <t>500199</t>
        </is>
      </c>
    </row>
    <row r="220">
      <c r="A220" s="31" t="inlineStr">
        <is>
          <t>BAJAJHIND</t>
        </is>
      </c>
      <c r="B220" s="31" t="inlineStr">
        <is>
          <t>Bajaj Hindusthan Sugar Limited</t>
        </is>
      </c>
      <c r="C220" s="31" t="inlineStr">
        <is>
          <t>fmcg</t>
        </is>
      </c>
      <c r="D220" s="31" t="inlineStr">
        <is>
          <t>sugar</t>
        </is>
      </c>
      <c r="E220" s="31" t="inlineStr">
        <is>
          <t>midcap</t>
        </is>
      </c>
      <c r="F220" s="31" t="n">
        <v>5240.34</v>
      </c>
      <c r="G220" s="31" t="n">
        <v>21.84</v>
      </c>
      <c r="H220" s="31" t="n">
        <v>-0.37</v>
      </c>
      <c r="I220" s="31" t="n">
        <v>28951286</v>
      </c>
      <c r="J220" s="31" t="inlineStr">
        <is>
          <t>500032</t>
        </is>
      </c>
    </row>
    <row r="221">
      <c r="A221" s="31" t="inlineStr">
        <is>
          <t>GLENMARK</t>
        </is>
      </c>
      <c r="B221" s="31" t="inlineStr">
        <is>
          <t>Glenmark Pharmaceuticals Limited</t>
        </is>
      </c>
      <c r="C221" s="31" t="inlineStr">
        <is>
          <t>healthcare</t>
        </is>
      </c>
      <c r="D221" s="31" t="inlineStr">
        <is>
          <t>pharmaceuticals - indian - bulk drugs &amp; formln</t>
        </is>
      </c>
      <c r="E221" s="31" t="inlineStr">
        <is>
          <t>largecap</t>
        </is>
      </c>
      <c r="F221" s="31" t="n">
        <v>69714.89</v>
      </c>
      <c r="G221" s="31" t="n">
        <v>2460</v>
      </c>
      <c r="H221" s="31" t="n">
        <v>-0.42</v>
      </c>
      <c r="I221" s="31" t="n">
        <v>516029</v>
      </c>
      <c r="J221" s="31" t="inlineStr">
        <is>
          <t>532296</t>
        </is>
      </c>
    </row>
    <row r="222">
      <c r="A222" s="31" t="inlineStr">
        <is>
          <t>ENTERO</t>
        </is>
      </c>
      <c r="B222" s="31" t="inlineStr">
        <is>
          <t>Entero Healthcare Solutions Ltd</t>
        </is>
      </c>
      <c r="C222" s="31" t="inlineStr">
        <is>
          <t>healthcare</t>
        </is>
      </c>
      <c r="D222" s="31" t="inlineStr">
        <is>
          <t>trading</t>
        </is>
      </c>
      <c r="E222" s="31" t="inlineStr">
        <is>
          <t>midcap</t>
        </is>
      </c>
      <c r="F222" s="31" t="n">
        <v>7855.91</v>
      </c>
      <c r="G222" s="31" t="n">
        <v>1797.4</v>
      </c>
      <c r="H222" s="31" t="n">
        <v>-0.42</v>
      </c>
      <c r="I222" s="31" t="n">
        <v>166967</v>
      </c>
      <c r="J222" s="31" t="inlineStr">
        <is>
          <t>544122</t>
        </is>
      </c>
    </row>
    <row r="223">
      <c r="A223" s="31" t="inlineStr">
        <is>
          <t>NAZARA</t>
        </is>
      </c>
      <c r="B223" s="31" t="inlineStr">
        <is>
          <t>Nazara Technologies Ltd</t>
        </is>
      </c>
      <c r="C223" s="31" t="inlineStr">
        <is>
          <t>i.t</t>
        </is>
      </c>
      <c r="D223" s="31" t="inlineStr">
        <is>
          <t>telecommunications - service provider</t>
        </is>
      </c>
      <c r="E223" s="31" t="inlineStr">
        <is>
          <t>midcap</t>
        </is>
      </c>
      <c r="F223" s="31" t="n">
        <v>14143.35</v>
      </c>
      <c r="G223" s="31" t="n">
        <v>366</v>
      </c>
      <c r="H223" s="31" t="n">
        <v>-0.45</v>
      </c>
      <c r="I223" s="31" t="n">
        <v>851024</v>
      </c>
      <c r="J223" s="31" t="inlineStr">
        <is>
          <t>543280</t>
        </is>
      </c>
    </row>
    <row r="224">
      <c r="A224" s="31" t="inlineStr">
        <is>
          <t>SALSTEEL</t>
        </is>
      </c>
      <c r="B224" s="31" t="inlineStr">
        <is>
          <t>SAL Steel</t>
        </is>
      </c>
      <c r="C224" s="31" t="inlineStr">
        <is>
          <t>metals &amp; mining</t>
        </is>
      </c>
      <c r="D224" s="31" t="inlineStr">
        <is>
          <t>steel - sponge iron</t>
        </is>
      </c>
      <c r="E224" s="31" t="inlineStr">
        <is>
          <t>smallcap</t>
        </is>
      </c>
      <c r="F224" s="31" t="n">
        <v>1193.31</v>
      </c>
      <c r="G224" s="31" t="n">
        <v>82.04000000000001</v>
      </c>
      <c r="H224" s="31" t="n">
        <v>-0.47</v>
      </c>
      <c r="I224" s="31" t="n">
        <v>1174529</v>
      </c>
      <c r="J224" s="31" t="inlineStr">
        <is>
          <t>532604</t>
        </is>
      </c>
    </row>
    <row r="225">
      <c r="A225" s="31" t="inlineStr">
        <is>
          <t>SOLARA</t>
        </is>
      </c>
      <c r="B225" s="31" t="inlineStr">
        <is>
          <t>Solara Active Pharma Sciences Ltd</t>
        </is>
      </c>
      <c r="C225" s="31" t="inlineStr">
        <is>
          <t>healthcare</t>
        </is>
      </c>
      <c r="D225" s="31" t="inlineStr">
        <is>
          <t>pharmaceuticals - indian - bulk drugs &amp; formln</t>
        </is>
      </c>
      <c r="E225" s="31" t="inlineStr">
        <is>
          <t>smallcap</t>
        </is>
      </c>
      <c r="F225" s="31" t="n">
        <v>3104.39</v>
      </c>
      <c r="G225" s="31" t="n">
        <v>640.35</v>
      </c>
      <c r="H225" s="31" t="n">
        <v>-0.48</v>
      </c>
      <c r="I225" s="31" t="n">
        <v>350170</v>
      </c>
      <c r="J225" s="31" t="inlineStr">
        <is>
          <t>541540</t>
        </is>
      </c>
    </row>
    <row r="226">
      <c r="A226" s="31" t="inlineStr">
        <is>
          <t>YUKEN</t>
        </is>
      </c>
      <c r="B226" s="31" t="inlineStr">
        <is>
          <t>Yuken India Ltd</t>
        </is>
      </c>
      <c r="C226" s="31" t="inlineStr">
        <is>
          <t>industrials</t>
        </is>
      </c>
      <c r="D226" s="31" t="inlineStr">
        <is>
          <t>engineering</t>
        </is>
      </c>
      <c r="E226" s="31" t="inlineStr">
        <is>
          <t>smallcap</t>
        </is>
      </c>
      <c r="F226" s="31" t="n">
        <v>1320.43</v>
      </c>
      <c r="G226" s="31" t="n">
        <v>967.25</v>
      </c>
      <c r="H226" s="31" t="n">
        <v>-0.49</v>
      </c>
      <c r="I226" s="31" t="n">
        <v>12576</v>
      </c>
      <c r="J226" s="31" t="inlineStr">
        <is>
          <t>522108</t>
        </is>
      </c>
    </row>
    <row r="227">
      <c r="A227" s="31" t="inlineStr">
        <is>
          <t>SHYAMMETL</t>
        </is>
      </c>
      <c r="B227" s="31" t="inlineStr">
        <is>
          <t>Shyam Metalics &amp; Energy Ltd</t>
        </is>
      </c>
      <c r="C227" s="31" t="inlineStr">
        <is>
          <t>metals &amp; mining</t>
        </is>
      </c>
      <c r="D227" s="31" t="inlineStr">
        <is>
          <t>steel - large</t>
        </is>
      </c>
      <c r="E227" s="31" t="inlineStr">
        <is>
          <t>largecap</t>
        </is>
      </c>
      <c r="F227" s="31" t="n">
        <v>30090.41</v>
      </c>
      <c r="G227" s="31" t="n">
        <v>1072.6</v>
      </c>
      <c r="H227" s="31" t="n">
        <v>-0.5</v>
      </c>
      <c r="I227" s="31" t="n">
        <v>102401</v>
      </c>
      <c r="J227" s="31" t="inlineStr">
        <is>
          <t>543299</t>
        </is>
      </c>
    </row>
    <row r="228">
      <c r="A228" s="31" t="inlineStr">
        <is>
          <t>MCX</t>
        </is>
      </c>
      <c r="B228" s="31" t="inlineStr">
        <is>
          <t>Multi Commodity Exchange Of India Limited</t>
        </is>
      </c>
      <c r="C228" s="31" t="inlineStr">
        <is>
          <t>financials</t>
        </is>
      </c>
      <c r="D228" s="31" t="inlineStr">
        <is>
          <t>miscellaneous</t>
        </is>
      </c>
      <c r="E228" s="31" t="inlineStr">
        <is>
          <t>largecap</t>
        </is>
      </c>
      <c r="F228" s="31" t="n">
        <v>84223.81</v>
      </c>
      <c r="G228" s="31" t="n">
        <v>3286</v>
      </c>
      <c r="H228" s="31" t="n">
        <v>-0.51</v>
      </c>
      <c r="I228" s="31" t="n">
        <v>2448588</v>
      </c>
      <c r="J228" s="31" t="inlineStr">
        <is>
          <t>534091</t>
        </is>
      </c>
    </row>
    <row r="229">
      <c r="A229" s="31" t="inlineStr">
        <is>
          <t>VGUARD</t>
        </is>
      </c>
      <c r="B229" s="31" t="inlineStr">
        <is>
          <t>V-guard Industries Limited</t>
        </is>
      </c>
      <c r="C229" s="31" t="inlineStr">
        <is>
          <t>industrials</t>
        </is>
      </c>
      <c r="D229" s="31" t="inlineStr">
        <is>
          <t>electric equipment</t>
        </is>
      </c>
      <c r="E229" s="31" t="inlineStr">
        <is>
          <t>midcap</t>
        </is>
      </c>
      <c r="F229" s="31" t="n">
        <v>14987.55</v>
      </c>
      <c r="G229" s="31" t="n">
        <v>341.2</v>
      </c>
      <c r="H229" s="31" t="n">
        <v>-0.54</v>
      </c>
      <c r="I229" s="31" t="n">
        <v>517815</v>
      </c>
      <c r="J229" s="31" t="inlineStr">
        <is>
          <t>532953</t>
        </is>
      </c>
    </row>
    <row r="230">
      <c r="A230" s="31" t="inlineStr">
        <is>
          <t>IIFLCAPS</t>
        </is>
      </c>
      <c r="B230" s="31" t="inlineStr">
        <is>
          <t>IIFL Capital Services Ltd</t>
        </is>
      </c>
      <c r="C230" s="31" t="inlineStr">
        <is>
          <t>financials</t>
        </is>
      </c>
      <c r="D230" s="31" t="inlineStr">
        <is>
          <t>finance &amp; investments</t>
        </is>
      </c>
      <c r="E230" s="31" t="inlineStr">
        <is>
          <t>midcap</t>
        </is>
      </c>
      <c r="F230" s="31" t="n">
        <v>10662.02</v>
      </c>
      <c r="G230" s="31" t="n">
        <v>338.3</v>
      </c>
      <c r="H230" s="31" t="n">
        <v>-0.54</v>
      </c>
      <c r="I230" s="31" t="n">
        <v>375285</v>
      </c>
      <c r="J230" s="31" t="inlineStr">
        <is>
          <t>542773</t>
        </is>
      </c>
    </row>
    <row r="231">
      <c r="A231" s="31" t="inlineStr">
        <is>
          <t>GEOJITFSL</t>
        </is>
      </c>
      <c r="B231" s="31" t="inlineStr">
        <is>
          <t>Geojit Financial Services Ltd</t>
        </is>
      </c>
      <c r="C231" s="31" t="inlineStr">
        <is>
          <t>financials</t>
        </is>
      </c>
      <c r="D231" s="31" t="inlineStr">
        <is>
          <t>finance &amp; investments</t>
        </is>
      </c>
      <c r="E231" s="31" t="inlineStr">
        <is>
          <t>smallcap</t>
        </is>
      </c>
      <c r="F231" s="31" t="n">
        <v>2322.85</v>
      </c>
      <c r="G231" s="31" t="n">
        <v>82.76000000000001</v>
      </c>
      <c r="H231" s="31" t="n">
        <v>-0.55</v>
      </c>
      <c r="I231" s="31" t="n">
        <v>225428</v>
      </c>
      <c r="J231" s="31" t="inlineStr">
        <is>
          <t>532285</t>
        </is>
      </c>
    </row>
    <row r="232">
      <c r="A232" s="31" t="inlineStr">
        <is>
          <t>COMSYN</t>
        </is>
      </c>
      <c r="B232" s="31" t="inlineStr">
        <is>
          <t>Commercial Syn Bags Ltd</t>
        </is>
      </c>
      <c r="C232" s="31" t="inlineStr">
        <is>
          <t>industrials</t>
        </is>
      </c>
      <c r="D232" s="31" t="inlineStr">
        <is>
          <t>packaging</t>
        </is>
      </c>
      <c r="E232" s="31" t="inlineStr">
        <is>
          <t>smallcap</t>
        </is>
      </c>
      <c r="F232" s="31" t="n">
        <v>1227.72</v>
      </c>
      <c r="G232" s="31" t="n">
        <v>302.65</v>
      </c>
      <c r="H232" s="31" t="n">
        <v>-0.5600000000000001</v>
      </c>
      <c r="I232" s="31" t="n">
        <v>113506</v>
      </c>
      <c r="J232" s="31" t="inlineStr">
        <is>
          <t>539986</t>
        </is>
      </c>
    </row>
    <row r="233">
      <c r="A233" s="31" t="inlineStr">
        <is>
          <t>KDDL</t>
        </is>
      </c>
      <c r="B233" s="31" t="inlineStr">
        <is>
          <t>Kddl Limited</t>
        </is>
      </c>
      <c r="C233" s="31" t="inlineStr">
        <is>
          <t>consumer discretionary</t>
        </is>
      </c>
      <c r="D233" s="31" t="inlineStr">
        <is>
          <t>miscellaneous</t>
        </is>
      </c>
      <c r="E233" s="31" t="inlineStr">
        <is>
          <t>smallcap</t>
        </is>
      </c>
      <c r="F233" s="31" t="n">
        <v>4768.92</v>
      </c>
      <c r="G233" s="31" t="n">
        <v>3852.9</v>
      </c>
      <c r="H233" s="31" t="n">
        <v>-0.63</v>
      </c>
      <c r="I233" s="31" t="n">
        <v>17464</v>
      </c>
      <c r="J233" s="31" t="inlineStr">
        <is>
          <t>532054</t>
        </is>
      </c>
    </row>
    <row r="234">
      <c r="A234" s="31" t="inlineStr">
        <is>
          <t>HARSHA</t>
        </is>
      </c>
      <c r="B234" s="31" t="inlineStr">
        <is>
          <t>Harsha Engineers International Ltd</t>
        </is>
      </c>
      <c r="C234" s="31" t="inlineStr">
        <is>
          <t>industrials</t>
        </is>
      </c>
      <c r="D234" s="31" t="inlineStr">
        <is>
          <t>engineering</t>
        </is>
      </c>
      <c r="E234" s="31" t="inlineStr">
        <is>
          <t>smallcap</t>
        </is>
      </c>
      <c r="F234" s="31" t="n">
        <v>4130.67</v>
      </c>
      <c r="G234" s="31" t="n">
        <v>450.75</v>
      </c>
      <c r="H234" s="31" t="n">
        <v>-0.65</v>
      </c>
      <c r="I234" s="31" t="n">
        <v>241531</v>
      </c>
      <c r="J234" s="31" t="inlineStr">
        <is>
          <t>543600</t>
        </is>
      </c>
    </row>
    <row r="235">
      <c r="A235" s="31" t="inlineStr">
        <is>
          <t>BOSCH-HCIL</t>
        </is>
      </c>
      <c r="B235" s="31" t="inlineStr">
        <is>
          <t>Bosch Home Comfort India Ltd</t>
        </is>
      </c>
      <c r="C235" s="31" t="inlineStr">
        <is>
          <t>consumer discretionary</t>
        </is>
      </c>
      <c r="D235" s="31" t="inlineStr">
        <is>
          <t>air-conditioners</t>
        </is>
      </c>
      <c r="E235" s="31" t="inlineStr">
        <is>
          <t>smallcap</t>
        </is>
      </c>
      <c r="F235" s="31" t="n">
        <v>4746.17</v>
      </c>
      <c r="G235" s="31" t="n">
        <v>1733.9</v>
      </c>
      <c r="H235" s="31" t="n">
        <v>-0.66</v>
      </c>
      <c r="I235" s="31" t="n">
        <v>29791</v>
      </c>
      <c r="J235" s="31" t="inlineStr">
        <is>
          <t>523398</t>
        </is>
      </c>
    </row>
    <row r="236">
      <c r="A236" s="31" t="inlineStr">
        <is>
          <t>STYLEBAAZA</t>
        </is>
      </c>
      <c r="B236" s="31" t="inlineStr">
        <is>
          <t>Baazar Style Retail Ltd</t>
        </is>
      </c>
      <c r="C236" s="31" t="inlineStr">
        <is>
          <t>consumer discretionary</t>
        </is>
      </c>
      <c r="D236" s="31" t="inlineStr">
        <is>
          <t>trading</t>
        </is>
      </c>
      <c r="E236" s="31" t="inlineStr">
        <is>
          <t>smallcap</t>
        </is>
      </c>
      <c r="F236" s="31" t="n">
        <v>3030.61</v>
      </c>
      <c r="G236" s="31" t="n">
        <v>395.45</v>
      </c>
      <c r="H236" s="31" t="n">
        <v>-0.68</v>
      </c>
      <c r="I236" s="31" t="n">
        <v>1012868</v>
      </c>
      <c r="J236" s="31" t="inlineStr">
        <is>
          <t>544243</t>
        </is>
      </c>
    </row>
    <row r="237">
      <c r="A237" s="31" t="inlineStr">
        <is>
          <t>RELIGARE</t>
        </is>
      </c>
      <c r="B237" s="31" t="inlineStr">
        <is>
          <t>Religare Enterprises Limited</t>
        </is>
      </c>
      <c r="C237" s="31" t="inlineStr">
        <is>
          <t>financials</t>
        </is>
      </c>
      <c r="D237" s="31" t="inlineStr">
        <is>
          <t>finance &amp; investments</t>
        </is>
      </c>
      <c r="E237" s="31" t="inlineStr">
        <is>
          <t>midcap</t>
        </is>
      </c>
      <c r="F237" s="31" t="n">
        <v>8523.34</v>
      </c>
      <c r="G237" s="31" t="n">
        <v>248.06</v>
      </c>
      <c r="H237" s="31" t="n">
        <v>-0.6899999999999999</v>
      </c>
      <c r="I237" s="31" t="n">
        <v>576451</v>
      </c>
      <c r="J237" s="31" t="inlineStr">
        <is>
          <t>532915</t>
        </is>
      </c>
    </row>
    <row r="238">
      <c r="A238" s="31" t="inlineStr">
        <is>
          <t>IMAGICAA</t>
        </is>
      </c>
      <c r="B238" s="31" t="inlineStr">
        <is>
          <t>Imagicaaworld Entertainment Ltd</t>
        </is>
      </c>
      <c r="C238" s="31" t="inlineStr">
        <is>
          <t>media</t>
        </is>
      </c>
      <c r="D238" s="31" t="inlineStr">
        <is>
          <t>recreation / amusement parks</t>
        </is>
      </c>
      <c r="E238" s="31" t="inlineStr">
        <is>
          <t>smallcap</t>
        </is>
      </c>
      <c r="F238" s="31" t="n">
        <v>3112.24</v>
      </c>
      <c r="G238" s="31" t="n">
        <v>54.61</v>
      </c>
      <c r="H238" s="31" t="n">
        <v>-0.71</v>
      </c>
      <c r="I238" s="31" t="n">
        <v>484536</v>
      </c>
      <c r="J238" s="31" t="inlineStr">
        <is>
          <t>539056</t>
        </is>
      </c>
    </row>
    <row r="239">
      <c r="A239" s="31" t="inlineStr">
        <is>
          <t>PREMIERPOL</t>
        </is>
      </c>
      <c r="B239" s="31" t="inlineStr">
        <is>
          <t>Premier Polyfilm Limited</t>
        </is>
      </c>
      <c r="C239" s="31" t="inlineStr">
        <is>
          <t>plastic products</t>
        </is>
      </c>
      <c r="D239" s="31" t="inlineStr">
        <is>
          <t>plastics products</t>
        </is>
      </c>
      <c r="E239" s="31" t="inlineStr">
        <is>
          <t>smallcap</t>
        </is>
      </c>
      <c r="F239" s="31" t="n">
        <v>947.29</v>
      </c>
      <c r="G239" s="31" t="n">
        <v>89.79000000000001</v>
      </c>
      <c r="H239" s="31" t="n">
        <v>-0.72</v>
      </c>
      <c r="I239" s="31" t="n">
        <v>163733</v>
      </c>
      <c r="J239" s="31" t="inlineStr">
        <is>
          <t>514354</t>
        </is>
      </c>
    </row>
    <row r="240">
      <c r="A240" s="31" t="inlineStr">
        <is>
          <t>SBFC</t>
        </is>
      </c>
      <c r="B240" s="31" t="inlineStr">
        <is>
          <t>SBFC Finance Ltd</t>
        </is>
      </c>
      <c r="C240" s="31" t="inlineStr">
        <is>
          <t>financials</t>
        </is>
      </c>
      <c r="D240" s="31" t="inlineStr">
        <is>
          <t>finance &amp; investments</t>
        </is>
      </c>
      <c r="E240" s="31" t="inlineStr">
        <is>
          <t>midcap</t>
        </is>
      </c>
      <c r="F240" s="31" t="n">
        <v>11067.53</v>
      </c>
      <c r="G240" s="31" t="n">
        <v>99.23</v>
      </c>
      <c r="H240" s="31" t="n">
        <v>-0.72</v>
      </c>
      <c r="I240" s="31" t="n">
        <v>1753870</v>
      </c>
      <c r="J240" s="31" t="inlineStr">
        <is>
          <t>543959</t>
        </is>
      </c>
    </row>
    <row r="241">
      <c r="A241" s="31" t="inlineStr">
        <is>
          <t>VINCOFE</t>
        </is>
      </c>
      <c r="B241" s="31" t="inlineStr">
        <is>
          <t>Vintage Coffee &amp; Beverages Ltd</t>
        </is>
      </c>
      <c r="C241" s="31" t="inlineStr">
        <is>
          <t>consumer discretionary</t>
        </is>
      </c>
      <c r="D241" s="31" t="inlineStr">
        <is>
          <t>trading</t>
        </is>
      </c>
      <c r="E241" s="31" t="inlineStr">
        <is>
          <t>smallcap</t>
        </is>
      </c>
      <c r="F241" s="31" t="n">
        <v>2576.5</v>
      </c>
      <c r="G241" s="31" t="n">
        <v>175.56</v>
      </c>
      <c r="H241" s="31" t="n">
        <v>-0.73</v>
      </c>
      <c r="I241" s="31" t="n">
        <v>2162670</v>
      </c>
      <c r="J241" s="31" t="inlineStr">
        <is>
          <t>538920</t>
        </is>
      </c>
    </row>
    <row r="242">
      <c r="A242" s="31" t="inlineStr">
        <is>
          <t>20MICRONS</t>
        </is>
      </c>
      <c r="B242" s="31" t="inlineStr">
        <is>
          <t>20 Microns Limited</t>
        </is>
      </c>
      <c r="C242" s="31" t="inlineStr">
        <is>
          <t>metals &amp; mining</t>
        </is>
      </c>
      <c r="D242" s="31" t="inlineStr">
        <is>
          <t>mining / minerals / metals</t>
        </is>
      </c>
      <c r="E242" s="31" t="inlineStr">
        <is>
          <t>smallcap</t>
        </is>
      </c>
      <c r="F242" s="31" t="n">
        <v>751.6</v>
      </c>
      <c r="G242" s="31" t="n">
        <v>211.36</v>
      </c>
      <c r="H242" s="31" t="n">
        <v>-0.77</v>
      </c>
      <c r="I242" s="31" t="n">
        <v>90223</v>
      </c>
      <c r="J242" s="31" t="inlineStr">
        <is>
          <t>533022</t>
        </is>
      </c>
    </row>
    <row r="243">
      <c r="A243" s="31" t="inlineStr">
        <is>
          <t>GHCLTEXTIL</t>
        </is>
      </c>
      <c r="B243" s="31" t="inlineStr">
        <is>
          <t>GHCL Textiles Ltd</t>
        </is>
      </c>
      <c r="C243" s="31" t="inlineStr">
        <is>
          <t>textiles</t>
        </is>
      </c>
      <c r="D243" s="31" t="inlineStr">
        <is>
          <t>textiles - spinning - synthetic / blended</t>
        </is>
      </c>
      <c r="E243" s="31" t="inlineStr">
        <is>
          <t>smallcap</t>
        </is>
      </c>
      <c r="F243" s="31" t="n">
        <v>1342.5</v>
      </c>
      <c r="G243" s="31" t="n">
        <v>139.35</v>
      </c>
      <c r="H243" s="31" t="n">
        <v>-0.78</v>
      </c>
      <c r="I243" s="31" t="n">
        <v>1397109</v>
      </c>
      <c r="J243" s="31" t="inlineStr">
        <is>
          <t>543918</t>
        </is>
      </c>
    </row>
    <row r="244">
      <c r="A244" s="31" t="inlineStr">
        <is>
          <t>BALAMINES</t>
        </is>
      </c>
      <c r="B244" s="31" t="inlineStr">
        <is>
          <t>Balaji Amines Limited</t>
        </is>
      </c>
      <c r="C244" s="31" t="inlineStr">
        <is>
          <t>chemicals</t>
        </is>
      </c>
      <c r="D244" s="31" t="inlineStr">
        <is>
          <t>chemicals</t>
        </is>
      </c>
      <c r="E244" s="31" t="inlineStr">
        <is>
          <t>midcap</t>
        </is>
      </c>
      <c r="F244" s="31" t="n">
        <v>7807.67</v>
      </c>
      <c r="G244" s="31" t="n">
        <v>2390.1</v>
      </c>
      <c r="H244" s="31" t="n">
        <v>-0.8100000000000001</v>
      </c>
      <c r="I244" s="31" t="n">
        <v>455466</v>
      </c>
      <c r="J244" s="31" t="inlineStr">
        <is>
          <t>530999</t>
        </is>
      </c>
    </row>
    <row r="245">
      <c r="A245" s="31" t="inlineStr">
        <is>
          <t>YATHARTH</t>
        </is>
      </c>
      <c r="B245" s="31" t="inlineStr">
        <is>
          <t>Yatharth Hospital &amp; Trauma Care Services Ltd</t>
        </is>
      </c>
      <c r="C245" s="31" t="inlineStr">
        <is>
          <t>healthcare</t>
        </is>
      </c>
      <c r="D245" s="31" t="inlineStr">
        <is>
          <t>healthcare</t>
        </is>
      </c>
      <c r="E245" s="31" t="inlineStr">
        <is>
          <t>midcap</t>
        </is>
      </c>
      <c r="F245" s="31" t="n">
        <v>9392.620000000001</v>
      </c>
      <c r="G245" s="31" t="n">
        <v>966.5</v>
      </c>
      <c r="H245" s="31" t="n">
        <v>-0.85</v>
      </c>
      <c r="I245" s="31" t="n">
        <v>242009</v>
      </c>
      <c r="J245" s="31" t="inlineStr">
        <is>
          <t>543950</t>
        </is>
      </c>
    </row>
    <row r="246">
      <c r="A246" s="31" t="inlineStr">
        <is>
          <t>GRAPHITE</t>
        </is>
      </c>
      <c r="B246" s="31" t="inlineStr">
        <is>
          <t>Graphite India Limited</t>
        </is>
      </c>
      <c r="C246" s="31" t="inlineStr">
        <is>
          <t>industrials</t>
        </is>
      </c>
      <c r="D246" s="31" t="inlineStr">
        <is>
          <t>electrodes - graphites</t>
        </is>
      </c>
      <c r="E246" s="31" t="inlineStr">
        <is>
          <t>midcap</t>
        </is>
      </c>
      <c r="F246" s="31" t="n">
        <v>14319.08</v>
      </c>
      <c r="G246" s="31" t="n">
        <v>726.6</v>
      </c>
      <c r="H246" s="31" t="n">
        <v>-0.86</v>
      </c>
      <c r="I246" s="31" t="n">
        <v>680122</v>
      </c>
      <c r="J246" s="31" t="inlineStr">
        <is>
          <t>509488</t>
        </is>
      </c>
    </row>
    <row r="247">
      <c r="A247" s="31" t="inlineStr">
        <is>
          <t>INDGN</t>
        </is>
      </c>
      <c r="B247" s="31" t="inlineStr">
        <is>
          <t>Indegene Ltd</t>
        </is>
      </c>
      <c r="C247" s="31" t="inlineStr">
        <is>
          <t>healthcare</t>
        </is>
      </c>
      <c r="D247" s="31" t="inlineStr">
        <is>
          <t>miscellaneous</t>
        </is>
      </c>
      <c r="E247" s="31" t="inlineStr">
        <is>
          <t>midcap</t>
        </is>
      </c>
      <c r="F247" s="31" t="n">
        <v>14587.37</v>
      </c>
      <c r="G247" s="31" t="n">
        <v>600.15</v>
      </c>
      <c r="H247" s="31" t="n">
        <v>-0.87</v>
      </c>
      <c r="I247" s="31" t="n">
        <v>684806</v>
      </c>
      <c r="J247" s="31" t="inlineStr">
        <is>
          <t>544172</t>
        </is>
      </c>
    </row>
    <row r="248">
      <c r="A248" s="31" t="inlineStr">
        <is>
          <t>PAYTM</t>
        </is>
      </c>
      <c r="B248" s="31" t="inlineStr">
        <is>
          <t>One 97 Communications Ltd</t>
        </is>
      </c>
      <c r="C248" s="31" t="inlineStr">
        <is>
          <t>i.t</t>
        </is>
      </c>
      <c r="D248" s="31" t="inlineStr">
        <is>
          <t>miscellaneous</t>
        </is>
      </c>
      <c r="E248" s="31" t="inlineStr">
        <is>
          <t>largecap</t>
        </is>
      </c>
      <c r="F248" s="31" t="n">
        <v>104599.05</v>
      </c>
      <c r="G248" s="31" t="n">
        <v>1619</v>
      </c>
      <c r="H248" s="31" t="n">
        <v>-0.89</v>
      </c>
      <c r="I248" s="31" t="n">
        <v>3008191</v>
      </c>
      <c r="J248" s="31" t="inlineStr">
        <is>
          <t>543396</t>
        </is>
      </c>
    </row>
    <row r="249">
      <c r="A249" s="31" t="inlineStr">
        <is>
          <t>MATRIMONY</t>
        </is>
      </c>
      <c r="B249" s="31" t="inlineStr">
        <is>
          <t>Matrimony.com Ltd</t>
        </is>
      </c>
      <c r="C249" s="31" t="inlineStr">
        <is>
          <t>miscellaneous</t>
        </is>
      </c>
      <c r="D249" s="31" t="inlineStr">
        <is>
          <t>miscellaneous</t>
        </is>
      </c>
      <c r="E249" s="31" t="inlineStr">
        <is>
          <t>smallcap</t>
        </is>
      </c>
      <c r="F249" s="31" t="n">
        <v>1072.95</v>
      </c>
      <c r="G249" s="31" t="n">
        <v>514.35</v>
      </c>
      <c r="H249" s="31" t="n">
        <v>-0.9</v>
      </c>
      <c r="I249" s="31" t="n">
        <v>5735</v>
      </c>
      <c r="J249" s="31" t="inlineStr">
        <is>
          <t>540704</t>
        </is>
      </c>
    </row>
    <row r="250">
      <c r="A250" s="31" t="inlineStr">
        <is>
          <t>NAUKRI</t>
        </is>
      </c>
      <c r="B250" s="31" t="inlineStr">
        <is>
          <t>Info Edge (india) Limited</t>
        </is>
      </c>
      <c r="C250" s="31" t="inlineStr">
        <is>
          <t>i.t</t>
        </is>
      </c>
      <c r="D250" s="31" t="inlineStr">
        <is>
          <t>miscellaneous</t>
        </is>
      </c>
      <c r="E250" s="31" t="inlineStr">
        <is>
          <t>largecap</t>
        </is>
      </c>
      <c r="F250" s="31" t="n">
        <v>87925.83</v>
      </c>
      <c r="G250" s="31" t="n">
        <v>1343.7</v>
      </c>
      <c r="H250" s="31" t="n">
        <v>-0.91</v>
      </c>
      <c r="I250" s="31" t="n">
        <v>1456671</v>
      </c>
      <c r="J250" s="31" t="inlineStr">
        <is>
          <t>532777</t>
        </is>
      </c>
    </row>
    <row r="251">
      <c r="A251" s="31" t="inlineStr">
        <is>
          <t>DCBBANK</t>
        </is>
      </c>
      <c r="B251" s="31" t="inlineStr">
        <is>
          <t>Dcb Bank Limited</t>
        </is>
      </c>
      <c r="C251" s="31" t="inlineStr">
        <is>
          <t>bank</t>
        </is>
      </c>
      <c r="D251" s="31" t="inlineStr">
        <is>
          <t>banks - private sector</t>
        </is>
      </c>
      <c r="E251" s="31" t="inlineStr">
        <is>
          <t>midcap</t>
        </is>
      </c>
      <c r="F251" s="31" t="n">
        <v>7227.1</v>
      </c>
      <c r="G251" s="31" t="n">
        <v>222.34</v>
      </c>
      <c r="H251" s="31" t="n">
        <v>-0.91</v>
      </c>
      <c r="I251" s="31" t="n">
        <v>2487065</v>
      </c>
      <c r="J251" s="31" t="inlineStr">
        <is>
          <t>532772</t>
        </is>
      </c>
    </row>
    <row r="252">
      <c r="A252" s="31" t="inlineStr">
        <is>
          <t>TECHM</t>
        </is>
      </c>
      <c r="B252" s="31" t="inlineStr">
        <is>
          <t>Tech Mahindra Limited</t>
        </is>
      </c>
      <c r="C252" s="31" t="inlineStr">
        <is>
          <t>i.t</t>
        </is>
      </c>
      <c r="D252" s="31" t="inlineStr">
        <is>
          <t>computers - software - large</t>
        </is>
      </c>
      <c r="E252" s="31" t="inlineStr">
        <is>
          <t>largecap</t>
        </is>
      </c>
      <c r="F252" s="31" t="n">
        <v>160533.49</v>
      </c>
      <c r="G252" s="31" t="n">
        <v>1623</v>
      </c>
      <c r="H252" s="31" t="n">
        <v>-0.92</v>
      </c>
      <c r="I252" s="31" t="n">
        <v>1508528</v>
      </c>
      <c r="J252" s="31" t="inlineStr">
        <is>
          <t>532755</t>
        </is>
      </c>
    </row>
    <row r="253">
      <c r="A253" s="31" t="inlineStr">
        <is>
          <t>VOLTAMP</t>
        </is>
      </c>
      <c r="B253" s="31" t="inlineStr">
        <is>
          <t>Voltamp Transformers Limited</t>
        </is>
      </c>
      <c r="C253" s="31" t="inlineStr">
        <is>
          <t>industrials</t>
        </is>
      </c>
      <c r="D253" s="31" t="inlineStr">
        <is>
          <t>electric equipment</t>
        </is>
      </c>
      <c r="E253" s="31" t="inlineStr">
        <is>
          <t>midcap</t>
        </is>
      </c>
      <c r="F253" s="31" t="n">
        <v>10908.28</v>
      </c>
      <c r="G253" s="31" t="n">
        <v>10682</v>
      </c>
      <c r="H253" s="31" t="n">
        <v>-0.93</v>
      </c>
      <c r="I253" s="31" t="n">
        <v>21874</v>
      </c>
      <c r="J253" s="31" t="inlineStr">
        <is>
          <t>532757</t>
        </is>
      </c>
    </row>
    <row r="254">
      <c r="A254" s="31" t="inlineStr">
        <is>
          <t>THELEELA</t>
        </is>
      </c>
      <c r="B254" s="31" t="inlineStr">
        <is>
          <t>Leela Palaces Hotels &amp; Resorts Ltd</t>
        </is>
      </c>
      <c r="C254" s="31" t="inlineStr">
        <is>
          <t>services</t>
        </is>
      </c>
      <c r="D254" s="31" t="inlineStr">
        <is>
          <t>hotels</t>
        </is>
      </c>
      <c r="E254" s="31" t="inlineStr">
        <is>
          <t>midcap</t>
        </is>
      </c>
      <c r="F254" s="31" t="n">
        <v>19214.27</v>
      </c>
      <c r="G254" s="31" t="n">
        <v>569.9</v>
      </c>
      <c r="H254" s="31" t="n">
        <v>-0.95</v>
      </c>
      <c r="I254" s="31" t="n">
        <v>151712</v>
      </c>
      <c r="J254" s="31" t="inlineStr">
        <is>
          <t>544408</t>
        </is>
      </c>
    </row>
    <row r="255">
      <c r="A255" s="31" t="inlineStr">
        <is>
          <t>SIGMAADV</t>
        </is>
      </c>
      <c r="B255" s="31" t="inlineStr">
        <is>
          <t>Sigma Advanced System Ltd</t>
        </is>
      </c>
      <c r="C255" s="31" t="inlineStr">
        <is>
          <t>aerospace &amp; defence</t>
        </is>
      </c>
      <c r="D255" s="31" t="inlineStr">
        <is>
          <t>electronics - components</t>
        </is>
      </c>
      <c r="E255" s="31" t="inlineStr">
        <is>
          <t>midcap</t>
        </is>
      </c>
      <c r="F255" s="31" t="n">
        <v>14789.23</v>
      </c>
      <c r="G255" s="31" t="n">
        <v>772.95</v>
      </c>
      <c r="H255" s="31" t="n">
        <v>-0.96</v>
      </c>
      <c r="I255" s="31" t="n">
        <v>169732</v>
      </c>
      <c r="J255" s="31" t="inlineStr">
        <is>
          <t>532408</t>
        </is>
      </c>
    </row>
    <row r="256">
      <c r="A256" s="31" t="inlineStr">
        <is>
          <t>QUADFUTURE</t>
        </is>
      </c>
      <c r="B256" s="31" t="inlineStr">
        <is>
          <t>Quadrant Future Tek Ltd</t>
        </is>
      </c>
      <c r="C256" s="31" t="inlineStr">
        <is>
          <t>industrials</t>
        </is>
      </c>
      <c r="D256" s="31" t="inlineStr">
        <is>
          <t>cables - power</t>
        </is>
      </c>
      <c r="E256" s="31" t="inlineStr">
        <is>
          <t>smallcap</t>
        </is>
      </c>
      <c r="F256" s="31" t="n">
        <v>1676.6</v>
      </c>
      <c r="G256" s="31" t="n">
        <v>415</v>
      </c>
      <c r="H256" s="31" t="n">
        <v>-0.99</v>
      </c>
      <c r="I256" s="31" t="n">
        <v>294548</v>
      </c>
      <c r="J256" s="31" t="inlineStr">
        <is>
          <t>544336</t>
        </is>
      </c>
    </row>
    <row r="257">
      <c r="A257" s="31" t="inlineStr">
        <is>
          <t>SVLL</t>
        </is>
      </c>
      <c r="B257" s="31" t="inlineStr">
        <is>
          <t>Shree Vasu Logistics Ltd</t>
        </is>
      </c>
      <c r="C257" s="31" t="inlineStr">
        <is>
          <t>transportation</t>
        </is>
      </c>
      <c r="D257" s="31" t="inlineStr">
        <is>
          <t>miscellaneous</t>
        </is>
      </c>
      <c r="E257" s="31" t="inlineStr">
        <is>
          <t>smallcap</t>
        </is>
      </c>
      <c r="F257" s="31" t="n">
        <v>936.85</v>
      </c>
      <c r="G257" s="31" t="n">
        <v>807</v>
      </c>
      <c r="H257" s="31" t="n">
        <v>-0.99</v>
      </c>
      <c r="I257" s="31" t="n">
        <v>2150</v>
      </c>
      <c r="J257" s="31" t="inlineStr">
        <is>
          <t>535084</t>
        </is>
      </c>
    </row>
    <row r="258">
      <c r="A258" s="31" t="inlineStr">
        <is>
          <t>UNIVCABLES</t>
        </is>
      </c>
      <c r="B258" s="31" t="inlineStr">
        <is>
          <t>Universal Cables Limited</t>
        </is>
      </c>
      <c r="C258" s="31" t="inlineStr">
        <is>
          <t>industrials</t>
        </is>
      </c>
      <c r="D258" s="31" t="inlineStr">
        <is>
          <t>cables - power</t>
        </is>
      </c>
      <c r="E258" s="31" t="inlineStr">
        <is>
          <t>midcap</t>
        </is>
      </c>
      <c r="F258" s="31" t="n">
        <v>5706</v>
      </c>
      <c r="G258" s="31" t="n">
        <v>1628</v>
      </c>
      <c r="H258" s="31" t="n">
        <v>-1.01</v>
      </c>
      <c r="I258" s="31" t="n">
        <v>87261</v>
      </c>
      <c r="J258" s="31" t="inlineStr">
        <is>
          <t>504212</t>
        </is>
      </c>
    </row>
    <row r="259">
      <c r="A259" s="31" t="inlineStr">
        <is>
          <t>MPHASIS</t>
        </is>
      </c>
      <c r="B259" s="31" t="inlineStr">
        <is>
          <t>Mphasis Limited</t>
        </is>
      </c>
      <c r="C259" s="31" t="inlineStr">
        <is>
          <t>i.t</t>
        </is>
      </c>
      <c r="D259" s="31" t="inlineStr">
        <is>
          <t>computers - software - large</t>
        </is>
      </c>
      <c r="E259" s="31" t="inlineStr">
        <is>
          <t>largecap</t>
        </is>
      </c>
      <c r="F259" s="31" t="n">
        <v>47823.26</v>
      </c>
      <c r="G259" s="31" t="n">
        <v>2480</v>
      </c>
      <c r="H259" s="31" t="n">
        <v>-1.02</v>
      </c>
      <c r="I259" s="31" t="n">
        <v>900566</v>
      </c>
      <c r="J259" s="31" t="inlineStr">
        <is>
          <t>526299</t>
        </is>
      </c>
    </row>
    <row r="260">
      <c r="A260" s="31" t="inlineStr">
        <is>
          <t>APLAPOLLO</t>
        </is>
      </c>
      <c r="B260" s="31" t="inlineStr">
        <is>
          <t>Apl Apollo Tubes Limited</t>
        </is>
      </c>
      <c r="C260" s="31" t="inlineStr">
        <is>
          <t>industrials</t>
        </is>
      </c>
      <c r="D260" s="31" t="inlineStr">
        <is>
          <t>steel - large</t>
        </is>
      </c>
      <c r="E260" s="31" t="inlineStr">
        <is>
          <t>largecap</t>
        </is>
      </c>
      <c r="F260" s="31" t="n">
        <v>62028.89</v>
      </c>
      <c r="G260" s="31" t="n">
        <v>2210</v>
      </c>
      <c r="H260" s="31" t="n">
        <v>-1.07</v>
      </c>
      <c r="I260" s="31" t="n">
        <v>786402</v>
      </c>
      <c r="J260" s="31" t="inlineStr">
        <is>
          <t>533758</t>
        </is>
      </c>
    </row>
    <row r="261">
      <c r="A261" s="31" t="inlineStr">
        <is>
          <t>NAVINFLUOR</t>
        </is>
      </c>
      <c r="B261" s="31" t="inlineStr">
        <is>
          <t>Navin Fluorine International Limited</t>
        </is>
      </c>
      <c r="C261" s="31" t="inlineStr">
        <is>
          <t>chemicals</t>
        </is>
      </c>
      <c r="D261" s="31" t="inlineStr">
        <is>
          <t>chemicals</t>
        </is>
      </c>
      <c r="E261" s="31" t="inlineStr">
        <is>
          <t>largecap</t>
        </is>
      </c>
      <c r="F261" s="31" t="n">
        <v>44295.04</v>
      </c>
      <c r="G261" s="31" t="n">
        <v>8542.5</v>
      </c>
      <c r="H261" s="31" t="n">
        <v>-1.08</v>
      </c>
      <c r="I261" s="31" t="n">
        <v>217819</v>
      </c>
      <c r="J261" s="31" t="inlineStr">
        <is>
          <t>532504</t>
        </is>
      </c>
    </row>
    <row r="262">
      <c r="A262" s="31" t="inlineStr">
        <is>
          <t>NITINSPIN</t>
        </is>
      </c>
      <c r="B262" s="31" t="inlineStr">
        <is>
          <t>Nitin Spinners Limited</t>
        </is>
      </c>
      <c r="C262" s="31" t="inlineStr">
        <is>
          <t>textiles</t>
        </is>
      </c>
      <c r="D262" s="31" t="inlineStr">
        <is>
          <t>textiles - cotton/blended</t>
        </is>
      </c>
      <c r="E262" s="31" t="inlineStr">
        <is>
          <t>smallcap</t>
        </is>
      </c>
      <c r="F262" s="31" t="n">
        <v>3546.08</v>
      </c>
      <c r="G262" s="31" t="n">
        <v>623.85</v>
      </c>
      <c r="H262" s="31" t="n">
        <v>-1.09</v>
      </c>
      <c r="I262" s="31" t="n">
        <v>103781</v>
      </c>
      <c r="J262" s="31" t="inlineStr">
        <is>
          <t>532698</t>
        </is>
      </c>
    </row>
    <row r="263">
      <c r="A263" s="31" t="inlineStr">
        <is>
          <t>IOLCP</t>
        </is>
      </c>
      <c r="B263" s="31" t="inlineStr">
        <is>
          <t>Iol Chemicals And Pharmaceuticals Limited</t>
        </is>
      </c>
      <c r="C263" s="31" t="inlineStr">
        <is>
          <t>healthcare</t>
        </is>
      </c>
      <c r="D263" s="31" t="inlineStr">
        <is>
          <t>pharmaceuticals - indian - bulk drugs &amp; formln</t>
        </is>
      </c>
      <c r="E263" s="31" t="inlineStr">
        <is>
          <t>midcap</t>
        </is>
      </c>
      <c r="F263" s="31" t="n">
        <v>5591.11</v>
      </c>
      <c r="G263" s="31" t="n">
        <v>188.38</v>
      </c>
      <c r="H263" s="31" t="n">
        <v>-1.1</v>
      </c>
      <c r="I263" s="31" t="n">
        <v>2248618</v>
      </c>
      <c r="J263" s="31" t="inlineStr">
        <is>
          <t>524164</t>
        </is>
      </c>
    </row>
    <row r="264">
      <c r="A264" s="31" t="inlineStr">
        <is>
          <t>AKUMS</t>
        </is>
      </c>
      <c r="B264" s="31" t="inlineStr">
        <is>
          <t>Akums Drugs &amp; Pharmaceuticals Ltd</t>
        </is>
      </c>
      <c r="C264" s="31" t="inlineStr">
        <is>
          <t>healthcare</t>
        </is>
      </c>
      <c r="D264" s="31" t="inlineStr">
        <is>
          <t>pharmaceuticals - indian - bulk drugs &amp; formln</t>
        </is>
      </c>
      <c r="E264" s="31" t="inlineStr">
        <is>
          <t>midcap</t>
        </is>
      </c>
      <c r="F264" s="31" t="n">
        <v>12261.78</v>
      </c>
      <c r="G264" s="31" t="n">
        <v>770.25</v>
      </c>
      <c r="H264" s="31" t="n">
        <v>-1.13</v>
      </c>
      <c r="I264" s="31" t="n">
        <v>750068</v>
      </c>
      <c r="J264" s="31" t="inlineStr">
        <is>
          <t>544222</t>
        </is>
      </c>
    </row>
    <row r="265">
      <c r="A265" s="31" t="inlineStr">
        <is>
          <t>WELINV</t>
        </is>
      </c>
      <c r="B265" s="31" t="inlineStr">
        <is>
          <t>Welspun Investments And Commercials Limited</t>
        </is>
      </c>
      <c r="C265" s="31" t="inlineStr">
        <is>
          <t>financials</t>
        </is>
      </c>
      <c r="D265" s="31" t="inlineStr">
        <is>
          <t>finance &amp; investments</t>
        </is>
      </c>
      <c r="E265" s="31" t="inlineStr">
        <is>
          <t>smallcap</t>
        </is>
      </c>
      <c r="F265" s="31" t="n">
        <v>793.0599999999999</v>
      </c>
      <c r="G265" s="31" t="n">
        <v>2145.1</v>
      </c>
      <c r="H265" s="31" t="n">
        <v>-1.15</v>
      </c>
      <c r="I265" s="31" t="n">
        <v>459</v>
      </c>
      <c r="J265" s="31" t="inlineStr">
        <is>
          <t>533252</t>
        </is>
      </c>
    </row>
    <row r="266">
      <c r="A266" s="31" t="inlineStr">
        <is>
          <t>COFORGE</t>
        </is>
      </c>
      <c r="B266" s="31" t="inlineStr">
        <is>
          <t>Coforge (Niit Tech) Ltd</t>
        </is>
      </c>
      <c r="C266" s="31" t="inlineStr">
        <is>
          <t>i.t</t>
        </is>
      </c>
      <c r="D266" s="31" t="inlineStr">
        <is>
          <t>computers - software - large</t>
        </is>
      </c>
      <c r="E266" s="31" t="inlineStr">
        <is>
          <t>largecap</t>
        </is>
      </c>
      <c r="F266" s="31" t="n">
        <v>88046.78</v>
      </c>
      <c r="G266" s="31" t="n">
        <v>1965.7</v>
      </c>
      <c r="H266" s="31" t="n">
        <v>-1.17</v>
      </c>
      <c r="I266" s="31" t="n">
        <v>1665060</v>
      </c>
      <c r="J266" s="31" t="inlineStr">
        <is>
          <t>532541</t>
        </is>
      </c>
    </row>
    <row r="267">
      <c r="A267" s="31" t="inlineStr">
        <is>
          <t>WELCORP</t>
        </is>
      </c>
      <c r="B267" s="31" t="inlineStr">
        <is>
          <t>Welspun Corp Limited</t>
        </is>
      </c>
      <c r="C267" s="31" t="inlineStr">
        <is>
          <t>industrials</t>
        </is>
      </c>
      <c r="D267" s="31" t="inlineStr">
        <is>
          <t>steel - large</t>
        </is>
      </c>
      <c r="E267" s="31" t="inlineStr">
        <is>
          <t>largecap</t>
        </is>
      </c>
      <c r="F267" s="31" t="n">
        <v>67361.58</v>
      </c>
      <c r="G267" s="31" t="n">
        <v>2523.5</v>
      </c>
      <c r="H267" s="31" t="n">
        <v>-1.18</v>
      </c>
      <c r="I267" s="31" t="n">
        <v>2258642</v>
      </c>
      <c r="J267" s="31" t="inlineStr">
        <is>
          <t>532144</t>
        </is>
      </c>
    </row>
    <row r="268">
      <c r="A268" s="31" t="inlineStr">
        <is>
          <t>LUMAXIND</t>
        </is>
      </c>
      <c r="B268" s="31" t="inlineStr">
        <is>
          <t>Lumax Industries Limited</t>
        </is>
      </c>
      <c r="C268" s="31" t="inlineStr">
        <is>
          <t>auto</t>
        </is>
      </c>
      <c r="D268" s="31" t="inlineStr">
        <is>
          <t>auto ancillaries</t>
        </is>
      </c>
      <c r="E268" s="31" t="inlineStr">
        <is>
          <t>midcap</t>
        </is>
      </c>
      <c r="F268" s="31" t="n">
        <v>6003.58</v>
      </c>
      <c r="G268" s="31" t="n">
        <v>6347</v>
      </c>
      <c r="H268" s="31" t="n">
        <v>-1.18</v>
      </c>
      <c r="I268" s="31" t="n">
        <v>38591</v>
      </c>
      <c r="J268" s="31" t="inlineStr">
        <is>
          <t>517206</t>
        </is>
      </c>
    </row>
    <row r="269">
      <c r="A269" s="31" t="inlineStr">
        <is>
          <t>VIJAYA</t>
        </is>
      </c>
      <c r="B269" s="31" t="inlineStr">
        <is>
          <t>Vijaya Diagnostic Centre Ltd</t>
        </is>
      </c>
      <c r="C269" s="31" t="inlineStr">
        <is>
          <t>healthcare</t>
        </is>
      </c>
      <c r="D269" s="31" t="inlineStr">
        <is>
          <t>healthcare</t>
        </is>
      </c>
      <c r="E269" s="31" t="inlineStr">
        <is>
          <t>midcap</t>
        </is>
      </c>
      <c r="F269" s="31" t="n">
        <v>15424.22</v>
      </c>
      <c r="G269" s="31" t="n">
        <v>1481.1</v>
      </c>
      <c r="H269" s="31" t="n">
        <v>-1.19</v>
      </c>
      <c r="I269" s="31" t="n">
        <v>146439</v>
      </c>
      <c r="J269" s="31" t="inlineStr">
        <is>
          <t>543350</t>
        </is>
      </c>
    </row>
    <row r="270">
      <c r="A270" s="31" t="inlineStr">
        <is>
          <t>CEIGALL</t>
        </is>
      </c>
      <c r="B270" s="31" t="inlineStr">
        <is>
          <t>Ceigall India Ltd</t>
        </is>
      </c>
      <c r="C270" s="31" t="inlineStr">
        <is>
          <t>realty</t>
        </is>
      </c>
      <c r="D270" s="31" t="inlineStr">
        <is>
          <t>construction</t>
        </is>
      </c>
      <c r="E270" s="31" t="inlineStr">
        <is>
          <t>midcap</t>
        </is>
      </c>
      <c r="F270" s="31" t="n">
        <v>6004.84</v>
      </c>
      <c r="G270" s="31" t="n">
        <v>340.6</v>
      </c>
      <c r="H270" s="31" t="n">
        <v>-1.19</v>
      </c>
      <c r="I270" s="31" t="n">
        <v>203190</v>
      </c>
      <c r="J270" s="31" t="inlineStr">
        <is>
          <t>544223</t>
        </is>
      </c>
    </row>
    <row r="271">
      <c r="A271" s="31" t="inlineStr">
        <is>
          <t>LMW</t>
        </is>
      </c>
      <c r="B271" s="31" t="inlineStr">
        <is>
          <t>LMW Ltd</t>
        </is>
      </c>
      <c r="C271" s="31" t="inlineStr">
        <is>
          <t>industrials</t>
        </is>
      </c>
      <c r="D271" s="31" t="inlineStr">
        <is>
          <t>textile machinery</t>
        </is>
      </c>
      <c r="E271" s="31" t="inlineStr">
        <is>
          <t>largecap</t>
        </is>
      </c>
      <c r="F271" s="31" t="n">
        <v>20309.45</v>
      </c>
      <c r="G271" s="31" t="n">
        <v>18783</v>
      </c>
      <c r="H271" s="31" t="n">
        <v>-1.2</v>
      </c>
      <c r="I271" s="31" t="n">
        <v>3472</v>
      </c>
      <c r="J271" s="31" t="inlineStr">
        <is>
          <t>500252</t>
        </is>
      </c>
    </row>
    <row r="272">
      <c r="A272" s="31" t="inlineStr">
        <is>
          <t>ENGINERSIN</t>
        </is>
      </c>
      <c r="B272" s="31" t="inlineStr">
        <is>
          <t>Engineers India Limited</t>
        </is>
      </c>
      <c r="C272" s="31" t="inlineStr">
        <is>
          <t>realty</t>
        </is>
      </c>
      <c r="D272" s="31" t="inlineStr">
        <is>
          <t>engineering - turnkey services</t>
        </is>
      </c>
      <c r="E272" s="31" t="inlineStr">
        <is>
          <t>midcap</t>
        </is>
      </c>
      <c r="F272" s="31" t="n">
        <v>15740</v>
      </c>
      <c r="G272" s="31" t="n">
        <v>276.6</v>
      </c>
      <c r="H272" s="31" t="n">
        <v>-1.23</v>
      </c>
      <c r="I272" s="31" t="n">
        <v>6781901</v>
      </c>
      <c r="J272" s="31" t="inlineStr">
        <is>
          <t>532178</t>
        </is>
      </c>
    </row>
    <row r="273">
      <c r="A273" s="31" t="inlineStr">
        <is>
          <t>WONDERLA</t>
        </is>
      </c>
      <c r="B273" s="31" t="inlineStr">
        <is>
          <t>Wonderla Holidays Limited</t>
        </is>
      </c>
      <c r="C273" s="31" t="inlineStr">
        <is>
          <t>media</t>
        </is>
      </c>
      <c r="D273" s="31" t="inlineStr">
        <is>
          <t>recreation / amusement parks</t>
        </is>
      </c>
      <c r="E273" s="31" t="inlineStr">
        <is>
          <t>smallcap</t>
        </is>
      </c>
      <c r="F273" s="31" t="n">
        <v>3402.51</v>
      </c>
      <c r="G273" s="31" t="n">
        <v>529.55</v>
      </c>
      <c r="H273" s="31" t="n">
        <v>-1.25</v>
      </c>
      <c r="I273" s="31" t="n">
        <v>66709</v>
      </c>
      <c r="J273" s="31" t="inlineStr">
        <is>
          <t>538268</t>
        </is>
      </c>
    </row>
    <row r="274">
      <c r="A274" s="31" t="inlineStr">
        <is>
          <t>DYCL</t>
        </is>
      </c>
      <c r="B274" s="31" t="inlineStr">
        <is>
          <t>Dynamic Cables Ltd</t>
        </is>
      </c>
      <c r="C274" s="31" t="inlineStr">
        <is>
          <t>industrials</t>
        </is>
      </c>
      <c r="D274" s="31" t="inlineStr">
        <is>
          <t>cables - power</t>
        </is>
      </c>
      <c r="E274" s="31" t="inlineStr">
        <is>
          <t>smallcap</t>
        </is>
      </c>
      <c r="F274" s="31" t="n">
        <v>2628.4</v>
      </c>
      <c r="G274" s="31" t="n">
        <v>535.55</v>
      </c>
      <c r="H274" s="31" t="n">
        <v>-1.26</v>
      </c>
      <c r="I274" s="31" t="n">
        <v>1090048</v>
      </c>
      <c r="J274" s="31" t="inlineStr">
        <is>
          <t>540795</t>
        </is>
      </c>
    </row>
    <row r="275">
      <c r="A275" s="31" t="inlineStr">
        <is>
          <t>GMMPFAUDLR</t>
        </is>
      </c>
      <c r="B275" s="31" t="inlineStr">
        <is>
          <t>GMM Pfaudler Ltd</t>
        </is>
      </c>
      <c r="C275" s="31" t="inlineStr">
        <is>
          <t>industrials</t>
        </is>
      </c>
      <c r="D275" s="31" t="inlineStr">
        <is>
          <t>engineering</t>
        </is>
      </c>
      <c r="E275" s="31" t="inlineStr">
        <is>
          <t>smallcap</t>
        </is>
      </c>
      <c r="F275" s="31" t="n">
        <v>4872.46</v>
      </c>
      <c r="G275" s="31" t="n">
        <v>1070</v>
      </c>
      <c r="H275" s="31" t="n">
        <v>-1.27</v>
      </c>
      <c r="I275" s="31" t="n">
        <v>167948</v>
      </c>
      <c r="J275" s="31" t="inlineStr">
        <is>
          <t>505255</t>
        </is>
      </c>
    </row>
    <row r="276">
      <c r="A276" s="31" t="inlineStr">
        <is>
          <t>TBOTEK</t>
        </is>
      </c>
      <c r="B276" s="31" t="inlineStr">
        <is>
          <t>TBO Tek Ltd</t>
        </is>
      </c>
      <c r="C276" s="31" t="inlineStr">
        <is>
          <t>i.t</t>
        </is>
      </c>
      <c r="D276" s="31" t="inlineStr">
        <is>
          <t>travel agencies</t>
        </is>
      </c>
      <c r="E276" s="31" t="inlineStr">
        <is>
          <t>midcap</t>
        </is>
      </c>
      <c r="F276" s="31" t="n">
        <v>18703.16</v>
      </c>
      <c r="G276" s="31" t="n">
        <v>1700</v>
      </c>
      <c r="H276" s="31" t="n">
        <v>-1.3</v>
      </c>
      <c r="I276" s="31" t="n">
        <v>156687</v>
      </c>
      <c r="J276" s="31" t="inlineStr">
        <is>
          <t>544174</t>
        </is>
      </c>
    </row>
    <row r="277">
      <c r="A277" s="31" t="inlineStr">
        <is>
          <t>SARLAPOLY</t>
        </is>
      </c>
      <c r="B277" s="31" t="inlineStr">
        <is>
          <t>Sarla Performance Fibers Limited</t>
        </is>
      </c>
      <c r="C277" s="31" t="inlineStr">
        <is>
          <t>textiles</t>
        </is>
      </c>
      <c r="D277" s="31" t="inlineStr">
        <is>
          <t>textiles - spinning - synthetic / blended</t>
        </is>
      </c>
      <c r="E277" s="31" t="inlineStr">
        <is>
          <t>smallcap</t>
        </is>
      </c>
      <c r="F277" s="31" t="n">
        <v>825.3200000000001</v>
      </c>
      <c r="G277" s="31" t="n">
        <v>102.46</v>
      </c>
      <c r="H277" s="31" t="n">
        <v>-1.3</v>
      </c>
      <c r="I277" s="31" t="n">
        <v>36715</v>
      </c>
      <c r="J277" s="31" t="inlineStr">
        <is>
          <t>526885</t>
        </is>
      </c>
    </row>
    <row r="278">
      <c r="A278" s="31" t="inlineStr">
        <is>
          <t>EBGNG</t>
        </is>
      </c>
      <c r="B278" s="31" t="inlineStr">
        <is>
          <t>GNG Electronics Ltd</t>
        </is>
      </c>
      <c r="C278" s="31" t="inlineStr">
        <is>
          <t>services</t>
        </is>
      </c>
      <c r="D278" s="31" t="inlineStr">
        <is>
          <t>trading</t>
        </is>
      </c>
      <c r="E278" s="31" t="inlineStr">
        <is>
          <t>midcap</t>
        </is>
      </c>
      <c r="F278" s="31" t="n">
        <v>7416.45</v>
      </c>
      <c r="G278" s="31" t="n">
        <v>641.8</v>
      </c>
      <c r="H278" s="31" t="n">
        <v>-1.34</v>
      </c>
      <c r="I278" s="31" t="n">
        <v>1248083</v>
      </c>
      <c r="J278" s="31" t="inlineStr">
        <is>
          <t>544455</t>
        </is>
      </c>
    </row>
    <row r="279">
      <c r="A279" s="31" t="inlineStr">
        <is>
          <t>ACMESOLAR</t>
        </is>
      </c>
      <c r="B279" s="31" t="inlineStr">
        <is>
          <t>ACME Solar Holdings Ltd</t>
        </is>
      </c>
      <c r="C279" s="31" t="inlineStr">
        <is>
          <t>realty</t>
        </is>
      </c>
      <c r="D279" s="31" t="inlineStr">
        <is>
          <t>engineering - turnkey services</t>
        </is>
      </c>
      <c r="E279" s="31" t="inlineStr">
        <is>
          <t>largecap</t>
        </is>
      </c>
      <c r="F279" s="31" t="n">
        <v>28536.52</v>
      </c>
      <c r="G279" s="31" t="n">
        <v>398.25</v>
      </c>
      <c r="H279" s="31" t="n">
        <v>-1.35</v>
      </c>
      <c r="I279" s="31" t="n">
        <v>2449655</v>
      </c>
      <c r="J279" s="31" t="inlineStr">
        <is>
          <t>544283</t>
        </is>
      </c>
    </row>
    <row r="280">
      <c r="A280" s="31" t="inlineStr">
        <is>
          <t>RACLGEAR</t>
        </is>
      </c>
      <c r="B280" s="31" t="inlineStr">
        <is>
          <t>RACL Geartech Ltd</t>
        </is>
      </c>
      <c r="C280" s="31" t="inlineStr">
        <is>
          <t>auto</t>
        </is>
      </c>
      <c r="D280" s="31" t="inlineStr">
        <is>
          <t>auto ancillaries</t>
        </is>
      </c>
      <c r="E280" s="31" t="inlineStr">
        <is>
          <t>smallcap</t>
        </is>
      </c>
      <c r="F280" s="31" t="n">
        <v>1812.89</v>
      </c>
      <c r="G280" s="31" t="n">
        <v>1516.6</v>
      </c>
      <c r="H280" s="31" t="n">
        <v>-1.39</v>
      </c>
      <c r="I280" s="31" t="n">
        <v>23651</v>
      </c>
      <c r="J280" s="31" t="inlineStr">
        <is>
          <t>520073</t>
        </is>
      </c>
    </row>
    <row r="281">
      <c r="A281" s="31" t="inlineStr">
        <is>
          <t>AVTNPL</t>
        </is>
      </c>
      <c r="B281" s="31" t="inlineStr">
        <is>
          <t>Avt Natural Products Limited</t>
        </is>
      </c>
      <c r="C281" s="31" t="inlineStr">
        <is>
          <t>fmcg</t>
        </is>
      </c>
      <c r="D281" s="31" t="inlineStr">
        <is>
          <t>solvent extraction</t>
        </is>
      </c>
      <c r="E281" s="31" t="inlineStr">
        <is>
          <t>smallcap</t>
        </is>
      </c>
      <c r="F281" s="31" t="n">
        <v>1346.34</v>
      </c>
      <c r="G281" s="31" t="n">
        <v>87.16</v>
      </c>
      <c r="H281" s="31" t="n">
        <v>-1.41</v>
      </c>
      <c r="I281" s="31" t="n">
        <v>99085</v>
      </c>
      <c r="J281" s="31" t="inlineStr">
        <is>
          <t>519105</t>
        </is>
      </c>
    </row>
    <row r="282">
      <c r="A282" s="31" t="inlineStr">
        <is>
          <t>AVADHSUGAR</t>
        </is>
      </c>
      <c r="B282" s="31" t="inlineStr">
        <is>
          <t>Avadh Sugar &amp; Energy</t>
        </is>
      </c>
      <c r="C282" s="31" t="inlineStr">
        <is>
          <t>fmcg</t>
        </is>
      </c>
      <c r="D282" s="31" t="inlineStr">
        <is>
          <t>sugar</t>
        </is>
      </c>
      <c r="E282" s="31" t="inlineStr">
        <is>
          <t>smallcap</t>
        </is>
      </c>
      <c r="F282" s="31" t="n">
        <v>1648.12</v>
      </c>
      <c r="G282" s="31" t="n">
        <v>811.7</v>
      </c>
      <c r="H282" s="31" t="n">
        <v>-1.41</v>
      </c>
      <c r="I282" s="31" t="n">
        <v>120202</v>
      </c>
      <c r="J282" s="31" t="inlineStr">
        <is>
          <t>540649</t>
        </is>
      </c>
    </row>
    <row r="283">
      <c r="A283" s="31" t="inlineStr">
        <is>
          <t>MMFL</t>
        </is>
      </c>
      <c r="B283" s="31" t="inlineStr">
        <is>
          <t>Mm Forgings Limited</t>
        </is>
      </c>
      <c r="C283" s="31" t="inlineStr">
        <is>
          <t>industrials</t>
        </is>
      </c>
      <c r="D283" s="31" t="inlineStr">
        <is>
          <t>castings &amp; forgings</t>
        </is>
      </c>
      <c r="E283" s="31" t="inlineStr">
        <is>
          <t>smallcap</t>
        </is>
      </c>
      <c r="F283" s="31" t="n">
        <v>3174.27</v>
      </c>
      <c r="G283" s="31" t="n">
        <v>648.05</v>
      </c>
      <c r="H283" s="31" t="n">
        <v>-1.43</v>
      </c>
      <c r="I283" s="31" t="n">
        <v>172249</v>
      </c>
      <c r="J283" s="31" t="inlineStr">
        <is>
          <t>522241</t>
        </is>
      </c>
    </row>
    <row r="284">
      <c r="A284" s="31" t="inlineStr">
        <is>
          <t>MACPOWER</t>
        </is>
      </c>
      <c r="B284" s="31" t="inlineStr">
        <is>
          <t>Macpower CNC Machines Ltd</t>
        </is>
      </c>
      <c r="C284" s="31" t="inlineStr">
        <is>
          <t>industrials</t>
        </is>
      </c>
      <c r="D284" s="31" t="inlineStr">
        <is>
          <t>engineering</t>
        </is>
      </c>
      <c r="E284" s="31" t="inlineStr">
        <is>
          <t>smallcap</t>
        </is>
      </c>
      <c r="F284" s="31" t="n">
        <v>1912.1</v>
      </c>
      <c r="G284" s="31" t="n">
        <v>1883.6</v>
      </c>
      <c r="H284" s="31" t="n">
        <v>-1.45</v>
      </c>
      <c r="I284" s="31" t="n">
        <v>30923</v>
      </c>
      <c r="J284" s="31" t="inlineStr">
        <is>
          <t>535057</t>
        </is>
      </c>
    </row>
    <row r="285">
      <c r="A285" s="31" t="inlineStr">
        <is>
          <t>JKPAPER</t>
        </is>
      </c>
      <c r="B285" s="31" t="inlineStr">
        <is>
          <t>Jk Paper Limited</t>
        </is>
      </c>
      <c r="C285" s="31" t="inlineStr">
        <is>
          <t>building materials</t>
        </is>
      </c>
      <c r="D285" s="31" t="inlineStr">
        <is>
          <t>paper</t>
        </is>
      </c>
      <c r="E285" s="31" t="inlineStr">
        <is>
          <t>midcap</t>
        </is>
      </c>
      <c r="F285" s="31" t="n">
        <v>7271.79</v>
      </c>
      <c r="G285" s="31" t="n">
        <v>395.2</v>
      </c>
      <c r="H285" s="31" t="n">
        <v>-1.46</v>
      </c>
      <c r="I285" s="31" t="n">
        <v>776388</v>
      </c>
      <c r="J285" s="31" t="inlineStr">
        <is>
          <t>532162</t>
        </is>
      </c>
    </row>
    <row r="286">
      <c r="A286" s="31" t="inlineStr">
        <is>
          <t>BAFNAPH</t>
        </is>
      </c>
      <c r="B286" s="31" t="inlineStr">
        <is>
          <t>Bafna Pharmaceuticals Ltd</t>
        </is>
      </c>
      <c r="C286" s="31" t="inlineStr">
        <is>
          <t>healthcare</t>
        </is>
      </c>
      <c r="D286" s="31" t="inlineStr">
        <is>
          <t>pharmaceuticals - indian - formulations</t>
        </is>
      </c>
      <c r="E286" s="31" t="inlineStr">
        <is>
          <t>smallcap</t>
        </is>
      </c>
      <c r="F286" s="31" t="n">
        <v>739.5</v>
      </c>
      <c r="G286" s="31" t="n">
        <v>308</v>
      </c>
      <c r="H286" s="31" t="n">
        <v>-1.47</v>
      </c>
      <c r="I286" s="31" t="n">
        <v>7525</v>
      </c>
      <c r="J286" s="31" t="inlineStr">
        <is>
          <t>532989</t>
        </is>
      </c>
    </row>
    <row r="287">
      <c r="A287" s="31" t="inlineStr">
        <is>
          <t>PVRINOX</t>
        </is>
      </c>
      <c r="B287" s="31" t="inlineStr">
        <is>
          <t>PVR Inox Ltd</t>
        </is>
      </c>
      <c r="C287" s="31" t="inlineStr">
        <is>
          <t>media</t>
        </is>
      </c>
      <c r="D287" s="31" t="inlineStr">
        <is>
          <t>entertainment / electronic media software</t>
        </is>
      </c>
      <c r="E287" s="31" t="inlineStr">
        <is>
          <t>midcap</t>
        </is>
      </c>
      <c r="F287" s="31" t="n">
        <v>12060.92</v>
      </c>
      <c r="G287" s="31" t="n">
        <v>1210</v>
      </c>
      <c r="H287" s="31" t="n">
        <v>-1.48</v>
      </c>
      <c r="I287" s="31" t="n">
        <v>311807</v>
      </c>
      <c r="J287" s="31" t="inlineStr">
        <is>
          <t>532689</t>
        </is>
      </c>
    </row>
    <row r="288">
      <c r="A288" s="31" t="inlineStr">
        <is>
          <t>BLSE</t>
        </is>
      </c>
      <c r="B288" s="31" t="inlineStr">
        <is>
          <t>BLS E-Services Ltd</t>
        </is>
      </c>
      <c r="C288" s="31" t="inlineStr">
        <is>
          <t>i.t</t>
        </is>
      </c>
      <c r="D288" s="31" t="inlineStr">
        <is>
          <t>computers - software - medium / small</t>
        </is>
      </c>
      <c r="E288" s="31" t="inlineStr">
        <is>
          <t>smallcap</t>
        </is>
      </c>
      <c r="F288" s="31" t="n">
        <v>2977.37</v>
      </c>
      <c r="G288" s="31" t="n">
        <v>322.85</v>
      </c>
      <c r="H288" s="31" t="n">
        <v>-1.48</v>
      </c>
      <c r="I288" s="31" t="n">
        <v>151988</v>
      </c>
      <c r="J288" s="31" t="inlineStr">
        <is>
          <t>544107</t>
        </is>
      </c>
    </row>
    <row r="289">
      <c r="A289" s="31" t="inlineStr">
        <is>
          <t>MANALIPETC</t>
        </is>
      </c>
      <c r="B289" s="31" t="inlineStr">
        <is>
          <t>Manali Petrochemicals Limited</t>
        </is>
      </c>
      <c r="C289" s="31" t="inlineStr">
        <is>
          <t>energy</t>
        </is>
      </c>
      <c r="D289" s="31" t="inlineStr">
        <is>
          <t>petrochemicals</t>
        </is>
      </c>
      <c r="E289" s="31" t="inlineStr">
        <is>
          <t>smallcap</t>
        </is>
      </c>
      <c r="F289" s="31" t="n">
        <v>1445.48</v>
      </c>
      <c r="G289" s="31" t="n">
        <v>82.76000000000001</v>
      </c>
      <c r="H289" s="31" t="n">
        <v>-1.52</v>
      </c>
      <c r="I289" s="31" t="n">
        <v>8290147</v>
      </c>
      <c r="J289" s="31" t="inlineStr">
        <is>
          <t>500268</t>
        </is>
      </c>
    </row>
    <row r="290">
      <c r="A290" s="31" t="inlineStr">
        <is>
          <t>GLAXO</t>
        </is>
      </c>
      <c r="B290" s="31" t="inlineStr">
        <is>
          <t>Glaxosmithkline Pharmaceuticals Limited</t>
        </is>
      </c>
      <c r="C290" s="31" t="inlineStr">
        <is>
          <t>healthcare</t>
        </is>
      </c>
      <c r="D290" s="31" t="inlineStr">
        <is>
          <t>pharmaceuticals - multinational</t>
        </is>
      </c>
      <c r="E290" s="31" t="inlineStr">
        <is>
          <t>largecap</t>
        </is>
      </c>
      <c r="F290" s="31" t="n">
        <v>50755.74</v>
      </c>
      <c r="G290" s="31" t="n">
        <v>2949.9</v>
      </c>
      <c r="H290" s="31" t="n">
        <v>-1.54</v>
      </c>
      <c r="I290" s="31" t="n">
        <v>59227</v>
      </c>
      <c r="J290" s="31" t="inlineStr">
        <is>
          <t>500660</t>
        </is>
      </c>
    </row>
    <row r="291">
      <c r="A291" s="31" t="inlineStr">
        <is>
          <t>IPCALAB</t>
        </is>
      </c>
      <c r="B291" s="31" t="inlineStr">
        <is>
          <t>Ipca Laboratories Limited</t>
        </is>
      </c>
      <c r="C291" s="31" t="inlineStr">
        <is>
          <t>healthcare</t>
        </is>
      </c>
      <c r="D291" s="31" t="inlineStr">
        <is>
          <t>pharmaceuticals - indian - bulk drugs &amp; formln</t>
        </is>
      </c>
      <c r="E291" s="31" t="inlineStr">
        <is>
          <t>largecap</t>
        </is>
      </c>
      <c r="F291" s="31" t="n">
        <v>50426.25</v>
      </c>
      <c r="G291" s="31" t="n">
        <v>1956.5</v>
      </c>
      <c r="H291" s="31" t="n">
        <v>-1.56</v>
      </c>
      <c r="I291" s="31" t="n">
        <v>161648</v>
      </c>
      <c r="J291" s="31" t="inlineStr">
        <is>
          <t>524494</t>
        </is>
      </c>
    </row>
    <row r="292">
      <c r="A292" s="31" t="inlineStr">
        <is>
          <t>UNIMECH</t>
        </is>
      </c>
      <c r="B292" s="31" t="inlineStr">
        <is>
          <t>Unimech Aerospace and Manufacturing Ltd</t>
        </is>
      </c>
      <c r="C292" s="31" t="inlineStr">
        <is>
          <t>aerospace &amp; defence</t>
        </is>
      </c>
      <c r="D292" s="31" t="inlineStr">
        <is>
          <t>engineering</t>
        </is>
      </c>
      <c r="E292" s="31" t="inlineStr">
        <is>
          <t>midcap</t>
        </is>
      </c>
      <c r="F292" s="31" t="n">
        <v>7501.9</v>
      </c>
      <c r="G292" s="31" t="n">
        <v>1451.9</v>
      </c>
      <c r="H292" s="31" t="n">
        <v>-1.57</v>
      </c>
      <c r="I292" s="31" t="n">
        <v>141142</v>
      </c>
      <c r="J292" s="31" t="inlineStr">
        <is>
          <t>544322</t>
        </is>
      </c>
    </row>
    <row r="293">
      <c r="A293" s="31" t="inlineStr">
        <is>
          <t>KINGFA</t>
        </is>
      </c>
      <c r="B293" s="31" t="inlineStr">
        <is>
          <t>Kingfa Science &amp; Technology (india) Limited</t>
        </is>
      </c>
      <c r="C293" s="31" t="inlineStr">
        <is>
          <t>plastic products</t>
        </is>
      </c>
      <c r="D293" s="31" t="inlineStr">
        <is>
          <t>plastics products</t>
        </is>
      </c>
      <c r="E293" s="31" t="inlineStr">
        <is>
          <t>midcap</t>
        </is>
      </c>
      <c r="F293" s="31" t="n">
        <v>8171.48</v>
      </c>
      <c r="G293" s="31" t="n">
        <v>5932</v>
      </c>
      <c r="H293" s="31" t="n">
        <v>-1.63</v>
      </c>
      <c r="I293" s="31" t="n">
        <v>5721</v>
      </c>
      <c r="J293" s="31" t="inlineStr">
        <is>
          <t>524019</t>
        </is>
      </c>
    </row>
    <row r="294">
      <c r="A294" s="31" t="inlineStr">
        <is>
          <t>UNIPARTS</t>
        </is>
      </c>
      <c r="B294" s="31" t="inlineStr">
        <is>
          <t>Uniparts India Ltd</t>
        </is>
      </c>
      <c r="C294" s="31" t="inlineStr">
        <is>
          <t>industrials</t>
        </is>
      </c>
      <c r="D294" s="31" t="inlineStr">
        <is>
          <t>engineering</t>
        </is>
      </c>
      <c r="E294" s="31" t="inlineStr">
        <is>
          <t>smallcap</t>
        </is>
      </c>
      <c r="F294" s="31" t="n">
        <v>4068.07</v>
      </c>
      <c r="G294" s="31" t="n">
        <v>886.35</v>
      </c>
      <c r="H294" s="31" t="n">
        <v>-1.64</v>
      </c>
      <c r="I294" s="31" t="n">
        <v>222773</v>
      </c>
      <c r="J294" s="31" t="inlineStr">
        <is>
          <t>543689</t>
        </is>
      </c>
    </row>
    <row r="295">
      <c r="A295" s="31" t="inlineStr">
        <is>
          <t>GUJTHEM</t>
        </is>
      </c>
      <c r="B295" s="31" t="inlineStr">
        <is>
          <t>Gujarat Themis Biosyn Ltd</t>
        </is>
      </c>
      <c r="C295" s="31" t="inlineStr">
        <is>
          <t>healthcare</t>
        </is>
      </c>
      <c r="D295" s="31" t="inlineStr">
        <is>
          <t>pharmaceuticals - indian - bulk drugs</t>
        </is>
      </c>
      <c r="E295" s="31" t="inlineStr">
        <is>
          <t>smallcap</t>
        </is>
      </c>
      <c r="F295" s="31" t="n">
        <v>4576</v>
      </c>
      <c r="G295" s="31" t="n">
        <v>413.05</v>
      </c>
      <c r="H295" s="31" t="n">
        <v>-1.64</v>
      </c>
      <c r="I295" s="31" t="n">
        <v>1719974</v>
      </c>
      <c r="J295" s="31" t="inlineStr">
        <is>
          <t>506879</t>
        </is>
      </c>
    </row>
    <row r="296">
      <c r="A296" s="31" t="inlineStr">
        <is>
          <t>APCOTEXIND</t>
        </is>
      </c>
      <c r="B296" s="31" t="inlineStr">
        <is>
          <t>Apcotex Industries Limited</t>
        </is>
      </c>
      <c r="C296" s="31" t="inlineStr">
        <is>
          <t>chemicals</t>
        </is>
      </c>
      <c r="D296" s="31" t="inlineStr">
        <is>
          <t>miscellaneous</t>
        </is>
      </c>
      <c r="E296" s="31" t="inlineStr">
        <is>
          <t>smallcap</t>
        </is>
      </c>
      <c r="F296" s="31" t="n">
        <v>3313.93</v>
      </c>
      <c r="G296" s="31" t="n">
        <v>628.65</v>
      </c>
      <c r="H296" s="31" t="n">
        <v>-1.65</v>
      </c>
      <c r="I296" s="31" t="n">
        <v>107750</v>
      </c>
      <c r="J296" s="31" t="inlineStr">
        <is>
          <t>523694</t>
        </is>
      </c>
    </row>
    <row r="297">
      <c r="A297" s="31" t="inlineStr">
        <is>
          <t>HINDOILEXP</t>
        </is>
      </c>
      <c r="B297" s="31" t="inlineStr">
        <is>
          <t>Hindustan Oil Exploration Company Limited</t>
        </is>
      </c>
      <c r="C297" s="31" t="inlineStr">
        <is>
          <t>energy</t>
        </is>
      </c>
      <c r="D297" s="31" t="inlineStr">
        <is>
          <t>oil drilling / allied services</t>
        </is>
      </c>
      <c r="E297" s="31" t="inlineStr">
        <is>
          <t>smallcap</t>
        </is>
      </c>
      <c r="F297" s="31" t="n">
        <v>2234.91</v>
      </c>
      <c r="G297" s="31" t="n">
        <v>166.18</v>
      </c>
      <c r="H297" s="31" t="n">
        <v>-1.67</v>
      </c>
      <c r="I297" s="31" t="n">
        <v>551626</v>
      </c>
      <c r="J297" s="31" t="inlineStr">
        <is>
          <t>500186</t>
        </is>
      </c>
    </row>
    <row r="298">
      <c r="A298" s="31" t="inlineStr">
        <is>
          <t>SUBEXLTD</t>
        </is>
      </c>
      <c r="B298" s="31" t="inlineStr">
        <is>
          <t>Subex Ltd</t>
        </is>
      </c>
      <c r="C298" s="31" t="inlineStr">
        <is>
          <t>i.t</t>
        </is>
      </c>
      <c r="D298" s="31" t="inlineStr">
        <is>
          <t>computers - software - medium / small</t>
        </is>
      </c>
      <c r="E298" s="31" t="inlineStr">
        <is>
          <t>smallcap</t>
        </is>
      </c>
      <c r="F298" s="31" t="n">
        <v>1004.86</v>
      </c>
      <c r="G298" s="31" t="n">
        <v>17.57</v>
      </c>
      <c r="H298" s="31" t="n">
        <v>-1.73</v>
      </c>
      <c r="I298" s="31" t="n">
        <v>1683676</v>
      </c>
      <c r="J298" s="31" t="inlineStr">
        <is>
          <t>532348</t>
        </is>
      </c>
    </row>
    <row r="299">
      <c r="A299" s="31" t="inlineStr">
        <is>
          <t>SMLMAH</t>
        </is>
      </c>
      <c r="B299" s="31" t="inlineStr">
        <is>
          <t>SML Mahindra Ltd</t>
        </is>
      </c>
      <c r="C299" s="31" t="inlineStr">
        <is>
          <t>auto</t>
        </is>
      </c>
      <c r="D299" s="31" t="inlineStr">
        <is>
          <t>automobiles - lcvs / hcvs</t>
        </is>
      </c>
      <c r="E299" s="31" t="inlineStr">
        <is>
          <t>midcap</t>
        </is>
      </c>
      <c r="F299" s="31" t="n">
        <v>7832.78</v>
      </c>
      <c r="G299" s="31" t="n">
        <v>5318.5</v>
      </c>
      <c r="H299" s="31" t="n">
        <v>-1.74</v>
      </c>
      <c r="I299" s="31" t="n">
        <v>157903</v>
      </c>
      <c r="J299" s="31" t="inlineStr">
        <is>
          <t>505192</t>
        </is>
      </c>
    </row>
    <row r="300">
      <c r="A300" s="31" t="inlineStr">
        <is>
          <t>MUNJALAU</t>
        </is>
      </c>
      <c r="B300" s="31" t="inlineStr">
        <is>
          <t>Munjal Auto Industries Limited</t>
        </is>
      </c>
      <c r="C300" s="31" t="inlineStr">
        <is>
          <t>auto</t>
        </is>
      </c>
      <c r="D300" s="31" t="inlineStr">
        <is>
          <t>auto ancillaries</t>
        </is>
      </c>
      <c r="E300" s="31" t="inlineStr">
        <is>
          <t>smallcap</t>
        </is>
      </c>
      <c r="F300" s="31" t="n">
        <v>1154.6</v>
      </c>
      <c r="G300" s="31" t="n">
        <v>113.44</v>
      </c>
      <c r="H300" s="31" t="n">
        <v>-1.75</v>
      </c>
      <c r="I300" s="31" t="n">
        <v>386696</v>
      </c>
      <c r="J300" s="31" t="inlineStr">
        <is>
          <t>520059</t>
        </is>
      </c>
    </row>
    <row r="301">
      <c r="A301" s="31" t="inlineStr">
        <is>
          <t>APOLLOPIPE</t>
        </is>
      </c>
      <c r="B301" s="31" t="inlineStr">
        <is>
          <t>Apollo Pipes Ltd</t>
        </is>
      </c>
      <c r="C301" s="31" t="inlineStr">
        <is>
          <t>plastic products</t>
        </is>
      </c>
      <c r="D301" s="31" t="inlineStr">
        <is>
          <t>plastics products</t>
        </is>
      </c>
      <c r="E301" s="31" t="inlineStr">
        <is>
          <t>smallcap</t>
        </is>
      </c>
      <c r="F301" s="31" t="n">
        <v>2686.28</v>
      </c>
      <c r="G301" s="31" t="n">
        <v>599.05</v>
      </c>
      <c r="H301" s="31" t="n">
        <v>-1.77</v>
      </c>
      <c r="I301" s="31" t="n">
        <v>159504</v>
      </c>
      <c r="J301" s="31" t="inlineStr">
        <is>
          <t>531761</t>
        </is>
      </c>
    </row>
    <row r="302">
      <c r="A302" s="31" t="inlineStr">
        <is>
          <t>RATNAVEER</t>
        </is>
      </c>
      <c r="B302" s="31" t="inlineStr">
        <is>
          <t>Ratnaveer Precision Engineering Ltd</t>
        </is>
      </c>
      <c r="C302" s="31" t="inlineStr">
        <is>
          <t>metals &amp; mining</t>
        </is>
      </c>
      <c r="D302" s="31" t="inlineStr">
        <is>
          <t>steel - medium / small</t>
        </is>
      </c>
      <c r="E302" s="31" t="inlineStr">
        <is>
          <t>smallcap</t>
        </is>
      </c>
      <c r="F302" s="31" t="n">
        <v>2081.02</v>
      </c>
      <c r="G302" s="31" t="n">
        <v>286.15</v>
      </c>
      <c r="H302" s="31" t="n">
        <v>-1.78</v>
      </c>
      <c r="I302" s="31" t="n">
        <v>1974512</v>
      </c>
      <c r="J302" s="31" t="inlineStr">
        <is>
          <t>543978</t>
        </is>
      </c>
    </row>
    <row r="303">
      <c r="A303" s="31" t="inlineStr">
        <is>
          <t>ALIVUS</t>
        </is>
      </c>
      <c r="B303" s="31" t="inlineStr">
        <is>
          <t>Alivus Life Sciences Ltd</t>
        </is>
      </c>
      <c r="C303" s="31" t="inlineStr">
        <is>
          <t>healthcare</t>
        </is>
      </c>
      <c r="D303" s="31" t="inlineStr">
        <is>
          <t>pharmaceuticals - indian - bulk drugs &amp; formln</t>
        </is>
      </c>
      <c r="E303" s="31" t="inlineStr">
        <is>
          <t>midcap</t>
        </is>
      </c>
      <c r="F303" s="31" t="n">
        <v>17719.45</v>
      </c>
      <c r="G303" s="31" t="n">
        <v>1417.9</v>
      </c>
      <c r="H303" s="31" t="n">
        <v>-1.79</v>
      </c>
      <c r="I303" s="31" t="n">
        <v>561531</v>
      </c>
      <c r="J303" s="31" t="inlineStr">
        <is>
          <t>543322</t>
        </is>
      </c>
    </row>
    <row r="304">
      <c r="A304" s="31" t="inlineStr">
        <is>
          <t>TVSSRICHAK</t>
        </is>
      </c>
      <c r="B304" s="31" t="inlineStr">
        <is>
          <t>Tvs Srichakra Limited</t>
        </is>
      </c>
      <c r="C304" s="31" t="inlineStr">
        <is>
          <t>auto</t>
        </is>
      </c>
      <c r="D304" s="31" t="inlineStr">
        <is>
          <t>tyres</t>
        </is>
      </c>
      <c r="E304" s="31" t="inlineStr">
        <is>
          <t>smallcap</t>
        </is>
      </c>
      <c r="F304" s="31" t="n">
        <v>4230.9</v>
      </c>
      <c r="G304" s="31" t="n">
        <v>5426</v>
      </c>
      <c r="H304" s="31" t="n">
        <v>-1.8</v>
      </c>
      <c r="I304" s="31" t="n">
        <v>15811</v>
      </c>
      <c r="J304" s="31" t="inlineStr">
        <is>
          <t>509243</t>
        </is>
      </c>
    </row>
    <row r="305">
      <c r="A305" s="31" t="inlineStr">
        <is>
          <t>SPORTKING</t>
        </is>
      </c>
      <c r="B305" s="31" t="inlineStr">
        <is>
          <t>Sportking India Ltd</t>
        </is>
      </c>
      <c r="C305" s="31" t="inlineStr">
        <is>
          <t>textiles</t>
        </is>
      </c>
      <c r="D305" s="31" t="inlineStr">
        <is>
          <t>textiles - spinning - synthetic / blended</t>
        </is>
      </c>
      <c r="E305" s="31" t="inlineStr">
        <is>
          <t>smallcap</t>
        </is>
      </c>
      <c r="F305" s="31" t="n">
        <v>2921.51</v>
      </c>
      <c r="G305" s="31" t="n">
        <v>225.74</v>
      </c>
      <c r="H305" s="31" t="n">
        <v>-1.81</v>
      </c>
      <c r="I305" s="31" t="n">
        <v>306220</v>
      </c>
      <c r="J305" s="31" t="inlineStr">
        <is>
          <t>539221</t>
        </is>
      </c>
    </row>
    <row r="306">
      <c r="A306" s="31" t="inlineStr">
        <is>
          <t>INDORAMA</t>
        </is>
      </c>
      <c r="B306" s="31" t="inlineStr">
        <is>
          <t>Indo Rama Synthetics (india) Limited</t>
        </is>
      </c>
      <c r="C306" s="31" t="inlineStr">
        <is>
          <t>textiles</t>
        </is>
      </c>
      <c r="D306" s="31" t="inlineStr">
        <is>
          <t>textiles - manmade</t>
        </is>
      </c>
      <c r="E306" s="31" t="inlineStr">
        <is>
          <t>smallcap</t>
        </is>
      </c>
      <c r="F306" s="31" t="n">
        <v>1775.83</v>
      </c>
      <c r="G306" s="31" t="n">
        <v>66.77</v>
      </c>
      <c r="H306" s="31" t="n">
        <v>-1.82</v>
      </c>
      <c r="I306" s="31" t="n">
        <v>435143</v>
      </c>
      <c r="J306" s="31" t="inlineStr">
        <is>
          <t>500207</t>
        </is>
      </c>
    </row>
    <row r="307">
      <c r="A307" s="31" t="inlineStr">
        <is>
          <t>LOKESHMACH</t>
        </is>
      </c>
      <c r="B307" s="31" t="inlineStr">
        <is>
          <t>Lokesh Machines Limited</t>
        </is>
      </c>
      <c r="C307" s="31" t="inlineStr">
        <is>
          <t>industrials</t>
        </is>
      </c>
      <c r="D307" s="31" t="inlineStr">
        <is>
          <t>engineering</t>
        </is>
      </c>
      <c r="E307" s="31" t="inlineStr">
        <is>
          <t>smallcap</t>
        </is>
      </c>
      <c r="F307" s="31" t="n">
        <v>754.71</v>
      </c>
      <c r="G307" s="31" t="n">
        <v>339.9</v>
      </c>
      <c r="H307" s="31" t="n">
        <v>-1.83</v>
      </c>
      <c r="I307" s="31" t="n">
        <v>25446</v>
      </c>
      <c r="J307" s="31" t="inlineStr">
        <is>
          <t>532740</t>
        </is>
      </c>
    </row>
    <row r="308">
      <c r="A308" s="31" t="inlineStr">
        <is>
          <t>CUB</t>
        </is>
      </c>
      <c r="B308" s="31" t="inlineStr">
        <is>
          <t>City Union Bank Limited</t>
        </is>
      </c>
      <c r="C308" s="31" t="inlineStr">
        <is>
          <t>bank</t>
        </is>
      </c>
      <c r="D308" s="31" t="inlineStr">
        <is>
          <t>banks - private sector</t>
        </is>
      </c>
      <c r="E308" s="31" t="inlineStr">
        <is>
          <t>largecap</t>
        </is>
      </c>
      <c r="F308" s="31" t="n">
        <v>23282.51</v>
      </c>
      <c r="G308" s="31" t="n">
        <v>230.61</v>
      </c>
      <c r="H308" s="31" t="n">
        <v>-1.86</v>
      </c>
      <c r="I308" s="31" t="n">
        <v>2227407</v>
      </c>
      <c r="J308" s="31" t="inlineStr">
        <is>
          <t>532210</t>
        </is>
      </c>
    </row>
    <row r="309">
      <c r="A309" s="31" t="inlineStr">
        <is>
          <t>BAJAJ-AUTO</t>
        </is>
      </c>
      <c r="B309" s="31" t="inlineStr">
        <is>
          <t>Bajaj Auto Limited</t>
        </is>
      </c>
      <c r="C309" s="31" t="inlineStr">
        <is>
          <t>auto</t>
        </is>
      </c>
      <c r="D309" s="31" t="inlineStr">
        <is>
          <t>automobiles - scooters and 3 - wheelers</t>
        </is>
      </c>
      <c r="E309" s="31" t="inlineStr">
        <is>
          <t>largecap</t>
        </is>
      </c>
      <c r="F309" s="31" t="n">
        <v>345487.28</v>
      </c>
      <c r="G309" s="31" t="n">
        <v>12130</v>
      </c>
      <c r="H309" s="31" t="n">
        <v>-1.87</v>
      </c>
      <c r="I309" s="31" t="n">
        <v>333619</v>
      </c>
      <c r="J309" s="31" t="inlineStr">
        <is>
          <t>532977</t>
        </is>
      </c>
    </row>
    <row r="310">
      <c r="A310" s="31" t="inlineStr">
        <is>
          <t>PERSISTENT</t>
        </is>
      </c>
      <c r="B310" s="31" t="inlineStr">
        <is>
          <t>Persistent Systems Limited</t>
        </is>
      </c>
      <c r="C310" s="31" t="inlineStr">
        <is>
          <t>i.t</t>
        </is>
      </c>
      <c r="D310" s="31" t="inlineStr">
        <is>
          <t>computers - software - large</t>
        </is>
      </c>
      <c r="E310" s="31" t="inlineStr">
        <is>
          <t>largecap</t>
        </is>
      </c>
      <c r="F310" s="31" t="n">
        <v>91495</v>
      </c>
      <c r="G310" s="31" t="n">
        <v>5690</v>
      </c>
      <c r="H310" s="31" t="n">
        <v>-1.9</v>
      </c>
      <c r="I310" s="31" t="n">
        <v>610391</v>
      </c>
      <c r="J310" s="31" t="inlineStr">
        <is>
          <t>533179</t>
        </is>
      </c>
    </row>
    <row r="311">
      <c r="A311" s="31" t="inlineStr">
        <is>
          <t>INDOBORAX</t>
        </is>
      </c>
      <c r="B311" s="31" t="inlineStr">
        <is>
          <t>Indo Borax &amp; Chemicals Ltd</t>
        </is>
      </c>
      <c r="C311" s="31" t="inlineStr">
        <is>
          <t>chemicals</t>
        </is>
      </c>
      <c r="D311" s="31" t="inlineStr">
        <is>
          <t>chemicals</t>
        </is>
      </c>
      <c r="E311" s="31" t="inlineStr">
        <is>
          <t>smallcap</t>
        </is>
      </c>
      <c r="F311" s="31" t="n">
        <v>1656</v>
      </c>
      <c r="G311" s="31" t="n">
        <v>506.15</v>
      </c>
      <c r="H311" s="31" t="n">
        <v>-1.92</v>
      </c>
      <c r="I311" s="31" t="n">
        <v>129523</v>
      </c>
      <c r="J311" s="31" t="inlineStr">
        <is>
          <t>524342</t>
        </is>
      </c>
    </row>
    <row r="312">
      <c r="A312" s="31" t="inlineStr">
        <is>
          <t>DIVGIITTS</t>
        </is>
      </c>
      <c r="B312" s="31" t="inlineStr">
        <is>
          <t>Divgi Torqtransfer Systems Ltd</t>
        </is>
      </c>
      <c r="C312" s="31" t="inlineStr">
        <is>
          <t>auto</t>
        </is>
      </c>
      <c r="D312" s="31" t="inlineStr">
        <is>
          <t>auto ancillaries</t>
        </is>
      </c>
      <c r="E312" s="31" t="inlineStr">
        <is>
          <t>smallcap</t>
        </is>
      </c>
      <c r="F312" s="31" t="n">
        <v>3880.36</v>
      </c>
      <c r="G312" s="31" t="n">
        <v>1244.4</v>
      </c>
      <c r="H312" s="31" t="n">
        <v>-1.92</v>
      </c>
      <c r="I312" s="31" t="n">
        <v>122025</v>
      </c>
      <c r="J312" s="31" t="inlineStr">
        <is>
          <t>543812</t>
        </is>
      </c>
    </row>
    <row r="313">
      <c r="A313" s="31" t="inlineStr">
        <is>
          <t>FOSECOIND</t>
        </is>
      </c>
      <c r="B313" s="31" t="inlineStr">
        <is>
          <t>Foseco India Limited</t>
        </is>
      </c>
      <c r="C313" s="31" t="inlineStr">
        <is>
          <t>chemicals</t>
        </is>
      </c>
      <c r="D313" s="31" t="inlineStr">
        <is>
          <t>chemicals</t>
        </is>
      </c>
      <c r="E313" s="31" t="inlineStr">
        <is>
          <t>smallcap</t>
        </is>
      </c>
      <c r="F313" s="31" t="n">
        <v>4754.88</v>
      </c>
      <c r="G313" s="31" t="n">
        <v>6183</v>
      </c>
      <c r="H313" s="31" t="n">
        <v>-1.99</v>
      </c>
      <c r="I313" s="31" t="n">
        <v>12329</v>
      </c>
      <c r="J313" s="31" t="inlineStr">
        <is>
          <t>500150</t>
        </is>
      </c>
    </row>
    <row r="314">
      <c r="A314" s="31" t="inlineStr">
        <is>
          <t>FMGOETZE</t>
        </is>
      </c>
      <c r="B314" s="31" t="inlineStr">
        <is>
          <t>Federal-mogul Goetze (india) Limited.</t>
        </is>
      </c>
      <c r="C314" s="31" t="inlineStr">
        <is>
          <t>auto</t>
        </is>
      </c>
      <c r="D314" s="31" t="inlineStr">
        <is>
          <t>auto ancillaries</t>
        </is>
      </c>
      <c r="E314" s="31" t="inlineStr">
        <is>
          <t>smallcap</t>
        </is>
      </c>
      <c r="F314" s="31" t="n">
        <v>3476.17</v>
      </c>
      <c r="G314" s="31" t="n">
        <v>612.4</v>
      </c>
      <c r="H314" s="31" t="n">
        <v>-1.99</v>
      </c>
      <c r="I314" s="31" t="n">
        <v>1528240</v>
      </c>
      <c r="J314" s="31" t="inlineStr">
        <is>
          <t>505744</t>
        </is>
      </c>
    </row>
    <row r="315">
      <c r="A315" s="31" t="inlineStr">
        <is>
          <t>E2E</t>
        </is>
      </c>
      <c r="B315" s="31" t="inlineStr">
        <is>
          <t>E2E Networks Ltd</t>
        </is>
      </c>
      <c r="C315" s="31" t="inlineStr">
        <is>
          <t>i.t</t>
        </is>
      </c>
      <c r="D315" s="31" t="inlineStr">
        <is>
          <t>computers - software - medium / small</t>
        </is>
      </c>
      <c r="E315" s="31" t="inlineStr">
        <is>
          <t>midcap</t>
        </is>
      </c>
      <c r="F315" s="31" t="n">
        <v>12763.52</v>
      </c>
      <c r="G315" s="31" t="n">
        <v>608.45</v>
      </c>
      <c r="H315" s="31" t="n">
        <v>-2.01</v>
      </c>
      <c r="I315" s="31" t="n">
        <v>626317</v>
      </c>
      <c r="J315" s="31" t="inlineStr">
        <is>
          <t>535080</t>
        </is>
      </c>
    </row>
    <row r="316">
      <c r="A316" s="31" t="inlineStr">
        <is>
          <t>AEROENTER</t>
        </is>
      </c>
      <c r="B316" s="31" t="inlineStr">
        <is>
          <t>Aeroflex Enterprises Ltd</t>
        </is>
      </c>
      <c r="C316" s="31" t="inlineStr">
        <is>
          <t>metals &amp; mining</t>
        </is>
      </c>
      <c r="D316" s="31" t="inlineStr">
        <is>
          <t>steel - medium / small</t>
        </is>
      </c>
      <c r="E316" s="31" t="inlineStr">
        <is>
          <t>smallcap</t>
        </is>
      </c>
      <c r="F316" s="31" t="n">
        <v>1622.66</v>
      </c>
      <c r="G316" s="31" t="n">
        <v>140.46</v>
      </c>
      <c r="H316" s="31" t="n">
        <v>-2.04</v>
      </c>
      <c r="I316" s="31" t="n">
        <v>413196</v>
      </c>
      <c r="J316" s="31" t="inlineStr">
        <is>
          <t>511076</t>
        </is>
      </c>
    </row>
    <row r="317">
      <c r="A317" s="31" t="inlineStr">
        <is>
          <t>AEROFLEX</t>
        </is>
      </c>
      <c r="B317" s="31" t="inlineStr">
        <is>
          <t>Aeroflex Industries Ltd</t>
        </is>
      </c>
      <c r="C317" s="31" t="inlineStr">
        <is>
          <t>metals &amp; mining</t>
        </is>
      </c>
      <c r="D317" s="31" t="inlineStr">
        <is>
          <t>steel - medium / small</t>
        </is>
      </c>
      <c r="E317" s="31" t="inlineStr">
        <is>
          <t>midcap</t>
        </is>
      </c>
      <c r="F317" s="31" t="n">
        <v>7305.32</v>
      </c>
      <c r="G317" s="31" t="n">
        <v>540.75</v>
      </c>
      <c r="H317" s="31" t="n">
        <v>-2.05</v>
      </c>
      <c r="I317" s="31" t="n">
        <v>1124008</v>
      </c>
      <c r="J317" s="31" t="inlineStr">
        <is>
          <t>543972</t>
        </is>
      </c>
    </row>
    <row r="318">
      <c r="A318" s="31" t="inlineStr">
        <is>
          <t>AZAD</t>
        </is>
      </c>
      <c r="B318" s="31" t="inlineStr">
        <is>
          <t>Azad Engineering Ltd</t>
        </is>
      </c>
      <c r="C318" s="31" t="inlineStr">
        <is>
          <t>aerospace &amp; defence</t>
        </is>
      </c>
      <c r="D318" s="31" t="inlineStr">
        <is>
          <t>engineering</t>
        </is>
      </c>
      <c r="E318" s="31" t="inlineStr">
        <is>
          <t>midcap</t>
        </is>
      </c>
      <c r="F318" s="31" t="n">
        <v>18368.99</v>
      </c>
      <c r="G318" s="31" t="n">
        <v>2785.8</v>
      </c>
      <c r="H318" s="31" t="n">
        <v>-2.06</v>
      </c>
      <c r="I318" s="31" t="n">
        <v>254104</v>
      </c>
      <c r="J318" s="31" t="inlineStr">
        <is>
          <t>544061</t>
        </is>
      </c>
    </row>
    <row r="319">
      <c r="A319" s="31" t="inlineStr">
        <is>
          <t>SSWL</t>
        </is>
      </c>
      <c r="B319" s="31" t="inlineStr">
        <is>
          <t>Steel Strips Wheels Limited</t>
        </is>
      </c>
      <c r="C319" s="31" t="inlineStr">
        <is>
          <t>auto</t>
        </is>
      </c>
      <c r="D319" s="31" t="inlineStr">
        <is>
          <t>auto ancillaries</t>
        </is>
      </c>
      <c r="E319" s="31" t="inlineStr">
        <is>
          <t>midcap</t>
        </is>
      </c>
      <c r="F319" s="31" t="n">
        <v>5615.27</v>
      </c>
      <c r="G319" s="31" t="n">
        <v>349.7</v>
      </c>
      <c r="H319" s="31" t="n">
        <v>-2.11</v>
      </c>
      <c r="I319" s="31" t="n">
        <v>4499959</v>
      </c>
      <c r="J319" s="31" t="inlineStr">
        <is>
          <t>513262</t>
        </is>
      </c>
    </row>
    <row r="320">
      <c r="A320" s="31" t="inlineStr">
        <is>
          <t>EDELWEISS</t>
        </is>
      </c>
      <c r="B320" s="31" t="inlineStr">
        <is>
          <t>Edelweiss Financial Services Limited</t>
        </is>
      </c>
      <c r="C320" s="31" t="inlineStr">
        <is>
          <t>financials</t>
        </is>
      </c>
      <c r="D320" s="31" t="inlineStr">
        <is>
          <t>finance &amp; investments</t>
        </is>
      </c>
      <c r="E320" s="31" t="inlineStr">
        <is>
          <t>midcap</t>
        </is>
      </c>
      <c r="F320" s="31" t="n">
        <v>12204.58</v>
      </c>
      <c r="G320" s="31" t="n">
        <v>126.18</v>
      </c>
      <c r="H320" s="31" t="n">
        <v>-2.14</v>
      </c>
      <c r="I320" s="31" t="n">
        <v>5705746</v>
      </c>
      <c r="J320" s="31" t="inlineStr">
        <is>
          <t>532922</t>
        </is>
      </c>
    </row>
    <row r="321">
      <c r="A321" s="31" t="inlineStr">
        <is>
          <t>QPOWER</t>
        </is>
      </c>
      <c r="B321" s="31" t="inlineStr">
        <is>
          <t>Quality Power Electrical Equipments Ltd</t>
        </is>
      </c>
      <c r="C321" s="31" t="inlineStr">
        <is>
          <t>industrials</t>
        </is>
      </c>
      <c r="D321" s="31" t="inlineStr">
        <is>
          <t>electric equipment</t>
        </is>
      </c>
      <c r="E321" s="31" t="inlineStr">
        <is>
          <t>midcap</t>
        </is>
      </c>
      <c r="F321" s="31" t="n">
        <v>11523.68</v>
      </c>
      <c r="G321" s="31" t="n">
        <v>1455.6</v>
      </c>
      <c r="H321" s="31" t="n">
        <v>-2.18</v>
      </c>
      <c r="I321" s="31" t="n">
        <v>190928</v>
      </c>
      <c r="J321" s="31" t="inlineStr">
        <is>
          <t>544367</t>
        </is>
      </c>
    </row>
    <row r="322">
      <c r="A322" s="31" t="inlineStr">
        <is>
          <t>ARTEMISMED</t>
        </is>
      </c>
      <c r="B322" s="31" t="inlineStr">
        <is>
          <t>Artemis Medicare Services Ltd</t>
        </is>
      </c>
      <c r="C322" s="31" t="inlineStr">
        <is>
          <t>healthcare</t>
        </is>
      </c>
      <c r="D322" s="31" t="inlineStr">
        <is>
          <t>healthcare</t>
        </is>
      </c>
      <c r="E322" s="31" t="inlineStr">
        <is>
          <t>midcap</t>
        </is>
      </c>
      <c r="F322" s="31" t="n">
        <v>5191.65</v>
      </c>
      <c r="G322" s="31" t="n">
        <v>320.7</v>
      </c>
      <c r="H322" s="31" t="n">
        <v>-2.21</v>
      </c>
      <c r="I322" s="31" t="n">
        <v>226615</v>
      </c>
      <c r="J322" s="31" t="inlineStr">
        <is>
          <t>542919</t>
        </is>
      </c>
    </row>
    <row r="323">
      <c r="A323" s="31" t="inlineStr">
        <is>
          <t>RBA</t>
        </is>
      </c>
      <c r="B323" s="31" t="inlineStr">
        <is>
          <t>Restaurant Brands Asia Ltd</t>
        </is>
      </c>
      <c r="C323" s="31" t="inlineStr">
        <is>
          <t>consumer discretionary</t>
        </is>
      </c>
      <c r="D323" s="31" t="inlineStr">
        <is>
          <t>hotels</t>
        </is>
      </c>
      <c r="E323" s="31" t="inlineStr">
        <is>
          <t>midcap</t>
        </is>
      </c>
      <c r="F323" s="31" t="n">
        <v>7114.34</v>
      </c>
      <c r="G323" s="31" t="n">
        <v>97.75</v>
      </c>
      <c r="H323" s="31" t="n">
        <v>-2.21</v>
      </c>
      <c r="I323" s="31" t="n">
        <v>2134628</v>
      </c>
      <c r="J323" s="31" t="inlineStr">
        <is>
          <t>543248</t>
        </is>
      </c>
    </row>
    <row r="324">
      <c r="A324" s="31" t="inlineStr">
        <is>
          <t>AETHER</t>
        </is>
      </c>
      <c r="B324" s="31" t="inlineStr">
        <is>
          <t>Aether Industries Ltd</t>
        </is>
      </c>
      <c r="C324" s="31" t="inlineStr">
        <is>
          <t>chemicals</t>
        </is>
      </c>
      <c r="D324" s="31" t="inlineStr">
        <is>
          <t>chemicals</t>
        </is>
      </c>
      <c r="E324" s="31" t="inlineStr">
        <is>
          <t>largecap</t>
        </is>
      </c>
      <c r="F324" s="31" t="n">
        <v>22344.82</v>
      </c>
      <c r="G324" s="31" t="n">
        <v>1646.4</v>
      </c>
      <c r="H324" s="31" t="n">
        <v>-2.22</v>
      </c>
      <c r="I324" s="31" t="n">
        <v>232941</v>
      </c>
      <c r="J324" s="31" t="inlineStr">
        <is>
          <t>543534</t>
        </is>
      </c>
    </row>
    <row r="325">
      <c r="A325" s="31" t="inlineStr">
        <is>
          <t>CRAFTSMAN</t>
        </is>
      </c>
      <c r="B325" s="31" t="inlineStr">
        <is>
          <t>Craftsman Automation Ltd</t>
        </is>
      </c>
      <c r="C325" s="31" t="inlineStr">
        <is>
          <t>auto</t>
        </is>
      </c>
      <c r="D325" s="31" t="inlineStr">
        <is>
          <t>auto ancillaries</t>
        </is>
      </c>
      <c r="E325" s="31" t="inlineStr">
        <is>
          <t>largecap</t>
        </is>
      </c>
      <c r="F325" s="31" t="n">
        <v>29431.58</v>
      </c>
      <c r="G325" s="31" t="n">
        <v>10999</v>
      </c>
      <c r="H325" s="31" t="n">
        <v>-2.26</v>
      </c>
      <c r="I325" s="31" t="n">
        <v>43059</v>
      </c>
      <c r="J325" s="31" t="inlineStr">
        <is>
          <t>543276</t>
        </is>
      </c>
    </row>
    <row r="326">
      <c r="A326" s="31" t="inlineStr">
        <is>
          <t>SUVEN</t>
        </is>
      </c>
      <c r="B326" s="31" t="inlineStr">
        <is>
          <t>Suven Life Sciences Limited</t>
        </is>
      </c>
      <c r="C326" s="31" t="inlineStr">
        <is>
          <t>healthcare</t>
        </is>
      </c>
      <c r="D326" s="31" t="inlineStr">
        <is>
          <t>miscellaneous</t>
        </is>
      </c>
      <c r="E326" s="31" t="inlineStr">
        <is>
          <t>smallcap</t>
        </is>
      </c>
      <c r="F326" s="31" t="n">
        <v>737.2</v>
      </c>
      <c r="G326" s="31" t="n">
        <v>372.85</v>
      </c>
      <c r="H326" s="31" t="n">
        <v>-2.29</v>
      </c>
      <c r="I326" s="31" t="n">
        <v>556245</v>
      </c>
      <c r="J326" s="31" t="inlineStr">
        <is>
          <t>530239</t>
        </is>
      </c>
    </row>
    <row r="327">
      <c r="A327" s="31" t="inlineStr">
        <is>
          <t>ATHERENERG</t>
        </is>
      </c>
      <c r="B327" s="31" t="inlineStr">
        <is>
          <t>Ather Energy Ltd</t>
        </is>
      </c>
      <c r="C327" s="31" t="inlineStr">
        <is>
          <t>auto</t>
        </is>
      </c>
      <c r="D327" s="31" t="inlineStr">
        <is>
          <t>automobiles - scooters and 3 - wheelers</t>
        </is>
      </c>
      <c r="E327" s="31" t="inlineStr">
        <is>
          <t>largecap</t>
        </is>
      </c>
      <c r="F327" s="31" t="n">
        <v>68010.25999999999</v>
      </c>
      <c r="G327" s="31" t="n">
        <v>1686.1</v>
      </c>
      <c r="H327" s="31" t="n">
        <v>-2.29</v>
      </c>
      <c r="I327" s="31" t="n">
        <v>6312532</v>
      </c>
      <c r="J327" s="31" t="inlineStr">
        <is>
          <t>544397</t>
        </is>
      </c>
    </row>
    <row r="328">
      <c r="A328" s="31" t="inlineStr">
        <is>
          <t>MANINDS</t>
        </is>
      </c>
      <c r="B328" s="31" t="inlineStr">
        <is>
          <t>Man Industries (india) Limited</t>
        </is>
      </c>
      <c r="C328" s="31" t="inlineStr">
        <is>
          <t>metals &amp; mining</t>
        </is>
      </c>
      <c r="D328" s="31" t="inlineStr">
        <is>
          <t>steel - medium / small</t>
        </is>
      </c>
      <c r="E328" s="31" t="inlineStr">
        <is>
          <t>midcap</t>
        </is>
      </c>
      <c r="F328" s="31" t="n">
        <v>5721.36</v>
      </c>
      <c r="G328" s="31" t="n">
        <v>744.85</v>
      </c>
      <c r="H328" s="31" t="n">
        <v>-2.35</v>
      </c>
      <c r="I328" s="31" t="n">
        <v>417411</v>
      </c>
      <c r="J328" s="31" t="inlineStr">
        <is>
          <t>513269</t>
        </is>
      </c>
    </row>
    <row r="329">
      <c r="A329" s="31" t="inlineStr">
        <is>
          <t>DALMIASUG</t>
        </is>
      </c>
      <c r="B329" s="31" t="inlineStr">
        <is>
          <t>Dalmia Bharat Sugar And Industries Limited</t>
        </is>
      </c>
      <c r="C329" s="31" t="inlineStr">
        <is>
          <t>fmcg</t>
        </is>
      </c>
      <c r="D329" s="31" t="inlineStr">
        <is>
          <t>sugar</t>
        </is>
      </c>
      <c r="E329" s="31" t="inlineStr">
        <is>
          <t>smallcap</t>
        </is>
      </c>
      <c r="F329" s="31" t="n">
        <v>3786.75</v>
      </c>
      <c r="G329" s="31" t="n">
        <v>456.55</v>
      </c>
      <c r="H329" s="31" t="n">
        <v>-2.42</v>
      </c>
      <c r="I329" s="31" t="n">
        <v>337632</v>
      </c>
      <c r="J329" s="31" t="inlineStr">
        <is>
          <t>500097</t>
        </is>
      </c>
    </row>
    <row r="330">
      <c r="A330" s="31" t="inlineStr">
        <is>
          <t>SOTL</t>
        </is>
      </c>
      <c r="B330" s="31" t="inlineStr">
        <is>
          <t>Savita Oil Technologies Limited</t>
        </is>
      </c>
      <c r="C330" s="31" t="inlineStr">
        <is>
          <t>energy</t>
        </is>
      </c>
      <c r="D330" s="31" t="inlineStr">
        <is>
          <t>petrochemicals</t>
        </is>
      </c>
      <c r="E330" s="31" t="inlineStr">
        <is>
          <t>midcap</t>
        </is>
      </c>
      <c r="F330" s="31" t="n">
        <v>5288.75</v>
      </c>
      <c r="G330" s="31" t="n">
        <v>752.6</v>
      </c>
      <c r="H330" s="31" t="n">
        <v>-2.44</v>
      </c>
      <c r="I330" s="31" t="n">
        <v>5145071</v>
      </c>
      <c r="J330" s="31" t="inlineStr">
        <is>
          <t>524667</t>
        </is>
      </c>
    </row>
    <row r="331">
      <c r="A331" s="31" t="inlineStr">
        <is>
          <t>MSTCLTD</t>
        </is>
      </c>
      <c r="B331" s="31" t="inlineStr">
        <is>
          <t>MSTC Ltd</t>
        </is>
      </c>
      <c r="C331" s="31" t="inlineStr">
        <is>
          <t>i.t</t>
        </is>
      </c>
      <c r="D331" s="31" t="inlineStr">
        <is>
          <t>trading</t>
        </is>
      </c>
      <c r="E331" s="31" t="inlineStr">
        <is>
          <t>midcap</t>
        </is>
      </c>
      <c r="F331" s="31" t="n">
        <v>5136.03</v>
      </c>
      <c r="G331" s="31" t="n">
        <v>711.75</v>
      </c>
      <c r="H331" s="31" t="n">
        <v>-2.44</v>
      </c>
      <c r="I331" s="31" t="n">
        <v>166202</v>
      </c>
      <c r="J331" s="31" t="inlineStr">
        <is>
          <t>542597</t>
        </is>
      </c>
    </row>
    <row r="332">
      <c r="A332" s="31" t="inlineStr">
        <is>
          <t>MENONBE</t>
        </is>
      </c>
      <c r="B332" s="31" t="inlineStr">
        <is>
          <t>Menon Bearings Limited</t>
        </is>
      </c>
      <c r="C332" s="31" t="inlineStr">
        <is>
          <t>auto</t>
        </is>
      </c>
      <c r="D332" s="31" t="inlineStr">
        <is>
          <t>auto ancillaries</t>
        </is>
      </c>
      <c r="E332" s="31" t="inlineStr">
        <is>
          <t>smallcap</t>
        </is>
      </c>
      <c r="F332" s="31" t="n">
        <v>1689.05</v>
      </c>
      <c r="G332" s="31" t="n">
        <v>293.9</v>
      </c>
      <c r="H332" s="31" t="n">
        <v>-2.49</v>
      </c>
      <c r="I332" s="31" t="n">
        <v>51333</v>
      </c>
      <c r="J332" s="31" t="inlineStr">
        <is>
          <t>523828</t>
        </is>
      </c>
    </row>
    <row r="333">
      <c r="A333" s="31" t="inlineStr">
        <is>
          <t>VADILALIND</t>
        </is>
      </c>
      <c r="B333" s="31" t="inlineStr">
        <is>
          <t>Vadilal Industries Limited</t>
        </is>
      </c>
      <c r="C333" s="31" t="inlineStr">
        <is>
          <t>fmcg</t>
        </is>
      </c>
      <c r="D333" s="31" t="inlineStr">
        <is>
          <t>food - processing - indian</t>
        </is>
      </c>
      <c r="E333" s="31" t="inlineStr">
        <is>
          <t>midcap</t>
        </is>
      </c>
      <c r="F333" s="31" t="n">
        <v>5575.6</v>
      </c>
      <c r="G333" s="31" t="n">
        <v>7559.5</v>
      </c>
      <c r="H333" s="31" t="n">
        <v>-2.55</v>
      </c>
      <c r="I333" s="31" t="n">
        <v>23667</v>
      </c>
      <c r="J333" s="31" t="inlineStr">
        <is>
          <t>519156</t>
        </is>
      </c>
    </row>
    <row r="334">
      <c r="A334" s="31" t="inlineStr">
        <is>
          <t>CRISIL</t>
        </is>
      </c>
      <c r="B334" s="31" t="inlineStr">
        <is>
          <t>Crisil Limited</t>
        </is>
      </c>
      <c r="C334" s="31" t="inlineStr">
        <is>
          <t>financials</t>
        </is>
      </c>
      <c r="D334" s="31" t="inlineStr">
        <is>
          <t>miscellaneous</t>
        </is>
      </c>
      <c r="E334" s="31" t="inlineStr">
        <is>
          <t>largecap</t>
        </is>
      </c>
      <c r="F334" s="31" t="n">
        <v>35318.14</v>
      </c>
      <c r="G334" s="31" t="n">
        <v>4701.7</v>
      </c>
      <c r="H334" s="31" t="n">
        <v>-2.65</v>
      </c>
      <c r="I334" s="31" t="n">
        <v>40753</v>
      </c>
      <c r="J334" s="31" t="inlineStr">
        <is>
          <t>500092</t>
        </is>
      </c>
    </row>
    <row r="335">
      <c r="A335" s="31" t="inlineStr">
        <is>
          <t>BOSCHLTD</t>
        </is>
      </c>
      <c r="B335" s="31" t="inlineStr">
        <is>
          <t>Bosch Limited</t>
        </is>
      </c>
      <c r="C335" s="31" t="inlineStr">
        <is>
          <t>auto</t>
        </is>
      </c>
      <c r="D335" s="31" t="inlineStr">
        <is>
          <t>auto ancillaries</t>
        </is>
      </c>
      <c r="E335" s="31" t="inlineStr">
        <is>
          <t>largecap</t>
        </is>
      </c>
      <c r="F335" s="31" t="n">
        <v>143203.57</v>
      </c>
      <c r="G335" s="31" t="n">
        <v>47250</v>
      </c>
      <c r="H335" s="31" t="n">
        <v>-2.68</v>
      </c>
      <c r="I335" s="31" t="n">
        <v>50832</v>
      </c>
      <c r="J335" s="31" t="inlineStr">
        <is>
          <t>500530</t>
        </is>
      </c>
    </row>
    <row r="336">
      <c r="A336" s="31" t="inlineStr">
        <is>
          <t>GPPL</t>
        </is>
      </c>
      <c r="B336" s="31" t="inlineStr">
        <is>
          <t>Gujarat Pipavav Port Limited</t>
        </is>
      </c>
      <c r="C336" s="31" t="inlineStr">
        <is>
          <t>transportation</t>
        </is>
      </c>
      <c r="D336" s="31" t="inlineStr">
        <is>
          <t>miscellaneous</t>
        </is>
      </c>
      <c r="E336" s="31" t="inlineStr">
        <is>
          <t>midcap</t>
        </is>
      </c>
      <c r="F336" s="31" t="n">
        <v>8171.1</v>
      </c>
      <c r="G336" s="31" t="n">
        <v>164.44</v>
      </c>
      <c r="H336" s="31" t="n">
        <v>-2.71</v>
      </c>
      <c r="I336" s="31" t="n">
        <v>2172344</v>
      </c>
      <c r="J336" s="31" t="inlineStr">
        <is>
          <t>533248</t>
        </is>
      </c>
    </row>
    <row r="337">
      <c r="A337" s="31" t="inlineStr">
        <is>
          <t>PRECWIRE</t>
        </is>
      </c>
      <c r="B337" s="31" t="inlineStr">
        <is>
          <t>Precision Wires India Limited</t>
        </is>
      </c>
      <c r="C337" s="31" t="inlineStr">
        <is>
          <t>metals &amp; mining</t>
        </is>
      </c>
      <c r="D337" s="31" t="inlineStr">
        <is>
          <t>mining / minerals / metals</t>
        </is>
      </c>
      <c r="E337" s="31" t="inlineStr">
        <is>
          <t>midcap</t>
        </is>
      </c>
      <c r="F337" s="31" t="n">
        <v>9091.040000000001</v>
      </c>
      <c r="G337" s="31" t="n">
        <v>483.1</v>
      </c>
      <c r="H337" s="31" t="n">
        <v>-2.86</v>
      </c>
      <c r="I337" s="31" t="n">
        <v>604171</v>
      </c>
      <c r="J337" s="31" t="inlineStr">
        <is>
          <t>523539</t>
        </is>
      </c>
    </row>
    <row r="338">
      <c r="A338" s="31" t="inlineStr">
        <is>
          <t>INOXINDIA</t>
        </is>
      </c>
      <c r="B338" s="31" t="inlineStr">
        <is>
          <t>Inox India Ltd</t>
        </is>
      </c>
      <c r="C338" s="31" t="inlineStr">
        <is>
          <t>industrials</t>
        </is>
      </c>
      <c r="D338" s="31" t="inlineStr">
        <is>
          <t>packaging</t>
        </is>
      </c>
      <c r="E338" s="31" t="inlineStr">
        <is>
          <t>midcap</t>
        </is>
      </c>
      <c r="F338" s="31" t="n">
        <v>19658.47</v>
      </c>
      <c r="G338" s="31" t="n">
        <v>2099.4</v>
      </c>
      <c r="H338" s="31" t="n">
        <v>-3.07</v>
      </c>
      <c r="I338" s="31" t="n">
        <v>226228</v>
      </c>
      <c r="J338" s="31" t="inlineStr">
        <is>
          <t>544046</t>
        </is>
      </c>
    </row>
    <row r="339">
      <c r="A339" s="31" t="inlineStr">
        <is>
          <t>HAPPYFORGE</t>
        </is>
      </c>
      <c r="B339" s="31" t="inlineStr">
        <is>
          <t>Happy Forgings Ltd</t>
        </is>
      </c>
      <c r="C339" s="31" t="inlineStr">
        <is>
          <t>industrials</t>
        </is>
      </c>
      <c r="D339" s="31" t="inlineStr">
        <is>
          <t>castings &amp; forgings</t>
        </is>
      </c>
      <c r="E339" s="31" t="inlineStr">
        <is>
          <t>largecap</t>
        </is>
      </c>
      <c r="F339" s="31" t="n">
        <v>22843.43</v>
      </c>
      <c r="G339" s="31" t="n">
        <v>2345.9</v>
      </c>
      <c r="H339" s="31" t="n">
        <v>-3.08</v>
      </c>
      <c r="I339" s="31" t="n">
        <v>102193</v>
      </c>
      <c r="J339" s="31" t="inlineStr">
        <is>
          <t>544057</t>
        </is>
      </c>
    </row>
    <row r="340">
      <c r="A340" s="31" t="inlineStr">
        <is>
          <t>SETL</t>
        </is>
      </c>
      <c r="B340" s="31" t="inlineStr">
        <is>
          <t>Standard Enginnering Technology Ltd</t>
        </is>
      </c>
      <c r="C340" s="31" t="inlineStr">
        <is>
          <t>industrials</t>
        </is>
      </c>
      <c r="D340" s="31" t="inlineStr">
        <is>
          <t>engineering</t>
        </is>
      </c>
      <c r="E340" s="31" t="inlineStr">
        <is>
          <t>midcap</t>
        </is>
      </c>
      <c r="F340" s="31" t="n">
        <v>7721.32</v>
      </c>
      <c r="G340" s="31" t="n">
        <v>374.95</v>
      </c>
      <c r="H340" s="31" t="n">
        <v>-3.13</v>
      </c>
      <c r="I340" s="31" t="n">
        <v>882005</v>
      </c>
      <c r="J340" s="31" t="inlineStr">
        <is>
          <t>544333</t>
        </is>
      </c>
    </row>
    <row r="341">
      <c r="A341" s="31" t="inlineStr">
        <is>
          <t>HEG</t>
        </is>
      </c>
      <c r="B341" s="31" t="inlineStr">
        <is>
          <t>Heg Limited</t>
        </is>
      </c>
      <c r="C341" s="31" t="inlineStr">
        <is>
          <t>industrials</t>
        </is>
      </c>
      <c r="D341" s="31" t="inlineStr">
        <is>
          <t>electrodes - graphites</t>
        </is>
      </c>
      <c r="E341" s="31" t="inlineStr">
        <is>
          <t>midcap</t>
        </is>
      </c>
      <c r="F341" s="31" t="n">
        <v>14085.43</v>
      </c>
      <c r="G341" s="31" t="n">
        <v>706.4</v>
      </c>
      <c r="H341" s="31" t="n">
        <v>-3.22</v>
      </c>
      <c r="I341" s="31" t="n">
        <v>1020619</v>
      </c>
      <c r="J341" s="31" t="inlineStr">
        <is>
          <t>509631</t>
        </is>
      </c>
    </row>
    <row r="342">
      <c r="A342" s="31" t="inlineStr">
        <is>
          <t>VIDHIING</t>
        </is>
      </c>
      <c r="B342" s="31" t="inlineStr">
        <is>
          <t>Vidhi Specialty Food Ingredients</t>
        </is>
      </c>
      <c r="C342" s="31" t="inlineStr">
        <is>
          <t>chemicals</t>
        </is>
      </c>
      <c r="D342" s="31" t="inlineStr">
        <is>
          <t>dyes and pigments</t>
        </is>
      </c>
      <c r="E342" s="31" t="inlineStr">
        <is>
          <t>smallcap</t>
        </is>
      </c>
      <c r="F342" s="31" t="n">
        <v>1769.8</v>
      </c>
      <c r="G342" s="31" t="n">
        <v>342.9</v>
      </c>
      <c r="H342" s="31" t="n">
        <v>-3.23</v>
      </c>
      <c r="I342" s="31" t="n">
        <v>13344</v>
      </c>
      <c r="J342" s="31" t="inlineStr">
        <is>
          <t>531717</t>
        </is>
      </c>
    </row>
    <row r="343">
      <c r="A343" s="31" t="inlineStr">
        <is>
          <t>GARFIBRES</t>
        </is>
      </c>
      <c r="B343" s="31" t="inlineStr">
        <is>
          <t>Garware Technical Fibres Ltd</t>
        </is>
      </c>
      <c r="C343" s="31" t="inlineStr">
        <is>
          <t>textiles</t>
        </is>
      </c>
      <c r="D343" s="31" t="inlineStr">
        <is>
          <t>textiles - products</t>
        </is>
      </c>
      <c r="E343" s="31" t="inlineStr">
        <is>
          <t>midcap</t>
        </is>
      </c>
      <c r="F343" s="31" t="n">
        <v>8228.83</v>
      </c>
      <c r="G343" s="31" t="n">
        <v>814.75</v>
      </c>
      <c r="H343" s="31" t="n">
        <v>-3.32</v>
      </c>
      <c r="I343" s="31" t="n">
        <v>52451</v>
      </c>
      <c r="J343" s="31" t="inlineStr">
        <is>
          <t>509557</t>
        </is>
      </c>
    </row>
    <row r="344">
      <c r="A344" s="31" t="inlineStr">
        <is>
          <t>KABRAEXTRU</t>
        </is>
      </c>
      <c r="B344" s="31" t="inlineStr">
        <is>
          <t>Kabra Extrusion Technik Limited</t>
        </is>
      </c>
      <c r="C344" s="31" t="inlineStr">
        <is>
          <t>industrials</t>
        </is>
      </c>
      <c r="D344" s="31" t="inlineStr">
        <is>
          <t>engineering</t>
        </is>
      </c>
      <c r="E344" s="31" t="inlineStr">
        <is>
          <t>smallcap</t>
        </is>
      </c>
      <c r="F344" s="31" t="n">
        <v>2026.33</v>
      </c>
      <c r="G344" s="31" t="n">
        <v>559.95</v>
      </c>
      <c r="H344" s="31" t="n">
        <v>-3.36</v>
      </c>
      <c r="I344" s="31" t="n">
        <v>315900</v>
      </c>
      <c r="J344" s="31" t="inlineStr">
        <is>
          <t>524109</t>
        </is>
      </c>
    </row>
    <row r="345">
      <c r="A345" s="31" t="inlineStr">
        <is>
          <t>JYOTICNC</t>
        </is>
      </c>
      <c r="B345" s="31" t="inlineStr">
        <is>
          <t>Jyoti CNC Automation Ltd</t>
        </is>
      </c>
      <c r="C345" s="31" t="inlineStr">
        <is>
          <t>industrials</t>
        </is>
      </c>
      <c r="D345" s="31" t="inlineStr">
        <is>
          <t>engineering</t>
        </is>
      </c>
      <c r="E345" s="31" t="inlineStr">
        <is>
          <t>largecap</t>
        </is>
      </c>
      <c r="F345" s="31" t="n">
        <v>22494.42</v>
      </c>
      <c r="G345" s="31" t="n">
        <v>955.65</v>
      </c>
      <c r="H345" s="31" t="n">
        <v>-3.38</v>
      </c>
      <c r="I345" s="31" t="n">
        <v>757084</v>
      </c>
      <c r="J345" s="31" t="inlineStr">
        <is>
          <t>544081</t>
        </is>
      </c>
    </row>
    <row r="346">
      <c r="A346" s="31" t="inlineStr">
        <is>
          <t>LUMAXTECH</t>
        </is>
      </c>
      <c r="B346" s="31" t="inlineStr">
        <is>
          <t>Lumax Auto Technologies Limited</t>
        </is>
      </c>
      <c r="C346" s="31" t="inlineStr">
        <is>
          <t>auto</t>
        </is>
      </c>
      <c r="D346" s="31" t="inlineStr">
        <is>
          <t>auto ancillaries</t>
        </is>
      </c>
      <c r="E346" s="31" t="inlineStr">
        <is>
          <t>midcap</t>
        </is>
      </c>
      <c r="F346" s="31" t="n">
        <v>14040.49</v>
      </c>
      <c r="G346" s="31" t="n">
        <v>1986.5</v>
      </c>
      <c r="H346" s="31" t="n">
        <v>-3.57</v>
      </c>
      <c r="I346" s="31" t="n">
        <v>117029</v>
      </c>
      <c r="J346" s="31" t="inlineStr">
        <is>
          <t>532796</t>
        </is>
      </c>
    </row>
    <row r="347">
      <c r="A347" s="31" t="inlineStr">
        <is>
          <t>CYIENT</t>
        </is>
      </c>
      <c r="B347" s="31" t="inlineStr">
        <is>
          <t>Cyient Limited</t>
        </is>
      </c>
      <c r="C347" s="31" t="inlineStr">
        <is>
          <t>i.t</t>
        </is>
      </c>
      <c r="D347" s="31" t="inlineStr">
        <is>
          <t>computers - software - medium / small</t>
        </is>
      </c>
      <c r="E347" s="31" t="inlineStr">
        <is>
          <t>midcap</t>
        </is>
      </c>
      <c r="F347" s="31" t="n">
        <v>12198.23</v>
      </c>
      <c r="G347" s="31" t="n">
        <v>1122.2</v>
      </c>
      <c r="H347" s="31" t="n">
        <v>-3.64</v>
      </c>
      <c r="I347" s="31" t="n">
        <v>820374</v>
      </c>
      <c r="J347" s="31" t="inlineStr">
        <is>
          <t>532175</t>
        </is>
      </c>
    </row>
    <row r="348">
      <c r="A348" s="31" t="inlineStr">
        <is>
          <t>RKFORGE</t>
        </is>
      </c>
      <c r="B348" s="31" t="inlineStr">
        <is>
          <t>Ramkrishna Forgings Limited</t>
        </is>
      </c>
      <c r="C348" s="31" t="inlineStr">
        <is>
          <t>industrials</t>
        </is>
      </c>
      <c r="D348" s="31" t="inlineStr">
        <is>
          <t>castings &amp; forgings</t>
        </is>
      </c>
      <c r="E348" s="31" t="inlineStr">
        <is>
          <t>midcap</t>
        </is>
      </c>
      <c r="F348" s="31" t="n">
        <v>13728.33</v>
      </c>
      <c r="G348" s="31" t="n">
        <v>726.1</v>
      </c>
      <c r="H348" s="31" t="n">
        <v>-3.65</v>
      </c>
      <c r="I348" s="31" t="n">
        <v>604068</v>
      </c>
      <c r="J348" s="31" t="inlineStr">
        <is>
          <t>532527</t>
        </is>
      </c>
    </row>
    <row r="349">
      <c r="A349" s="31" t="inlineStr">
        <is>
          <t>WSTCSTPAPR</t>
        </is>
      </c>
      <c r="B349" s="31" t="inlineStr">
        <is>
          <t>West Coast Paper Mills Limited</t>
        </is>
      </c>
      <c r="C349" s="31" t="inlineStr">
        <is>
          <t>building materials</t>
        </is>
      </c>
      <c r="D349" s="31" t="inlineStr">
        <is>
          <t>paper</t>
        </is>
      </c>
      <c r="E349" s="31" t="inlineStr">
        <is>
          <t>smallcap</t>
        </is>
      </c>
      <c r="F349" s="31" t="n">
        <v>4316.96</v>
      </c>
      <c r="G349" s="31" t="n">
        <v>629.05</v>
      </c>
      <c r="H349" s="31" t="n">
        <v>-3.76</v>
      </c>
      <c r="I349" s="31" t="n">
        <v>309218</v>
      </c>
      <c r="J349" s="31" t="inlineStr">
        <is>
          <t>500444</t>
        </is>
      </c>
    </row>
    <row r="350">
      <c r="A350" s="31" t="inlineStr">
        <is>
          <t>RBZJEWEL</t>
        </is>
      </c>
      <c r="B350" s="31" t="inlineStr">
        <is>
          <t>RBZ Jewellers Ltd</t>
        </is>
      </c>
      <c r="C350" s="31" t="inlineStr">
        <is>
          <t>consumer discretionary</t>
        </is>
      </c>
      <c r="D350" s="31" t="inlineStr">
        <is>
          <t>diamond cutting / jewellery</t>
        </is>
      </c>
      <c r="E350" s="31" t="inlineStr">
        <is>
          <t>smallcap</t>
        </is>
      </c>
      <c r="F350" s="31" t="n">
        <v>676</v>
      </c>
      <c r="G350" s="31" t="n">
        <v>161.47</v>
      </c>
      <c r="H350" s="31" t="n">
        <v>-4.46</v>
      </c>
      <c r="I350" s="31" t="n">
        <v>10355122</v>
      </c>
      <c r="J350" s="31" t="inlineStr">
        <is>
          <t>544060</t>
        </is>
      </c>
    </row>
    <row r="351">
      <c r="A351" s="31" t="inlineStr">
        <is>
          <t>JINDWORLD</t>
        </is>
      </c>
      <c r="B351" s="31" t="inlineStr">
        <is>
          <t>Jindal Worldwide Limited</t>
        </is>
      </c>
      <c r="C351" s="31" t="inlineStr">
        <is>
          <t>textiles</t>
        </is>
      </c>
      <c r="D351" s="31" t="inlineStr">
        <is>
          <t>textiles - products</t>
        </is>
      </c>
      <c r="E351" s="31" t="inlineStr">
        <is>
          <t>smallcap</t>
        </is>
      </c>
      <c r="F351" s="31" t="n">
        <v>4218.95</v>
      </c>
      <c r="G351" s="31" t="n">
        <v>40.19</v>
      </c>
      <c r="H351" s="31" t="n">
        <v>-4.49</v>
      </c>
      <c r="I351" s="31" t="n">
        <v>15067052</v>
      </c>
      <c r="J351" s="31" t="inlineStr">
        <is>
          <t>531543</t>
        </is>
      </c>
    </row>
    <row r="352">
      <c r="A352" s="31" t="inlineStr">
        <is>
          <t>MAHASTEEL</t>
        </is>
      </c>
      <c r="B352" s="31" t="inlineStr">
        <is>
          <t>Mahamaya Steel Industries Limited</t>
        </is>
      </c>
      <c r="C352" s="31" t="inlineStr">
        <is>
          <t>metals &amp; mining</t>
        </is>
      </c>
      <c r="D352" s="31" t="inlineStr">
        <is>
          <t>steel - medium / small</t>
        </is>
      </c>
      <c r="E352" s="31" t="inlineStr">
        <is>
          <t>smallcap</t>
        </is>
      </c>
      <c r="F352" s="31" t="n">
        <v>2291.12</v>
      </c>
      <c r="G352" s="31" t="n">
        <v>1324.4</v>
      </c>
      <c r="H352" s="31" t="n">
        <v>-5</v>
      </c>
      <c r="I352" s="31" t="n">
        <v>3557</v>
      </c>
      <c r="J352" s="31" t="inlineStr">
        <is>
          <t>513554</t>
        </is>
      </c>
    </row>
    <row r="353">
      <c r="A353" s="31" t="inlineStr">
        <is>
          <t>PVP</t>
        </is>
      </c>
      <c r="B353" s="31" t="inlineStr">
        <is>
          <t>Pvp Ventures Limited</t>
        </is>
      </c>
      <c r="C353" s="31" t="inlineStr">
        <is>
          <t>realty</t>
        </is>
      </c>
      <c r="D353" s="31" t="inlineStr">
        <is>
          <t>construction</t>
        </is>
      </c>
      <c r="E353" s="31" t="inlineStr">
        <is>
          <t>smallcap</t>
        </is>
      </c>
      <c r="F353" s="31" t="n">
        <v>1694.19</v>
      </c>
      <c r="G353" s="31" t="n">
        <v>61.81</v>
      </c>
      <c r="H353" s="31" t="n">
        <v>-5</v>
      </c>
      <c r="I353" s="31" t="n">
        <v>700698</v>
      </c>
      <c r="J353" s="31" t="inlineStr">
        <is>
          <t>517556</t>
        </is>
      </c>
    </row>
    <row r="354">
      <c r="A354" s="31" t="inlineStr">
        <is>
          <t>AVALON</t>
        </is>
      </c>
      <c r="B354" s="31" t="inlineStr">
        <is>
          <t>Avalon Technologies Ltd</t>
        </is>
      </c>
      <c r="C354" s="31" t="inlineStr">
        <is>
          <t>consumer discretionary</t>
        </is>
      </c>
      <c r="D354" s="31" t="inlineStr">
        <is>
          <t>electronics - components</t>
        </is>
      </c>
      <c r="E354" s="31" t="inlineStr">
        <is>
          <t>midcap</t>
        </is>
      </c>
      <c r="F354" s="31" t="n">
        <v>15490.97</v>
      </c>
      <c r="G354" s="31" t="n">
        <v>2189.6</v>
      </c>
      <c r="H354" s="31" t="n">
        <v>-5.56</v>
      </c>
      <c r="I354" s="31" t="n">
        <v>662674</v>
      </c>
      <c r="J354" s="31" t="inlineStr">
        <is>
          <t>543896</t>
        </is>
      </c>
    </row>
    <row r="355">
      <c r="A355" s="31" t="inlineStr">
        <is>
          <t>VARROC</t>
        </is>
      </c>
      <c r="B355" s="31" t="inlineStr">
        <is>
          <t>Varroc Engineering Ltd</t>
        </is>
      </c>
      <c r="C355" s="31" t="inlineStr">
        <is>
          <t>auto</t>
        </is>
      </c>
      <c r="D355" s="31" t="inlineStr">
        <is>
          <t>auto ancillaries</t>
        </is>
      </c>
      <c r="E355" s="31" t="inlineStr">
        <is>
          <t>midcap</t>
        </is>
      </c>
      <c r="F355" s="31" t="n">
        <v>13399.37</v>
      </c>
      <c r="G355" s="31" t="n">
        <v>824.4</v>
      </c>
      <c r="H355" s="31" t="n">
        <v>-6</v>
      </c>
      <c r="I355" s="31" t="n">
        <v>535517</v>
      </c>
      <c r="J355" s="31" t="inlineStr">
        <is>
          <t>541578</t>
        </is>
      </c>
    </row>
    <row r="356">
      <c r="A356" s="31" t="inlineStr">
        <is>
          <t>RAMRAT</t>
        </is>
      </c>
      <c r="B356" s="31" t="inlineStr">
        <is>
          <t>Ram Ratna Wires Ltd</t>
        </is>
      </c>
      <c r="C356" s="31" t="inlineStr">
        <is>
          <t>metals &amp; mining</t>
        </is>
      </c>
      <c r="D356" s="31" t="inlineStr">
        <is>
          <t>mining / minerals / metals</t>
        </is>
      </c>
      <c r="E356" s="31" t="inlineStr">
        <is>
          <t>midcap</t>
        </is>
      </c>
      <c r="F356" s="31" t="n">
        <v>5322.76</v>
      </c>
      <c r="G356" s="31" t="n">
        <v>535.1</v>
      </c>
      <c r="H356" s="31" t="n">
        <v>-6.16</v>
      </c>
      <c r="I356" s="31" t="n">
        <v>400073</v>
      </c>
      <c r="J356" s="31" t="inlineStr">
        <is>
          <t>522281</t>
        </is>
      </c>
    </row>
    <row r="357">
      <c r="A357" s="31" t="inlineStr">
        <is>
          <t>BALUFORGE</t>
        </is>
      </c>
      <c r="B357" s="31" t="inlineStr">
        <is>
          <t>Balu Forge Industries Ltd</t>
        </is>
      </c>
      <c r="C357" s="31" t="inlineStr">
        <is>
          <t>industrials</t>
        </is>
      </c>
      <c r="D357" s="31" t="inlineStr">
        <is>
          <t>castings &amp; forgings</t>
        </is>
      </c>
      <c r="E357" s="31" t="inlineStr">
        <is>
          <t>midcap</t>
        </is>
      </c>
      <c r="F357" s="31" t="n">
        <v>7443.02</v>
      </c>
      <c r="G357" s="31" t="n">
        <v>578.4</v>
      </c>
      <c r="H357" s="31" t="n">
        <v>-6.99</v>
      </c>
      <c r="I357" s="31" t="n">
        <v>2344406</v>
      </c>
      <c r="J357" s="31" t="inlineStr">
        <is>
          <t>531112</t>
        </is>
      </c>
    </row>
  </sheetData>
  <autoFilter ref="A1:J3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BIRLACABLE</t>
        </is>
      </c>
      <c r="E2" s="31" t="inlineStr">
        <is>
          <t>Birla Cable Limited</t>
        </is>
      </c>
      <c r="F2" s="31" t="inlineStr">
        <is>
          <t>Cables - Telecom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28</v>
      </c>
      <c r="K2" s="31" t="n">
        <v>26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TBZ</t>
        </is>
      </c>
      <c r="E3" s="31" t="inlineStr">
        <is>
          <t>Tribhovandas Bhimji Zaveri Limited</t>
        </is>
      </c>
      <c r="F3" s="31" t="inlineStr">
        <is>
          <t>Diamond, Gems &amp; Jewellery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28</v>
      </c>
      <c r="K3" s="31" t="n">
        <v>23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RPEL</t>
        </is>
      </c>
      <c r="E4" s="31" t="inlineStr">
        <is>
          <t>Raghav Productivity Enhancers Ltd</t>
        </is>
      </c>
      <c r="F4" s="31" t="inlineStr">
        <is>
          <t>Steel Products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21</v>
      </c>
      <c r="K4" s="31" t="n">
        <v>21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ADOR</t>
        </is>
      </c>
      <c r="E5" s="31" t="inlineStr">
        <is>
          <t>Ador Welding Ltd</t>
        </is>
      </c>
      <c r="F5" s="31" t="inlineStr">
        <is>
          <t>Welding Equipments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22</v>
      </c>
      <c r="K5" s="31" t="n">
        <v>28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MOREPENLAB</t>
        </is>
      </c>
      <c r="E6" s="31" t="inlineStr">
        <is>
          <t>Morepen Laboratories Limited</t>
        </is>
      </c>
      <c r="F6" s="31" t="inlineStr">
        <is>
          <t>Pharma - API &amp; CRAMS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25</v>
      </c>
      <c r="K6" s="31" t="n">
        <v>22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TFCILTD</t>
        </is>
      </c>
      <c r="E7" s="31" t="inlineStr">
        <is>
          <t>Tourism Finance Corporation Of India Limited</t>
        </is>
      </c>
      <c r="F7" s="31" t="inlineStr">
        <is>
          <t>Finance - PSU Lending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22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IFCI</t>
        </is>
      </c>
      <c r="E8" s="31" t="inlineStr">
        <is>
          <t>Ifci Limited</t>
        </is>
      </c>
      <c r="F8" s="31" t="inlineStr">
        <is>
          <t>Finance - PSU Lending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19</v>
      </c>
      <c r="K8" s="31" t="n">
        <v>16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BHAGERIA</t>
        </is>
      </c>
      <c r="E9" s="31" t="inlineStr">
        <is>
          <t>Bhageria Industries Limited</t>
        </is>
      </c>
      <c r="F9" s="31" t="inlineStr">
        <is>
          <t>Dyes &amp; Pigments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27</v>
      </c>
      <c r="K9" s="31" t="n">
        <v>14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VINDHYATEL</t>
        </is>
      </c>
      <c r="E10" s="31" t="inlineStr">
        <is>
          <t>Vindhya Telelinks Limited</t>
        </is>
      </c>
      <c r="F10" s="31" t="inlineStr">
        <is>
          <t>Cables - Telecom</t>
        </is>
      </c>
      <c r="G10" s="31" t="n">
        <v>2</v>
      </c>
      <c r="H10" s="31" t="inlineStr">
        <is>
          <t>52W Breakout</t>
        </is>
      </c>
      <c r="I10" s="31" t="inlineStr">
        <is>
          <t>Yes</t>
        </is>
      </c>
      <c r="J10" s="31" t="n">
        <v>12</v>
      </c>
      <c r="K10" s="31" t="n">
        <v>23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MENONBE</t>
        </is>
      </c>
      <c r="E11" s="31" t="inlineStr">
        <is>
          <t>Menon Bearings Limited</t>
        </is>
      </c>
      <c r="F11" s="31" t="inlineStr">
        <is>
          <t>Auto Ancillaries - Bearings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21</v>
      </c>
      <c r="K11" s="31" t="n">
        <v>30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IOLCP</t>
        </is>
      </c>
      <c r="E12" s="31" t="inlineStr">
        <is>
          <t>Iol Chemicals And Pharmaceuticals Limited</t>
        </is>
      </c>
      <c r="F12" s="31" t="inlineStr">
        <is>
          <t>Pharma - API &amp; CRAMS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23</v>
      </c>
      <c r="K12" s="31" t="n">
        <v>18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REDINGTON</t>
        </is>
      </c>
      <c r="E13" s="31" t="inlineStr">
        <is>
          <t>Redington (india) Limited</t>
        </is>
      </c>
      <c r="F13" s="31" t="inlineStr">
        <is>
          <t>Computer - Hardware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20</v>
      </c>
      <c r="K13" s="31" t="n">
        <v>27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CUPID</t>
        </is>
      </c>
      <c r="E14" s="31" t="inlineStr">
        <is>
          <t>Cupid Limited</t>
        </is>
      </c>
      <c r="F14" s="31" t="inlineStr">
        <is>
          <t>Contraceptives/Protectives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21</v>
      </c>
      <c r="K14" s="31" t="n">
        <v>30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AVTNPL</t>
        </is>
      </c>
      <c r="E15" s="31" t="inlineStr">
        <is>
          <t>Avt Natural Products Limited</t>
        </is>
      </c>
      <c r="F15" s="31" t="inlineStr">
        <is>
          <t>Agricultural Processing - Maize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23</v>
      </c>
      <c r="K15" s="31" t="n">
        <v>18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VINCOFE</t>
        </is>
      </c>
      <c r="E16" s="31" t="inlineStr">
        <is>
          <t>Vintage Coffee &amp; Beverages Ltd</t>
        </is>
      </c>
      <c r="F16" s="31" t="inlineStr">
        <is>
          <t>FMCG - Coffee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26</v>
      </c>
      <c r="K16" s="31" t="n">
        <v>11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DIFFNKG</t>
        </is>
      </c>
      <c r="E17" s="31" t="inlineStr">
        <is>
          <t>Diffusion Engineers Ltd</t>
        </is>
      </c>
      <c r="F17" s="31" t="inlineStr">
        <is>
          <t>Welding Equipments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20</v>
      </c>
      <c r="K17" s="31" t="n">
        <v>10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UNIVCABLES</t>
        </is>
      </c>
      <c r="E18" s="31" t="inlineStr">
        <is>
          <t>Universal Cables Limited</t>
        </is>
      </c>
      <c r="F18" s="31" t="inlineStr">
        <is>
          <t>Cables - Power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20</v>
      </c>
      <c r="K18" s="31" t="n">
        <v>28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KDDL</t>
        </is>
      </c>
      <c r="E19" s="31" t="inlineStr">
        <is>
          <t>Kddl Limited</t>
        </is>
      </c>
      <c r="F19" s="31" t="inlineStr">
        <is>
          <t>Watches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20</v>
      </c>
      <c r="K19" s="31" t="n">
        <v>25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INDOBORAX</t>
        </is>
      </c>
      <c r="E20" s="31" t="inlineStr">
        <is>
          <t>Indo Borax &amp; Chemicals Ltd</t>
        </is>
      </c>
      <c r="F20" s="31" t="inlineStr">
        <is>
          <t>Chemicals - Inorganic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22</v>
      </c>
      <c r="K20" s="31" t="n">
        <v>14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ATHERENERG</t>
        </is>
      </c>
      <c r="E21" s="31" t="inlineStr">
        <is>
          <t>Ather Energy Ltd</t>
        </is>
      </c>
      <c r="F21" s="31" t="inlineStr">
        <is>
          <t>Auto - 2 &amp; 3 Wheelers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19</v>
      </c>
      <c r="K21" s="31" t="n">
        <v>29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KINGFA</t>
        </is>
      </c>
      <c r="E22" s="31" t="inlineStr">
        <is>
          <t>Kingfa Science &amp; Technology (india) Limited</t>
        </is>
      </c>
      <c r="F22" s="31" t="inlineStr">
        <is>
          <t>Plastics - Plastic &amp; Plastic Products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19</v>
      </c>
      <c r="K22" s="31" t="n">
        <v>23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MODISONLTD</t>
        </is>
      </c>
      <c r="E23" s="31" t="inlineStr">
        <is>
          <t>Modison Ltd</t>
        </is>
      </c>
      <c r="F23" s="31" t="inlineStr">
        <is>
          <t>Capital Goods - Electric General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29</v>
      </c>
      <c r="K23" s="31" t="n">
        <v>18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SPORTKING</t>
        </is>
      </c>
      <c r="E24" s="31" t="inlineStr">
        <is>
          <t>Sportking India Ltd</t>
        </is>
      </c>
      <c r="F24" s="31" t="inlineStr">
        <is>
          <t>Textiles - Spinning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19</v>
      </c>
      <c r="K24" s="31" t="n">
        <v>21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WELCORP</t>
        </is>
      </c>
      <c r="E25" s="31" t="inlineStr">
        <is>
          <t>Welspun Corp Limited</t>
        </is>
      </c>
      <c r="F25" s="31" t="inlineStr">
        <is>
          <t>DI Pipes/Saw Pipes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20</v>
      </c>
      <c r="K25" s="31" t="n">
        <v>30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UNIPARTS</t>
        </is>
      </c>
      <c r="E26" s="31" t="inlineStr">
        <is>
          <t>Uniparts India Ltd</t>
        </is>
      </c>
      <c r="F26" s="31" t="inlineStr">
        <is>
          <t>Castings, Forgings &amp; Fastners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23</v>
      </c>
      <c r="K26" s="31" t="n">
        <v>29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INDSWFTLAB</t>
        </is>
      </c>
      <c r="E27" s="31" t="inlineStr">
        <is>
          <t>Ind-swift Laboratories Limited</t>
        </is>
      </c>
      <c r="F27" s="31" t="inlineStr">
        <is>
          <t>Pharma - API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19</v>
      </c>
      <c r="K27" s="31" t="n">
        <v>27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CAPLIPOINT</t>
        </is>
      </c>
      <c r="E28" s="31" t="inlineStr">
        <is>
          <t>Caplin Point Laboratories Limited</t>
        </is>
      </c>
      <c r="F28" s="31" t="inlineStr">
        <is>
          <t>Pharma - Formulators</t>
        </is>
      </c>
      <c r="G28" s="31" t="n">
        <v>2</v>
      </c>
      <c r="H28" s="31" t="inlineStr">
        <is>
          <t>52W Breakout</t>
        </is>
      </c>
      <c r="I28" s="31" t="inlineStr">
        <is>
          <t>Yes</t>
        </is>
      </c>
      <c r="J28" s="31" t="n">
        <v>18</v>
      </c>
      <c r="K28" s="31" t="n">
        <v>6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CGCL</t>
        </is>
      </c>
      <c r="E29" s="31" t="inlineStr">
        <is>
          <t>Capri Global Capital Limited</t>
        </is>
      </c>
      <c r="F29" s="31" t="inlineStr">
        <is>
          <t>Finance &amp; Investments - Gold Loan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25</v>
      </c>
      <c r="K29" s="31" t="n">
        <v>11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SAKAR</t>
        </is>
      </c>
      <c r="E30" s="31" t="inlineStr">
        <is>
          <t>Sakar Healthcare Ltd</t>
        </is>
      </c>
      <c r="F30" s="31" t="inlineStr">
        <is>
          <t>Hospitals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22</v>
      </c>
      <c r="K30" s="31" t="n">
        <v>12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IGPL</t>
        </is>
      </c>
      <c r="E31" s="31" t="inlineStr">
        <is>
          <t>Ig Petrochemicals Limited</t>
        </is>
      </c>
      <c r="F31" s="31" t="inlineStr">
        <is>
          <t>Chemicals - Organic - Maleic Anhydride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21</v>
      </c>
      <c r="K31" s="31" t="n">
        <v>21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IRISDOREME</t>
        </is>
      </c>
      <c r="E32" s="31" t="inlineStr">
        <is>
          <t>Iris Clothings Ltd</t>
        </is>
      </c>
      <c r="F32" s="31" t="inlineStr">
        <is>
          <t>Textiles - Readymade Apparel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21</v>
      </c>
      <c r="K32" s="31" t="n">
        <v>30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CENTENKA</t>
        </is>
      </c>
      <c r="E33" s="31" t="inlineStr">
        <is>
          <t>Century Enka Limited</t>
        </is>
      </c>
      <c r="F33" s="31" t="inlineStr">
        <is>
          <t>Textiles - Manmade Fibre - PFY/PSF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22</v>
      </c>
      <c r="K33" s="31" t="n">
        <v>16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FCL</t>
        </is>
      </c>
      <c r="E34" s="31" t="inlineStr">
        <is>
          <t>Fineotex Chemical Limited</t>
        </is>
      </c>
      <c r="F34" s="31" t="inlineStr">
        <is>
          <t>Speciality Chemicals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21</v>
      </c>
      <c r="K34" s="31" t="n">
        <v>23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KMEW</t>
        </is>
      </c>
      <c r="E35" s="31" t="inlineStr">
        <is>
          <t>Knowledge Marine &amp; Engineering Works Ltd</t>
        </is>
      </c>
      <c r="F35" s="31" t="inlineStr">
        <is>
          <t>Shipping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23</v>
      </c>
      <c r="K35" s="31" t="n">
        <v>29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SSWL</t>
        </is>
      </c>
      <c r="E36" s="31" t="inlineStr">
        <is>
          <t>Steel Strips Wheels Limited</t>
        </is>
      </c>
      <c r="F36" s="31" t="inlineStr">
        <is>
          <t>Auto Ancillaries - Wheels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21</v>
      </c>
      <c r="K36" s="31" t="n">
        <v>24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MARINE</t>
        </is>
      </c>
      <c r="E37" s="31" t="inlineStr">
        <is>
          <t>Marine Electricals (India) Ltd</t>
        </is>
      </c>
      <c r="F37" s="31" t="inlineStr">
        <is>
          <t>Shipping - Proxy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21</v>
      </c>
      <c r="K37" s="31" t="n">
        <v>25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CYIENTDLM</t>
        </is>
      </c>
      <c r="E38" s="31" t="inlineStr">
        <is>
          <t>Cyient DLM Ltd</t>
        </is>
      </c>
      <c r="F38" s="31" t="inlineStr">
        <is>
          <t>unknown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0</v>
      </c>
      <c r="K38" s="31" t="n">
        <v>30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VENKEYS</t>
        </is>
      </c>
      <c r="E39" s="31" t="inlineStr">
        <is>
          <t>Venky's (india) Limited</t>
        </is>
      </c>
      <c r="F39" s="31" t="inlineStr">
        <is>
          <t>FMCG - Animal/Polutry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19</v>
      </c>
      <c r="K39" s="31" t="n">
        <v>19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NEULANDLAB</t>
        </is>
      </c>
      <c r="E40" s="31" t="inlineStr">
        <is>
          <t>Neuland Laboratories Limited</t>
        </is>
      </c>
      <c r="F40" s="31" t="inlineStr">
        <is>
          <t>Pharma - API &amp; CRAMS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20</v>
      </c>
      <c r="K40" s="31" t="n">
        <v>27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SHILPAMED</t>
        </is>
      </c>
      <c r="E41" s="31" t="inlineStr">
        <is>
          <t>Shilpa Medicare Limited</t>
        </is>
      </c>
      <c r="F41" s="31" t="inlineStr">
        <is>
          <t>Pharma - API &amp; CRAMS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23</v>
      </c>
      <c r="K41" s="31" t="n">
        <v>25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MARKSANS</t>
        </is>
      </c>
      <c r="E42" s="31" t="inlineStr">
        <is>
          <t>Marksans Pharma Limited</t>
        </is>
      </c>
      <c r="F42" s="31" t="inlineStr">
        <is>
          <t>Pharma - Formulators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25</v>
      </c>
      <c r="K42" s="31" t="n">
        <v>22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STLTECH</t>
        </is>
      </c>
      <c r="E43" s="31" t="inlineStr">
        <is>
          <t>Sterlite Technologies Limited</t>
        </is>
      </c>
      <c r="F43" s="31" t="inlineStr">
        <is>
          <t>Cables - Telecom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20</v>
      </c>
      <c r="K43" s="31" t="n">
        <v>23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ZIMLAB</t>
        </is>
      </c>
      <c r="E44" s="31" t="inlineStr">
        <is>
          <t>Zim Laboratories Ltd</t>
        </is>
      </c>
      <c r="F44" s="31" t="inlineStr">
        <is>
          <t>Pharma - Formulators</t>
        </is>
      </c>
      <c r="G44" s="31" t="n">
        <v>2</v>
      </c>
      <c r="H44" s="31" t="inlineStr">
        <is>
          <t>52W Breakout</t>
        </is>
      </c>
      <c r="I44" s="31" t="inlineStr">
        <is>
          <t>Yes</t>
        </is>
      </c>
      <c r="J44" s="31" t="n">
        <v>2</v>
      </c>
      <c r="K44" s="31" t="n">
        <v>10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GHCLTEXTIL</t>
        </is>
      </c>
      <c r="E45" s="31" t="inlineStr">
        <is>
          <t>GHCL Textiles Ltd</t>
        </is>
      </c>
      <c r="F45" s="31" t="inlineStr">
        <is>
          <t>Textiles - General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22</v>
      </c>
      <c r="K45" s="31" t="n">
        <v>29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OMAXE</t>
        </is>
      </c>
      <c r="E46" s="31" t="inlineStr">
        <is>
          <t>Omaxe Limited</t>
        </is>
      </c>
      <c r="F46" s="31" t="inlineStr">
        <is>
          <t>Realty - Construction &amp; Contracting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23</v>
      </c>
      <c r="K46" s="31" t="n">
        <v>17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AVALON</t>
        </is>
      </c>
      <c r="E47" s="31" t="inlineStr">
        <is>
          <t>Avalon Technologies Ltd</t>
        </is>
      </c>
      <c r="F47" s="31" t="inlineStr">
        <is>
          <t>Consumer Electronics - EMS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21</v>
      </c>
      <c r="K47" s="31" t="n">
        <v>23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BLISSGVS</t>
        </is>
      </c>
      <c r="E48" s="31" t="inlineStr">
        <is>
          <t>Bliss Gvs Pharma Limited</t>
        </is>
      </c>
      <c r="F48" s="31" t="inlineStr">
        <is>
          <t>Pharma - Formulators</t>
        </is>
      </c>
      <c r="G48" s="31" t="n">
        <v>2</v>
      </c>
      <c r="H48" s="31" t="inlineStr">
        <is>
          <t>52W Breakout</t>
        </is>
      </c>
      <c r="I48" s="31" t="inlineStr">
        <is>
          <t>Yes</t>
        </is>
      </c>
      <c r="J48" s="31" t="n">
        <v>17</v>
      </c>
      <c r="K48" s="31" t="n">
        <v>19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OFSS</t>
        </is>
      </c>
      <c r="E49" s="31" t="inlineStr">
        <is>
          <t>Oracle Financial Services Software Limited</t>
        </is>
      </c>
      <c r="F49" s="31" t="inlineStr">
        <is>
          <t>IT Product Companies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22</v>
      </c>
      <c r="K49" s="31" t="n">
        <v>21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PRECWIRE</t>
        </is>
      </c>
      <c r="E50" s="31" t="inlineStr">
        <is>
          <t>Precision Wires India Limited</t>
        </is>
      </c>
      <c r="F50" s="31" t="inlineStr">
        <is>
          <t>Copper Wires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20</v>
      </c>
      <c r="K50" s="31" t="n">
        <v>17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DYCL</t>
        </is>
      </c>
      <c r="E51" s="31" t="inlineStr">
        <is>
          <t>Dynamic Cables Ltd</t>
        </is>
      </c>
      <c r="F51" s="31" t="inlineStr">
        <is>
          <t>Cables - Power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29</v>
      </c>
      <c r="K51" s="31" t="n">
        <v>16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KENNAMET</t>
        </is>
      </c>
      <c r="E52" s="31" t="inlineStr">
        <is>
          <t>Kennametal India Ltd</t>
        </is>
      </c>
      <c r="F52" s="31" t="inlineStr">
        <is>
          <t>Castings, Forgings &amp; Fastners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26</v>
      </c>
      <c r="K52" s="31" t="n">
        <v>23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GANDHAR</t>
        </is>
      </c>
      <c r="E53" s="31" t="inlineStr">
        <is>
          <t>Gandhar Oil Refinery (India) Ltd</t>
        </is>
      </c>
      <c r="F53" s="31" t="inlineStr">
        <is>
          <t>Refineries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20</v>
      </c>
      <c r="K53" s="31" t="n">
        <v>22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MACPOWER</t>
        </is>
      </c>
      <c r="E54" s="31" t="inlineStr">
        <is>
          <t>Macpower CNC Machines Ltd</t>
        </is>
      </c>
      <c r="F54" s="31" t="inlineStr">
        <is>
          <t>CNC - Machines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22</v>
      </c>
      <c r="K54" s="31" t="n">
        <v>28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PGIL</t>
        </is>
      </c>
      <c r="E55" s="31" t="inlineStr">
        <is>
          <t>Pearl Global Industries Limited</t>
        </is>
      </c>
      <c r="F55" s="31" t="inlineStr">
        <is>
          <t>Textiles - Readymade Apparel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21</v>
      </c>
      <c r="K55" s="31" t="n">
        <v>24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CHENNPETRO</t>
        </is>
      </c>
      <c r="E56" s="31" t="inlineStr">
        <is>
          <t>Chennai Petroleum Corporation Limited</t>
        </is>
      </c>
      <c r="F56" s="31" t="inlineStr">
        <is>
          <t>Refineries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22</v>
      </c>
      <c r="K56" s="31" t="n">
        <v>23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CRAFTSMAN</t>
        </is>
      </c>
      <c r="E57" s="31" t="inlineStr">
        <is>
          <t>Craftsman Automation Ltd</t>
        </is>
      </c>
      <c r="F57" s="31" t="inlineStr">
        <is>
          <t>Auto &amp; Auto Ancl - CV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20</v>
      </c>
      <c r="K57" s="31" t="n">
        <v>25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AEROFLEX</t>
        </is>
      </c>
      <c r="E58" s="31" t="inlineStr">
        <is>
          <t>Aeroflex Industries Ltd</t>
        </is>
      </c>
      <c r="F58" s="31" t="inlineStr">
        <is>
          <t>Stainless Steel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20</v>
      </c>
      <c r="K58" s="31" t="n">
        <v>17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THELEELA</t>
        </is>
      </c>
      <c r="E59" s="31" t="inlineStr">
        <is>
          <t>Leela Palaces Hotels &amp; Resorts Ltd</t>
        </is>
      </c>
      <c r="F59" s="31" t="inlineStr">
        <is>
          <t>Hotels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24</v>
      </c>
      <c r="K59" s="31" t="n">
        <v>24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ACMESOLAR</t>
        </is>
      </c>
      <c r="E60" s="31" t="inlineStr">
        <is>
          <t>ACME Solar Holdings Ltd</t>
        </is>
      </c>
      <c r="F60" s="31" t="inlineStr">
        <is>
          <t>Engineering - Turnkey Services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20</v>
      </c>
      <c r="K60" s="31" t="n">
        <v>12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WELSPUNLIV</t>
        </is>
      </c>
      <c r="E61" s="31" t="inlineStr">
        <is>
          <t>Welspun Living Ltd</t>
        </is>
      </c>
      <c r="F61" s="31" t="inlineStr">
        <is>
          <t>Textiles - Home Textile</t>
        </is>
      </c>
      <c r="G61" s="31" t="n">
        <v>2</v>
      </c>
      <c r="H61" s="31" t="inlineStr">
        <is>
          <t>52W Breakout</t>
        </is>
      </c>
      <c r="I61" s="31" t="inlineStr">
        <is>
          <t>Yes</t>
        </is>
      </c>
      <c r="J61" s="31" t="n">
        <v>18</v>
      </c>
      <c r="K61" s="31" t="n">
        <v>14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SYNCOMF</t>
        </is>
      </c>
      <c r="E62" s="31" t="inlineStr">
        <is>
          <t>Syncom Formulations (India) Ltd</t>
        </is>
      </c>
      <c r="F62" s="31" t="inlineStr">
        <is>
          <t>Pharma - Others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21</v>
      </c>
      <c r="K62" s="31" t="n">
        <v>15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LAURUSLABS</t>
        </is>
      </c>
      <c r="E63" s="31" t="inlineStr">
        <is>
          <t>Laurus Labs Limited</t>
        </is>
      </c>
      <c r="F63" s="31" t="inlineStr">
        <is>
          <t>Pharma - API &amp; CRAMS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23</v>
      </c>
      <c r="K63" s="31" t="n">
        <v>30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COFORGE</t>
        </is>
      </c>
      <c r="E64" s="31" t="inlineStr">
        <is>
          <t>Coforge (Niit Tech) Ltd</t>
        </is>
      </c>
      <c r="F64" s="31" t="inlineStr">
        <is>
          <t>IT - Software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20</v>
      </c>
      <c r="K64" s="31" t="n">
        <v>26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SAILIFE</t>
        </is>
      </c>
      <c r="E65" s="31" t="inlineStr">
        <is>
          <t>Sai Life Sciences Ltd</t>
        </is>
      </c>
      <c r="F65" s="31" t="inlineStr">
        <is>
          <t>Pharma - API &amp; CRAMS</t>
        </is>
      </c>
      <c r="G65" s="31" t="n">
        <v>2</v>
      </c>
      <c r="H65" s="31" t="inlineStr">
        <is>
          <t>52W Breakout</t>
        </is>
      </c>
      <c r="I65" s="31" t="inlineStr">
        <is>
          <t>Yes</t>
        </is>
      </c>
      <c r="J65" s="31" t="n">
        <v>16</v>
      </c>
      <c r="K65" s="31" t="n">
        <v>27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BOSCH-HCIL</t>
        </is>
      </c>
      <c r="E66" s="31" t="inlineStr">
        <is>
          <t>Bosch Home Comfort India Ltd</t>
        </is>
      </c>
      <c r="F66" s="31" t="inlineStr">
        <is>
          <t>Consumer Electronics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19</v>
      </c>
      <c r="K66" s="31" t="n">
        <v>22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BODALCHEM</t>
        </is>
      </c>
      <c r="E67" s="31" t="inlineStr">
        <is>
          <t>Bodal Chemicals Limited</t>
        </is>
      </c>
      <c r="F67" s="31" t="inlineStr">
        <is>
          <t>Dyes &amp; Pigments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27</v>
      </c>
      <c r="K67" s="31" t="n">
        <v>21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SOTL</t>
        </is>
      </c>
      <c r="E68" s="31" t="inlineStr">
        <is>
          <t>Savita Oil Technologies Limited</t>
        </is>
      </c>
      <c r="F68" s="31" t="inlineStr">
        <is>
          <t>Petrochem - Others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28</v>
      </c>
      <c r="K68" s="31" t="n">
        <v>23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AEROENTER</t>
        </is>
      </c>
      <c r="E69" s="31" t="inlineStr">
        <is>
          <t>Aeroflex Enterprises Ltd</t>
        </is>
      </c>
      <c r="F69" s="31" t="inlineStr">
        <is>
          <t>Miscellaneous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23</v>
      </c>
      <c r="K69" s="31" t="n">
        <v>18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RISHABH</t>
        </is>
      </c>
      <c r="E70" s="31" t="inlineStr">
        <is>
          <t>Rishabh Instruments Ltd</t>
        </is>
      </c>
      <c r="F70" s="31" t="inlineStr">
        <is>
          <t>Capital Goods - Electric General</t>
        </is>
      </c>
      <c r="G70" s="31" t="n">
        <v>2</v>
      </c>
      <c r="H70" s="31" t="inlineStr">
        <is>
          <t>52W Breakout</t>
        </is>
      </c>
      <c r="I70" s="31" t="inlineStr">
        <is>
          <t>Yes</t>
        </is>
      </c>
      <c r="J70" s="31" t="n">
        <v>17</v>
      </c>
      <c r="K70" s="31" t="n">
        <v>22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ENTERO</t>
        </is>
      </c>
      <c r="E71" s="31" t="inlineStr">
        <is>
          <t>Entero Healthcare Solutions Ltd</t>
        </is>
      </c>
      <c r="F71" s="31" t="inlineStr">
        <is>
          <t>Pharmacy Distribution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29</v>
      </c>
      <c r="K71" s="31" t="n">
        <v>24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ENGINERSIN</t>
        </is>
      </c>
      <c r="E72" s="31" t="inlineStr">
        <is>
          <t>Engineers India Limited</t>
        </is>
      </c>
      <c r="F72" s="31" t="inlineStr">
        <is>
          <t>Infra - Engineering - General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21</v>
      </c>
      <c r="K72" s="31" t="n">
        <v>17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TVSSRICHAK</t>
        </is>
      </c>
      <c r="E73" s="31" t="inlineStr">
        <is>
          <t>Tvs Srichakra Limited</t>
        </is>
      </c>
      <c r="F73" s="31" t="inlineStr">
        <is>
          <t>Tyres &amp; Tubes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23</v>
      </c>
      <c r="K73" s="31" t="n">
        <v>14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MANINDS</t>
        </is>
      </c>
      <c r="E74" s="31" t="inlineStr">
        <is>
          <t>Man Industries (india) Limited</t>
        </is>
      </c>
      <c r="F74" s="31" t="inlineStr">
        <is>
          <t>Steel - Tubes/Pipes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22</v>
      </c>
      <c r="K74" s="31" t="n">
        <v>17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ANTHEM</t>
        </is>
      </c>
      <c r="E75" s="31" t="inlineStr">
        <is>
          <t>Anthem Biosciences Ltd</t>
        </is>
      </c>
      <c r="F75" s="31" t="inlineStr">
        <is>
          <t>Pharma - API &amp; CRAMS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13</v>
      </c>
      <c r="K75" s="31" t="n">
        <v>25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INGERRAND</t>
        </is>
      </c>
      <c r="E76" s="31" t="inlineStr">
        <is>
          <t>Ingersoll Rand (india) Limited</t>
        </is>
      </c>
      <c r="F76" s="31" t="inlineStr">
        <is>
          <t>Compressors</t>
        </is>
      </c>
      <c r="G76" s="31" t="n">
        <v>2</v>
      </c>
      <c r="H76" s="31" t="inlineStr">
        <is>
          <t>52W Breakout</t>
        </is>
      </c>
      <c r="I76" s="31" t="inlineStr">
        <is>
          <t>Yes</t>
        </is>
      </c>
      <c r="J76" s="31" t="n">
        <v>10</v>
      </c>
      <c r="K76" s="31" t="n">
        <v>13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PVP</t>
        </is>
      </c>
      <c r="E77" s="31" t="inlineStr">
        <is>
          <t>Pvp Ventures Limited</t>
        </is>
      </c>
      <c r="F77" s="31" t="inlineStr">
        <is>
          <t>Realty - Construction &amp; Contracting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20</v>
      </c>
      <c r="K77" s="31" t="n">
        <v>20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ANTELOPUS</t>
        </is>
      </c>
      <c r="E78" s="31" t="inlineStr">
        <is>
          <t>Antelopus Selan Energy Ltd</t>
        </is>
      </c>
      <c r="F78" s="31" t="inlineStr">
        <is>
          <t>Oil Drilling &amp; Exploration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30</v>
      </c>
      <c r="K78" s="31" t="n">
        <v>8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PTCIL</t>
        </is>
      </c>
      <c r="E79" s="31" t="inlineStr">
        <is>
          <t>PTC Industries Ltd</t>
        </is>
      </c>
      <c r="F79" s="31" t="inlineStr">
        <is>
          <t>Castings - Steel/Alloy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23</v>
      </c>
      <c r="K79" s="31" t="n">
        <v>23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GENUSPOWER</t>
        </is>
      </c>
      <c r="E80" s="31" t="inlineStr">
        <is>
          <t>Genus Power Infrastructures Limited</t>
        </is>
      </c>
      <c r="F80" s="31" t="inlineStr">
        <is>
          <t>Electronics - Equipment/Components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19</v>
      </c>
      <c r="K80" s="31" t="n">
        <v>10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MANGLMCEM</t>
        </is>
      </c>
      <c r="E81" s="31" t="inlineStr">
        <is>
          <t>Mangalam Cement Limited</t>
        </is>
      </c>
      <c r="F81" s="31" t="inlineStr">
        <is>
          <t>Cement</t>
        </is>
      </c>
      <c r="G81" s="31" t="n">
        <v>2</v>
      </c>
      <c r="H81" s="31" t="inlineStr">
        <is>
          <t>52W Breakout</t>
        </is>
      </c>
      <c r="I81" s="31" t="inlineStr">
        <is>
          <t>Yes</t>
        </is>
      </c>
      <c r="J81" s="31" t="n">
        <v>16</v>
      </c>
      <c r="K81" s="31" t="n">
        <v>15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WELENT</t>
        </is>
      </c>
      <c r="E82" s="31" t="inlineStr">
        <is>
          <t>Welspun Enterprises Limited</t>
        </is>
      </c>
      <c r="F82" s="31" t="inlineStr">
        <is>
          <t>Water Treatment</t>
        </is>
      </c>
      <c r="G82" s="31" t="n">
        <v>2</v>
      </c>
      <c r="H82" s="31" t="inlineStr">
        <is>
          <t>52W Breakout</t>
        </is>
      </c>
      <c r="I82" s="31" t="inlineStr">
        <is>
          <t>Yes</t>
        </is>
      </c>
      <c r="J82" s="31" t="n">
        <v>15</v>
      </c>
      <c r="K82" s="31" t="n">
        <v>12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GLENMARK</t>
        </is>
      </c>
      <c r="E83" s="31" t="inlineStr">
        <is>
          <t>Glenmark Pharmaceuticals Limited</t>
        </is>
      </c>
      <c r="F83" s="31" t="inlineStr">
        <is>
          <t>Pharma - Formulators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19</v>
      </c>
      <c r="K83" s="31" t="n">
        <v>18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RATNAVEER</t>
        </is>
      </c>
      <c r="E84" s="31" t="inlineStr">
        <is>
          <t>Ratnaveer Precision Engineering Ltd</t>
        </is>
      </c>
      <c r="F84" s="31" t="inlineStr">
        <is>
          <t>Stainless Steel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19</v>
      </c>
      <c r="K84" s="31" t="n">
        <v>25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UFLEX</t>
        </is>
      </c>
      <c r="E85" s="31" t="inlineStr">
        <is>
          <t>Uflex Limited</t>
        </is>
      </c>
      <c r="F85" s="31" t="inlineStr">
        <is>
          <t>Packaging - BOPP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23</v>
      </c>
      <c r="K85" s="31" t="n">
        <v>21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SEAMECLTD</t>
        </is>
      </c>
      <c r="E86" s="31" t="inlineStr">
        <is>
          <t>Seamec Limited</t>
        </is>
      </c>
      <c r="F86" s="31" t="inlineStr">
        <is>
          <t>Shipping</t>
        </is>
      </c>
      <c r="G86" s="31" t="n">
        <v>2</v>
      </c>
      <c r="H86" s="31" t="inlineStr">
        <is>
          <t>52W Breakout</t>
        </is>
      </c>
      <c r="I86" s="31" t="inlineStr">
        <is>
          <t>Yes</t>
        </is>
      </c>
      <c r="J86" s="31" t="n">
        <v>13</v>
      </c>
      <c r="K86" s="31" t="n">
        <v>23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MANAKSTEEL</t>
        </is>
      </c>
      <c r="E87" s="31" t="inlineStr">
        <is>
          <t>Manaksia Steels Limited</t>
        </is>
      </c>
      <c r="F87" s="31" t="inlineStr">
        <is>
          <t>Steel</t>
        </is>
      </c>
      <c r="G87" s="31" t="n">
        <v>2</v>
      </c>
      <c r="H87" s="31" t="inlineStr">
        <is>
          <t>52W Breakout</t>
        </is>
      </c>
      <c r="I87" s="31" t="inlineStr">
        <is>
          <t>Yes</t>
        </is>
      </c>
      <c r="J87" s="31" t="n">
        <v>4</v>
      </c>
      <c r="K87" s="31" t="n">
        <v>21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BIL</t>
        </is>
      </c>
      <c r="E88" s="31" t="inlineStr">
        <is>
          <t>Bhartiya International Limited</t>
        </is>
      </c>
      <c r="F88" s="31" t="inlineStr">
        <is>
          <t>Textiles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22</v>
      </c>
      <c r="K88" s="31" t="n">
        <v>22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DEEPINDS</t>
        </is>
      </c>
      <c r="E89" s="31" t="inlineStr">
        <is>
          <t>Deep Industries Ltd</t>
        </is>
      </c>
      <c r="F89" s="31" t="inlineStr">
        <is>
          <t>Oil Drilling &amp; Exploration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19</v>
      </c>
      <c r="K89" s="31" t="n">
        <v>27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ASIANENE</t>
        </is>
      </c>
      <c r="E90" s="31" t="inlineStr">
        <is>
          <t>Asian Energy Services Ltd</t>
        </is>
      </c>
      <c r="F90" s="31" t="inlineStr">
        <is>
          <t>unknown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0</v>
      </c>
      <c r="K90" s="31" t="n">
        <v>26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NAVINFLUOR</t>
        </is>
      </c>
      <c r="E91" s="31" t="inlineStr">
        <is>
          <t>Navin Fluorine International Limited</t>
        </is>
      </c>
      <c r="F91" s="31" t="inlineStr">
        <is>
          <t>Chemicals - Flourine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19</v>
      </c>
      <c r="K91" s="31" t="n">
        <v>21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RAMRAT</t>
        </is>
      </c>
      <c r="E92" s="31" t="inlineStr">
        <is>
          <t>Ram Ratna Wires Ltd</t>
        </is>
      </c>
      <c r="F92" s="31" t="inlineStr">
        <is>
          <t>Copper Wires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19</v>
      </c>
      <c r="K92" s="31" t="n">
        <v>25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TNPETRO</t>
        </is>
      </c>
      <c r="E93" s="31" t="inlineStr">
        <is>
          <t>Tamilnadu Petroproducts Limited</t>
        </is>
      </c>
      <c r="F93" s="31" t="inlineStr">
        <is>
          <t>Petrochem - Others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25</v>
      </c>
      <c r="K93" s="31" t="n">
        <v>16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HATSUN</t>
        </is>
      </c>
      <c r="E94" s="31" t="inlineStr">
        <is>
          <t>Hatsun Agro Product Limited</t>
        </is>
      </c>
      <c r="F94" s="31" t="inlineStr">
        <is>
          <t>unknown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0</v>
      </c>
      <c r="K94" s="31" t="n">
        <v>16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JTLIND</t>
        </is>
      </c>
      <c r="E95" s="31" t="inlineStr">
        <is>
          <t>JTL Industries Ltd</t>
        </is>
      </c>
      <c r="F95" s="31" t="inlineStr">
        <is>
          <t>Steel - Tubes/Pipes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24</v>
      </c>
      <c r="K95" s="31" t="n">
        <v>11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MAITHANALL</t>
        </is>
      </c>
      <c r="E96" s="31" t="inlineStr">
        <is>
          <t>Maithan Alloys Limited</t>
        </is>
      </c>
      <c r="F96" s="31" t="inlineStr">
        <is>
          <t>Ferro Alloys</t>
        </is>
      </c>
      <c r="G96" s="31" t="n">
        <v>2</v>
      </c>
      <c r="H96" s="31" t="inlineStr">
        <is>
          <t>EMA Crossover</t>
        </is>
      </c>
      <c r="I96" s="31" t="inlineStr">
        <is>
          <t>Yes</t>
        </is>
      </c>
      <c r="J96" s="31" t="n">
        <v>5</v>
      </c>
      <c r="K96" s="31" t="n">
        <v>1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BALAMINES</t>
        </is>
      </c>
      <c r="E97" s="31" t="inlineStr">
        <is>
          <t>Balaji Amines Limited</t>
        </is>
      </c>
      <c r="F97" s="31" t="inlineStr">
        <is>
          <t>Speciality Chemicals</t>
        </is>
      </c>
      <c r="G97" s="31" t="n">
        <v>2</v>
      </c>
      <c r="H97" s="31" t="inlineStr">
        <is>
          <t>No</t>
        </is>
      </c>
      <c r="I97" s="31" t="inlineStr">
        <is>
          <t>Yes</t>
        </is>
      </c>
      <c r="J97" s="31" t="n">
        <v>19</v>
      </c>
      <c r="K97" s="31" t="n">
        <v>10</v>
      </c>
    </row>
    <row r="98">
      <c r="A98" s="31">
        <f>IF(B98=0,"",ROW()-1)</f>
        <v/>
      </c>
      <c r="B98" s="32">
        <f>IFERROR(INDEX('Monit Non Financial'!$B$2:$B$400, MATCH(D98, 'Monit Non Financial'!$C$2:$C$400, 0)), IFERROR(INDEX('Monit Banks NBFC'!$B$2:$B$100, MATCH(D98, 'Monit Banks NBFC'!$C$2:$C$100, 0)), 0))</f>
        <v/>
      </c>
      <c r="C98" s="31">
        <f>IFERROR(INDEX('Monit Non Financial'!$L$2:$L$400, MATCH(D98, 'Monit Non Financial'!$C$2:$C$400, 0)), IFERROR(INDEX('Monit Banks NBFC'!$L$2:$L$100, MATCH(D98, 'Monit Banks NBFC'!$C$2:$C$100, 0)), ""))</f>
        <v/>
      </c>
      <c r="D98" s="31" t="inlineStr">
        <is>
          <t>GIPCL</t>
        </is>
      </c>
      <c r="E98" s="31" t="inlineStr">
        <is>
          <t>Gujarat Industries Power Company Limited</t>
        </is>
      </c>
      <c r="F98" s="31" t="inlineStr">
        <is>
          <t>Power - Generation/Distribution</t>
        </is>
      </c>
      <c r="G98" s="31" t="n">
        <v>2</v>
      </c>
      <c r="H98" s="31" t="inlineStr">
        <is>
          <t>No</t>
        </is>
      </c>
      <c r="I98" s="31" t="inlineStr">
        <is>
          <t>Yes</t>
        </is>
      </c>
      <c r="J98" s="31" t="n">
        <v>24</v>
      </c>
      <c r="K98" s="31" t="n">
        <v>18</v>
      </c>
    </row>
  </sheetData>
  <autoFilter ref="A1:K98"/>
  <conditionalFormatting sqref="G2:G9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8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2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IF(B2=0,"",RANK(B2,$B$2:$B$326,0))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VADILALIND</t>
        </is>
      </c>
      <c r="D2" s="31" t="inlineStr">
        <is>
          <t>Vadilal Industries Limited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midcap</t>
        </is>
      </c>
      <c r="H2" s="32" t="n">
        <v>5575.6</v>
      </c>
      <c r="I2" s="32" t="n">
        <v>7559.5</v>
      </c>
      <c r="J2" s="32" t="n">
        <v>-2.55</v>
      </c>
      <c r="K2" s="32" t="n">
        <v>23667</v>
      </c>
      <c r="L2" s="31" t="n">
        <v>81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69.65000000000001</v>
      </c>
      <c r="P2" s="32" t="n">
        <v>52.65</v>
      </c>
      <c r="Q2" s="32" t="n">
        <v>6278.52</v>
      </c>
      <c r="R2" s="31" t="inlineStr">
        <is>
          <t>Near 52W High Breakout</t>
        </is>
      </c>
      <c r="S2" s="31" t="inlineStr">
        <is>
          <t>Nifty FMCG</t>
        </is>
      </c>
      <c r="T2" s="32" t="n">
        <v>-15.28</v>
      </c>
      <c r="U2" s="32" t="n">
        <v>38.51</v>
      </c>
      <c r="V2" s="32" t="n">
        <v>63.49</v>
      </c>
      <c r="W2" s="32" t="n">
        <v>25.03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IF(B3=0,"",RANK(B3,$B$2:$B$326,0))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VINDHYATEL</t>
        </is>
      </c>
      <c r="D3" s="31" t="inlineStr">
        <is>
          <t>Vindhya Telelinks Limited</t>
        </is>
      </c>
      <c r="E3" s="31" t="inlineStr">
        <is>
          <t>realty</t>
        </is>
      </c>
      <c r="F3" s="31" t="inlineStr">
        <is>
          <t>construction</t>
        </is>
      </c>
      <c r="G3" s="31" t="inlineStr">
        <is>
          <t>smallcap</t>
        </is>
      </c>
      <c r="H3" s="32" t="n">
        <v>3053.61</v>
      </c>
      <c r="I3" s="32" t="n">
        <v>2737.1</v>
      </c>
      <c r="J3" s="32" t="n">
        <v>6.23</v>
      </c>
      <c r="K3" s="32" t="n">
        <v>192191</v>
      </c>
      <c r="L3" s="31" t="n">
        <v>93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71.44</v>
      </c>
      <c r="P3" s="32" t="n">
        <v>52.25</v>
      </c>
      <c r="Q3" s="32" t="n">
        <v>1984.96</v>
      </c>
      <c r="R3" s="31" t="inlineStr">
        <is>
          <t>Near 52W High Breakout</t>
        </is>
      </c>
      <c r="S3" s="31" t="inlineStr">
        <is>
          <t>Nifty Realty</t>
        </is>
      </c>
      <c r="T3" s="32" t="n">
        <v>-6.04</v>
      </c>
      <c r="U3" s="32" t="n">
        <v>74.26000000000001</v>
      </c>
      <c r="V3" s="32" t="n">
        <v>85.47</v>
      </c>
      <c r="W3" s="32" t="n">
        <v>43.2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IF(B4=0,"",RANK(B4,$B$2:$B$326,0))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BLUSPRING</t>
        </is>
      </c>
      <c r="D4" s="31" t="inlineStr">
        <is>
          <t>Bluspring Enterprises Ltd</t>
        </is>
      </c>
      <c r="E4" s="31" t="inlineStr">
        <is>
          <t>miscellaneous</t>
        </is>
      </c>
      <c r="F4" s="31" t="inlineStr">
        <is>
          <t>diversified - large</t>
        </is>
      </c>
      <c r="G4" s="31" t="inlineStr">
        <is>
          <t>smallcap</t>
        </is>
      </c>
      <c r="H4" s="32" t="n">
        <v>1815.26</v>
      </c>
      <c r="I4" s="32" t="n">
        <v>132.44</v>
      </c>
      <c r="J4" s="32" t="n">
        <v>9.029999999999999</v>
      </c>
      <c r="K4" s="32" t="n">
        <v>1043522</v>
      </c>
      <c r="L4" s="31" t="n">
        <v>81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72.13</v>
      </c>
      <c r="P4" s="32" t="n">
        <v>63.96</v>
      </c>
      <c r="Q4" s="32" t="n">
        <v>91.62</v>
      </c>
      <c r="R4" s="31" t="inlineStr">
        <is>
          <t>Near 52W High Breakout</t>
        </is>
      </c>
      <c r="S4" s="31" t="inlineStr">
        <is>
          <t>Nifty 50</t>
        </is>
      </c>
      <c r="T4" s="32" t="n">
        <v>-3.34</v>
      </c>
      <c r="U4" s="32" t="n">
        <v>64.40000000000001</v>
      </c>
      <c r="V4" s="32" t="n">
        <v>70.08</v>
      </c>
      <c r="W4" s="32" t="n">
        <v>24.8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IF(B5=0,"",RANK(B5,$B$2:$B$326,0))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PREMIERPOL</t>
        </is>
      </c>
      <c r="D5" s="31" t="inlineStr">
        <is>
          <t>Premier Polyfilm Limited</t>
        </is>
      </c>
      <c r="E5" s="31" t="inlineStr">
        <is>
          <t>plastic products</t>
        </is>
      </c>
      <c r="F5" s="31" t="inlineStr">
        <is>
          <t>plastics products</t>
        </is>
      </c>
      <c r="G5" s="31" t="inlineStr">
        <is>
          <t>smallcap</t>
        </is>
      </c>
      <c r="H5" s="32" t="n">
        <v>947.29</v>
      </c>
      <c r="I5" s="32" t="n">
        <v>89.79000000000001</v>
      </c>
      <c r="J5" s="32" t="n">
        <v>-0.72</v>
      </c>
      <c r="K5" s="32" t="n">
        <v>163733</v>
      </c>
      <c r="L5" s="31" t="n">
        <v>85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68.73999999999999</v>
      </c>
      <c r="P5" s="32" t="n">
        <v>55.75</v>
      </c>
      <c r="Q5" s="32" t="n">
        <v>65.92</v>
      </c>
      <c r="R5" s="31" t="inlineStr">
        <is>
          <t>Near 52W High Breakout</t>
        </is>
      </c>
      <c r="S5" s="31" t="inlineStr">
        <is>
          <t>Nifty 50</t>
        </is>
      </c>
      <c r="T5" s="32" t="n">
        <v>-3.34</v>
      </c>
      <c r="U5" s="32" t="n">
        <v>92.67</v>
      </c>
      <c r="V5" s="32" t="n">
        <v>99.33</v>
      </c>
      <c r="W5" s="32" t="n">
        <v>28.75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IF(B6=0,"",RANK(B6,$B$2:$B$326,0))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MENONBE</t>
        </is>
      </c>
      <c r="D6" s="31" t="inlineStr">
        <is>
          <t>Menon Bearings Limited</t>
        </is>
      </c>
      <c r="E6" s="31" t="inlineStr">
        <is>
          <t>auto</t>
        </is>
      </c>
      <c r="F6" s="31" t="inlineStr">
        <is>
          <t>auto ancillaries</t>
        </is>
      </c>
      <c r="G6" s="31" t="inlineStr">
        <is>
          <t>smallcap</t>
        </is>
      </c>
      <c r="H6" s="32" t="n">
        <v>1689.05</v>
      </c>
      <c r="I6" s="32" t="n">
        <v>293.9</v>
      </c>
      <c r="J6" s="32" t="n">
        <v>-2.49</v>
      </c>
      <c r="K6" s="32" t="n">
        <v>51333</v>
      </c>
      <c r="L6" s="31" t="n">
        <v>97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83.59999999999999</v>
      </c>
      <c r="P6" s="32" t="n">
        <v>60.19</v>
      </c>
      <c r="Q6" s="32" t="n">
        <v>222.18</v>
      </c>
      <c r="R6" s="31" t="inlineStr">
        <is>
          <t>Near 52W High Breakout</t>
        </is>
      </c>
      <c r="S6" s="31" t="inlineStr">
        <is>
          <t>Nifty Auto</t>
        </is>
      </c>
      <c r="T6" s="32" t="n">
        <v>17.66</v>
      </c>
      <c r="U6" s="32" t="n">
        <v>131.25</v>
      </c>
      <c r="V6" s="32" t="n">
        <v>96.54000000000001</v>
      </c>
      <c r="W6" s="32" t="n">
        <v>58.4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IF(B7=0,"",RANK(B7,$B$2:$B$326,0))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IOLCP</t>
        </is>
      </c>
      <c r="D7" s="31" t="inlineStr">
        <is>
          <t>Iol Chemicals And Pharmaceuticals Limited</t>
        </is>
      </c>
      <c r="E7" s="31" t="inlineStr">
        <is>
          <t>healthcare</t>
        </is>
      </c>
      <c r="F7" s="31" t="inlineStr">
        <is>
          <t>pharmaceuticals - indian - bulk drugs &amp; formln</t>
        </is>
      </c>
      <c r="G7" s="31" t="inlineStr">
        <is>
          <t>midcap</t>
        </is>
      </c>
      <c r="H7" s="32" t="n">
        <v>5591.11</v>
      </c>
      <c r="I7" s="32" t="n">
        <v>188.38</v>
      </c>
      <c r="J7" s="32" t="n">
        <v>-1.1</v>
      </c>
      <c r="K7" s="32" t="n">
        <v>2248618</v>
      </c>
      <c r="L7" s="31" t="n">
        <v>85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73.98</v>
      </c>
      <c r="P7" s="32" t="n">
        <v>80.54000000000001</v>
      </c>
      <c r="Q7" s="32" t="n">
        <v>144.2</v>
      </c>
      <c r="R7" s="31" t="inlineStr">
        <is>
          <t>Near 52W High Breakout</t>
        </is>
      </c>
      <c r="S7" s="31" t="inlineStr">
        <is>
          <t>Nifty Pharma</t>
        </is>
      </c>
      <c r="T7" s="32" t="n">
        <v>22.15</v>
      </c>
      <c r="U7" s="32" t="n">
        <v>97.02</v>
      </c>
      <c r="V7" s="32" t="n">
        <v>61.3</v>
      </c>
      <c r="W7" s="32" t="n">
        <v>28.01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IF(B8=0,"",RANK(B8,$B$2:$B$326,0))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SUVEN</t>
        </is>
      </c>
      <c r="D8" s="31" t="inlineStr">
        <is>
          <t>Suven Life Sciences Limited</t>
        </is>
      </c>
      <c r="E8" s="31" t="inlineStr">
        <is>
          <t>healthcare</t>
        </is>
      </c>
      <c r="F8" s="31" t="inlineStr">
        <is>
          <t>miscellaneous</t>
        </is>
      </c>
      <c r="G8" s="31" t="inlineStr">
        <is>
          <t>smallcap</t>
        </is>
      </c>
      <c r="H8" s="32" t="n">
        <v>737.2</v>
      </c>
      <c r="I8" s="32" t="n">
        <v>372.85</v>
      </c>
      <c r="J8" s="32" t="n">
        <v>-2.29</v>
      </c>
      <c r="K8" s="32" t="n">
        <v>556245</v>
      </c>
      <c r="L8" s="31" t="n">
        <v>86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70.70999999999999</v>
      </c>
      <c r="P8" s="32" t="n">
        <v>47.32</v>
      </c>
      <c r="Q8" s="32" t="n">
        <v>263.45</v>
      </c>
      <c r="R8" s="31" t="inlineStr">
        <is>
          <t>Near 52W High Breakout</t>
        </is>
      </c>
      <c r="S8" s="31" t="inlineStr">
        <is>
          <t>Nifty Pharma</t>
        </is>
      </c>
      <c r="T8" s="32" t="n">
        <v>22.15</v>
      </c>
      <c r="U8" s="32" t="n">
        <v>67.76000000000001</v>
      </c>
      <c r="V8" s="32" t="n">
        <v>37.34</v>
      </c>
      <c r="W8" s="32" t="n">
        <v>28.8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IF(B9=0,"",RANK(B9,$B$2:$B$326,0))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BIRLACABLE</t>
        </is>
      </c>
      <c r="D9" s="31" t="inlineStr">
        <is>
          <t>Birla Cable Limited</t>
        </is>
      </c>
      <c r="E9" s="31" t="inlineStr">
        <is>
          <t>industrials</t>
        </is>
      </c>
      <c r="F9" s="31" t="inlineStr">
        <is>
          <t>cables - telephone</t>
        </is>
      </c>
      <c r="G9" s="31" t="inlineStr">
        <is>
          <t>smallcap</t>
        </is>
      </c>
      <c r="H9" s="32" t="n">
        <v>976.05</v>
      </c>
      <c r="I9" s="32" t="n">
        <v>341.6</v>
      </c>
      <c r="J9" s="32" t="n">
        <v>4.99</v>
      </c>
      <c r="K9" s="32" t="n">
        <v>324909</v>
      </c>
      <c r="L9" s="31" t="n">
        <v>95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76.84</v>
      </c>
      <c r="P9" s="32" t="n">
        <v>50.01</v>
      </c>
      <c r="Q9" s="32" t="n">
        <v>254.1</v>
      </c>
      <c r="R9" s="31" t="inlineStr">
        <is>
          <t>Volume Spike &amp; Near 52W High Breakout</t>
        </is>
      </c>
      <c r="S9" s="31" t="inlineStr">
        <is>
          <t>Nifty Infra</t>
        </is>
      </c>
      <c r="T9" s="32" t="n">
        <v>1.61</v>
      </c>
      <c r="U9" s="32" t="n">
        <v>100.78</v>
      </c>
      <c r="V9" s="32" t="n">
        <v>97.61</v>
      </c>
      <c r="W9" s="32" t="n">
        <v>47.14</v>
      </c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IF(B10=0,"",RANK(B10,$B$2:$B$326,0))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REDINGTON</t>
        </is>
      </c>
      <c r="D10" s="31" t="inlineStr">
        <is>
          <t>Redington (india) Limited</t>
        </is>
      </c>
      <c r="E10" s="31" t="inlineStr">
        <is>
          <t>services</t>
        </is>
      </c>
      <c r="F10" s="31" t="inlineStr">
        <is>
          <t>trading</t>
        </is>
      </c>
      <c r="G10" s="31" t="inlineStr">
        <is>
          <t>largecap</t>
        </is>
      </c>
      <c r="H10" s="32" t="n">
        <v>27330.83</v>
      </c>
      <c r="I10" s="32" t="n">
        <v>363.2</v>
      </c>
      <c r="J10" s="32" t="n">
        <v>3.89</v>
      </c>
      <c r="K10" s="32" t="n">
        <v>10766413</v>
      </c>
      <c r="L10" s="31" t="n">
        <v>76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69.79000000000001</v>
      </c>
      <c r="P10" s="32" t="n">
        <v>42.2</v>
      </c>
      <c r="Q10" s="32" t="n">
        <v>283.05</v>
      </c>
      <c r="R10" s="31" t="inlineStr">
        <is>
          <t>Near 52W High Breakout</t>
        </is>
      </c>
      <c r="S10" s="31" t="inlineStr">
        <is>
          <t>Nifty 50</t>
        </is>
      </c>
      <c r="T10" s="32" t="n">
        <v>-3.34</v>
      </c>
      <c r="U10" s="32" t="n">
        <v>56.74</v>
      </c>
      <c r="V10" s="32" t="n">
        <v>62.16</v>
      </c>
      <c r="W10" s="32" t="n">
        <v>22.55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IF(B11=0,"",RANK(B11,$B$2:$B$326,0))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ORIENTBELL</t>
        </is>
      </c>
      <c r="D11" s="31" t="inlineStr">
        <is>
          <t>Orient Bell Limited</t>
        </is>
      </c>
      <c r="E11" s="31" t="inlineStr">
        <is>
          <t>building materials</t>
        </is>
      </c>
      <c r="F11" s="31" t="inlineStr">
        <is>
          <t>ceramics - tiles / sanitaryware</t>
        </is>
      </c>
      <c r="G11" s="31" t="inlineStr">
        <is>
          <t>smallcap</t>
        </is>
      </c>
      <c r="H11" s="32" t="n">
        <v>574.37</v>
      </c>
      <c r="I11" s="32" t="n">
        <v>400.65</v>
      </c>
      <c r="J11" s="32" t="n">
        <v>2.61</v>
      </c>
      <c r="K11" s="32" t="n">
        <v>46905</v>
      </c>
      <c r="L11" s="31" t="n">
        <v>56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71.64</v>
      </c>
      <c r="P11" s="32" t="n">
        <v>40.51</v>
      </c>
      <c r="Q11" s="32" t="n">
        <v>305.31</v>
      </c>
      <c r="R11" s="31" t="inlineStr">
        <is>
          <t>Volume Spike &amp; Near 52W High Breakout</t>
        </is>
      </c>
      <c r="S11" s="31" t="inlineStr">
        <is>
          <t>Nifty Infra</t>
        </is>
      </c>
      <c r="T11" s="32" t="n">
        <v>1.61</v>
      </c>
      <c r="U11" s="32" t="n">
        <v>31.05</v>
      </c>
      <c r="V11" s="32" t="n">
        <v>28.98</v>
      </c>
      <c r="W11" s="32" t="n">
        <v>15.67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IF(B12=0,"",RANK(B12,$B$2:$B$326,0))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OCCLLTD</t>
        </is>
      </c>
      <c r="D12" s="31" t="inlineStr">
        <is>
          <t>OCCL Ltd</t>
        </is>
      </c>
      <c r="E12" s="31" t="inlineStr">
        <is>
          <t>chemicals</t>
        </is>
      </c>
      <c r="F12" s="31" t="inlineStr">
        <is>
          <t>chemicals</t>
        </is>
      </c>
      <c r="G12" s="31" t="inlineStr">
        <is>
          <t>smallcap</t>
        </is>
      </c>
      <c r="H12" s="32" t="n">
        <v>814.24</v>
      </c>
      <c r="I12" s="32" t="n">
        <v>163.35</v>
      </c>
      <c r="J12" s="32" t="n">
        <v>0.21</v>
      </c>
      <c r="K12" s="32" t="n">
        <v>34223</v>
      </c>
      <c r="L12" s="31" t="n">
        <v>60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72.51000000000001</v>
      </c>
      <c r="P12" s="32" t="n">
        <v>46.85</v>
      </c>
      <c r="Q12" s="32" t="n">
        <v>121.89</v>
      </c>
      <c r="R12" s="31" t="inlineStr">
        <is>
          <t>Near 52W High Breakout</t>
        </is>
      </c>
      <c r="S12" s="31" t="inlineStr">
        <is>
          <t>Nifty 50</t>
        </is>
      </c>
      <c r="T12" s="32" t="n">
        <v>-3.34</v>
      </c>
      <c r="U12" s="32" t="n">
        <v>25.87</v>
      </c>
      <c r="V12" s="32" t="n">
        <v>30.22</v>
      </c>
      <c r="W12" s="32" t="n">
        <v>17.04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IF(B13=0,"",RANK(B13,$B$2:$B$326,0))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VISHNU</t>
        </is>
      </c>
      <c r="D13" s="31" t="inlineStr">
        <is>
          <t>Vishnu Chemicals Limited</t>
        </is>
      </c>
      <c r="E13" s="31" t="inlineStr">
        <is>
          <t>chemicals</t>
        </is>
      </c>
      <c r="F13" s="31" t="inlineStr">
        <is>
          <t>chemicals</t>
        </is>
      </c>
      <c r="G13" s="31" t="inlineStr">
        <is>
          <t>smallcap</t>
        </is>
      </c>
      <c r="H13" s="32" t="n">
        <v>4454.59</v>
      </c>
      <c r="I13" s="32" t="n">
        <v>659.55</v>
      </c>
      <c r="J13" s="32" t="n">
        <v>-0.33</v>
      </c>
      <c r="K13" s="32" t="n">
        <v>114032</v>
      </c>
      <c r="L13" s="31" t="n">
        <v>35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64.95999999999999</v>
      </c>
      <c r="P13" s="32" t="n">
        <v>44.21</v>
      </c>
      <c r="Q13" s="32" t="n">
        <v>531.0599999999999</v>
      </c>
      <c r="R13" s="31" t="inlineStr">
        <is>
          <t>Near 52W High Breakout</t>
        </is>
      </c>
      <c r="S13" s="31" t="inlineStr">
        <is>
          <t>Nifty 50</t>
        </is>
      </c>
      <c r="T13" s="32" t="n">
        <v>-3.34</v>
      </c>
      <c r="U13" s="32" t="n">
        <v>37.44</v>
      </c>
      <c r="V13" s="32" t="n">
        <v>42.19</v>
      </c>
      <c r="W13" s="32" t="n">
        <v>8.83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IF(B14=0,"",RANK(B14,$B$2:$B$326,0))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MSTCLTD</t>
        </is>
      </c>
      <c r="D14" s="31" t="inlineStr">
        <is>
          <t>MSTC Ltd</t>
        </is>
      </c>
      <c r="E14" s="31" t="inlineStr">
        <is>
          <t>i.t</t>
        </is>
      </c>
      <c r="F14" s="31" t="inlineStr">
        <is>
          <t>trading</t>
        </is>
      </c>
      <c r="G14" s="31" t="inlineStr">
        <is>
          <t>midcap</t>
        </is>
      </c>
      <c r="H14" s="32" t="n">
        <v>5136.03</v>
      </c>
      <c r="I14" s="32" t="n">
        <v>711.75</v>
      </c>
      <c r="J14" s="32" t="n">
        <v>-2.44</v>
      </c>
      <c r="K14" s="32" t="n">
        <v>166202</v>
      </c>
      <c r="L14" s="31" t="n">
        <v>58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64.2</v>
      </c>
      <c r="P14" s="32" t="n">
        <v>45.27</v>
      </c>
      <c r="Q14" s="32" t="n">
        <v>548.0599999999999</v>
      </c>
      <c r="R14" s="31" t="inlineStr">
        <is>
          <t>Near 52W High Breakout</t>
        </is>
      </c>
      <c r="S14" s="31" t="inlineStr">
        <is>
          <t>Nifty IT</t>
        </is>
      </c>
      <c r="T14" s="32" t="n">
        <v>-10.2</v>
      </c>
      <c r="U14" s="32" t="n">
        <v>44.44</v>
      </c>
      <c r="V14" s="32" t="n">
        <v>60.85</v>
      </c>
      <c r="W14" s="32" t="n">
        <v>16.64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IF(B15=0,"",RANK(B15,$B$2:$B$326,0))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CUPID</t>
        </is>
      </c>
      <c r="D15" s="31" t="inlineStr">
        <is>
          <t>Cupid Limited</t>
        </is>
      </c>
      <c r="E15" s="31" t="inlineStr">
        <is>
          <t>fmcg</t>
        </is>
      </c>
      <c r="F15" s="31" t="inlineStr">
        <is>
          <t>personal care - indian</t>
        </is>
      </c>
      <c r="G15" s="31" t="inlineStr">
        <is>
          <t>largecap</t>
        </is>
      </c>
      <c r="H15" s="32" t="n">
        <v>36984.89</v>
      </c>
      <c r="I15" s="32" t="n">
        <v>280.7</v>
      </c>
      <c r="J15" s="32" t="n">
        <v>2.05</v>
      </c>
      <c r="K15" s="32" t="n">
        <v>9328144</v>
      </c>
      <c r="L15" s="31" t="n">
        <v>99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85.76000000000001</v>
      </c>
      <c r="P15" s="32" t="n">
        <v>73.11</v>
      </c>
      <c r="Q15" s="32" t="n">
        <v>228.23</v>
      </c>
      <c r="R15" s="31" t="inlineStr">
        <is>
          <t>Near 52W High Breakout</t>
        </is>
      </c>
      <c r="S15" s="31" t="inlineStr">
        <is>
          <t>Nifty FMCG</t>
        </is>
      </c>
      <c r="T15" s="32" t="n">
        <v>-15.28</v>
      </c>
      <c r="U15" s="32" t="n">
        <v>848.89</v>
      </c>
      <c r="V15" s="32" t="n">
        <v>1020.02</v>
      </c>
      <c r="W15" s="32" t="n">
        <v>93.34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IF(B16=0,"",RANK(B16,$B$2:$B$326,0))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AVTNPL</t>
        </is>
      </c>
      <c r="D16" s="31" t="inlineStr">
        <is>
          <t>Avt Natural Products Limited</t>
        </is>
      </c>
      <c r="E16" s="31" t="inlineStr">
        <is>
          <t>fmcg</t>
        </is>
      </c>
      <c r="F16" s="31" t="inlineStr">
        <is>
          <t>solvent extraction</t>
        </is>
      </c>
      <c r="G16" s="31" t="inlineStr">
        <is>
          <t>smallcap</t>
        </is>
      </c>
      <c r="H16" s="32" t="n">
        <v>1346.34</v>
      </c>
      <c r="I16" s="32" t="n">
        <v>87.16</v>
      </c>
      <c r="J16" s="32" t="n">
        <v>-1.41</v>
      </c>
      <c r="K16" s="32" t="n">
        <v>99085</v>
      </c>
      <c r="L16" s="31" t="n">
        <v>39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73.08</v>
      </c>
      <c r="P16" s="32" t="n">
        <v>40.64</v>
      </c>
      <c r="Q16" s="32" t="n">
        <v>69.31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-15.28</v>
      </c>
      <c r="U16" s="32" t="n">
        <v>15.99</v>
      </c>
      <c r="V16" s="32" t="n">
        <v>36.91</v>
      </c>
      <c r="W16" s="32" t="n">
        <v>10.06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IF(B17=0,"",RANK(B17,$B$2:$B$326,0))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IPCALAB</t>
        </is>
      </c>
      <c r="D17" s="31" t="inlineStr">
        <is>
          <t>Ipca Laboratories Limited</t>
        </is>
      </c>
      <c r="E17" s="31" t="inlineStr">
        <is>
          <t>healthcare</t>
        </is>
      </c>
      <c r="F17" s="31" t="inlineStr">
        <is>
          <t>pharmaceuticals - indian - bulk drugs &amp; formln</t>
        </is>
      </c>
      <c r="G17" s="31" t="inlineStr">
        <is>
          <t>largecap</t>
        </is>
      </c>
      <c r="H17" s="32" t="n">
        <v>50426.25</v>
      </c>
      <c r="I17" s="32" t="n">
        <v>1956.5</v>
      </c>
      <c r="J17" s="32" t="n">
        <v>-1.56</v>
      </c>
      <c r="K17" s="32" t="n">
        <v>161648</v>
      </c>
      <c r="L17" s="31" t="n">
        <v>47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69.02</v>
      </c>
      <c r="P17" s="32" t="n">
        <v>40.77</v>
      </c>
      <c r="Q17" s="32" t="n">
        <v>1588.71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22.15</v>
      </c>
      <c r="U17" s="32" t="n">
        <v>47.06</v>
      </c>
      <c r="V17" s="32" t="n">
        <v>20.4</v>
      </c>
      <c r="W17" s="32" t="n">
        <v>12.15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IF(B18=0,"",RANK(B18,$B$2:$B$326,0))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TBZ</t>
        </is>
      </c>
      <c r="D18" s="31" t="inlineStr">
        <is>
          <t>Tribhovandas Bhimji Zaveri Limited</t>
        </is>
      </c>
      <c r="E18" s="31" t="inlineStr">
        <is>
          <t>consumer discretionary</t>
        </is>
      </c>
      <c r="F18" s="31" t="inlineStr">
        <is>
          <t>diamond cutting / jewellery</t>
        </is>
      </c>
      <c r="G18" s="31" t="inlineStr">
        <is>
          <t>smallcap</t>
        </is>
      </c>
      <c r="H18" s="32" t="n">
        <v>2447.68</v>
      </c>
      <c r="I18" s="32" t="n">
        <v>418.25</v>
      </c>
      <c r="J18" s="32" t="n">
        <v>14.03</v>
      </c>
      <c r="K18" s="32" t="n">
        <v>27976693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86.06999999999999</v>
      </c>
      <c r="P18" s="32" t="n">
        <v>48.76</v>
      </c>
      <c r="Q18" s="32" t="n">
        <v>309.55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-3.34</v>
      </c>
      <c r="U18" s="32" t="n">
        <v>129.46</v>
      </c>
      <c r="V18" s="32" t="n">
        <v>137.39</v>
      </c>
      <c r="W18" s="32" t="n">
        <v>59.73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Between 0.7 to 1.2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IF(B19=0,"",RANK(B19,$B$2:$B$326,0))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ICIL</t>
        </is>
      </c>
      <c r="D19" s="31" t="inlineStr">
        <is>
          <t>Indo Count Industries Limited</t>
        </is>
      </c>
      <c r="E19" s="31" t="inlineStr">
        <is>
          <t>textiles</t>
        </is>
      </c>
      <c r="F19" s="31" t="inlineStr">
        <is>
          <t>textiles - cotton/blended</t>
        </is>
      </c>
      <c r="G19" s="31" t="inlineStr">
        <is>
          <t>midcap</t>
        </is>
      </c>
      <c r="H19" s="32" t="n">
        <v>8584.67</v>
      </c>
      <c r="I19" s="32" t="n">
        <v>447.15</v>
      </c>
      <c r="J19" s="32" t="n">
        <v>3.16</v>
      </c>
      <c r="K19" s="32" t="n">
        <v>823554</v>
      </c>
      <c r="L19" s="31" t="n">
        <v>76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65.64</v>
      </c>
      <c r="P19" s="32" t="n">
        <v>56.04</v>
      </c>
      <c r="Q19" s="32" t="n">
        <v>320.69</v>
      </c>
      <c r="R19" s="31" t="inlineStr">
        <is>
          <t>Near 52W High Breakout</t>
        </is>
      </c>
      <c r="S19" s="31" t="inlineStr">
        <is>
          <t>Nifty 50</t>
        </is>
      </c>
      <c r="T19" s="32" t="n">
        <v>-3.34</v>
      </c>
      <c r="U19" s="32" t="n">
        <v>90.98</v>
      </c>
      <c r="V19" s="32" t="n">
        <v>97.58</v>
      </c>
      <c r="W19" s="32" t="n">
        <v>22.65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IF(B20=0,"",RANK(B20,$B$2:$B$326,0))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RPEL</t>
        </is>
      </c>
      <c r="D20" s="31" t="inlineStr">
        <is>
          <t>Raghav Productivity Enhancers Ltd</t>
        </is>
      </c>
      <c r="E20" s="31" t="inlineStr">
        <is>
          <t>building materials</t>
        </is>
      </c>
      <c r="F20" s="31" t="inlineStr">
        <is>
          <t>refractories / intermediates</t>
        </is>
      </c>
      <c r="G20" s="31" t="inlineStr">
        <is>
          <t>midcap</t>
        </is>
      </c>
      <c r="H20" s="32" t="n">
        <v>7931.18</v>
      </c>
      <c r="I20" s="32" t="n">
        <v>1774.6</v>
      </c>
      <c r="J20" s="32" t="n">
        <v>2.75</v>
      </c>
      <c r="K20" s="32" t="n">
        <v>49856</v>
      </c>
      <c r="L20" s="31" t="n">
        <v>98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84.11</v>
      </c>
      <c r="P20" s="32" t="n">
        <v>62.19</v>
      </c>
      <c r="Q20" s="32" t="n">
        <v>1395.35</v>
      </c>
      <c r="R20" s="31" t="inlineStr">
        <is>
          <t>Near 52W High Breakout</t>
        </is>
      </c>
      <c r="S20" s="31" t="inlineStr">
        <is>
          <t>Nifty Infra</t>
        </is>
      </c>
      <c r="T20" s="32" t="n">
        <v>1.61</v>
      </c>
      <c r="U20" s="32" t="n">
        <v>168.76</v>
      </c>
      <c r="V20" s="32" t="n">
        <v>164.51</v>
      </c>
      <c r="W20" s="32" t="n">
        <v>65.16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Between 1.5 to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IF(B21=0,"",RANK(B21,$B$2:$B$326,0))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DIFFNKG</t>
        </is>
      </c>
      <c r="D21" s="31" t="inlineStr">
        <is>
          <t>Diffusion Engineers Ltd</t>
        </is>
      </c>
      <c r="E21" s="31" t="inlineStr">
        <is>
          <t>industrials</t>
        </is>
      </c>
      <c r="F21" s="31" t="inlineStr">
        <is>
          <t>electrodes - welding equipment</t>
        </is>
      </c>
      <c r="G21" s="31" t="inlineStr">
        <is>
          <t>smallcap</t>
        </is>
      </c>
      <c r="H21" s="32" t="n">
        <v>1787.1</v>
      </c>
      <c r="I21" s="32" t="n">
        <v>476.8</v>
      </c>
      <c r="J21" s="32" t="n">
        <v>-0.15</v>
      </c>
      <c r="K21" s="32" t="n">
        <v>306772</v>
      </c>
      <c r="L21" s="31" t="n">
        <v>76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69.09</v>
      </c>
      <c r="P21" s="32" t="n">
        <v>42.72</v>
      </c>
      <c r="Q21" s="32" t="n">
        <v>349.29</v>
      </c>
      <c r="R21" s="31" t="inlineStr">
        <is>
          <t>Volume Spike &amp; Near 52W High Breakout</t>
        </is>
      </c>
      <c r="S21" s="31" t="inlineStr">
        <is>
          <t>Nifty Infra</t>
        </is>
      </c>
      <c r="T21" s="32" t="n">
        <v>1.61</v>
      </c>
      <c r="U21" s="32" t="n">
        <v>41.76</v>
      </c>
      <c r="V21" s="32" t="n">
        <v>39.52</v>
      </c>
      <c r="W21" s="32" t="n">
        <v>22.55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IF(B22=0,"",RANK(B22,$B$2:$B$326,0))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KDDL</t>
        </is>
      </c>
      <c r="D22" s="31" t="inlineStr">
        <is>
          <t>Kddl Limited</t>
        </is>
      </c>
      <c r="E22" s="31" t="inlineStr">
        <is>
          <t>consumer discretionary</t>
        </is>
      </c>
      <c r="F22" s="31" t="inlineStr">
        <is>
          <t>miscellaneous</t>
        </is>
      </c>
      <c r="G22" s="31" t="inlineStr">
        <is>
          <t>smallcap</t>
        </is>
      </c>
      <c r="H22" s="32" t="n">
        <v>4768.92</v>
      </c>
      <c r="I22" s="32" t="n">
        <v>3852.9</v>
      </c>
      <c r="J22" s="32" t="n">
        <v>-0.63</v>
      </c>
      <c r="K22" s="32" t="n">
        <v>17464</v>
      </c>
      <c r="L22" s="31" t="n">
        <v>61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71.92</v>
      </c>
      <c r="P22" s="32" t="n">
        <v>45.39</v>
      </c>
      <c r="Q22" s="32" t="n">
        <v>3075.76</v>
      </c>
      <c r="R22" s="31" t="inlineStr">
        <is>
          <t>Near 52W High Breakout</t>
        </is>
      </c>
      <c r="S22" s="31" t="inlineStr">
        <is>
          <t>Nifty 50</t>
        </is>
      </c>
      <c r="T22" s="32" t="n">
        <v>-3.34</v>
      </c>
      <c r="U22" s="32" t="n">
        <v>62.68</v>
      </c>
      <c r="V22" s="32" t="n">
        <v>68.3</v>
      </c>
      <c r="W22" s="32" t="n">
        <v>17.5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IF(B23=0,"",RANK(B23,$B$2:$B$326,0))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UNIVCABLES</t>
        </is>
      </c>
      <c r="D23" s="31" t="inlineStr">
        <is>
          <t>Universal Cables Limited</t>
        </is>
      </c>
      <c r="E23" s="31" t="inlineStr">
        <is>
          <t>industrials</t>
        </is>
      </c>
      <c r="F23" s="31" t="inlineStr">
        <is>
          <t>cables - power</t>
        </is>
      </c>
      <c r="G23" s="31" t="inlineStr">
        <is>
          <t>midcap</t>
        </is>
      </c>
      <c r="H23" s="32" t="n">
        <v>5706</v>
      </c>
      <c r="I23" s="32" t="n">
        <v>1628</v>
      </c>
      <c r="J23" s="32" t="n">
        <v>-1.01</v>
      </c>
      <c r="K23" s="32" t="n">
        <v>87261</v>
      </c>
      <c r="L23" s="31" t="n">
        <v>93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71.08</v>
      </c>
      <c r="P23" s="32" t="n">
        <v>60.72</v>
      </c>
      <c r="Q23" s="32" t="n">
        <v>1223.6</v>
      </c>
      <c r="R23" s="31" t="inlineStr">
        <is>
          <t>Near 52W High Breakout</t>
        </is>
      </c>
      <c r="S23" s="31" t="inlineStr">
        <is>
          <t>Nifty Energy</t>
        </is>
      </c>
      <c r="T23" s="32" t="n">
        <v>7.88</v>
      </c>
      <c r="U23" s="32" t="n">
        <v>120.34</v>
      </c>
      <c r="V23" s="32" t="n">
        <v>104.24</v>
      </c>
      <c r="W23" s="32" t="n">
        <v>42.27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IF(B24=0,"",RANK(B24,$B$2:$B$326,0))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INDOBORAX</t>
        </is>
      </c>
      <c r="D24" s="31" t="inlineStr">
        <is>
          <t>Indo Borax &amp; Chemicals Ltd</t>
        </is>
      </c>
      <c r="E24" s="31" t="inlineStr">
        <is>
          <t>chemicals</t>
        </is>
      </c>
      <c r="F24" s="31" t="inlineStr">
        <is>
          <t>chemicals</t>
        </is>
      </c>
      <c r="G24" s="31" t="inlineStr">
        <is>
          <t>smallcap</t>
        </is>
      </c>
      <c r="H24" s="32" t="n">
        <v>1656</v>
      </c>
      <c r="I24" s="32" t="n">
        <v>506.15</v>
      </c>
      <c r="J24" s="32" t="n">
        <v>-1.92</v>
      </c>
      <c r="K24" s="32" t="n">
        <v>129523</v>
      </c>
      <c r="L24" s="31" t="n">
        <v>87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77.45</v>
      </c>
      <c r="P24" s="32" t="n">
        <v>75.41</v>
      </c>
      <c r="Q24" s="32" t="n">
        <v>370.83</v>
      </c>
      <c r="R24" s="31" t="inlineStr">
        <is>
          <t>Near 52W High Breakout</t>
        </is>
      </c>
      <c r="S24" s="31" t="inlineStr">
        <is>
          <t>Nifty 50</t>
        </is>
      </c>
      <c r="T24" s="32" t="n">
        <v>-3.34</v>
      </c>
      <c r="U24" s="32" t="n">
        <v>130.96</v>
      </c>
      <c r="V24" s="32" t="n">
        <v>138.94</v>
      </c>
      <c r="W24" s="32" t="n">
        <v>30.59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IF(B25=0,"",RANK(B25,$B$2:$B$326,0))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ATHERENERG</t>
        </is>
      </c>
      <c r="D25" s="31" t="inlineStr">
        <is>
          <t>Ather Energy Ltd</t>
        </is>
      </c>
      <c r="E25" s="31" t="inlineStr">
        <is>
          <t>auto</t>
        </is>
      </c>
      <c r="F25" s="31" t="inlineStr">
        <is>
          <t>automobiles - scooters and 3 - wheelers</t>
        </is>
      </c>
      <c r="G25" s="31" t="inlineStr">
        <is>
          <t>largecap</t>
        </is>
      </c>
      <c r="H25" s="32" t="n">
        <v>68010.25999999999</v>
      </c>
      <c r="I25" s="32" t="n">
        <v>1686.1</v>
      </c>
      <c r="J25" s="32" t="n">
        <v>-2.29</v>
      </c>
      <c r="K25" s="32" t="n">
        <v>6312532</v>
      </c>
      <c r="L25" s="31" t="n">
        <v>98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81.47</v>
      </c>
      <c r="P25" s="32" t="n">
        <v>65.8</v>
      </c>
      <c r="Q25" s="32" t="n">
        <v>1325.27</v>
      </c>
      <c r="R25" s="31" t="inlineStr">
        <is>
          <t>Near 52W High Breakout</t>
        </is>
      </c>
      <c r="S25" s="31" t="inlineStr">
        <is>
          <t>Nifty Auto</t>
        </is>
      </c>
      <c r="T25" s="32" t="n">
        <v>17.66</v>
      </c>
      <c r="U25" s="32" t="n">
        <v>404.37</v>
      </c>
      <c r="V25" s="32" t="n">
        <v>328.66</v>
      </c>
      <c r="W25" s="32" t="n">
        <v>64.66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IF(B26=0,"",RANK(B26,$B$2:$B$326,0))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GLAND</t>
        </is>
      </c>
      <c r="D26" s="31" t="inlineStr">
        <is>
          <t>Gland Pharma Ltd</t>
        </is>
      </c>
      <c r="E26" s="31" t="inlineStr">
        <is>
          <t>healthcare</t>
        </is>
      </c>
      <c r="F26" s="31" t="inlineStr">
        <is>
          <t>pharmaceuticals - indian - formulations</t>
        </is>
      </c>
      <c r="G26" s="31" t="inlineStr">
        <is>
          <t>largecap</t>
        </is>
      </c>
      <c r="H26" s="32" t="n">
        <v>47425.91</v>
      </c>
      <c r="I26" s="32" t="n">
        <v>2868.4</v>
      </c>
      <c r="J26" s="32" t="n">
        <v>-0.23</v>
      </c>
      <c r="K26" s="32" t="n">
        <v>556481</v>
      </c>
      <c r="L26" s="31" t="n">
        <v>56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71.95999999999999</v>
      </c>
      <c r="P26" s="32" t="n">
        <v>61.9</v>
      </c>
      <c r="Q26" s="32" t="n">
        <v>2443.13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22.15</v>
      </c>
      <c r="U26" s="32" t="n">
        <v>52.74</v>
      </c>
      <c r="V26" s="32" t="n">
        <v>25.04</v>
      </c>
      <c r="W26" s="32" t="n">
        <v>15.67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IF(B27=0,"",RANK(B27,$B$2:$B$326,0))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CLSEL</t>
        </is>
      </c>
      <c r="D27" s="31" t="inlineStr">
        <is>
          <t>Chamanlal Setia Exports Ltd</t>
        </is>
      </c>
      <c r="E27" s="31" t="inlineStr">
        <is>
          <t>fmcg</t>
        </is>
      </c>
      <c r="F27" s="31" t="inlineStr">
        <is>
          <t>food - processing - indian</t>
        </is>
      </c>
      <c r="G27" s="31" t="inlineStr">
        <is>
          <t>smallcap</t>
        </is>
      </c>
      <c r="H27" s="32" t="n">
        <v>1503.7</v>
      </c>
      <c r="I27" s="32" t="n">
        <v>301.4</v>
      </c>
      <c r="J27" s="32" t="n">
        <v>-0.33</v>
      </c>
      <c r="K27" s="32" t="n">
        <v>70678</v>
      </c>
      <c r="L27" s="31" t="n">
        <v>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58.26</v>
      </c>
      <c r="P27" s="32" t="n">
        <v>27.55</v>
      </c>
      <c r="Q27" s="32" t="n">
        <v>228.97</v>
      </c>
      <c r="R27" s="31" t="inlineStr">
        <is>
          <t>Near 52W High Breakout</t>
        </is>
      </c>
      <c r="S27" s="31" t="inlineStr">
        <is>
          <t>Nifty FMCG</t>
        </is>
      </c>
      <c r="T27" s="32" t="n">
        <v>-15.28</v>
      </c>
      <c r="U27" s="32" t="n">
        <v>-8.289999999999999</v>
      </c>
      <c r="V27" s="32" t="n">
        <v>8.25</v>
      </c>
      <c r="W27" s="32" t="n">
        <v>1.83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IF(B28=0,"",RANK(B28,$B$2:$B$326,0))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MODISONLTD</t>
        </is>
      </c>
      <c r="D28" s="31" t="inlineStr">
        <is>
          <t>Modison Ltd</t>
        </is>
      </c>
      <c r="E28" s="31" t="inlineStr">
        <is>
          <t>industrials</t>
        </is>
      </c>
      <c r="F28" s="31" t="inlineStr">
        <is>
          <t>electric equipment</t>
        </is>
      </c>
      <c r="G28" s="31" t="inlineStr">
        <is>
          <t>smallcap</t>
        </is>
      </c>
      <c r="H28" s="32" t="n">
        <v>1620.72</v>
      </c>
      <c r="I28" s="32" t="n">
        <v>520.65</v>
      </c>
      <c r="J28" s="32" t="n">
        <v>4.24</v>
      </c>
      <c r="K28" s="32" t="n">
        <v>822776</v>
      </c>
      <c r="L28" s="31" t="n">
        <v>96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83.13</v>
      </c>
      <c r="P28" s="32" t="n">
        <v>59.72</v>
      </c>
      <c r="Q28" s="32" t="n">
        <v>391.18</v>
      </c>
      <c r="R28" s="31" t="inlineStr">
        <is>
          <t>Volume Spike &amp; Near 52W High Breakout</t>
        </is>
      </c>
      <c r="S28" s="31" t="inlineStr">
        <is>
          <t>Nifty 50</t>
        </is>
      </c>
      <c r="T28" s="32" t="n">
        <v>-3.34</v>
      </c>
      <c r="U28" s="32" t="n">
        <v>228.69</v>
      </c>
      <c r="V28" s="32" t="n">
        <v>240.05</v>
      </c>
      <c r="W28" s="32" t="n">
        <v>49.69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IF(B29=0,"",RANK(B29,$B$2:$B$326,0))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ASIANHOTNR</t>
        </is>
      </c>
      <c r="D29" s="31" t="inlineStr">
        <is>
          <t>Asian Hotels (north) Limited</t>
        </is>
      </c>
      <c r="E29" s="31" t="inlineStr">
        <is>
          <t>services</t>
        </is>
      </c>
      <c r="F29" s="31" t="inlineStr">
        <is>
          <t>hotels</t>
        </is>
      </c>
      <c r="G29" s="31" t="inlineStr">
        <is>
          <t>smallcap</t>
        </is>
      </c>
      <c r="H29" s="32" t="n">
        <v>1574.02</v>
      </c>
      <c r="I29" s="32" t="n">
        <v>379.9</v>
      </c>
      <c r="J29" s="32" t="n">
        <v>2.9</v>
      </c>
      <c r="K29" s="32" t="n">
        <v>26364</v>
      </c>
      <c r="L29" s="31" t="n">
        <v>34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69.5</v>
      </c>
      <c r="P29" s="32" t="n">
        <v>30.92</v>
      </c>
      <c r="Q29" s="32" t="n">
        <v>274.37</v>
      </c>
      <c r="R29" s="31" t="inlineStr">
        <is>
          <t>Volume Spike &amp; Near 52W High Breakout</t>
        </is>
      </c>
      <c r="S29" s="31" t="inlineStr">
        <is>
          <t>Nifty 50</t>
        </is>
      </c>
      <c r="T29" s="32" t="n">
        <v>-3.34</v>
      </c>
      <c r="U29" s="32" t="n">
        <v>15.35</v>
      </c>
      <c r="V29" s="32" t="n">
        <v>19.34</v>
      </c>
      <c r="W29" s="32" t="n">
        <v>8.48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IF(B30=0,"",RANK(B30,$B$2:$B$326,0))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CONFIPET</t>
        </is>
      </c>
      <c r="D30" s="31" t="inlineStr">
        <is>
          <t>Confidence Petroleum India Ltd</t>
        </is>
      </c>
      <c r="E30" s="31" t="inlineStr">
        <is>
          <t>miscellaneous</t>
        </is>
      </c>
      <c r="F30" s="31" t="inlineStr">
        <is>
          <t>miscellaneous</t>
        </is>
      </c>
      <c r="G30" s="31" t="inlineStr">
        <is>
          <t>smallcap</t>
        </is>
      </c>
      <c r="H30" s="32" t="n">
        <v>2669.22</v>
      </c>
      <c r="I30" s="32" t="n">
        <v>82.55</v>
      </c>
      <c r="J30" s="32" t="n">
        <v>2.75</v>
      </c>
      <c r="K30" s="32" t="n">
        <v>5113322</v>
      </c>
      <c r="L30" s="31" t="n">
        <v>83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67.31999999999999</v>
      </c>
      <c r="P30" s="32" t="n">
        <v>62.18</v>
      </c>
      <c r="Q30" s="32" t="n">
        <v>57.15</v>
      </c>
      <c r="R30" s="31" t="inlineStr">
        <is>
          <t>Near 52W High Breakout</t>
        </is>
      </c>
      <c r="S30" s="31" t="inlineStr">
        <is>
          <t>Nifty Energy</t>
        </is>
      </c>
      <c r="T30" s="32" t="n">
        <v>7.88</v>
      </c>
      <c r="U30" s="32" t="n">
        <v>58.48</v>
      </c>
      <c r="V30" s="32" t="n">
        <v>46.9</v>
      </c>
      <c r="W30" s="32" t="n">
        <v>25.86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IF(B31=0,"",RANK(B31,$B$2:$B$326,0))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ADOR</t>
        </is>
      </c>
      <c r="D31" s="31" t="inlineStr">
        <is>
          <t>Ador Welding Ltd</t>
        </is>
      </c>
      <c r="E31" s="31" t="inlineStr">
        <is>
          <t>industrials</t>
        </is>
      </c>
      <c r="F31" s="31" t="inlineStr">
        <is>
          <t>electrodes - welding equipment</t>
        </is>
      </c>
      <c r="G31" s="31" t="inlineStr">
        <is>
          <t>smallcap</t>
        </is>
      </c>
      <c r="H31" s="32" t="n">
        <v>2959.87</v>
      </c>
      <c r="I31" s="32" t="n">
        <v>1730.3</v>
      </c>
      <c r="J31" s="32" t="n">
        <v>1.73</v>
      </c>
      <c r="K31" s="32" t="n">
        <v>71667</v>
      </c>
      <c r="L31" s="31" t="n">
        <v>82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84.5</v>
      </c>
      <c r="P31" s="32" t="n">
        <v>63.5</v>
      </c>
      <c r="Q31" s="32" t="n">
        <v>1405.53</v>
      </c>
      <c r="R31" s="31" t="inlineStr">
        <is>
          <t>Near 52W High Breakout</t>
        </is>
      </c>
      <c r="S31" s="31" t="inlineStr">
        <is>
          <t>Nifty 50</t>
        </is>
      </c>
      <c r="T31" s="32" t="n">
        <v>-3.34</v>
      </c>
      <c r="U31" s="32" t="n">
        <v>84.22</v>
      </c>
      <c r="V31" s="32" t="n">
        <v>90.58</v>
      </c>
      <c r="W31" s="32" t="n">
        <v>25.85</v>
      </c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IF(B32=0,"",RANK(B32,$B$2:$B$326,0))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NILKAMAL</t>
        </is>
      </c>
      <c r="D32" s="31" t="inlineStr">
        <is>
          <t>Nilkamal Limited</t>
        </is>
      </c>
      <c r="E32" s="31" t="inlineStr">
        <is>
          <t>plastic products</t>
        </is>
      </c>
      <c r="F32" s="31" t="inlineStr">
        <is>
          <t>plastics products</t>
        </is>
      </c>
      <c r="G32" s="31" t="inlineStr">
        <is>
          <t>smallcap</t>
        </is>
      </c>
      <c r="H32" s="32" t="n">
        <v>3035.24</v>
      </c>
      <c r="I32" s="32" t="n">
        <v>2063.1</v>
      </c>
      <c r="J32" s="32" t="n">
        <v>1.43</v>
      </c>
      <c r="K32" s="32" t="n">
        <v>16375</v>
      </c>
      <c r="L32" s="31" t="n">
        <v>77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81.22</v>
      </c>
      <c r="P32" s="32" t="n">
        <v>43.4</v>
      </c>
      <c r="Q32" s="32" t="n">
        <v>1657.45</v>
      </c>
      <c r="R32" s="31" t="inlineStr">
        <is>
          <t>Near 52W High Breakout</t>
        </is>
      </c>
      <c r="S32" s="31" t="inlineStr">
        <is>
          <t>Nifty 50</t>
        </is>
      </c>
      <c r="T32" s="32" t="n">
        <v>-3.34</v>
      </c>
      <c r="U32" s="32" t="n">
        <v>35.89</v>
      </c>
      <c r="V32" s="32" t="n">
        <v>40.59</v>
      </c>
      <c r="W32" s="32" t="n">
        <v>22.73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IF(B33=0,"",RANK(B33,$B$2:$B$326,0))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POLYPLEX</t>
        </is>
      </c>
      <c r="D33" s="31" t="inlineStr">
        <is>
          <t>Polyplex Corporation Limited</t>
        </is>
      </c>
      <c r="E33" s="31" t="inlineStr">
        <is>
          <t>industrials</t>
        </is>
      </c>
      <c r="F33" s="31" t="inlineStr">
        <is>
          <t>packaging</t>
        </is>
      </c>
      <c r="G33" s="31" t="inlineStr">
        <is>
          <t>smallcap</t>
        </is>
      </c>
      <c r="H33" s="32" t="n">
        <v>3728.48</v>
      </c>
      <c r="I33" s="32" t="n">
        <v>1190.4</v>
      </c>
      <c r="J33" s="32" t="n">
        <v>0.23</v>
      </c>
      <c r="K33" s="32" t="n">
        <v>46020</v>
      </c>
      <c r="L33" s="31" t="n">
        <v>42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72.11</v>
      </c>
      <c r="P33" s="32" t="n">
        <v>55.74</v>
      </c>
      <c r="Q33" s="32" t="n">
        <v>977.28</v>
      </c>
      <c r="R33" s="31" t="inlineStr">
        <is>
          <t>Near 52W High Breakout</t>
        </is>
      </c>
      <c r="S33" s="31" t="inlineStr">
        <is>
          <t>Nifty 50</t>
        </is>
      </c>
      <c r="T33" s="32" t="n">
        <v>-3.34</v>
      </c>
      <c r="U33" s="32" t="n">
        <v>16.28</v>
      </c>
      <c r="V33" s="32" t="n">
        <v>20.3</v>
      </c>
      <c r="W33" s="32" t="n">
        <v>10.72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IF(B34=0,"",RANK(B34,$B$2:$B$326,0))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KPIL</t>
        </is>
      </c>
      <c r="D34" s="31" t="inlineStr">
        <is>
          <t>Kalpataru Projects International Ltd</t>
        </is>
      </c>
      <c r="E34" s="31" t="inlineStr">
        <is>
          <t>realty</t>
        </is>
      </c>
      <c r="F34" s="31" t="inlineStr">
        <is>
          <t>transmisson line towers / equipment</t>
        </is>
      </c>
      <c r="G34" s="31" t="inlineStr">
        <is>
          <t>largecap</t>
        </is>
      </c>
      <c r="H34" s="32" t="n">
        <v>24051.61</v>
      </c>
      <c r="I34" s="32" t="n">
        <v>1410.5</v>
      </c>
      <c r="J34" s="32" t="n">
        <v>0.15</v>
      </c>
      <c r="K34" s="32" t="n">
        <v>78306</v>
      </c>
      <c r="L34" s="31" t="n">
        <v>30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64.79000000000001</v>
      </c>
      <c r="P34" s="32" t="n">
        <v>32.82</v>
      </c>
      <c r="Q34" s="32" t="n">
        <v>1172.26</v>
      </c>
      <c r="R34" s="31" t="inlineStr">
        <is>
          <t>Near 52W High Breakout</t>
        </is>
      </c>
      <c r="S34" s="31" t="inlineStr">
        <is>
          <t>Nifty Realty</t>
        </is>
      </c>
      <c r="T34" s="32" t="n">
        <v>-6.04</v>
      </c>
      <c r="U34" s="32" t="n">
        <v>23.42</v>
      </c>
      <c r="V34" s="32" t="n">
        <v>31.36</v>
      </c>
      <c r="W34" s="32" t="n">
        <v>7.66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IF(B35=0,"",RANK(B35,$B$2:$B$326,0))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QUESS</t>
        </is>
      </c>
      <c r="D35" s="31" t="inlineStr">
        <is>
          <t>Quess Corp Limited</t>
        </is>
      </c>
      <c r="E35" s="31" t="inlineStr">
        <is>
          <t>miscellaneous</t>
        </is>
      </c>
      <c r="F35" s="31" t="inlineStr">
        <is>
          <t>diversified - large</t>
        </is>
      </c>
      <c r="G35" s="31" t="inlineStr">
        <is>
          <t>midcap</t>
        </is>
      </c>
      <c r="H35" s="32" t="n">
        <v>5668.21</v>
      </c>
      <c r="I35" s="32" t="n">
        <v>379.25</v>
      </c>
      <c r="J35" s="32" t="n">
        <v>-0.07000000000000001</v>
      </c>
      <c r="K35" s="32" t="n">
        <v>401103</v>
      </c>
      <c r="L35" s="31" t="n">
        <v>80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79.73999999999999</v>
      </c>
      <c r="P35" s="32" t="n">
        <v>62.33</v>
      </c>
      <c r="Q35" s="32" t="n">
        <v>300.97</v>
      </c>
      <c r="R35" s="31" t="inlineStr">
        <is>
          <t>Near 52W High Breakout</t>
        </is>
      </c>
      <c r="S35" s="31" t="inlineStr">
        <is>
          <t>Nifty 50</t>
        </is>
      </c>
      <c r="T35" s="32" t="n">
        <v>-3.34</v>
      </c>
      <c r="U35" s="32" t="n">
        <v>49.93</v>
      </c>
      <c r="V35" s="32" t="n">
        <v>55.11</v>
      </c>
      <c r="W35" s="32" t="n">
        <v>24.64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IF(B36=0,"",RANK(B36,$B$2:$B$326,0))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CPPLUS</t>
        </is>
      </c>
      <c r="D36" s="31" t="inlineStr">
        <is>
          <t>Aditya Infotech Ltd</t>
        </is>
      </c>
      <c r="E36" s="31" t="inlineStr">
        <is>
          <t>consumer discretionary</t>
        </is>
      </c>
      <c r="F36" s="31" t="inlineStr">
        <is>
          <t>trading</t>
        </is>
      </c>
      <c r="G36" s="31" t="inlineStr">
        <is>
          <t>largecap</t>
        </is>
      </c>
      <c r="H36" s="32" t="n">
        <v>43921.7</v>
      </c>
      <c r="I36" s="32" t="n">
        <v>3721.4</v>
      </c>
      <c r="J36" s="32" t="n">
        <v>-0.15</v>
      </c>
      <c r="K36" s="32" t="n">
        <v>222182</v>
      </c>
      <c r="L36" s="31" t="n">
        <v>85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70.76000000000001</v>
      </c>
      <c r="P36" s="32" t="n">
        <v>62.95</v>
      </c>
      <c r="Q36" s="32" t="n">
        <v>2781.77</v>
      </c>
      <c r="R36" s="31" t="inlineStr">
        <is>
          <t>Near 52W High Breakout</t>
        </is>
      </c>
      <c r="S36" s="31" t="inlineStr">
        <is>
          <t>Nifty 50</t>
        </is>
      </c>
      <c r="T36" s="32" t="n">
        <v>-3.34</v>
      </c>
      <c r="U36" s="32" t="n">
        <v>172.12</v>
      </c>
      <c r="V36" s="32" t="n">
        <v>181.52</v>
      </c>
      <c r="W36" s="32" t="n">
        <v>28.65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IF(B37=0,"",RANK(B37,$B$2:$B$326,0))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STOVEKRAFT</t>
        </is>
      </c>
      <c r="D37" s="31" t="inlineStr">
        <is>
          <t>Stove Kraft Ltd</t>
        </is>
      </c>
      <c r="E37" s="31" t="inlineStr">
        <is>
          <t>consumer discretionary</t>
        </is>
      </c>
      <c r="F37" s="31" t="inlineStr">
        <is>
          <t>domestic appliances</t>
        </is>
      </c>
      <c r="G37" s="31" t="inlineStr">
        <is>
          <t>smallcap</t>
        </is>
      </c>
      <c r="H37" s="32" t="n">
        <v>2804.52</v>
      </c>
      <c r="I37" s="32" t="n">
        <v>844.4</v>
      </c>
      <c r="J37" s="32" t="n">
        <v>-0.32</v>
      </c>
      <c r="K37" s="32" t="n">
        <v>120280</v>
      </c>
      <c r="L37" s="31" t="n">
        <v>49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72.68000000000001</v>
      </c>
      <c r="P37" s="32" t="n">
        <v>49.58</v>
      </c>
      <c r="Q37" s="32" t="n">
        <v>656.08</v>
      </c>
      <c r="R37" s="31" t="inlineStr">
        <is>
          <t>Near 52W High Breakout</t>
        </is>
      </c>
      <c r="S37" s="31" t="inlineStr">
        <is>
          <t>Nifty 50</t>
        </is>
      </c>
      <c r="T37" s="32" t="n">
        <v>-3.34</v>
      </c>
      <c r="U37" s="32" t="n">
        <v>24.35</v>
      </c>
      <c r="V37" s="32" t="n">
        <v>28.65</v>
      </c>
      <c r="W37" s="32" t="n">
        <v>12.77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IF(B38=0,"",RANK(B38,$B$2:$B$326,0))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HITECHCORP</t>
        </is>
      </c>
      <c r="D38" s="31" t="inlineStr">
        <is>
          <t>Hitech Corporation</t>
        </is>
      </c>
      <c r="E38" s="31" t="inlineStr">
        <is>
          <t>industrials</t>
        </is>
      </c>
      <c r="F38" s="31" t="inlineStr">
        <is>
          <t>packaging</t>
        </is>
      </c>
      <c r="G38" s="31" t="inlineStr">
        <is>
          <t>smallcap</t>
        </is>
      </c>
      <c r="H38" s="32" t="n">
        <v>579.9400000000001</v>
      </c>
      <c r="I38" s="32" t="n">
        <v>336.55</v>
      </c>
      <c r="J38" s="32" t="n">
        <v>-0.33</v>
      </c>
      <c r="K38" s="32" t="n">
        <v>7808</v>
      </c>
      <c r="L38" s="31" t="n">
        <v>80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82.04000000000001</v>
      </c>
      <c r="P38" s="32" t="n">
        <v>67.36</v>
      </c>
      <c r="Q38" s="32" t="n">
        <v>278.77</v>
      </c>
      <c r="R38" s="31" t="inlineStr">
        <is>
          <t>Near 52W High Breakout</t>
        </is>
      </c>
      <c r="S38" s="31" t="inlineStr">
        <is>
          <t>Nifty 50</t>
        </is>
      </c>
      <c r="T38" s="32" t="n">
        <v>-3.34</v>
      </c>
      <c r="U38" s="32" t="n">
        <v>65.67</v>
      </c>
      <c r="V38" s="32" t="n">
        <v>71.39</v>
      </c>
      <c r="W38" s="32" t="n">
        <v>24.37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IF(B39=0,"",RANK(B39,$B$2:$B$326,0))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VINCOFE</t>
        </is>
      </c>
      <c r="D39" s="31" t="inlineStr">
        <is>
          <t>Vintage Coffee &amp; Beverages Ltd</t>
        </is>
      </c>
      <c r="E39" s="31" t="inlineStr">
        <is>
          <t>consumer discretionary</t>
        </is>
      </c>
      <c r="F39" s="31" t="inlineStr">
        <is>
          <t>trading</t>
        </is>
      </c>
      <c r="G39" s="31" t="inlineStr">
        <is>
          <t>smallcap</t>
        </is>
      </c>
      <c r="H39" s="32" t="n">
        <v>2576.5</v>
      </c>
      <c r="I39" s="32" t="n">
        <v>175.56</v>
      </c>
      <c r="J39" s="32" t="n">
        <v>-0.73</v>
      </c>
      <c r="K39" s="32" t="n">
        <v>2162670</v>
      </c>
      <c r="L39" s="31" t="n">
        <v>33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65.04000000000001</v>
      </c>
      <c r="P39" s="32" t="n">
        <v>27.66</v>
      </c>
      <c r="Q39" s="32" t="n">
        <v>133.44</v>
      </c>
      <c r="R39" s="31" t="inlineStr">
        <is>
          <t>Near 52W High Breakout</t>
        </is>
      </c>
      <c r="S39" s="31" t="inlineStr">
        <is>
          <t>Nifty 50</t>
        </is>
      </c>
      <c r="T39" s="32" t="n">
        <v>-3.34</v>
      </c>
      <c r="U39" s="32" t="n">
        <v>20.35</v>
      </c>
      <c r="V39" s="32" t="n">
        <v>24.51</v>
      </c>
      <c r="W39" s="32" t="n">
        <v>8.35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IF(B40=0,"",RANK(B40,$B$2:$B$326,0))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NITINSPIN</t>
        </is>
      </c>
      <c r="D40" s="31" t="inlineStr">
        <is>
          <t>Nitin Spinners Limited</t>
        </is>
      </c>
      <c r="E40" s="31" t="inlineStr">
        <is>
          <t>textiles</t>
        </is>
      </c>
      <c r="F40" s="31" t="inlineStr">
        <is>
          <t>textiles - cotton/blended</t>
        </is>
      </c>
      <c r="G40" s="31" t="inlineStr">
        <is>
          <t>smallcap</t>
        </is>
      </c>
      <c r="H40" s="32" t="n">
        <v>3546.08</v>
      </c>
      <c r="I40" s="32" t="n">
        <v>623.85</v>
      </c>
      <c r="J40" s="32" t="n">
        <v>-1.09</v>
      </c>
      <c r="K40" s="32" t="n">
        <v>103781</v>
      </c>
      <c r="L40" s="31" t="n">
        <v>64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73.15000000000001</v>
      </c>
      <c r="P40" s="32" t="n">
        <v>65.47</v>
      </c>
      <c r="Q40" s="32" t="n">
        <v>492.34</v>
      </c>
      <c r="R40" s="31" t="inlineStr">
        <is>
          <t>Near 52W High Breakout</t>
        </is>
      </c>
      <c r="S40" s="31" t="inlineStr">
        <is>
          <t>Nifty 50</t>
        </is>
      </c>
      <c r="T40" s="32" t="n">
        <v>-3.34</v>
      </c>
      <c r="U40" s="32" t="n">
        <v>89.06999999999999</v>
      </c>
      <c r="V40" s="32" t="n">
        <v>95.61</v>
      </c>
      <c r="W40" s="32" t="n">
        <v>18.01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Between 0.7 to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IF(B41=0,"",RANK(B41,$B$2:$B$326,0))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WELCORP</t>
        </is>
      </c>
      <c r="D41" s="31" t="inlineStr">
        <is>
          <t>Welspun Corp Limited</t>
        </is>
      </c>
      <c r="E41" s="31" t="inlineStr">
        <is>
          <t>industrials</t>
        </is>
      </c>
      <c r="F41" s="31" t="inlineStr">
        <is>
          <t>steel - large</t>
        </is>
      </c>
      <c r="G41" s="31" t="inlineStr">
        <is>
          <t>largecap</t>
        </is>
      </c>
      <c r="H41" s="32" t="n">
        <v>67361.58</v>
      </c>
      <c r="I41" s="32" t="n">
        <v>2523.5</v>
      </c>
      <c r="J41" s="32" t="n">
        <v>-1.18</v>
      </c>
      <c r="K41" s="32" t="n">
        <v>2258642</v>
      </c>
      <c r="L41" s="31" t="n">
        <v>96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94.39</v>
      </c>
      <c r="P41" s="32" t="n">
        <v>75.38</v>
      </c>
      <c r="Q41" s="32" t="n">
        <v>2074.89</v>
      </c>
      <c r="R41" s="31" t="inlineStr">
        <is>
          <t>Near 52W High Breakout</t>
        </is>
      </c>
      <c r="S41" s="31" t="inlineStr">
        <is>
          <t>Nifty Metal</t>
        </is>
      </c>
      <c r="T41" s="32" t="n">
        <v>39.6</v>
      </c>
      <c r="U41" s="32" t="n">
        <v>185.48</v>
      </c>
      <c r="V41" s="32" t="n">
        <v>104.5</v>
      </c>
      <c r="W41" s="32" t="n">
        <v>53.26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IF(B42=0,"",RANK(B42,$B$2:$B$326,0))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KINGFA</t>
        </is>
      </c>
      <c r="D42" s="31" t="inlineStr">
        <is>
          <t>Kingfa Science &amp; Technology (india) Limited</t>
        </is>
      </c>
      <c r="E42" s="31" t="inlineStr">
        <is>
          <t>plastic products</t>
        </is>
      </c>
      <c r="F42" s="31" t="inlineStr">
        <is>
          <t>plastics products</t>
        </is>
      </c>
      <c r="G42" s="31" t="inlineStr">
        <is>
          <t>midcap</t>
        </is>
      </c>
      <c r="H42" s="32" t="n">
        <v>8171.48</v>
      </c>
      <c r="I42" s="32" t="n">
        <v>5932</v>
      </c>
      <c r="J42" s="32" t="n">
        <v>-1.63</v>
      </c>
      <c r="K42" s="32" t="n">
        <v>5721</v>
      </c>
      <c r="L42" s="31" t="n">
        <v>38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69.27</v>
      </c>
      <c r="P42" s="32" t="n">
        <v>35.1</v>
      </c>
      <c r="Q42" s="32" t="n">
        <v>4754.85</v>
      </c>
      <c r="R42" s="31" t="inlineStr">
        <is>
          <t>Near 52W High Breakout</t>
        </is>
      </c>
      <c r="S42" s="31" t="inlineStr">
        <is>
          <t>Nifty 50</t>
        </is>
      </c>
      <c r="T42" s="32" t="n">
        <v>-3.34</v>
      </c>
      <c r="U42" s="32" t="n">
        <v>39.2</v>
      </c>
      <c r="V42" s="32" t="n">
        <v>44.01</v>
      </c>
      <c r="W42" s="32" t="n">
        <v>9.609999999999999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IF(B43=0,"",RANK(B43,$B$2:$B$326,0))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UNIPARTS</t>
        </is>
      </c>
      <c r="D43" s="31" t="inlineStr">
        <is>
          <t>Uniparts India Ltd</t>
        </is>
      </c>
      <c r="E43" s="31" t="inlineStr">
        <is>
          <t>industrials</t>
        </is>
      </c>
      <c r="F43" s="31" t="inlineStr">
        <is>
          <t>engineering</t>
        </is>
      </c>
      <c r="G43" s="31" t="inlineStr">
        <is>
          <t>smallcap</t>
        </is>
      </c>
      <c r="H43" s="32" t="n">
        <v>4068.07</v>
      </c>
      <c r="I43" s="32" t="n">
        <v>886.35</v>
      </c>
      <c r="J43" s="32" t="n">
        <v>-1.64</v>
      </c>
      <c r="K43" s="32" t="n">
        <v>222773</v>
      </c>
      <c r="L43" s="31" t="n">
        <v>84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83.05</v>
      </c>
      <c r="P43" s="32" t="n">
        <v>68.06</v>
      </c>
      <c r="Q43" s="32" t="n">
        <v>720.16</v>
      </c>
      <c r="R43" s="31" t="inlineStr">
        <is>
          <t>Near 52W High Breakout</t>
        </is>
      </c>
      <c r="S43" s="31" t="inlineStr">
        <is>
          <t>Nifty 50</t>
        </is>
      </c>
      <c r="T43" s="32" t="n">
        <v>-3.34</v>
      </c>
      <c r="U43" s="32" t="n">
        <v>130.49</v>
      </c>
      <c r="V43" s="32" t="n">
        <v>138.46</v>
      </c>
      <c r="W43" s="32" t="n">
        <v>27.9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IF(B44=0,"",RANK(B44,$B$2:$B$326,0))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SPORTKING</t>
        </is>
      </c>
      <c r="D44" s="31" t="inlineStr">
        <is>
          <t>Sportking India Ltd</t>
        </is>
      </c>
      <c r="E44" s="31" t="inlineStr">
        <is>
          <t>textiles</t>
        </is>
      </c>
      <c r="F44" s="31" t="inlineStr">
        <is>
          <t>textiles - spinning - synthetic / blended</t>
        </is>
      </c>
      <c r="G44" s="31" t="inlineStr">
        <is>
          <t>smallcap</t>
        </is>
      </c>
      <c r="H44" s="32" t="n">
        <v>2921.51</v>
      </c>
      <c r="I44" s="32" t="n">
        <v>225.74</v>
      </c>
      <c r="J44" s="32" t="n">
        <v>-1.81</v>
      </c>
      <c r="K44" s="32" t="n">
        <v>306220</v>
      </c>
      <c r="L44" s="31" t="n">
        <v>79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74.02</v>
      </c>
      <c r="P44" s="32" t="n">
        <v>73.11</v>
      </c>
      <c r="Q44" s="32" t="n">
        <v>165.51</v>
      </c>
      <c r="R44" s="31" t="inlineStr">
        <is>
          <t>Near 52W High Breakout</t>
        </is>
      </c>
      <c r="S44" s="31" t="inlineStr">
        <is>
          <t>Nifty 50</t>
        </is>
      </c>
      <c r="T44" s="32" t="n">
        <v>-3.34</v>
      </c>
      <c r="U44" s="32" t="n">
        <v>107.63</v>
      </c>
      <c r="V44" s="32" t="n">
        <v>114.81</v>
      </c>
      <c r="W44" s="32" t="n">
        <v>23.86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IF(B45=0,"",RANK(B45,$B$2:$B$326,0))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DIVGIITTS</t>
        </is>
      </c>
      <c r="D45" s="31" t="inlineStr">
        <is>
          <t>Divgi Torqtransfer Systems Ltd</t>
        </is>
      </c>
      <c r="E45" s="31" t="inlineStr">
        <is>
          <t>auto</t>
        </is>
      </c>
      <c r="F45" s="31" t="inlineStr">
        <is>
          <t>auto ancillaries</t>
        </is>
      </c>
      <c r="G45" s="31" t="inlineStr">
        <is>
          <t>smallcap</t>
        </is>
      </c>
      <c r="H45" s="32" t="n">
        <v>3880.36</v>
      </c>
      <c r="I45" s="32" t="n">
        <v>1244.4</v>
      </c>
      <c r="J45" s="32" t="n">
        <v>-1.92</v>
      </c>
      <c r="K45" s="32" t="n">
        <v>122025</v>
      </c>
      <c r="L45" s="31" t="n">
        <v>87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69.86</v>
      </c>
      <c r="P45" s="32" t="n">
        <v>54.17</v>
      </c>
      <c r="Q45" s="32" t="n">
        <v>979.36</v>
      </c>
      <c r="R45" s="31" t="inlineStr">
        <is>
          <t>Near 52W High Breakout</t>
        </is>
      </c>
      <c r="S45" s="31" t="inlineStr">
        <is>
          <t>Nifty Auto</t>
        </is>
      </c>
      <c r="T45" s="32" t="n">
        <v>17.66</v>
      </c>
      <c r="U45" s="32" t="n">
        <v>93.66</v>
      </c>
      <c r="V45" s="32" t="n">
        <v>64.59</v>
      </c>
      <c r="W45" s="32" t="n">
        <v>29.93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IF(B46=0,"",RANK(B46,$B$2:$B$326,0))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AETHER</t>
        </is>
      </c>
      <c r="D46" s="31" t="inlineStr">
        <is>
          <t>Aether Industries Ltd</t>
        </is>
      </c>
      <c r="E46" s="31" t="inlineStr">
        <is>
          <t>chemicals</t>
        </is>
      </c>
      <c r="F46" s="31" t="inlineStr">
        <is>
          <t>chemicals</t>
        </is>
      </c>
      <c r="G46" s="31" t="inlineStr">
        <is>
          <t>largecap</t>
        </is>
      </c>
      <c r="H46" s="32" t="n">
        <v>22344.82</v>
      </c>
      <c r="I46" s="32" t="n">
        <v>1646.4</v>
      </c>
      <c r="J46" s="32" t="n">
        <v>-2.22</v>
      </c>
      <c r="K46" s="32" t="n">
        <v>232941</v>
      </c>
      <c r="L46" s="31" t="n">
        <v>83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72.90000000000001</v>
      </c>
      <c r="P46" s="32" t="n">
        <v>55.07</v>
      </c>
      <c r="Q46" s="32" t="n">
        <v>1375.58</v>
      </c>
      <c r="R46" s="31" t="inlineStr">
        <is>
          <t>Near 52W High Breakout</t>
        </is>
      </c>
      <c r="S46" s="31" t="inlineStr">
        <is>
          <t>Nifty 50</t>
        </is>
      </c>
      <c r="T46" s="32" t="n">
        <v>-3.34</v>
      </c>
      <c r="U46" s="32" t="n">
        <v>122.02</v>
      </c>
      <c r="V46" s="32" t="n">
        <v>129.7</v>
      </c>
      <c r="W46" s="32" t="n">
        <v>27.09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IF(B47=0,"",RANK(B47,$B$2:$B$326,0))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GARFIBRES</t>
        </is>
      </c>
      <c r="D47" s="31" t="inlineStr">
        <is>
          <t>Garware Technical Fibres Ltd</t>
        </is>
      </c>
      <c r="E47" s="31" t="inlineStr">
        <is>
          <t>textiles</t>
        </is>
      </c>
      <c r="F47" s="31" t="inlineStr">
        <is>
          <t>textiles - products</t>
        </is>
      </c>
      <c r="G47" s="31" t="inlineStr">
        <is>
          <t>midcap</t>
        </is>
      </c>
      <c r="H47" s="32" t="n">
        <v>8228.83</v>
      </c>
      <c r="I47" s="32" t="n">
        <v>814.75</v>
      </c>
      <c r="J47" s="32" t="n">
        <v>-3.32</v>
      </c>
      <c r="K47" s="32" t="n">
        <v>52451</v>
      </c>
      <c r="L47" s="31" t="n">
        <v>26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61.74</v>
      </c>
      <c r="P47" s="32" t="n">
        <v>46.85</v>
      </c>
      <c r="Q47" s="32" t="n">
        <v>631.02</v>
      </c>
      <c r="R47" s="31" t="inlineStr">
        <is>
          <t>Near 52W High Breakout</t>
        </is>
      </c>
      <c r="S47" s="31" t="inlineStr">
        <is>
          <t>Nifty 50</t>
        </is>
      </c>
      <c r="T47" s="32" t="n">
        <v>-3.34</v>
      </c>
      <c r="U47" s="32" t="n">
        <v>7.51</v>
      </c>
      <c r="V47" s="32" t="n">
        <v>11.23</v>
      </c>
      <c r="W47" s="32" t="n">
        <v>6.69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Between 1.5 to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IF(B48=0,"",RANK(B48,$B$2:$B$326,0))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WSTCSTPAPR</t>
        </is>
      </c>
      <c r="D48" s="31" t="inlineStr">
        <is>
          <t>West Coast Paper Mills Limited</t>
        </is>
      </c>
      <c r="E48" s="31" t="inlineStr">
        <is>
          <t>building materials</t>
        </is>
      </c>
      <c r="F48" s="31" t="inlineStr">
        <is>
          <t>paper</t>
        </is>
      </c>
      <c r="G48" s="31" t="inlineStr">
        <is>
          <t>smallcap</t>
        </is>
      </c>
      <c r="H48" s="32" t="n">
        <v>4316.96</v>
      </c>
      <c r="I48" s="32" t="n">
        <v>629.05</v>
      </c>
      <c r="J48" s="32" t="n">
        <v>-3.76</v>
      </c>
      <c r="K48" s="32" t="n">
        <v>309218</v>
      </c>
      <c r="L48" s="31" t="n">
        <v>44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68.70999999999999</v>
      </c>
      <c r="P48" s="32" t="n">
        <v>48.68</v>
      </c>
      <c r="Q48" s="32" t="n">
        <v>502.43</v>
      </c>
      <c r="R48" s="31" t="inlineStr">
        <is>
          <t>Near 52W High Breakout</t>
        </is>
      </c>
      <c r="S48" s="31" t="inlineStr">
        <is>
          <t>Nifty Infra</t>
        </is>
      </c>
      <c r="T48" s="32" t="n">
        <v>1.61</v>
      </c>
      <c r="U48" s="32" t="n">
        <v>17.72</v>
      </c>
      <c r="V48" s="32" t="n">
        <v>15.86</v>
      </c>
      <c r="W48" s="32" t="n">
        <v>11.2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IF(B49=0,"",RANK(B49,$B$2:$B$326,0))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MOREPENLAB</t>
        </is>
      </c>
      <c r="D49" s="31" t="inlineStr">
        <is>
          <t>Morepen Laboratories Limited</t>
        </is>
      </c>
      <c r="E49" s="31" t="inlineStr">
        <is>
          <t>healthcare</t>
        </is>
      </c>
      <c r="F49" s="31" t="inlineStr">
        <is>
          <t>pharmaceuticals - indian - bulk drugs &amp; formln</t>
        </is>
      </c>
      <c r="G49" s="31" t="inlineStr">
        <is>
          <t>midcap</t>
        </is>
      </c>
      <c r="H49" s="32" t="n">
        <v>5679.54</v>
      </c>
      <c r="I49" s="32" t="n">
        <v>111.97</v>
      </c>
      <c r="J49" s="32" t="n">
        <v>8.029999999999999</v>
      </c>
      <c r="K49" s="32" t="n">
        <v>36392769</v>
      </c>
      <c r="L49" s="31" t="n">
        <v>97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87.02</v>
      </c>
      <c r="P49" s="32" t="n">
        <v>48.35</v>
      </c>
      <c r="Q49" s="32" t="n">
        <v>85.91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22.15</v>
      </c>
      <c r="U49" s="32" t="n">
        <v>127.07</v>
      </c>
      <c r="V49" s="32" t="n">
        <v>85.90000000000001</v>
      </c>
      <c r="W49" s="32" t="n">
        <v>60.33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IF(B50=0,"",RANK(B50,$B$2:$B$326,0))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GUFICBIO</t>
        </is>
      </c>
      <c r="D50" s="31" t="inlineStr">
        <is>
          <t>Gufic Biosciences Limited</t>
        </is>
      </c>
      <c r="E50" s="31" t="inlineStr">
        <is>
          <t>healthcare</t>
        </is>
      </c>
      <c r="F50" s="31" t="inlineStr">
        <is>
          <t>pharmaceuticals - indian - bulk drugs &amp; formln</t>
        </is>
      </c>
      <c r="G50" s="31" t="inlineStr">
        <is>
          <t>smallcap</t>
        </is>
      </c>
      <c r="H50" s="32" t="n">
        <v>4222.39</v>
      </c>
      <c r="I50" s="32" t="n">
        <v>438.8</v>
      </c>
      <c r="J50" s="32" t="n">
        <v>4.22</v>
      </c>
      <c r="K50" s="32" t="n">
        <v>693834</v>
      </c>
      <c r="L50" s="31" t="n">
        <v>38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68.5</v>
      </c>
      <c r="P50" s="32" t="n">
        <v>55.42</v>
      </c>
      <c r="Q50" s="32" t="n">
        <v>337.83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22.15</v>
      </c>
      <c r="U50" s="32" t="n">
        <v>23.1</v>
      </c>
      <c r="V50" s="32" t="n">
        <v>0.78</v>
      </c>
      <c r="W50" s="32" t="n">
        <v>9.609999999999999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IF(B51=0,"",RANK(B51,$B$2:$B$326,0))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INNOVACAP</t>
        </is>
      </c>
      <c r="D51" s="31" t="inlineStr">
        <is>
          <t>Innova Captab Ltd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midcap</t>
        </is>
      </c>
      <c r="H51" s="32" t="n">
        <v>6112.19</v>
      </c>
      <c r="I51" s="32" t="n">
        <v>1108.6</v>
      </c>
      <c r="J51" s="32" t="n">
        <v>3.79</v>
      </c>
      <c r="K51" s="32" t="n">
        <v>246228</v>
      </c>
      <c r="L51" s="31" t="n">
        <v>45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72.41</v>
      </c>
      <c r="P51" s="32" t="n">
        <v>61.79</v>
      </c>
      <c r="Q51" s="32" t="n">
        <v>870.27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22.15</v>
      </c>
      <c r="U51" s="32" t="n">
        <v>22.33</v>
      </c>
      <c r="V51" s="32" t="n">
        <v>0.15</v>
      </c>
      <c r="W51" s="32" t="n">
        <v>11.48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IF(B52=0,"",RANK(B52,$B$2:$B$326,0))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SAKAR</t>
        </is>
      </c>
      <c r="D52" s="31" t="inlineStr">
        <is>
          <t>Sakar Healthcare Ltd</t>
        </is>
      </c>
      <c r="E52" s="31" t="inlineStr">
        <is>
          <t>healthcare</t>
        </is>
      </c>
      <c r="F52" s="31" t="inlineStr">
        <is>
          <t>pharmaceuticals - indian - bulk drugs &amp; formln</t>
        </is>
      </c>
      <c r="G52" s="31" t="inlineStr">
        <is>
          <t>smallcap</t>
        </is>
      </c>
      <c r="H52" s="32" t="n">
        <v>2148.79</v>
      </c>
      <c r="I52" s="32" t="n">
        <v>985.8</v>
      </c>
      <c r="J52" s="32" t="n">
        <v>2.08</v>
      </c>
      <c r="K52" s="32" t="n">
        <v>385693</v>
      </c>
      <c r="L52" s="31" t="n">
        <v>88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69.62</v>
      </c>
      <c r="P52" s="32" t="n">
        <v>52.04</v>
      </c>
      <c r="Q52" s="32" t="n">
        <v>702.01</v>
      </c>
      <c r="R52" s="31" t="inlineStr">
        <is>
          <t>Volume Spike &amp; Near 52W High Breakout</t>
        </is>
      </c>
      <c r="S52" s="31" t="inlineStr">
        <is>
          <t>Nifty Pharma</t>
        </is>
      </c>
      <c r="T52" s="32" t="n">
        <v>22.15</v>
      </c>
      <c r="U52" s="32" t="n">
        <v>196.62</v>
      </c>
      <c r="V52" s="32" t="n">
        <v>142.83</v>
      </c>
      <c r="W52" s="32" t="n">
        <v>31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IF(B53=0,"",RANK(B53,$B$2:$B$326,0))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CAPLIPOINT</t>
        </is>
      </c>
      <c r="D53" s="31" t="inlineStr">
        <is>
          <t>Caplin Point Laboratories Limited</t>
        </is>
      </c>
      <c r="E53" s="31" t="inlineStr">
        <is>
          <t>healthcare</t>
        </is>
      </c>
      <c r="F53" s="31" t="inlineStr">
        <is>
          <t>pharmaceuticals - indian - formulations</t>
        </is>
      </c>
      <c r="G53" s="31" t="inlineStr">
        <is>
          <t>largecap</t>
        </is>
      </c>
      <c r="H53" s="32" t="n">
        <v>20608.29</v>
      </c>
      <c r="I53" s="32" t="n">
        <v>2720.5</v>
      </c>
      <c r="J53" s="32" t="n">
        <v>0.34</v>
      </c>
      <c r="K53" s="32" t="n">
        <v>373618</v>
      </c>
      <c r="L53" s="31" t="n">
        <v>50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71.59999999999999</v>
      </c>
      <c r="P53" s="32" t="n">
        <v>40.61</v>
      </c>
      <c r="Q53" s="32" t="n">
        <v>2201.73</v>
      </c>
      <c r="R53" s="31" t="inlineStr">
        <is>
          <t>Volume Spike &amp; Near 52W High Breakout</t>
        </is>
      </c>
      <c r="S53" s="31" t="inlineStr">
        <is>
          <t>Nifty Pharma</t>
        </is>
      </c>
      <c r="T53" s="32" t="n">
        <v>22.15</v>
      </c>
      <c r="U53" s="32" t="n">
        <v>27.64</v>
      </c>
      <c r="V53" s="32" t="n">
        <v>4.5</v>
      </c>
      <c r="W53" s="32" t="n">
        <v>13.34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Between 12 to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Between 1.5 to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IF(B54=0,"",RANK(B54,$B$2:$B$326,0))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INDSWFTLAB</t>
        </is>
      </c>
      <c r="D54" s="31" t="inlineStr">
        <is>
          <t>Ind-swift Laboratories Limited</t>
        </is>
      </c>
      <c r="E54" s="31" t="inlineStr">
        <is>
          <t>healthcare</t>
        </is>
      </c>
      <c r="F54" s="31" t="inlineStr">
        <is>
          <t>pharmaceuticals - indian - bulk drugs &amp; formln</t>
        </is>
      </c>
      <c r="G54" s="31" t="inlineStr">
        <is>
          <t>smallcap</t>
        </is>
      </c>
      <c r="H54" s="32" t="n">
        <v>3201.49</v>
      </c>
      <c r="I54" s="32" t="n">
        <v>366.85</v>
      </c>
      <c r="J54" s="32" t="n">
        <v>-0.35</v>
      </c>
      <c r="K54" s="32" t="n">
        <v>473769</v>
      </c>
      <c r="L54" s="31" t="n">
        <v>97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89.45999999999999</v>
      </c>
      <c r="P54" s="32" t="n">
        <v>71.8</v>
      </c>
      <c r="Q54" s="32" t="n">
        <v>278.97</v>
      </c>
      <c r="R54" s="31" t="inlineStr">
        <is>
          <t>Near 52W High Breakout</t>
        </is>
      </c>
      <c r="S54" s="31" t="inlineStr">
        <is>
          <t>Nifty Pharma</t>
        </is>
      </c>
      <c r="T54" s="32" t="n">
        <v>22.15</v>
      </c>
      <c r="U54" s="32" t="n">
        <v>259.48</v>
      </c>
      <c r="V54" s="32" t="n">
        <v>194.3</v>
      </c>
      <c r="W54" s="32" t="n">
        <v>63.3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IF(B55=0,"",RANK(B55,$B$2:$B$326,0))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AKUMS</t>
        </is>
      </c>
      <c r="D55" s="31" t="inlineStr">
        <is>
          <t>Akums Drugs &amp; Pharmaceuticals Ltd</t>
        </is>
      </c>
      <c r="E55" s="31" t="inlineStr">
        <is>
          <t>healthcare</t>
        </is>
      </c>
      <c r="F55" s="31" t="inlineStr">
        <is>
          <t>pharmaceuticals - indian - bulk drugs &amp; formln</t>
        </is>
      </c>
      <c r="G55" s="31" t="inlineStr">
        <is>
          <t>midcap</t>
        </is>
      </c>
      <c r="H55" s="32" t="n">
        <v>12261.78</v>
      </c>
      <c r="I55" s="32" t="n">
        <v>770.25</v>
      </c>
      <c r="J55" s="32" t="n">
        <v>-1.13</v>
      </c>
      <c r="K55" s="32" t="n">
        <v>750068</v>
      </c>
      <c r="L55" s="31" t="n">
        <v>70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74.15000000000001</v>
      </c>
      <c r="P55" s="32" t="n">
        <v>60.43</v>
      </c>
      <c r="Q55" s="32" t="n">
        <v>630.09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22.15</v>
      </c>
      <c r="U55" s="32" t="n">
        <v>68.16</v>
      </c>
      <c r="V55" s="32" t="n">
        <v>37.67</v>
      </c>
      <c r="W55" s="32" t="n">
        <v>20.09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IF(B56=0,"",RANK(B56,$B$2:$B$326,0))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ALIVUS</t>
        </is>
      </c>
      <c r="D56" s="31" t="inlineStr">
        <is>
          <t>Alivus Life Sciences Ltd</t>
        </is>
      </c>
      <c r="E56" s="31" t="inlineStr">
        <is>
          <t>healthcare</t>
        </is>
      </c>
      <c r="F56" s="31" t="inlineStr">
        <is>
          <t>pharmaceuticals - indian - bulk drugs &amp; formln</t>
        </is>
      </c>
      <c r="G56" s="31" t="inlineStr">
        <is>
          <t>midcap</t>
        </is>
      </c>
      <c r="H56" s="32" t="n">
        <v>17719.45</v>
      </c>
      <c r="I56" s="32" t="n">
        <v>1417.9</v>
      </c>
      <c r="J56" s="32" t="n">
        <v>-1.79</v>
      </c>
      <c r="K56" s="32" t="n">
        <v>561531</v>
      </c>
      <c r="L56" s="31" t="n">
        <v>62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76.84</v>
      </c>
      <c r="P56" s="32" t="n">
        <v>46.55</v>
      </c>
      <c r="Q56" s="32" t="n">
        <v>1153.12</v>
      </c>
      <c r="R56" s="31" t="inlineStr">
        <is>
          <t>Volume Spike &amp; Near 52W High Breakout</t>
        </is>
      </c>
      <c r="S56" s="31" t="inlineStr">
        <is>
          <t>Nifty Pharma</t>
        </is>
      </c>
      <c r="T56" s="32" t="n">
        <v>22.15</v>
      </c>
      <c r="U56" s="32" t="n">
        <v>54.17</v>
      </c>
      <c r="V56" s="32" t="n">
        <v>26.21</v>
      </c>
      <c r="W56" s="32" t="n">
        <v>17.55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IF(B57=0,"",RANK(B57,$B$2:$B$326,0))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CENTENKA</t>
        </is>
      </c>
      <c r="D57" s="31" t="inlineStr">
        <is>
          <t>Century Enka Limited</t>
        </is>
      </c>
      <c r="E57" s="31" t="inlineStr">
        <is>
          <t>textiles</t>
        </is>
      </c>
      <c r="F57" s="31" t="inlineStr">
        <is>
          <t>textiles - manmade</t>
        </is>
      </c>
      <c r="G57" s="31" t="inlineStr">
        <is>
          <t>smallcap</t>
        </is>
      </c>
      <c r="H57" s="32" t="n">
        <v>1188.89</v>
      </c>
      <c r="I57" s="32" t="n">
        <v>602.35</v>
      </c>
      <c r="J57" s="32" t="n">
        <v>10.71</v>
      </c>
      <c r="K57" s="32" t="n">
        <v>9590323</v>
      </c>
      <c r="L57" s="31" t="n">
        <v>34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65.87</v>
      </c>
      <c r="P57" s="32" t="n">
        <v>64.02</v>
      </c>
      <c r="Q57" s="32" t="n">
        <v>460.41</v>
      </c>
      <c r="R57" s="31" t="inlineStr">
        <is>
          <t>Volume Spike &amp; Near 52W High Breakout</t>
        </is>
      </c>
      <c r="S57" s="31" t="inlineStr">
        <is>
          <t>Nifty 50</t>
        </is>
      </c>
      <c r="T57" s="32" t="n">
        <v>-3.34</v>
      </c>
      <c r="U57" s="32" t="n">
        <v>20.99</v>
      </c>
      <c r="V57" s="32" t="n">
        <v>25.17</v>
      </c>
      <c r="W57" s="32" t="n">
        <v>8.49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IF(B58=0,"",RANK(B58,$B$2:$B$326,0))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AYMSYNTEX</t>
        </is>
      </c>
      <c r="D58" s="31" t="inlineStr">
        <is>
          <t>Aym Syntex Limited</t>
        </is>
      </c>
      <c r="E58" s="31" t="inlineStr">
        <is>
          <t>textiles</t>
        </is>
      </c>
      <c r="F58" s="31" t="inlineStr">
        <is>
          <t>textiles - processing</t>
        </is>
      </c>
      <c r="G58" s="31" t="inlineStr">
        <is>
          <t>smallcap</t>
        </is>
      </c>
      <c r="H58" s="32" t="n">
        <v>1727.96</v>
      </c>
      <c r="I58" s="32" t="n">
        <v>312.5</v>
      </c>
      <c r="J58" s="32" t="n">
        <v>6.22</v>
      </c>
      <c r="K58" s="32" t="n">
        <v>601939</v>
      </c>
      <c r="L58" s="31" t="n">
        <v>72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69.76000000000001</v>
      </c>
      <c r="P58" s="32" t="n">
        <v>40.13</v>
      </c>
      <c r="Q58" s="32" t="n">
        <v>221.1</v>
      </c>
      <c r="R58" s="31" t="inlineStr">
        <is>
          <t>Volume Spike &amp; Near 52W High Breakout</t>
        </is>
      </c>
      <c r="S58" s="31" t="inlineStr">
        <is>
          <t>Nifty 50</t>
        </is>
      </c>
      <c r="T58" s="32" t="n">
        <v>-3.34</v>
      </c>
      <c r="U58" s="32" t="n">
        <v>65.20999999999999</v>
      </c>
      <c r="V58" s="32" t="n">
        <v>70.92</v>
      </c>
      <c r="W58" s="32" t="n">
        <v>20.55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IF(B59=0,"",RANK(B59,$B$2:$B$326,0))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IDEA</t>
        </is>
      </c>
      <c r="D59" s="31" t="inlineStr">
        <is>
          <t>Vodafone Idea Ltd</t>
        </is>
      </c>
      <c r="E59" s="31" t="inlineStr">
        <is>
          <t>telecom-service</t>
        </is>
      </c>
      <c r="F59" s="31" t="inlineStr">
        <is>
          <t>telecommunications - service provider</t>
        </is>
      </c>
      <c r="G59" s="31" t="inlineStr">
        <is>
          <t>largecap</t>
        </is>
      </c>
      <c r="H59" s="32" t="n">
        <v>152330.31</v>
      </c>
      <c r="I59" s="32" t="n">
        <v>14.53</v>
      </c>
      <c r="J59" s="32" t="n">
        <v>3.34</v>
      </c>
      <c r="K59" s="32" t="n">
        <v>527024719</v>
      </c>
      <c r="L59" s="31" t="n">
        <v>60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63.38</v>
      </c>
      <c r="P59" s="32" t="n">
        <v>34.55</v>
      </c>
      <c r="Q59" s="32" t="n">
        <v>11.93</v>
      </c>
      <c r="R59" s="31" t="inlineStr">
        <is>
          <t>Near 52W High Breakout</t>
        </is>
      </c>
      <c r="S59" s="31" t="inlineStr">
        <is>
          <t>Nifty 500</t>
        </is>
      </c>
      <c r="T59" s="32" t="n">
        <v>1.72</v>
      </c>
      <c r="U59" s="32" t="n">
        <v>100.97</v>
      </c>
      <c r="V59" s="32" t="n">
        <v>97.56</v>
      </c>
      <c r="W59" s="32" t="n">
        <v>17.1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Oligopoly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IF(B60=0,"",RANK(B60,$B$2:$B$326,0))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KRYSTAL</t>
        </is>
      </c>
      <c r="D60" s="31" t="inlineStr">
        <is>
          <t>Krystal Integrated Services Ltd</t>
        </is>
      </c>
      <c r="E60" s="31" t="inlineStr">
        <is>
          <t>miscellaneous</t>
        </is>
      </c>
      <c r="F60" s="31" t="inlineStr">
        <is>
          <t>miscellaneous</t>
        </is>
      </c>
      <c r="G60" s="31" t="inlineStr">
        <is>
          <t>smallcap</t>
        </is>
      </c>
      <c r="H60" s="32" t="n">
        <v>904.47</v>
      </c>
      <c r="I60" s="32" t="n">
        <v>667</v>
      </c>
      <c r="J60" s="32" t="n">
        <v>3.04</v>
      </c>
      <c r="K60" s="32" t="n">
        <v>108555</v>
      </c>
      <c r="L60" s="31" t="n">
        <v>15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67.37</v>
      </c>
      <c r="P60" s="32" t="n">
        <v>33.75</v>
      </c>
      <c r="Q60" s="32" t="n">
        <v>555.46</v>
      </c>
      <c r="R60" s="31" t="inlineStr">
        <is>
          <t>Near 52W High Breakout</t>
        </is>
      </c>
      <c r="S60" s="31" t="inlineStr">
        <is>
          <t>Nifty 50</t>
        </is>
      </c>
      <c r="T60" s="32" t="n">
        <v>-3.34</v>
      </c>
      <c r="U60" s="32" t="n">
        <v>0.82</v>
      </c>
      <c r="V60" s="32" t="n">
        <v>4.3</v>
      </c>
      <c r="W60" s="32" t="n">
        <v>3.64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IF(B61=0,"",RANK(B61,$B$2:$B$326,0))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PASUPTAC</t>
        </is>
      </c>
      <c r="D61" s="31" t="inlineStr">
        <is>
          <t>Pasupati Acrylon Ltd</t>
        </is>
      </c>
      <c r="E61" s="31" t="inlineStr">
        <is>
          <t>textiles</t>
        </is>
      </c>
      <c r="F61" s="31" t="inlineStr">
        <is>
          <t>textiles - manmade</t>
        </is>
      </c>
      <c r="G61" s="31" t="inlineStr">
        <is>
          <t>smallcap</t>
        </is>
      </c>
      <c r="H61" s="32" t="n">
        <v>559.13</v>
      </c>
      <c r="I61" s="32" t="n">
        <v>64.64</v>
      </c>
      <c r="J61" s="32" t="n">
        <v>3.04</v>
      </c>
      <c r="K61" s="32" t="n">
        <v>126973</v>
      </c>
      <c r="L61" s="31" t="n">
        <v>36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59.2</v>
      </c>
      <c r="P61" s="32" t="n">
        <v>47.76</v>
      </c>
      <c r="Q61" s="32" t="n">
        <v>56.09</v>
      </c>
      <c r="R61" s="31" t="inlineStr">
        <is>
          <t>Earnings / Momentum Support</t>
        </is>
      </c>
      <c r="S61" s="31" t="inlineStr">
        <is>
          <t>Nifty 50</t>
        </is>
      </c>
      <c r="T61" s="32" t="n">
        <v>-3.34</v>
      </c>
      <c r="U61" s="32" t="n">
        <v>53.25</v>
      </c>
      <c r="V61" s="32" t="n">
        <v>58.54</v>
      </c>
      <c r="W61" s="32" t="n">
        <v>9.210000000000001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IF(B62=0,"",RANK(B62,$B$2:$B$326,0))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STLTECH</t>
        </is>
      </c>
      <c r="D62" s="31" t="inlineStr">
        <is>
          <t>Sterlite Technologies Limited</t>
        </is>
      </c>
      <c r="E62" s="31" t="inlineStr">
        <is>
          <t>industrials</t>
        </is>
      </c>
      <c r="F62" s="31" t="inlineStr">
        <is>
          <t>cables - telephone</t>
        </is>
      </c>
      <c r="G62" s="31" t="inlineStr">
        <is>
          <t>largecap</t>
        </is>
      </c>
      <c r="H62" s="32" t="n">
        <v>35648.97</v>
      </c>
      <c r="I62" s="32" t="n">
        <v>714.35</v>
      </c>
      <c r="J62" s="32" t="n">
        <v>2.98</v>
      </c>
      <c r="K62" s="32" t="n">
        <v>1724135</v>
      </c>
      <c r="L62" s="31" t="n">
        <v>99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74.86</v>
      </c>
      <c r="P62" s="32" t="n">
        <v>75.63</v>
      </c>
      <c r="Q62" s="32" t="n">
        <v>509.35</v>
      </c>
      <c r="R62" s="31" t="inlineStr">
        <is>
          <t>Near 52W High Breakout</t>
        </is>
      </c>
      <c r="S62" s="31" t="inlineStr">
        <is>
          <t>Nifty Infra</t>
        </is>
      </c>
      <c r="T62" s="32" t="n">
        <v>1.61</v>
      </c>
      <c r="U62" s="32" t="n">
        <v>509.05</v>
      </c>
      <c r="V62" s="32" t="n">
        <v>499.42</v>
      </c>
      <c r="W62" s="32" t="n">
        <v>102.73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IF(B63=0,"",RANK(B63,$B$2:$B$326,0))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SOLARINDS</t>
        </is>
      </c>
      <c r="D63" s="31" t="inlineStr">
        <is>
          <t>Solar Industries India Limited</t>
        </is>
      </c>
      <c r="E63" s="31" t="inlineStr">
        <is>
          <t>aerospace &amp; defence</t>
        </is>
      </c>
      <c r="F63" s="31" t="inlineStr">
        <is>
          <t>chemicals</t>
        </is>
      </c>
      <c r="G63" s="31" t="inlineStr">
        <is>
          <t>largecap</t>
        </is>
      </c>
      <c r="H63" s="32" t="n">
        <v>181523.05</v>
      </c>
      <c r="I63" s="32" t="n">
        <v>20600</v>
      </c>
      <c r="J63" s="32" t="n">
        <v>2.69</v>
      </c>
      <c r="K63" s="32" t="n">
        <v>139030</v>
      </c>
      <c r="L63" s="31" t="n">
        <v>44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73.48</v>
      </c>
      <c r="P63" s="32" t="n">
        <v>38.99</v>
      </c>
      <c r="Q63" s="32" t="n">
        <v>17074.86</v>
      </c>
      <c r="R63" s="31" t="inlineStr">
        <is>
          <t>Near 52W High Breakout</t>
        </is>
      </c>
      <c r="S63" s="31" t="inlineStr">
        <is>
          <t>Nifty 500</t>
        </is>
      </c>
      <c r="T63" s="32" t="n">
        <v>1.72</v>
      </c>
      <c r="U63" s="32" t="n">
        <v>48.13</v>
      </c>
      <c r="V63" s="32" t="n">
        <v>45.62</v>
      </c>
      <c r="W63" s="32" t="n">
        <v>11.12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IF(B64=0,"",RANK(B64,$B$2:$B$326,0))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KAJARIACER</t>
        </is>
      </c>
      <c r="D64" s="31" t="inlineStr">
        <is>
          <t>Kajaria Ceramics Limited</t>
        </is>
      </c>
      <c r="E64" s="31" t="inlineStr">
        <is>
          <t>building materials</t>
        </is>
      </c>
      <c r="F64" s="31" t="inlineStr">
        <is>
          <t>ceramics - tiles / sanitaryware</t>
        </is>
      </c>
      <c r="G64" s="31" t="inlineStr">
        <is>
          <t>midcap</t>
        </is>
      </c>
      <c r="H64" s="32" t="n">
        <v>19574.56</v>
      </c>
      <c r="I64" s="32" t="n">
        <v>1261.1</v>
      </c>
      <c r="J64" s="32" t="n">
        <v>2.61</v>
      </c>
      <c r="K64" s="32" t="n">
        <v>725742</v>
      </c>
      <c r="L64" s="31" t="n">
        <v>16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62.53</v>
      </c>
      <c r="P64" s="32" t="n">
        <v>30.24</v>
      </c>
      <c r="Q64" s="32" t="n">
        <v>1045.64</v>
      </c>
      <c r="R64" s="31" t="inlineStr">
        <is>
          <t>Near 52W High Breakout</t>
        </is>
      </c>
      <c r="S64" s="31" t="inlineStr">
        <is>
          <t>Nifty Infra</t>
        </is>
      </c>
      <c r="T64" s="32" t="n">
        <v>1.61</v>
      </c>
      <c r="U64" s="32" t="n">
        <v>8.800000000000001</v>
      </c>
      <c r="V64" s="32" t="n">
        <v>7.08</v>
      </c>
      <c r="W64" s="32" t="n">
        <v>3.89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IF(B65=0,"",RANK(B65,$B$2:$B$326,0))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NRL</t>
        </is>
      </c>
      <c r="D65" s="31" t="inlineStr">
        <is>
          <t>Nupur Recyclers Ltd</t>
        </is>
      </c>
      <c r="E65" s="31" t="inlineStr">
        <is>
          <t>services</t>
        </is>
      </c>
      <c r="F65" s="31" t="inlineStr">
        <is>
          <t>trading</t>
        </is>
      </c>
      <c r="G65" s="31" t="inlineStr">
        <is>
          <t>smallcap</t>
        </is>
      </c>
      <c r="H65" s="32" t="n">
        <v>829.17</v>
      </c>
      <c r="I65" s="32" t="n">
        <v>122</v>
      </c>
      <c r="J65" s="32" t="n">
        <v>1.62</v>
      </c>
      <c r="K65" s="32" t="n">
        <v>159039</v>
      </c>
      <c r="L65" s="31" t="n">
        <v>87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82.20999999999999</v>
      </c>
      <c r="P65" s="32" t="n">
        <v>65.37</v>
      </c>
      <c r="Q65" s="32" t="n">
        <v>103.99</v>
      </c>
      <c r="R65" s="31" t="inlineStr">
        <is>
          <t>Near 52W High Breakout</t>
        </is>
      </c>
      <c r="S65" s="31" t="inlineStr">
        <is>
          <t>Nifty 50</t>
        </is>
      </c>
      <c r="T65" s="32" t="n">
        <v>-3.34</v>
      </c>
      <c r="U65" s="32" t="n">
        <v>73.86</v>
      </c>
      <c r="V65" s="32" t="n">
        <v>79.87</v>
      </c>
      <c r="W65" s="32" t="n">
        <v>30.64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IF(B66=0,"",RANK(B66,$B$2:$B$326,0))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SREEL</t>
        </is>
      </c>
      <c r="D66" s="31" t="inlineStr">
        <is>
          <t>Sreeleathers Limited</t>
        </is>
      </c>
      <c r="E66" s="31" t="inlineStr">
        <is>
          <t>consumer discretionary</t>
        </is>
      </c>
      <c r="F66" s="31" t="inlineStr">
        <is>
          <t>trading</t>
        </is>
      </c>
      <c r="G66" s="31" t="inlineStr">
        <is>
          <t>smallcap</t>
        </is>
      </c>
      <c r="H66" s="32" t="n">
        <v>578.27</v>
      </c>
      <c r="I66" s="32" t="n">
        <v>253.7</v>
      </c>
      <c r="J66" s="32" t="n">
        <v>1.59</v>
      </c>
      <c r="K66" s="32" t="n">
        <v>19178</v>
      </c>
      <c r="L66" s="31" t="n">
        <v>32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71.36</v>
      </c>
      <c r="P66" s="32" t="n">
        <v>50.31</v>
      </c>
      <c r="Q66" s="32" t="n">
        <v>195.81</v>
      </c>
      <c r="R66" s="31" t="inlineStr">
        <is>
          <t>Near 52W High Breakout</t>
        </is>
      </c>
      <c r="S66" s="31" t="inlineStr">
        <is>
          <t>Nifty 50</t>
        </is>
      </c>
      <c r="T66" s="32" t="n">
        <v>-3.34</v>
      </c>
      <c r="U66" s="32" t="n">
        <v>8.06</v>
      </c>
      <c r="V66" s="32" t="n">
        <v>11.79</v>
      </c>
      <c r="W66" s="32" t="n">
        <v>8.199999999999999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IF(B67=0,"",RANK(B67,$B$2:$B$326,0))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IRISDOREME</t>
        </is>
      </c>
      <c r="D67" s="31" t="inlineStr">
        <is>
          <t>Iris Clothings Ltd</t>
        </is>
      </c>
      <c r="E67" s="31" t="inlineStr">
        <is>
          <t>consumer discretionary</t>
        </is>
      </c>
      <c r="F67" s="31" t="inlineStr">
        <is>
          <t>textiles - products</t>
        </is>
      </c>
      <c r="G67" s="31" t="inlineStr">
        <is>
          <t>smallcap</t>
        </is>
      </c>
      <c r="H67" s="32" t="n">
        <v>1101.07</v>
      </c>
      <c r="I67" s="32" t="n">
        <v>58.39</v>
      </c>
      <c r="J67" s="32" t="n">
        <v>0.93</v>
      </c>
      <c r="K67" s="32" t="n">
        <v>676779</v>
      </c>
      <c r="L67" s="31" t="n">
        <v>83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81.66</v>
      </c>
      <c r="P67" s="32" t="n">
        <v>48.73</v>
      </c>
      <c r="Q67" s="32" t="n">
        <v>46.49</v>
      </c>
      <c r="R67" s="31" t="inlineStr">
        <is>
          <t>Near 52W High Breakout</t>
        </is>
      </c>
      <c r="S67" s="31" t="inlineStr">
        <is>
          <t>Nifty 50</t>
        </is>
      </c>
      <c r="T67" s="32" t="n">
        <v>-3.34</v>
      </c>
      <c r="U67" s="32" t="n">
        <v>82.41</v>
      </c>
      <c r="V67" s="32" t="n">
        <v>88.72</v>
      </c>
      <c r="W67" s="32" t="n">
        <v>26.66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IF(B68=0,"",RANK(B68,$B$2:$B$326,0))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FCL</t>
        </is>
      </c>
      <c r="D68" s="31" t="inlineStr">
        <is>
          <t>Fineotex Chemical Limited</t>
        </is>
      </c>
      <c r="E68" s="31" t="inlineStr">
        <is>
          <t>chemicals</t>
        </is>
      </c>
      <c r="F68" s="31" t="inlineStr">
        <is>
          <t>chemicals</t>
        </is>
      </c>
      <c r="G68" s="31" t="inlineStr">
        <is>
          <t>midcap</t>
        </is>
      </c>
      <c r="H68" s="32" t="n">
        <v>5686.26</v>
      </c>
      <c r="I68" s="32" t="n">
        <v>49.19</v>
      </c>
      <c r="J68" s="32" t="n">
        <v>0.74</v>
      </c>
      <c r="K68" s="32" t="n">
        <v>7723374</v>
      </c>
      <c r="L68" s="31" t="n">
        <v>79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73.47</v>
      </c>
      <c r="P68" s="32" t="n">
        <v>49.11</v>
      </c>
      <c r="Q68" s="32" t="n">
        <v>37.07</v>
      </c>
      <c r="R68" s="31" t="inlineStr">
        <is>
          <t>Near 52W High Breakout</t>
        </is>
      </c>
      <c r="S68" s="31" t="inlineStr">
        <is>
          <t>Nifty IT</t>
        </is>
      </c>
      <c r="T68" s="32" t="n">
        <v>-10.2</v>
      </c>
      <c r="U68" s="32" t="n">
        <v>108.7</v>
      </c>
      <c r="V68" s="32" t="n">
        <v>132.4</v>
      </c>
      <c r="W68" s="32" t="n">
        <v>24.29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IF(B69=0,"",RANK(B69,$B$2:$B$326,0))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KMEW</t>
        </is>
      </c>
      <c r="D69" s="31" t="inlineStr">
        <is>
          <t>Knowledge Marine &amp; Engineering Works Ltd</t>
        </is>
      </c>
      <c r="E69" s="31" t="inlineStr">
        <is>
          <t>transportation</t>
        </is>
      </c>
      <c r="F69" s="31" t="inlineStr">
        <is>
          <t>miscellaneous</t>
        </is>
      </c>
      <c r="G69" s="31" t="inlineStr">
        <is>
          <t>midcap</t>
        </is>
      </c>
      <c r="H69" s="32" t="n">
        <v>7176.79</v>
      </c>
      <c r="I69" s="32" t="n">
        <v>2951.6</v>
      </c>
      <c r="J69" s="32" t="n">
        <v>0.53</v>
      </c>
      <c r="K69" s="32" t="n">
        <v>35123</v>
      </c>
      <c r="L69" s="31" t="n">
        <v>93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76.44</v>
      </c>
      <c r="P69" s="32" t="n">
        <v>54.17</v>
      </c>
      <c r="Q69" s="32" t="n">
        <v>2268.37</v>
      </c>
      <c r="R69" s="31" t="inlineStr">
        <is>
          <t>Near 52W High Breakout</t>
        </is>
      </c>
      <c r="S69" s="31" t="inlineStr">
        <is>
          <t>Nifty 50</t>
        </is>
      </c>
      <c r="T69" s="32" t="n">
        <v>-3.34</v>
      </c>
      <c r="U69" s="32" t="n">
        <v>237.33</v>
      </c>
      <c r="V69" s="32" t="n">
        <v>248.98</v>
      </c>
      <c r="W69" s="32" t="n">
        <v>42.88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IF(B70=0,"",RANK(B70,$B$2:$B$326,0))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MARINE</t>
        </is>
      </c>
      <c r="D70" s="31" t="inlineStr">
        <is>
          <t>Marine Electricals (India) Ltd</t>
        </is>
      </c>
      <c r="E70" s="31" t="inlineStr">
        <is>
          <t>industrials</t>
        </is>
      </c>
      <c r="F70" s="31" t="inlineStr">
        <is>
          <t>electric equipment</t>
        </is>
      </c>
      <c r="G70" s="31" t="inlineStr">
        <is>
          <t>midcap</t>
        </is>
      </c>
      <c r="H70" s="32" t="n">
        <v>6054</v>
      </c>
      <c r="I70" s="32" t="n">
        <v>431.5</v>
      </c>
      <c r="J70" s="32" t="n">
        <v>-0.25</v>
      </c>
      <c r="K70" s="32" t="n">
        <v>956684</v>
      </c>
      <c r="L70" s="31" t="n">
        <v>90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80.94</v>
      </c>
      <c r="P70" s="32" t="n">
        <v>43.49</v>
      </c>
      <c r="Q70" s="32" t="n">
        <v>327.64</v>
      </c>
      <c r="R70" s="31" t="inlineStr">
        <is>
          <t>Near 52W High Breakout</t>
        </is>
      </c>
      <c r="S70" s="31" t="inlineStr">
        <is>
          <t>Nifty 50</t>
        </is>
      </c>
      <c r="T70" s="32" t="n">
        <v>-3.34</v>
      </c>
      <c r="U70" s="32" t="n">
        <v>147.24</v>
      </c>
      <c r="V70" s="32" t="n">
        <v>155.79</v>
      </c>
      <c r="W70" s="32" t="n">
        <v>37.57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Between 1.5 to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IF(B71=0,"",RANK(B71,$B$2:$B$326,0))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CYIENTDLM</t>
        </is>
      </c>
      <c r="D71" s="31" t="inlineStr">
        <is>
          <t>Cyient DLM Ltd</t>
        </is>
      </c>
      <c r="E71" s="31" t="inlineStr">
        <is>
          <t>aerospace &amp; defence</t>
        </is>
      </c>
      <c r="F71" s="31" t="inlineStr">
        <is>
          <t>electronics - components</t>
        </is>
      </c>
      <c r="G71" s="31" t="inlineStr">
        <is>
          <t>midcap</t>
        </is>
      </c>
      <c r="H71" s="32" t="n">
        <v>6804.74</v>
      </c>
      <c r="I71" s="32" t="n">
        <v>854.75</v>
      </c>
      <c r="J71" s="32" t="n">
        <v>-0.29</v>
      </c>
      <c r="K71" s="32" t="n">
        <v>581016</v>
      </c>
      <c r="L71" s="31" t="n">
        <v>91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90.05</v>
      </c>
      <c r="P71" s="32" t="n">
        <v>70.51000000000001</v>
      </c>
      <c r="Q71" s="32" t="n">
        <v>673.9299999999999</v>
      </c>
      <c r="R71" s="31" t="inlineStr">
        <is>
          <t>Near 52W High Breakout</t>
        </is>
      </c>
      <c r="S71" s="31" t="inlineStr">
        <is>
          <t>Nifty 50</t>
        </is>
      </c>
      <c r="T71" s="32" t="n">
        <v>-3.34</v>
      </c>
      <c r="U71" s="32" t="n">
        <v>96.92</v>
      </c>
      <c r="V71" s="32" t="n">
        <v>103.73</v>
      </c>
      <c r="W71" s="32" t="n">
        <v>39.6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IF(B72=0,"",RANK(B72,$B$2:$B$326,0))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IGPL</t>
        </is>
      </c>
      <c r="D72" s="31" t="inlineStr">
        <is>
          <t>Ig Petrochemicals Limited</t>
        </is>
      </c>
      <c r="E72" s="31" t="inlineStr">
        <is>
          <t>chemicals</t>
        </is>
      </c>
      <c r="F72" s="31" t="inlineStr">
        <is>
          <t>chemicals</t>
        </is>
      </c>
      <c r="G72" s="31" t="inlineStr">
        <is>
          <t>smallcap</t>
        </is>
      </c>
      <c r="H72" s="32" t="n">
        <v>1688.64</v>
      </c>
      <c r="I72" s="32" t="n">
        <v>546.4</v>
      </c>
      <c r="J72" s="32" t="n">
        <v>-0.36</v>
      </c>
      <c r="K72" s="32" t="n">
        <v>75076</v>
      </c>
      <c r="L72" s="31" t="n">
        <v>45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69.31</v>
      </c>
      <c r="P72" s="32" t="n">
        <v>26.21</v>
      </c>
      <c r="Q72" s="32" t="n">
        <v>430.87</v>
      </c>
      <c r="R72" s="31" t="inlineStr">
        <is>
          <t>Near 52W High Breakout</t>
        </is>
      </c>
      <c r="S72" s="31" t="inlineStr">
        <is>
          <t>Nifty 50</t>
        </is>
      </c>
      <c r="T72" s="32" t="n">
        <v>-3.34</v>
      </c>
      <c r="U72" s="32" t="n">
        <v>25.51</v>
      </c>
      <c r="V72" s="32" t="n">
        <v>29.85</v>
      </c>
      <c r="W72" s="32" t="n">
        <v>11.33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IF(B73=0,"",RANK(B73,$B$2:$B$326,0))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UNIMECH</t>
        </is>
      </c>
      <c r="D73" s="31" t="inlineStr">
        <is>
          <t>Unimech Aerospace and Manufacturing Ltd</t>
        </is>
      </c>
      <c r="E73" s="31" t="inlineStr">
        <is>
          <t>aerospace &amp; defence</t>
        </is>
      </c>
      <c r="F73" s="31" t="inlineStr">
        <is>
          <t>engineering</t>
        </is>
      </c>
      <c r="G73" s="31" t="inlineStr">
        <is>
          <t>midcap</t>
        </is>
      </c>
      <c r="H73" s="32" t="n">
        <v>7501.9</v>
      </c>
      <c r="I73" s="32" t="n">
        <v>1451.9</v>
      </c>
      <c r="J73" s="32" t="n">
        <v>-1.57</v>
      </c>
      <c r="K73" s="32" t="n">
        <v>141142</v>
      </c>
      <c r="L73" s="31" t="n">
        <v>55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68.28</v>
      </c>
      <c r="P73" s="32" t="n">
        <v>42.15</v>
      </c>
      <c r="Q73" s="32" t="n">
        <v>1170.37</v>
      </c>
      <c r="R73" s="31" t="inlineStr">
        <is>
          <t>Near 52W High Breakout</t>
        </is>
      </c>
      <c r="S73" s="31" t="inlineStr">
        <is>
          <t>Nifty 50</t>
        </is>
      </c>
      <c r="T73" s="32" t="n">
        <v>-3.34</v>
      </c>
      <c r="U73" s="32" t="n">
        <v>42.27</v>
      </c>
      <c r="V73" s="32" t="n">
        <v>47.19</v>
      </c>
      <c r="W73" s="32" t="n">
        <v>15.47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IF(B74=0,"",RANK(B74,$B$2:$B$326,0))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SSWL</t>
        </is>
      </c>
      <c r="D74" s="31" t="inlineStr">
        <is>
          <t>Steel Strips Wheels Limited</t>
        </is>
      </c>
      <c r="E74" s="31" t="inlineStr">
        <is>
          <t>auto</t>
        </is>
      </c>
      <c r="F74" s="31" t="inlineStr">
        <is>
          <t>auto ancillaries</t>
        </is>
      </c>
      <c r="G74" s="31" t="inlineStr">
        <is>
          <t>midcap</t>
        </is>
      </c>
      <c r="H74" s="32" t="n">
        <v>5615.27</v>
      </c>
      <c r="I74" s="32" t="n">
        <v>349.7</v>
      </c>
      <c r="J74" s="32" t="n">
        <v>-2.11</v>
      </c>
      <c r="K74" s="32" t="n">
        <v>4499959</v>
      </c>
      <c r="L74" s="31" t="n">
        <v>82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76.86</v>
      </c>
      <c r="P74" s="32" t="n">
        <v>37.89</v>
      </c>
      <c r="Q74" s="32" t="n">
        <v>274.58</v>
      </c>
      <c r="R74" s="31" t="inlineStr">
        <is>
          <t>Volume Spike &amp; Near 52W High Breakout</t>
        </is>
      </c>
      <c r="S74" s="31" t="inlineStr">
        <is>
          <t>Nifty Auto</t>
        </is>
      </c>
      <c r="T74" s="32" t="n">
        <v>17.66</v>
      </c>
      <c r="U74" s="32" t="n">
        <v>46.01</v>
      </c>
      <c r="V74" s="32" t="n">
        <v>24.09</v>
      </c>
      <c r="W74" s="32" t="n">
        <v>25.13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IF(B75=0,"",RANK(B75,$B$2:$B$326,0))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HAPPYFORGE</t>
        </is>
      </c>
      <c r="D75" s="31" t="inlineStr">
        <is>
          <t>Happy Forgings Ltd</t>
        </is>
      </c>
      <c r="E75" s="31" t="inlineStr">
        <is>
          <t>industrials</t>
        </is>
      </c>
      <c r="F75" s="31" t="inlineStr">
        <is>
          <t>castings &amp; forgings</t>
        </is>
      </c>
      <c r="G75" s="31" t="inlineStr">
        <is>
          <t>largecap</t>
        </is>
      </c>
      <c r="H75" s="32" t="n">
        <v>22843.43</v>
      </c>
      <c r="I75" s="32" t="n">
        <v>2345.9</v>
      </c>
      <c r="J75" s="32" t="n">
        <v>-3.08</v>
      </c>
      <c r="K75" s="32" t="n">
        <v>102193</v>
      </c>
      <c r="L75" s="31" t="n">
        <v>90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89.15000000000001</v>
      </c>
      <c r="P75" s="32" t="n">
        <v>62.02</v>
      </c>
      <c r="Q75" s="32" t="n">
        <v>1913.56</v>
      </c>
      <c r="R75" s="31" t="inlineStr">
        <is>
          <t>Near 52W High Breakout</t>
        </is>
      </c>
      <c r="S75" s="31" t="inlineStr">
        <is>
          <t>Nifty 50</t>
        </is>
      </c>
      <c r="T75" s="32" t="n">
        <v>-3.34</v>
      </c>
      <c r="U75" s="32" t="n">
        <v>165.48</v>
      </c>
      <c r="V75" s="32" t="n">
        <v>174.66</v>
      </c>
      <c r="W75" s="32" t="n">
        <v>37.51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Between 1.5 to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IF(B76=0,"",RANK(B76,$B$2:$B$326,0))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SETL</t>
        </is>
      </c>
      <c r="D76" s="31" t="inlineStr">
        <is>
          <t>Standard Enginnering Technology Ltd</t>
        </is>
      </c>
      <c r="E76" s="31" t="inlineStr">
        <is>
          <t>industrials</t>
        </is>
      </c>
      <c r="F76" s="31" t="inlineStr">
        <is>
          <t>engineering</t>
        </is>
      </c>
      <c r="G76" s="31" t="inlineStr">
        <is>
          <t>midcap</t>
        </is>
      </c>
      <c r="H76" s="32" t="n">
        <v>7721.32</v>
      </c>
      <c r="I76" s="32" t="n">
        <v>374.95</v>
      </c>
      <c r="J76" s="32" t="n">
        <v>-3.13</v>
      </c>
      <c r="K76" s="32" t="n">
        <v>882005</v>
      </c>
      <c r="L76" s="31" t="n">
        <v>98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87.77</v>
      </c>
      <c r="P76" s="32" t="n">
        <v>62.99</v>
      </c>
      <c r="Q76" s="32" t="n">
        <v>290.56</v>
      </c>
      <c r="R76" s="31" t="inlineStr">
        <is>
          <t>Near 52W High Breakout</t>
        </is>
      </c>
      <c r="S76" s="31" t="inlineStr">
        <is>
          <t>Nifty Infra</t>
        </is>
      </c>
      <c r="T76" s="32" t="n">
        <v>1.61</v>
      </c>
      <c r="U76" s="32" t="n">
        <v>114.85</v>
      </c>
      <c r="V76" s="32" t="n">
        <v>111.45</v>
      </c>
      <c r="W76" s="32" t="n">
        <v>65.37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IF(B77=0,"",RANK(B77,$B$2:$B$326,0))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RBZJEWEL</t>
        </is>
      </c>
      <c r="D77" s="31" t="inlineStr">
        <is>
          <t>RBZ Jewellers Ltd</t>
        </is>
      </c>
      <c r="E77" s="31" t="inlineStr">
        <is>
          <t>consumer discretionary</t>
        </is>
      </c>
      <c r="F77" s="31" t="inlineStr">
        <is>
          <t>diamond cutting / jewellery</t>
        </is>
      </c>
      <c r="G77" s="31" t="inlineStr">
        <is>
          <t>smallcap</t>
        </is>
      </c>
      <c r="H77" s="32" t="n">
        <v>676</v>
      </c>
      <c r="I77" s="32" t="n">
        <v>161.47</v>
      </c>
      <c r="J77" s="32" t="n">
        <v>-4.46</v>
      </c>
      <c r="K77" s="32" t="n">
        <v>10355122</v>
      </c>
      <c r="L77" s="31" t="n">
        <v>32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60.13</v>
      </c>
      <c r="P77" s="32" t="n">
        <v>28.35</v>
      </c>
      <c r="Q77" s="32" t="n">
        <v>111.65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-3.34</v>
      </c>
      <c r="U77" s="32" t="n">
        <v>17.59</v>
      </c>
      <c r="V77" s="32" t="n">
        <v>21.65</v>
      </c>
      <c r="W77" s="32" t="n">
        <v>8.220000000000001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IF(B78=0,"",RANK(B78,$B$2:$B$326,0))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ZIMLAB</t>
        </is>
      </c>
      <c r="D78" s="31" t="inlineStr">
        <is>
          <t>Zim Laboratories Ltd</t>
        </is>
      </c>
      <c r="E78" s="31" t="inlineStr">
        <is>
          <t>healthcare</t>
        </is>
      </c>
      <c r="F78" s="31" t="inlineStr">
        <is>
          <t>pharmaceuticals - indian - bulk drugs &amp; formln</t>
        </is>
      </c>
      <c r="G78" s="31" t="inlineStr">
        <is>
          <t>smallcap</t>
        </is>
      </c>
      <c r="H78" s="32" t="n">
        <v>631.5599999999999</v>
      </c>
      <c r="I78" s="32" t="n">
        <v>133.95</v>
      </c>
      <c r="J78" s="32" t="n">
        <v>13.57</v>
      </c>
      <c r="K78" s="32" t="n">
        <v>680389</v>
      </c>
      <c r="L78" s="31" t="n">
        <v>72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70.44</v>
      </c>
      <c r="P78" s="32" t="n">
        <v>60.94</v>
      </c>
      <c r="Q78" s="32" t="n">
        <v>97.70999999999999</v>
      </c>
      <c r="R78" s="31" t="inlineStr">
        <is>
          <t>Volume Spike &amp; Near 52W High Breakout</t>
        </is>
      </c>
      <c r="S78" s="31" t="inlineStr">
        <is>
          <t>Nifty Pharma</t>
        </is>
      </c>
      <c r="T78" s="32" t="n">
        <v>22.15</v>
      </c>
      <c r="U78" s="32" t="n">
        <v>81.59999999999999</v>
      </c>
      <c r="V78" s="32" t="n">
        <v>48.67</v>
      </c>
      <c r="W78" s="32" t="n">
        <v>20.54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IF(B79=0,"",RANK(B79,$B$2:$B$326,0))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SHILPAMED</t>
        </is>
      </c>
      <c r="D79" s="31" t="inlineStr">
        <is>
          <t>Shilpa Medicare Limited</t>
        </is>
      </c>
      <c r="E79" s="31" t="inlineStr">
        <is>
          <t>healthcare</t>
        </is>
      </c>
      <c r="F79" s="31" t="inlineStr">
        <is>
          <t>pharmaceuticals - indian - formulations</t>
        </is>
      </c>
      <c r="G79" s="31" t="inlineStr">
        <is>
          <t>midcap</t>
        </is>
      </c>
      <c r="H79" s="32" t="n">
        <v>17400.91</v>
      </c>
      <c r="I79" s="32" t="n">
        <v>928.55</v>
      </c>
      <c r="J79" s="32" t="n">
        <v>4.37</v>
      </c>
      <c r="K79" s="32" t="n">
        <v>1465404</v>
      </c>
      <c r="L79" s="31" t="n">
        <v>90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90.77</v>
      </c>
      <c r="P79" s="32" t="n">
        <v>77.77</v>
      </c>
      <c r="Q79" s="32" t="n">
        <v>756.8</v>
      </c>
      <c r="R79" s="31" t="inlineStr">
        <is>
          <t>Near 52W High Breakout</t>
        </is>
      </c>
      <c r="S79" s="31" t="inlineStr">
        <is>
          <t>Nifty Pharma</t>
        </is>
      </c>
      <c r="T79" s="32" t="n">
        <v>22.15</v>
      </c>
      <c r="U79" s="32" t="n">
        <v>120.12</v>
      </c>
      <c r="V79" s="32" t="n">
        <v>80.20999999999999</v>
      </c>
      <c r="W79" s="32" t="n">
        <v>37.15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IF(B80=0,"",RANK(B80,$B$2:$B$326,0))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MARKSANS</t>
        </is>
      </c>
      <c r="D80" s="31" t="inlineStr">
        <is>
          <t>Marksans Pharma Limited</t>
        </is>
      </c>
      <c r="E80" s="31" t="inlineStr">
        <is>
          <t>healthcare</t>
        </is>
      </c>
      <c r="F80" s="31" t="inlineStr">
        <is>
          <t>pharmaceuticals - indian - formulations</t>
        </is>
      </c>
      <c r="G80" s="31" t="inlineStr">
        <is>
          <t>midcap</t>
        </is>
      </c>
      <c r="H80" s="32" t="n">
        <v>14610</v>
      </c>
      <c r="I80" s="32" t="n">
        <v>332.5</v>
      </c>
      <c r="J80" s="32" t="n">
        <v>3.13</v>
      </c>
      <c r="K80" s="32" t="n">
        <v>6573003</v>
      </c>
      <c r="L80" s="31" t="n">
        <v>81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75.04000000000001</v>
      </c>
      <c r="P80" s="32" t="n">
        <v>58.94</v>
      </c>
      <c r="Q80" s="32" t="n">
        <v>259.63</v>
      </c>
      <c r="R80" s="31" t="inlineStr">
        <is>
          <t>Near 52W High Breakout</t>
        </is>
      </c>
      <c r="S80" s="31" t="inlineStr">
        <is>
          <t>Nifty Pharma</t>
        </is>
      </c>
      <c r="T80" s="32" t="n">
        <v>22.15</v>
      </c>
      <c r="U80" s="32" t="n">
        <v>97.39</v>
      </c>
      <c r="V80" s="32" t="n">
        <v>61.6</v>
      </c>
      <c r="W80" s="32" t="n">
        <v>24.84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IF(B81=0,"",RANK(B81,$B$2:$B$326,0))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BLISSGVS</t>
        </is>
      </c>
      <c r="D81" s="31" t="inlineStr">
        <is>
          <t>Bliss Gvs Pharma Limited</t>
        </is>
      </c>
      <c r="E81" s="31" t="inlineStr">
        <is>
          <t>healthcare</t>
        </is>
      </c>
      <c r="F81" s="31" t="inlineStr">
        <is>
          <t>pharmaceuticals - indian - formulations</t>
        </is>
      </c>
      <c r="G81" s="31" t="inlineStr">
        <is>
          <t>midcap</t>
        </is>
      </c>
      <c r="H81" s="32" t="n">
        <v>6685.78</v>
      </c>
      <c r="I81" s="32" t="n">
        <v>648.65</v>
      </c>
      <c r="J81" s="32" t="n">
        <v>2.9</v>
      </c>
      <c r="K81" s="32" t="n">
        <v>541997</v>
      </c>
      <c r="L81" s="31" t="n">
        <v>95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85.91</v>
      </c>
      <c r="P81" s="32" t="n">
        <v>74.84</v>
      </c>
      <c r="Q81" s="32" t="n">
        <v>498.62</v>
      </c>
      <c r="R81" s="31" t="inlineStr">
        <is>
          <t>Near 52W High Breakout</t>
        </is>
      </c>
      <c r="S81" s="31" t="inlineStr">
        <is>
          <t>Nifty Pharma</t>
        </is>
      </c>
      <c r="T81" s="32" t="n">
        <v>22.15</v>
      </c>
      <c r="U81" s="32" t="n">
        <v>317.79</v>
      </c>
      <c r="V81" s="32" t="n">
        <v>242.03</v>
      </c>
      <c r="W81" s="32" t="n">
        <v>47.3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Between 12 to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IF(B82=0,"",RANK(B82,$B$2:$B$326,0))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BANARISUG</t>
        </is>
      </c>
      <c r="D82" s="31" t="inlineStr">
        <is>
          <t>Bannari Amman Sugars Limited</t>
        </is>
      </c>
      <c r="E82" s="31" t="inlineStr">
        <is>
          <t>fmcg</t>
        </is>
      </c>
      <c r="F82" s="31" t="inlineStr">
        <is>
          <t>sugar</t>
        </is>
      </c>
      <c r="G82" s="31" t="inlineStr">
        <is>
          <t>smallcap</t>
        </is>
      </c>
      <c r="H82" s="32" t="n">
        <v>4722.7</v>
      </c>
      <c r="I82" s="32" t="n">
        <v>3864.8</v>
      </c>
      <c r="J82" s="32" t="n">
        <v>2.62</v>
      </c>
      <c r="K82" s="32" t="n">
        <v>2140</v>
      </c>
      <c r="L82" s="31" t="n">
        <v>10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61.62</v>
      </c>
      <c r="P82" s="32" t="n">
        <v>29.48</v>
      </c>
      <c r="Q82" s="32" t="n">
        <v>3391.6</v>
      </c>
      <c r="R82" s="31" t="inlineStr">
        <is>
          <t>Near 52W High Breakout</t>
        </is>
      </c>
      <c r="S82" s="31" t="inlineStr">
        <is>
          <t>Nifty FMCG</t>
        </is>
      </c>
      <c r="T82" s="32" t="n">
        <v>-15.28</v>
      </c>
      <c r="U82" s="32" t="n">
        <v>2.83</v>
      </c>
      <c r="V82" s="32" t="n">
        <v>21.38</v>
      </c>
      <c r="W82" s="32" t="n">
        <v>1.99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B2C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IF(B83=0,"",RANK(B83,$B$2:$B$326,0))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VENKEYS</t>
        </is>
      </c>
      <c r="D83" s="31" t="inlineStr">
        <is>
          <t>Venky's (india) Limited</t>
        </is>
      </c>
      <c r="E83" s="31" t="inlineStr">
        <is>
          <t>fmcg</t>
        </is>
      </c>
      <c r="F83" s="31" t="inlineStr">
        <is>
          <t>miscellaneous</t>
        </is>
      </c>
      <c r="G83" s="31" t="inlineStr">
        <is>
          <t>smallcap</t>
        </is>
      </c>
      <c r="H83" s="32" t="n">
        <v>2323</v>
      </c>
      <c r="I83" s="32" t="n">
        <v>1659</v>
      </c>
      <c r="J83" s="32" t="n">
        <v>0.61</v>
      </c>
      <c r="K83" s="32" t="n">
        <v>70557</v>
      </c>
      <c r="L83" s="31" t="n">
        <v>14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62.07</v>
      </c>
      <c r="P83" s="32" t="n">
        <v>38.74</v>
      </c>
      <c r="Q83" s="32" t="n">
        <v>1306.79</v>
      </c>
      <c r="R83" s="31" t="inlineStr">
        <is>
          <t>Volume Spike &amp; Near 52W High Breakout</t>
        </is>
      </c>
      <c r="S83" s="31" t="inlineStr">
        <is>
          <t>Nifty FMCG</t>
        </is>
      </c>
      <c r="T83" s="32" t="n">
        <v>-15.28</v>
      </c>
      <c r="U83" s="32" t="n">
        <v>8.08</v>
      </c>
      <c r="V83" s="32" t="n">
        <v>27.57</v>
      </c>
      <c r="W83" s="32" t="n">
        <v>3.51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B2C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IF(B84=0,"",RANK(B84,$B$2:$B$326,0))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DIVISLAB</t>
        </is>
      </c>
      <c r="D84" s="31" t="inlineStr">
        <is>
          <t>Divi's Laboratories Limited</t>
        </is>
      </c>
      <c r="E84" s="31" t="inlineStr">
        <is>
          <t>healthcare</t>
        </is>
      </c>
      <c r="F84" s="31" t="inlineStr">
        <is>
          <t>pharmaceuticals - indian - bulk drugs</t>
        </is>
      </c>
      <c r="G84" s="31" t="inlineStr">
        <is>
          <t>largecap</t>
        </is>
      </c>
      <c r="H84" s="32" t="n">
        <v>243301.95</v>
      </c>
      <c r="I84" s="32" t="n">
        <v>9220</v>
      </c>
      <c r="J84" s="32" t="n">
        <v>0.6</v>
      </c>
      <c r="K84" s="32" t="n">
        <v>403619</v>
      </c>
      <c r="L84" s="31" t="n">
        <v>63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87.28</v>
      </c>
      <c r="P84" s="32" t="n">
        <v>40.98</v>
      </c>
      <c r="Q84" s="32" t="n">
        <v>8072.45</v>
      </c>
      <c r="R84" s="31" t="inlineStr">
        <is>
          <t>Near 52W High Breakout</t>
        </is>
      </c>
      <c r="S84" s="31" t="inlineStr">
        <is>
          <t>Nifty Pharma</t>
        </is>
      </c>
      <c r="T84" s="32" t="n">
        <v>22.15</v>
      </c>
      <c r="U84" s="32" t="n">
        <v>54.07</v>
      </c>
      <c r="V84" s="32" t="n">
        <v>26.13</v>
      </c>
      <c r="W84" s="32" t="n">
        <v>17.94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IF(B85=0,"",RANK(B85,$B$2:$B$326,0))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NEULANDLAB</t>
        </is>
      </c>
      <c r="D85" s="31" t="inlineStr">
        <is>
          <t>Neuland Laboratories Limited</t>
        </is>
      </c>
      <c r="E85" s="31" t="inlineStr">
        <is>
          <t>healthcare</t>
        </is>
      </c>
      <c r="F85" s="31" t="inlineStr">
        <is>
          <t>pharmaceuticals - indian - bulk drugs</t>
        </is>
      </c>
      <c r="G85" s="31" t="inlineStr">
        <is>
          <t>largecap</t>
        </is>
      </c>
      <c r="H85" s="32" t="n">
        <v>29540.82</v>
      </c>
      <c r="I85" s="32" t="n">
        <v>22960</v>
      </c>
      <c r="J85" s="32" t="n">
        <v>-0.28</v>
      </c>
      <c r="K85" s="32" t="n">
        <v>39701</v>
      </c>
      <c r="L85" s="31" t="n">
        <v>68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74.70999999999999</v>
      </c>
      <c r="P85" s="32" t="n">
        <v>57.23</v>
      </c>
      <c r="Q85" s="32" t="n">
        <v>19095.47</v>
      </c>
      <c r="R85" s="31" t="inlineStr">
        <is>
          <t>Near 52W High Breakout</t>
        </is>
      </c>
      <c r="S85" s="31" t="inlineStr">
        <is>
          <t>Nifty Pharma</t>
        </is>
      </c>
      <c r="T85" s="32" t="n">
        <v>22.15</v>
      </c>
      <c r="U85" s="32" t="n">
        <v>59.09</v>
      </c>
      <c r="V85" s="32" t="n">
        <v>30.24</v>
      </c>
      <c r="W85" s="32" t="n">
        <v>19.32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IF(B86=0,"",RANK(B86,$B$2:$B$326,0))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VIJAYA</t>
        </is>
      </c>
      <c r="D86" s="31" t="inlineStr">
        <is>
          <t>Vijaya Diagnostic Centre Ltd</t>
        </is>
      </c>
      <c r="E86" s="31" t="inlineStr">
        <is>
          <t>healthcare</t>
        </is>
      </c>
      <c r="F86" s="31" t="inlineStr">
        <is>
          <t>healthcare</t>
        </is>
      </c>
      <c r="G86" s="31" t="inlineStr">
        <is>
          <t>midcap</t>
        </is>
      </c>
      <c r="H86" s="32" t="n">
        <v>15424.22</v>
      </c>
      <c r="I86" s="32" t="n">
        <v>1481.1</v>
      </c>
      <c r="J86" s="32" t="n">
        <v>-1.19</v>
      </c>
      <c r="K86" s="32" t="n">
        <v>146439</v>
      </c>
      <c r="L86" s="31" t="n">
        <v>35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66.90000000000001</v>
      </c>
      <c r="P86" s="32" t="n">
        <v>59.71</v>
      </c>
      <c r="Q86" s="32" t="n">
        <v>1204.72</v>
      </c>
      <c r="R86" s="31" t="inlineStr">
        <is>
          <t>Near 52W High Breakout</t>
        </is>
      </c>
      <c r="S86" s="31" t="inlineStr">
        <is>
          <t>Nifty Pharma</t>
        </is>
      </c>
      <c r="T86" s="32" t="n">
        <v>22.15</v>
      </c>
      <c r="U86" s="32" t="n">
        <v>33.77</v>
      </c>
      <c r="V86" s="32" t="n">
        <v>9.51</v>
      </c>
      <c r="W86" s="32" t="n">
        <v>9.050000000000001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IF(B87=0,"",RANK(B87,$B$2:$B$326,0))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BAFNAPH</t>
        </is>
      </c>
      <c r="D87" s="31" t="inlineStr">
        <is>
          <t>Bafna Pharmaceuticals Ltd</t>
        </is>
      </c>
      <c r="E87" s="31" t="inlineStr">
        <is>
          <t>healthcare</t>
        </is>
      </c>
      <c r="F87" s="31" t="inlineStr">
        <is>
          <t>pharmaceuticals - indian - formulations</t>
        </is>
      </c>
      <c r="G87" s="31" t="inlineStr">
        <is>
          <t>smallcap</t>
        </is>
      </c>
      <c r="H87" s="32" t="n">
        <v>739.5</v>
      </c>
      <c r="I87" s="32" t="n">
        <v>308</v>
      </c>
      <c r="J87" s="32" t="n">
        <v>-1.47</v>
      </c>
      <c r="K87" s="32" t="n">
        <v>7525</v>
      </c>
      <c r="L87" s="31" t="n">
        <v>94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72.98999999999999</v>
      </c>
      <c r="P87" s="32" t="n">
        <v>57.83</v>
      </c>
      <c r="Q87" s="32" t="n">
        <v>232.66</v>
      </c>
      <c r="R87" s="31" t="inlineStr">
        <is>
          <t>Near 52W High Breakout</t>
        </is>
      </c>
      <c r="S87" s="31" t="inlineStr">
        <is>
          <t>Nifty Pharma</t>
        </is>
      </c>
      <c r="T87" s="32" t="n">
        <v>22.15</v>
      </c>
      <c r="U87" s="32" t="n">
        <v>205.8</v>
      </c>
      <c r="V87" s="32" t="n">
        <v>150.35</v>
      </c>
      <c r="W87" s="32" t="n">
        <v>45.4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IF(B88=0,"",RANK(B88,$B$2:$B$326,0))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BHAGERIA</t>
        </is>
      </c>
      <c r="D88" s="31" t="inlineStr">
        <is>
          <t>Bhageria Industries Limited</t>
        </is>
      </c>
      <c r="E88" s="31" t="inlineStr">
        <is>
          <t>chemicals</t>
        </is>
      </c>
      <c r="F88" s="31" t="inlineStr">
        <is>
          <t>dyes and pigments</t>
        </is>
      </c>
      <c r="G88" s="31" t="inlineStr">
        <is>
          <t>smallcap</t>
        </is>
      </c>
      <c r="H88" s="32" t="n">
        <v>1148.71</v>
      </c>
      <c r="I88" s="32" t="n">
        <v>276.35</v>
      </c>
      <c r="J88" s="32" t="n">
        <v>5</v>
      </c>
      <c r="K88" s="32" t="n">
        <v>613964</v>
      </c>
      <c r="L88" s="31" t="n">
        <v>57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71.52</v>
      </c>
      <c r="P88" s="32" t="n">
        <v>34.33</v>
      </c>
      <c r="Q88" s="32" t="n">
        <v>209.68</v>
      </c>
      <c r="R88" s="31" t="inlineStr">
        <is>
          <t>Volume Spike &amp; Near 52W High Breakout</t>
        </is>
      </c>
      <c r="S88" s="31" t="inlineStr">
        <is>
          <t>Nifty 50</t>
        </is>
      </c>
      <c r="T88" s="32" t="n">
        <v>-3.34</v>
      </c>
      <c r="U88" s="32" t="n">
        <v>40.46</v>
      </c>
      <c r="V88" s="32" t="n">
        <v>45.31</v>
      </c>
      <c r="W88" s="32" t="n">
        <v>15.91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IF(B89=0,"",RANK(B89,$B$2:$B$326,0))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SPAL</t>
        </is>
      </c>
      <c r="D89" s="31" t="inlineStr">
        <is>
          <t>S. P. Apparels Limited</t>
        </is>
      </c>
      <c r="E89" s="31" t="inlineStr">
        <is>
          <t>consumer discretionary</t>
        </is>
      </c>
      <c r="F89" s="31" t="inlineStr">
        <is>
          <t>textiles - products</t>
        </is>
      </c>
      <c r="G89" s="31" t="inlineStr">
        <is>
          <t>smallcap</t>
        </is>
      </c>
      <c r="H89" s="32" t="n">
        <v>2567.43</v>
      </c>
      <c r="I89" s="32" t="n">
        <v>1072.4</v>
      </c>
      <c r="J89" s="32" t="n">
        <v>5</v>
      </c>
      <c r="K89" s="32" t="n">
        <v>144792</v>
      </c>
      <c r="L89" s="31" t="n">
        <v>54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62.79</v>
      </c>
      <c r="P89" s="32" t="n">
        <v>40.67</v>
      </c>
      <c r="Q89" s="32" t="n">
        <v>831.21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-3.34</v>
      </c>
      <c r="U89" s="32" t="n">
        <v>46.22</v>
      </c>
      <c r="V89" s="32" t="n">
        <v>51.28</v>
      </c>
      <c r="W89" s="32" t="n">
        <v>15.26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Between 12 to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IF(B90=0,"",RANK(B90,$B$2:$B$326,0))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OMAXE</t>
        </is>
      </c>
      <c r="D90" s="31" t="inlineStr">
        <is>
          <t>Omaxe Limited</t>
        </is>
      </c>
      <c r="E90" s="31" t="inlineStr">
        <is>
          <t>realty</t>
        </is>
      </c>
      <c r="F90" s="31" t="inlineStr">
        <is>
          <t>construction</t>
        </is>
      </c>
      <c r="G90" s="31" t="inlineStr">
        <is>
          <t>smallcap</t>
        </is>
      </c>
      <c r="H90" s="32" t="n">
        <v>2318.63</v>
      </c>
      <c r="I90" s="32" t="n">
        <v>132.67</v>
      </c>
      <c r="J90" s="32" t="n">
        <v>4.65</v>
      </c>
      <c r="K90" s="32" t="n">
        <v>29571125</v>
      </c>
      <c r="L90" s="31" t="n">
        <v>74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80.28</v>
      </c>
      <c r="P90" s="32" t="n">
        <v>35.52</v>
      </c>
      <c r="Q90" s="32" t="n">
        <v>93.75</v>
      </c>
      <c r="R90" s="31" t="inlineStr">
        <is>
          <t>Volume Spike &amp; Near 52W High Breakout</t>
        </is>
      </c>
      <c r="S90" s="31" t="inlineStr">
        <is>
          <t>Nifty Realty</t>
        </is>
      </c>
      <c r="T90" s="32" t="n">
        <v>-6.04</v>
      </c>
      <c r="U90" s="32" t="n">
        <v>40.88</v>
      </c>
      <c r="V90" s="32" t="n">
        <v>49.95</v>
      </c>
      <c r="W90" s="32" t="n">
        <v>21.72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IF(B91=0,"",RANK(B91,$B$2:$B$326,0))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ARVIND</t>
        </is>
      </c>
      <c r="D91" s="31" t="inlineStr">
        <is>
          <t>Arvind Limited</t>
        </is>
      </c>
      <c r="E91" s="31" t="inlineStr">
        <is>
          <t>textiles</t>
        </is>
      </c>
      <c r="F91" s="31" t="inlineStr">
        <is>
          <t>textiles - cotton/blended</t>
        </is>
      </c>
      <c r="G91" s="31" t="inlineStr">
        <is>
          <t>midcap</t>
        </is>
      </c>
      <c r="H91" s="32" t="n">
        <v>15155.38</v>
      </c>
      <c r="I91" s="32" t="n">
        <v>574.05</v>
      </c>
      <c r="J91" s="32" t="n">
        <v>3.04</v>
      </c>
      <c r="K91" s="32" t="n">
        <v>790352</v>
      </c>
      <c r="L91" s="31" t="n">
        <v>66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67.73</v>
      </c>
      <c r="P91" s="32" t="n">
        <v>59.91</v>
      </c>
      <c r="Q91" s="32" t="n">
        <v>455.61</v>
      </c>
      <c r="R91" s="31" t="inlineStr">
        <is>
          <t>Near 52W High Breakout</t>
        </is>
      </c>
      <c r="S91" s="31" t="inlineStr">
        <is>
          <t>Nifty 50</t>
        </is>
      </c>
      <c r="T91" s="32" t="n">
        <v>-3.34</v>
      </c>
      <c r="U91" s="32" t="n">
        <v>98.63</v>
      </c>
      <c r="V91" s="32" t="n">
        <v>105.5</v>
      </c>
      <c r="W91" s="32" t="n">
        <v>18.92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Less than 12%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IF(B92=0,"",RANK(B92,$B$2:$B$326,0))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RUBYMILLS</t>
        </is>
      </c>
      <c r="D92" s="31" t="inlineStr">
        <is>
          <t>The Ruby Mills Limited</t>
        </is>
      </c>
      <c r="E92" s="31" t="inlineStr">
        <is>
          <t>textiles</t>
        </is>
      </c>
      <c r="F92" s="31" t="inlineStr">
        <is>
          <t>textiles - composite</t>
        </is>
      </c>
      <c r="G92" s="31" t="inlineStr">
        <is>
          <t>smallcap</t>
        </is>
      </c>
      <c r="H92" s="32" t="n">
        <v>1290.12</v>
      </c>
      <c r="I92" s="32" t="n">
        <v>396.8</v>
      </c>
      <c r="J92" s="32" t="n">
        <v>2.85</v>
      </c>
      <c r="K92" s="32" t="n">
        <v>5981</v>
      </c>
      <c r="L92" s="31" t="n">
        <v>63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67.45999999999999</v>
      </c>
      <c r="P92" s="32" t="n">
        <v>54.88</v>
      </c>
      <c r="Q92" s="32" t="n">
        <v>300.46</v>
      </c>
      <c r="R92" s="31" t="inlineStr">
        <is>
          <t>Near 52W High Breakout</t>
        </is>
      </c>
      <c r="S92" s="31" t="inlineStr">
        <is>
          <t>Nifty 50</t>
        </is>
      </c>
      <c r="T92" s="32" t="n">
        <v>-3.34</v>
      </c>
      <c r="U92" s="32" t="n">
        <v>77.34</v>
      </c>
      <c r="V92" s="32" t="n">
        <v>83.47</v>
      </c>
      <c r="W92" s="32" t="n">
        <v>17.65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IF(B93=0,"",RANK(B93,$B$2:$B$326,0))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PANACHE</t>
        </is>
      </c>
      <c r="D93" s="31" t="inlineStr">
        <is>
          <t>Panache Digilife Ltd</t>
        </is>
      </c>
      <c r="E93" s="31" t="inlineStr">
        <is>
          <t>i.t</t>
        </is>
      </c>
      <c r="F93" s="31" t="inlineStr">
        <is>
          <t>computers - hardware</t>
        </is>
      </c>
      <c r="G93" s="31" t="inlineStr">
        <is>
          <t>smallcap</t>
        </is>
      </c>
      <c r="H93" s="32" t="n">
        <v>831.77</v>
      </c>
      <c r="I93" s="32" t="n">
        <v>525.05</v>
      </c>
      <c r="J93" s="32" t="n">
        <v>1.09</v>
      </c>
      <c r="K93" s="32" t="n">
        <v>1973</v>
      </c>
      <c r="L93" s="31" t="n">
        <v>84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70.98</v>
      </c>
      <c r="P93" s="32" t="n">
        <v>32.7</v>
      </c>
      <c r="Q93" s="32" t="n">
        <v>408.54</v>
      </c>
      <c r="R93" s="31" t="inlineStr">
        <is>
          <t>Near 52W High Breakout</t>
        </is>
      </c>
      <c r="S93" s="31" t="inlineStr">
        <is>
          <t>Nifty IT</t>
        </is>
      </c>
      <c r="T93" s="32" t="n">
        <v>-10.2</v>
      </c>
      <c r="U93" s="32" t="n">
        <v>107.19</v>
      </c>
      <c r="V93" s="32" t="n">
        <v>130.72</v>
      </c>
      <c r="W93" s="32" t="n">
        <v>27.26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IF(B94=0,"",RANK(B94,$B$2:$B$326,0))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KPRMILL</t>
        </is>
      </c>
      <c r="D94" s="31" t="inlineStr">
        <is>
          <t>K.p.r. Mill Limited</t>
        </is>
      </c>
      <c r="E94" s="31" t="inlineStr">
        <is>
          <t>consumer discretionary</t>
        </is>
      </c>
      <c r="F94" s="31" t="inlineStr">
        <is>
          <t>textiles - products</t>
        </is>
      </c>
      <c r="G94" s="31" t="inlineStr">
        <is>
          <t>largecap</t>
        </is>
      </c>
      <c r="H94" s="32" t="n">
        <v>39599.15</v>
      </c>
      <c r="I94" s="32" t="n">
        <v>1167.4</v>
      </c>
      <c r="J94" s="32" t="n">
        <v>0.77</v>
      </c>
      <c r="K94" s="32" t="n">
        <v>308659</v>
      </c>
      <c r="L94" s="31" t="n">
        <v>22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62.19</v>
      </c>
      <c r="P94" s="32" t="n">
        <v>48.99</v>
      </c>
      <c r="Q94" s="32" t="n">
        <v>930.45</v>
      </c>
      <c r="R94" s="31" t="inlineStr">
        <is>
          <t>Near 52W High Breakout</t>
        </is>
      </c>
      <c r="S94" s="31" t="inlineStr">
        <is>
          <t>Nifty 500</t>
        </is>
      </c>
      <c r="T94" s="32" t="n">
        <v>1.72</v>
      </c>
      <c r="U94" s="32" t="n">
        <v>18.6</v>
      </c>
      <c r="V94" s="32" t="n">
        <v>16.59</v>
      </c>
      <c r="W94" s="32" t="n">
        <v>5.95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IF(B95=0,"",RANK(B95,$B$2:$B$326,0))</f>
        <v/>
      </c>
      <c r="B95" s="32">
        <f>SUM(N95,Y95,AA95,AC95,AE95,AG95,AI95,AK95,AM95,AO95,AQ95,AS95,AU95,AW95,AY95,BA95,BC95,BE95,BG95,BI95,BK95,BM95,BO95,BQ95,BS95,BU95,BW95,BY95,CA95,CC95,CE95)</f>
        <v/>
      </c>
      <c r="C95" s="33" t="inlineStr">
        <is>
          <t>TTKHLTCARE</t>
        </is>
      </c>
      <c r="D95" s="33" t="inlineStr">
        <is>
          <t>Ttk Healthcare Limited</t>
        </is>
      </c>
      <c r="E95" s="31" t="inlineStr">
        <is>
          <t>miscellaneous</t>
        </is>
      </c>
      <c r="F95" s="31" t="inlineStr">
        <is>
          <t>diversified - medium / small</t>
        </is>
      </c>
      <c r="G95" s="31" t="inlineStr">
        <is>
          <t>smallcap</t>
        </is>
      </c>
      <c r="H95" s="32" t="n">
        <v>1594.89</v>
      </c>
      <c r="I95" s="32" t="n">
        <v>1131.5</v>
      </c>
      <c r="J95" s="32" t="n">
        <v>0.25</v>
      </c>
      <c r="K95" s="32" t="n">
        <v>27903</v>
      </c>
      <c r="L95" s="31" t="n">
        <v>14</v>
      </c>
      <c r="M95" s="31" t="inlineStr">
        <is>
          <t>Underperforming</t>
        </is>
      </c>
      <c r="N95" s="32">
        <f>IF(M95="Underperforming",-5,IF(L95&gt;=95,15,IF(L95&gt;=90,10,IF(L95&gt;=80,5,0))))</f>
        <v/>
      </c>
      <c r="O95" s="32" t="n">
        <v>66.15000000000001</v>
      </c>
      <c r="P95" s="32" t="n">
        <v>27.45</v>
      </c>
      <c r="Q95" s="32" t="n">
        <v>899.09</v>
      </c>
      <c r="R95" s="31" t="inlineStr">
        <is>
          <t>Near 52W High Breakout</t>
        </is>
      </c>
      <c r="S95" s="31" t="inlineStr">
        <is>
          <t>Nifty Infra</t>
        </is>
      </c>
      <c r="T95" s="32" t="n">
        <v>1.61</v>
      </c>
      <c r="U95" s="32" t="n">
        <v>-11.53</v>
      </c>
      <c r="V95" s="32" t="n">
        <v>-12.93</v>
      </c>
      <c r="W95" s="32" t="n">
        <v>3.34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IF(B96=0,"",RANK(B96,$B$2:$B$326,0))</f>
        <v/>
      </c>
      <c r="B96" s="32">
        <f>SUM(N96,Y96,AA96,AC96,AE96,AG96,AI96,AK96,AM96,AO96,AQ96,AS96,AU96,AW96,AY96,BA96,BC96,BE96,BG96,BI96,BK96,BM96,BO96,BQ96,BS96,BU96,BW96,BY96,CA96,CC96,CE96)</f>
        <v/>
      </c>
      <c r="C96" s="33" t="inlineStr">
        <is>
          <t>JAYAGROGN</t>
        </is>
      </c>
      <c r="D96" s="33" t="inlineStr">
        <is>
          <t>Jayant Agro Organics Limited</t>
        </is>
      </c>
      <c r="E96" s="31" t="inlineStr">
        <is>
          <t>chemicals</t>
        </is>
      </c>
      <c r="F96" s="31" t="inlineStr">
        <is>
          <t>chemicals</t>
        </is>
      </c>
      <c r="G96" s="31" t="inlineStr">
        <is>
          <t>smallcap</t>
        </is>
      </c>
      <c r="H96" s="32" t="n">
        <v>688.26</v>
      </c>
      <c r="I96" s="32" t="n">
        <v>229.57</v>
      </c>
      <c r="J96" s="32" t="n">
        <v>0.07000000000000001</v>
      </c>
      <c r="K96" s="32" t="n">
        <v>18896</v>
      </c>
      <c r="L96" s="31" t="n">
        <v>8</v>
      </c>
      <c r="M96" s="31" t="inlineStr">
        <is>
          <t>Underperforming</t>
        </is>
      </c>
      <c r="N96" s="32">
        <f>IF(M96="Underperforming",-5,IF(L96&gt;=95,15,IF(L96&gt;=90,10,IF(L96&gt;=80,5,0))))</f>
        <v/>
      </c>
      <c r="O96" s="32" t="n">
        <v>61.14</v>
      </c>
      <c r="P96" s="32" t="n">
        <v>38.17</v>
      </c>
      <c r="Q96" s="32" t="n">
        <v>176.83</v>
      </c>
      <c r="R96" s="31" t="inlineStr">
        <is>
          <t>Near 52W High Breakout</t>
        </is>
      </c>
      <c r="S96" s="31" t="inlineStr">
        <is>
          <t>Nifty 50</t>
        </is>
      </c>
      <c r="T96" s="32" t="n">
        <v>-3.34</v>
      </c>
      <c r="U96" s="32" t="n">
        <v>-3.45</v>
      </c>
      <c r="V96" s="32" t="n">
        <v>-0.11</v>
      </c>
      <c r="W96" s="32" t="n">
        <v>1.21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IF(B97=0,"",RANK(B97,$B$2:$B$326,0))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VRLLOG</t>
        </is>
      </c>
      <c r="D97" s="31" t="inlineStr">
        <is>
          <t>Vrl Logistics Limited</t>
        </is>
      </c>
      <c r="E97" s="31" t="inlineStr">
        <is>
          <t>transportation</t>
        </is>
      </c>
      <c r="F97" s="31" t="inlineStr">
        <is>
          <t>miscellaneous</t>
        </is>
      </c>
      <c r="G97" s="31" t="inlineStr">
        <is>
          <t>midcap</t>
        </is>
      </c>
      <c r="H97" s="32" t="n">
        <v>5245.49</v>
      </c>
      <c r="I97" s="32" t="n">
        <v>299.85</v>
      </c>
      <c r="J97" s="32" t="n">
        <v>0</v>
      </c>
      <c r="K97" s="32" t="n">
        <v>178174</v>
      </c>
      <c r="L97" s="31" t="n">
        <v>36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66.09999999999999</v>
      </c>
      <c r="P97" s="32" t="n">
        <v>22.36</v>
      </c>
      <c r="Q97" s="32" t="n">
        <v>247.31</v>
      </c>
      <c r="R97" s="31" t="inlineStr">
        <is>
          <t>Near 52W High Breakout</t>
        </is>
      </c>
      <c r="S97" s="31" t="inlineStr">
        <is>
          <t>Nifty 50</t>
        </is>
      </c>
      <c r="T97" s="32" t="n">
        <v>-3.34</v>
      </c>
      <c r="U97" s="32" t="n">
        <v>15.5</v>
      </c>
      <c r="V97" s="32" t="n">
        <v>19.49</v>
      </c>
      <c r="W97" s="32" t="n">
        <v>9.289999999999999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Between 0.7 to 1.2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IF(B98=0,"",RANK(B98,$B$2:$B$326,0))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NAHARINDUS</t>
        </is>
      </c>
      <c r="D98" s="31" t="inlineStr">
        <is>
          <t>Nahar Industrial Enterprises Limited</t>
        </is>
      </c>
      <c r="E98" s="31" t="inlineStr">
        <is>
          <t>textiles</t>
        </is>
      </c>
      <c r="F98" s="31" t="inlineStr">
        <is>
          <t>textiles - cotton/blended</t>
        </is>
      </c>
      <c r="G98" s="31" t="inlineStr">
        <is>
          <t>smallcap</t>
        </is>
      </c>
      <c r="H98" s="32" t="n">
        <v>580.34</v>
      </c>
      <c r="I98" s="32" t="n">
        <v>133.86</v>
      </c>
      <c r="J98" s="32" t="n">
        <v>-0.34</v>
      </c>
      <c r="K98" s="32" t="n">
        <v>9869</v>
      </c>
      <c r="L98" s="31" t="n">
        <v>27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64.54000000000001</v>
      </c>
      <c r="P98" s="32" t="n">
        <v>28.27</v>
      </c>
      <c r="Q98" s="32" t="n">
        <v>103.12</v>
      </c>
      <c r="R98" s="31" t="inlineStr">
        <is>
          <t>Near 52W High Breakout</t>
        </is>
      </c>
      <c r="S98" s="31" t="inlineStr">
        <is>
          <t>Nifty 50</t>
        </is>
      </c>
      <c r="T98" s="32" t="n">
        <v>-3.34</v>
      </c>
      <c r="U98" s="32" t="n">
        <v>18.4</v>
      </c>
      <c r="V98" s="32" t="n">
        <v>22.49</v>
      </c>
      <c r="W98" s="32" t="n">
        <v>6.85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Between 1.5 to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IF(B99=0,"",RANK(B99,$B$2:$B$326,0))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COMSYN</t>
        </is>
      </c>
      <c r="D99" s="31" t="inlineStr">
        <is>
          <t>Commercial Syn Bags Ltd</t>
        </is>
      </c>
      <c r="E99" s="31" t="inlineStr">
        <is>
          <t>industrials</t>
        </is>
      </c>
      <c r="F99" s="31" t="inlineStr">
        <is>
          <t>packaging</t>
        </is>
      </c>
      <c r="G99" s="31" t="inlineStr">
        <is>
          <t>smallcap</t>
        </is>
      </c>
      <c r="H99" s="32" t="n">
        <v>1227.72</v>
      </c>
      <c r="I99" s="32" t="n">
        <v>302.65</v>
      </c>
      <c r="J99" s="32" t="n">
        <v>-0.5600000000000001</v>
      </c>
      <c r="K99" s="32" t="n">
        <v>113506</v>
      </c>
      <c r="L99" s="31" t="n">
        <v>91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81.12</v>
      </c>
      <c r="P99" s="32" t="n">
        <v>68.17</v>
      </c>
      <c r="Q99" s="32" t="n">
        <v>228.08</v>
      </c>
      <c r="R99" s="31" t="inlineStr">
        <is>
          <t>Near 52W High Breakout</t>
        </is>
      </c>
      <c r="S99" s="31" t="inlineStr">
        <is>
          <t>Nifty 50</t>
        </is>
      </c>
      <c r="T99" s="32" t="n">
        <v>-3.34</v>
      </c>
      <c r="U99" s="32" t="n">
        <v>96.51000000000001</v>
      </c>
      <c r="V99" s="32" t="n">
        <v>103.3</v>
      </c>
      <c r="W99" s="32" t="n">
        <v>39.17</v>
      </c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Between 0.7 to 1.2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IF(B100=0,"",RANK(B100,$B$2:$B$326,0))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GHCLTEXTIL</t>
        </is>
      </c>
      <c r="D100" s="31" t="inlineStr">
        <is>
          <t>GHCL Textiles Ltd</t>
        </is>
      </c>
      <c r="E100" s="31" t="inlineStr">
        <is>
          <t>textiles</t>
        </is>
      </c>
      <c r="F100" s="31" t="inlineStr">
        <is>
          <t>textiles - spinning - synthetic / blended</t>
        </is>
      </c>
      <c r="G100" s="31" t="inlineStr">
        <is>
          <t>smallcap</t>
        </is>
      </c>
      <c r="H100" s="32" t="n">
        <v>1342.5</v>
      </c>
      <c r="I100" s="32" t="n">
        <v>139.35</v>
      </c>
      <c r="J100" s="32" t="n">
        <v>-0.78</v>
      </c>
      <c r="K100" s="32" t="n">
        <v>1397109</v>
      </c>
      <c r="L100" s="31" t="n">
        <v>77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78.09999999999999</v>
      </c>
      <c r="P100" s="32" t="n">
        <v>42.9</v>
      </c>
      <c r="Q100" s="32" t="n">
        <v>109.21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-3.34</v>
      </c>
      <c r="U100" s="32" t="n">
        <v>83.17</v>
      </c>
      <c r="V100" s="32" t="n">
        <v>89.5</v>
      </c>
      <c r="W100" s="32" t="n">
        <v>22.99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IF(B101=0,"",RANK(B101,$B$2:$B$326,0))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NAUKRI</t>
        </is>
      </c>
      <c r="D101" s="31" t="inlineStr">
        <is>
          <t>Info Edge (india) Limited</t>
        </is>
      </c>
      <c r="E101" s="31" t="inlineStr">
        <is>
          <t>i.t</t>
        </is>
      </c>
      <c r="F101" s="31" t="inlineStr">
        <is>
          <t>miscellaneous</t>
        </is>
      </c>
      <c r="G101" s="31" t="inlineStr">
        <is>
          <t>largecap</t>
        </is>
      </c>
      <c r="H101" s="32" t="n">
        <v>87925.83</v>
      </c>
      <c r="I101" s="32" t="n">
        <v>1343.7</v>
      </c>
      <c r="J101" s="32" t="n">
        <v>-0.91</v>
      </c>
      <c r="K101" s="32" t="n">
        <v>1456671</v>
      </c>
      <c r="L101" s="31" t="n">
        <v>37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69.81</v>
      </c>
      <c r="P101" s="32" t="n">
        <v>28.23</v>
      </c>
      <c r="Q101" s="32" t="n">
        <v>1111.93</v>
      </c>
      <c r="R101" s="31" t="inlineStr">
        <is>
          <t>Near 52W High Breakout</t>
        </is>
      </c>
      <c r="S101" s="31" t="inlineStr">
        <is>
          <t>Nifty IT</t>
        </is>
      </c>
      <c r="T101" s="32" t="n">
        <v>-10.2</v>
      </c>
      <c r="U101" s="32" t="n">
        <v>0.46</v>
      </c>
      <c r="V101" s="32" t="n">
        <v>11.87</v>
      </c>
      <c r="W101" s="32" t="n">
        <v>9.52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IF(B102=0,"",RANK(B102,$B$2:$B$326,0))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SARLAPOLY</t>
        </is>
      </c>
      <c r="D102" s="31" t="inlineStr">
        <is>
          <t>Sarla Performance Fibers Limited</t>
        </is>
      </c>
      <c r="E102" s="31" t="inlineStr">
        <is>
          <t>textiles</t>
        </is>
      </c>
      <c r="F102" s="31" t="inlineStr">
        <is>
          <t>textiles - spinning - synthetic / blended</t>
        </is>
      </c>
      <c r="G102" s="31" t="inlineStr">
        <is>
          <t>smallcap</t>
        </is>
      </c>
      <c r="H102" s="32" t="n">
        <v>825.3200000000001</v>
      </c>
      <c r="I102" s="32" t="n">
        <v>102.46</v>
      </c>
      <c r="J102" s="32" t="n">
        <v>-1.3</v>
      </c>
      <c r="K102" s="32" t="n">
        <v>36715</v>
      </c>
      <c r="L102" s="31" t="n">
        <v>10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60.17</v>
      </c>
      <c r="P102" s="32" t="n">
        <v>44.08</v>
      </c>
      <c r="Q102" s="32" t="n">
        <v>80.08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-3.34</v>
      </c>
      <c r="U102" s="32" t="n">
        <v>2.37</v>
      </c>
      <c r="V102" s="32" t="n">
        <v>5.91</v>
      </c>
      <c r="W102" s="32" t="n">
        <v>2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IF(B103=0,"",RANK(B103,$B$2:$B$326,0))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EBGNG</t>
        </is>
      </c>
      <c r="D103" s="31" t="inlineStr">
        <is>
          <t>GNG Electronics Ltd</t>
        </is>
      </c>
      <c r="E103" s="31" t="inlineStr">
        <is>
          <t>services</t>
        </is>
      </c>
      <c r="F103" s="31" t="inlineStr">
        <is>
          <t>trading</t>
        </is>
      </c>
      <c r="G103" s="31" t="inlineStr">
        <is>
          <t>midcap</t>
        </is>
      </c>
      <c r="H103" s="32" t="n">
        <v>7416.45</v>
      </c>
      <c r="I103" s="32" t="n">
        <v>641.8</v>
      </c>
      <c r="J103" s="32" t="n">
        <v>-1.34</v>
      </c>
      <c r="K103" s="32" t="n">
        <v>1248083</v>
      </c>
      <c r="L103" s="31" t="n">
        <v>80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68.23</v>
      </c>
      <c r="P103" s="32" t="n">
        <v>33.69</v>
      </c>
      <c r="Q103" s="32" t="n">
        <v>457.67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-3.34</v>
      </c>
      <c r="U103" s="32" t="n">
        <v>76.2</v>
      </c>
      <c r="V103" s="32" t="n">
        <v>82.29000000000001</v>
      </c>
      <c r="W103" s="32" t="n">
        <v>24.59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IF(B104=0,"",RANK(B104,$B$2:$B$326,0))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RACLGEAR</t>
        </is>
      </c>
      <c r="D104" s="31" t="inlineStr">
        <is>
          <t>RACL Geartech Ltd</t>
        </is>
      </c>
      <c r="E104" s="31" t="inlineStr">
        <is>
          <t>auto</t>
        </is>
      </c>
      <c r="F104" s="31" t="inlineStr">
        <is>
          <t>auto ancillaries</t>
        </is>
      </c>
      <c r="G104" s="31" t="inlineStr">
        <is>
          <t>smallcap</t>
        </is>
      </c>
      <c r="H104" s="32" t="n">
        <v>1812.89</v>
      </c>
      <c r="I104" s="32" t="n">
        <v>1516.6</v>
      </c>
      <c r="J104" s="32" t="n">
        <v>-1.39</v>
      </c>
      <c r="K104" s="32" t="n">
        <v>23651</v>
      </c>
      <c r="L104" s="31" t="n">
        <v>53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59.74</v>
      </c>
      <c r="P104" s="32" t="n">
        <v>49.73</v>
      </c>
      <c r="Q104" s="32" t="n">
        <v>1081.31</v>
      </c>
      <c r="R104" s="31" t="inlineStr">
        <is>
          <t>Near 52W High Breakout</t>
        </is>
      </c>
      <c r="S104" s="31" t="inlineStr">
        <is>
          <t>Nifty Auto</t>
        </is>
      </c>
      <c r="T104" s="32" t="n">
        <v>17.66</v>
      </c>
      <c r="U104" s="32" t="n">
        <v>51.67</v>
      </c>
      <c r="V104" s="32" t="n">
        <v>28.91</v>
      </c>
      <c r="W104" s="32" t="n">
        <v>14.57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Less than 12%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IF(B105=0,"",RANK(B105,$B$2:$B$326,0))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INDORAMA</t>
        </is>
      </c>
      <c r="D105" s="31" t="inlineStr">
        <is>
          <t>Indo Rama Synthetics (india) Limited</t>
        </is>
      </c>
      <c r="E105" s="31" t="inlineStr">
        <is>
          <t>textiles</t>
        </is>
      </c>
      <c r="F105" s="31" t="inlineStr">
        <is>
          <t>textiles - manmade</t>
        </is>
      </c>
      <c r="G105" s="31" t="inlineStr">
        <is>
          <t>smallcap</t>
        </is>
      </c>
      <c r="H105" s="32" t="n">
        <v>1775.83</v>
      </c>
      <c r="I105" s="32" t="n">
        <v>66.77</v>
      </c>
      <c r="J105" s="32" t="n">
        <v>-1.82</v>
      </c>
      <c r="K105" s="32" t="n">
        <v>435143</v>
      </c>
      <c r="L105" s="31" t="n">
        <v>63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73.27</v>
      </c>
      <c r="P105" s="32" t="n">
        <v>48.67</v>
      </c>
      <c r="Q105" s="32" t="n">
        <v>47.5</v>
      </c>
      <c r="R105" s="31" t="inlineStr">
        <is>
          <t>Volume Spike &amp; Near 52W High Breakout</t>
        </is>
      </c>
      <c r="S105" s="31" t="inlineStr">
        <is>
          <t>Nifty 50</t>
        </is>
      </c>
      <c r="T105" s="32" t="n">
        <v>-3.34</v>
      </c>
      <c r="U105" s="32" t="n">
        <v>27.91</v>
      </c>
      <c r="V105" s="32" t="n">
        <v>32.33</v>
      </c>
      <c r="W105" s="32" t="n">
        <v>17.97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More than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IF(B106=0,"",RANK(B106,$B$2:$B$326,0))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BAJAJ-AUTO</t>
        </is>
      </c>
      <c r="D106" s="31" t="inlineStr">
        <is>
          <t>Bajaj Auto Limited</t>
        </is>
      </c>
      <c r="E106" s="31" t="inlineStr">
        <is>
          <t>auto</t>
        </is>
      </c>
      <c r="F106" s="31" t="inlineStr">
        <is>
          <t>automobiles - scooters and 3 - wheelers</t>
        </is>
      </c>
      <c r="G106" s="31" t="inlineStr">
        <is>
          <t>largecap</t>
        </is>
      </c>
      <c r="H106" s="32" t="n">
        <v>345487.28</v>
      </c>
      <c r="I106" s="32" t="n">
        <v>12130</v>
      </c>
      <c r="J106" s="32" t="n">
        <v>-1.87</v>
      </c>
      <c r="K106" s="32" t="n">
        <v>333619</v>
      </c>
      <c r="L106" s="31" t="n">
        <v>54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76.73</v>
      </c>
      <c r="P106" s="32" t="n">
        <v>26.51</v>
      </c>
      <c r="Q106" s="32" t="n">
        <v>10684.75</v>
      </c>
      <c r="R106" s="31" t="inlineStr">
        <is>
          <t>Near 52W High Breakout</t>
        </is>
      </c>
      <c r="S106" s="31" t="inlineStr">
        <is>
          <t>Nifty Auto</t>
        </is>
      </c>
      <c r="T106" s="32" t="n">
        <v>17.66</v>
      </c>
      <c r="U106" s="32" t="n">
        <v>52.32</v>
      </c>
      <c r="V106" s="32" t="n">
        <v>29.46</v>
      </c>
      <c r="W106" s="32" t="n">
        <v>14.95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IF(B107=0,"",RANK(B107,$B$2:$B$326,0))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JINDWORLD</t>
        </is>
      </c>
      <c r="D107" s="31" t="inlineStr">
        <is>
          <t>Jindal Worldwide Limited</t>
        </is>
      </c>
      <c r="E107" s="31" t="inlineStr">
        <is>
          <t>textiles</t>
        </is>
      </c>
      <c r="F107" s="31" t="inlineStr">
        <is>
          <t>textiles - products</t>
        </is>
      </c>
      <c r="G107" s="31" t="inlineStr">
        <is>
          <t>smallcap</t>
        </is>
      </c>
      <c r="H107" s="32" t="n">
        <v>4218.95</v>
      </c>
      <c r="I107" s="32" t="n">
        <v>40.19</v>
      </c>
      <c r="J107" s="32" t="n">
        <v>-4.49</v>
      </c>
      <c r="K107" s="32" t="n">
        <v>15067052</v>
      </c>
      <c r="L107" s="31" t="n">
        <v>48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66.36</v>
      </c>
      <c r="P107" s="32" t="n">
        <v>38.05</v>
      </c>
      <c r="Q107" s="32" t="n">
        <v>27.94</v>
      </c>
      <c r="R107" s="31" t="inlineStr">
        <is>
          <t>Volume Spike &amp; Near 52W High Breakout</t>
        </is>
      </c>
      <c r="S107" s="31" t="inlineStr">
        <is>
          <t>Nifty 50</t>
        </is>
      </c>
      <c r="T107" s="32" t="n">
        <v>-3.34</v>
      </c>
      <c r="U107" s="32" t="n">
        <v>10.72</v>
      </c>
      <c r="V107" s="32" t="n">
        <v>14.54</v>
      </c>
      <c r="W107" s="32" t="n">
        <v>12.38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IF(B108=0,"",RANK(B108,$B$2:$B$326,0))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AVALON</t>
        </is>
      </c>
      <c r="D108" s="31" t="inlineStr">
        <is>
          <t>Avalon Technologies Ltd</t>
        </is>
      </c>
      <c r="E108" s="31" t="inlineStr">
        <is>
          <t>consumer discretionary</t>
        </is>
      </c>
      <c r="F108" s="31" t="inlineStr">
        <is>
          <t>electronics - components</t>
        </is>
      </c>
      <c r="G108" s="31" t="inlineStr">
        <is>
          <t>midcap</t>
        </is>
      </c>
      <c r="H108" s="32" t="n">
        <v>15490.97</v>
      </c>
      <c r="I108" s="32" t="n">
        <v>2189.6</v>
      </c>
      <c r="J108" s="32" t="n">
        <v>-5.56</v>
      </c>
      <c r="K108" s="32" t="n">
        <v>662674</v>
      </c>
      <c r="L108" s="31" t="n">
        <v>86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79.98999999999999</v>
      </c>
      <c r="P108" s="32" t="n">
        <v>59.79</v>
      </c>
      <c r="Q108" s="32" t="n">
        <v>1691.08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-3.34</v>
      </c>
      <c r="U108" s="32" t="n">
        <v>137.24</v>
      </c>
      <c r="V108" s="32" t="n">
        <v>145.44</v>
      </c>
      <c r="W108" s="32" t="n">
        <v>29.3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IF(B109=0,"",RANK(B109,$B$2:$B$326,0))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TASTYBITE</t>
        </is>
      </c>
      <c r="D109" s="31" t="inlineStr">
        <is>
          <t>Tasty Bite Eatables Ltd</t>
        </is>
      </c>
      <c r="E109" s="31" t="inlineStr">
        <is>
          <t>fmcg</t>
        </is>
      </c>
      <c r="F109" s="31" t="inlineStr">
        <is>
          <t>food - processing - indian</t>
        </is>
      </c>
      <c r="G109" s="31" t="inlineStr">
        <is>
          <t>smallcap</t>
        </is>
      </c>
      <c r="H109" s="32" t="n">
        <v>2552.14</v>
      </c>
      <c r="I109" s="32" t="n">
        <v>10008</v>
      </c>
      <c r="J109" s="32" t="n">
        <v>0.62</v>
      </c>
      <c r="K109" s="32" t="n">
        <v>2420</v>
      </c>
      <c r="L109" s="31" t="n">
        <v>38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70.26000000000001</v>
      </c>
      <c r="P109" s="32" t="n">
        <v>49.21</v>
      </c>
      <c r="Q109" s="32" t="n">
        <v>8005.41</v>
      </c>
      <c r="R109" s="31" t="inlineStr">
        <is>
          <t>Near 52W High Breakout</t>
        </is>
      </c>
      <c r="S109" s="31" t="inlineStr">
        <is>
          <t>Nifty FMCG</t>
        </is>
      </c>
      <c r="T109" s="32" t="n">
        <v>-15.28</v>
      </c>
      <c r="U109" s="32" t="n">
        <v>-7.09</v>
      </c>
      <c r="V109" s="32" t="n">
        <v>9.67</v>
      </c>
      <c r="W109" s="32" t="n">
        <v>9.67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B2C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Less than 12%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IF(B110=0,"",RANK(B110,$B$2:$B$326,0))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UNICHEMLAB</t>
        </is>
      </c>
      <c r="D110" s="33" t="inlineStr">
        <is>
          <t>Unichem Laboratories Limited</t>
        </is>
      </c>
      <c r="E110" s="31" t="inlineStr">
        <is>
          <t>healthcare</t>
        </is>
      </c>
      <c r="F110" s="31" t="inlineStr">
        <is>
          <t>pharmaceuticals - indian - bulk drugs &amp; formln</t>
        </is>
      </c>
      <c r="G110" s="31" t="inlineStr">
        <is>
          <t>smallcap</t>
        </is>
      </c>
      <c r="H110" s="32" t="n">
        <v>3917.02</v>
      </c>
      <c r="I110" s="32" t="n">
        <v>559.65</v>
      </c>
      <c r="J110" s="32" t="n">
        <v>0.59</v>
      </c>
      <c r="K110" s="32" t="n">
        <v>155387</v>
      </c>
      <c r="L110" s="31" t="n">
        <v>57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61.05</v>
      </c>
      <c r="P110" s="32" t="n">
        <v>46.35</v>
      </c>
      <c r="Q110" s="32" t="n">
        <v>457.88</v>
      </c>
      <c r="R110" s="31" t="inlineStr">
        <is>
          <t>Earnings / Momentum Support</t>
        </is>
      </c>
      <c r="S110" s="31" t="inlineStr">
        <is>
          <t>Nifty Pharma</t>
        </is>
      </c>
      <c r="T110" s="32" t="n">
        <v>22.15</v>
      </c>
      <c r="U110" s="32" t="n">
        <v>11.93</v>
      </c>
      <c r="V110" s="32" t="n">
        <v>-8.369999999999999</v>
      </c>
      <c r="W110" s="32" t="n">
        <v>16.48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IF(B111=0,"",RANK(B111,$B$2:$B$326,0))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KRBL</t>
        </is>
      </c>
      <c r="D111" s="31" t="inlineStr">
        <is>
          <t>Krbl Limited</t>
        </is>
      </c>
      <c r="E111" s="31" t="inlineStr">
        <is>
          <t>fmcg</t>
        </is>
      </c>
      <c r="F111" s="31" t="inlineStr">
        <is>
          <t>food - processing - indian</t>
        </is>
      </c>
      <c r="G111" s="31" t="inlineStr">
        <is>
          <t>midcap</t>
        </is>
      </c>
      <c r="H111" s="32" t="n">
        <v>9707.219999999999</v>
      </c>
      <c r="I111" s="32" t="n">
        <v>424.4</v>
      </c>
      <c r="J111" s="32" t="n">
        <v>0.07000000000000001</v>
      </c>
      <c r="K111" s="32" t="n">
        <v>442674</v>
      </c>
      <c r="L111" s="31" t="n">
        <v>23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64.23</v>
      </c>
      <c r="P111" s="32" t="n">
        <v>12.5</v>
      </c>
      <c r="Q111" s="32" t="n">
        <v>354.38</v>
      </c>
      <c r="R111" s="31" t="inlineStr">
        <is>
          <t>Near 52W High Breakout</t>
        </is>
      </c>
      <c r="S111" s="31" t="inlineStr">
        <is>
          <t>Nifty FMCG</t>
        </is>
      </c>
      <c r="T111" s="32" t="n">
        <v>-15.28</v>
      </c>
      <c r="U111" s="32" t="n">
        <v>9.73</v>
      </c>
      <c r="V111" s="32" t="n">
        <v>29.52</v>
      </c>
      <c r="W111" s="32" t="n">
        <v>6.07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B2C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0 to 20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IF(B112=0,"",RANK(B112,$B$2:$B$326,0))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E2E</t>
        </is>
      </c>
      <c r="D112" s="31" t="inlineStr">
        <is>
          <t>E2E Networks Ltd</t>
        </is>
      </c>
      <c r="E112" s="31" t="inlineStr">
        <is>
          <t>i.t</t>
        </is>
      </c>
      <c r="F112" s="31" t="inlineStr">
        <is>
          <t>computers - software - medium / small</t>
        </is>
      </c>
      <c r="G112" s="31" t="inlineStr">
        <is>
          <t>midcap</t>
        </is>
      </c>
      <c r="H112" s="32" t="n">
        <v>12763.52</v>
      </c>
      <c r="I112" s="32" t="n">
        <v>608.45</v>
      </c>
      <c r="J112" s="32" t="n">
        <v>-2.01</v>
      </c>
      <c r="K112" s="32" t="n">
        <v>626317</v>
      </c>
      <c r="L112" s="31" t="n">
        <v>86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70.45999999999999</v>
      </c>
      <c r="P112" s="32" t="n">
        <v>52</v>
      </c>
      <c r="Q112" s="32" t="n">
        <v>476.71</v>
      </c>
      <c r="R112" s="31" t="inlineStr">
        <is>
          <t>Earnings / Momentum Support</t>
        </is>
      </c>
      <c r="S112" s="31" t="inlineStr">
        <is>
          <t>Nifty IT</t>
        </is>
      </c>
      <c r="T112" s="32" t="n">
        <v>-10.2</v>
      </c>
      <c r="U112" s="32" t="n">
        <v>109.81</v>
      </c>
      <c r="V112" s="32" t="n">
        <v>133.64</v>
      </c>
      <c r="W112" s="32" t="n">
        <v>29.35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IF(B113=0,"",RANK(B113,$B$2:$B$326,0))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AEGISVOPAK</t>
        </is>
      </c>
      <c r="D113" s="31" t="inlineStr">
        <is>
          <t>Aegis Vopak Terminals Ltd</t>
        </is>
      </c>
      <c r="E113" s="31" t="inlineStr">
        <is>
          <t>transportation</t>
        </is>
      </c>
      <c r="F113" s="31" t="inlineStr">
        <is>
          <t>miscellaneous</t>
        </is>
      </c>
      <c r="G113" s="31" t="inlineStr">
        <is>
          <t>largecap</t>
        </is>
      </c>
      <c r="H113" s="32" t="n">
        <v>29926.85</v>
      </c>
      <c r="I113" s="32" t="n">
        <v>286.3</v>
      </c>
      <c r="J113" s="32" t="n">
        <v>6</v>
      </c>
      <c r="K113" s="32" t="n">
        <v>3128778</v>
      </c>
      <c r="L113" s="31" t="n">
        <v>58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60.86</v>
      </c>
      <c r="P113" s="32" t="n">
        <v>40.17</v>
      </c>
      <c r="Q113" s="32" t="n">
        <v>214.61</v>
      </c>
      <c r="R113" s="31" t="inlineStr">
        <is>
          <t>Near 52W High Breakout</t>
        </is>
      </c>
      <c r="S113" s="31" t="inlineStr">
        <is>
          <t>Nifty 50</t>
        </is>
      </c>
      <c r="T113" s="32" t="n">
        <v>-3.34</v>
      </c>
      <c r="U113" s="32" t="n">
        <v>20.86</v>
      </c>
      <c r="V113" s="32" t="n">
        <v>25.04</v>
      </c>
      <c r="W113" s="32" t="n">
        <v>16.59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Between 0.7 to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IF(B114=0,"",RANK(B114,$B$2:$B$326,0))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UNIVASTU</t>
        </is>
      </c>
      <c r="D114" s="31" t="inlineStr">
        <is>
          <t>Univastu India Ltd</t>
        </is>
      </c>
      <c r="E114" s="31" t="inlineStr">
        <is>
          <t>realty</t>
        </is>
      </c>
      <c r="F114" s="31" t="inlineStr">
        <is>
          <t>construction</t>
        </is>
      </c>
      <c r="G114" s="31" t="inlineStr">
        <is>
          <t>smallcap</t>
        </is>
      </c>
      <c r="H114" s="32" t="n">
        <v>578.42</v>
      </c>
      <c r="I114" s="32" t="n">
        <v>160.7</v>
      </c>
      <c r="J114" s="32" t="n">
        <v>4.99</v>
      </c>
      <c r="K114" s="32" t="n">
        <v>203175</v>
      </c>
      <c r="L114" s="31" t="n">
        <v>95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79.41</v>
      </c>
      <c r="P114" s="32" t="n">
        <v>74.79000000000001</v>
      </c>
      <c r="Q114" s="32" t="n">
        <v>129.66</v>
      </c>
      <c r="R114" s="31" t="inlineStr">
        <is>
          <t>Earnings / Momentum Support</t>
        </is>
      </c>
      <c r="S114" s="31" t="inlineStr">
        <is>
          <t>Nifty Realty</t>
        </is>
      </c>
      <c r="T114" s="32" t="n">
        <v>-6.04</v>
      </c>
      <c r="U114" s="32" t="n">
        <v>78.81</v>
      </c>
      <c r="V114" s="32" t="n">
        <v>90.31999999999999</v>
      </c>
      <c r="W114" s="32" t="n">
        <v>48.9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Above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IF(B115=0,"",RANK(B115,$B$2:$B$326,0))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MOLDTECH</t>
        </is>
      </c>
      <c r="D115" s="31" t="inlineStr">
        <is>
          <t>Mold-tek Technologies Limited</t>
        </is>
      </c>
      <c r="E115" s="31" t="inlineStr">
        <is>
          <t>realty</t>
        </is>
      </c>
      <c r="F115" s="31" t="inlineStr">
        <is>
          <t>engineering - turnkey services</t>
        </is>
      </c>
      <c r="G115" s="31" t="inlineStr">
        <is>
          <t>smallcap</t>
        </is>
      </c>
      <c r="H115" s="32" t="n">
        <v>555.25</v>
      </c>
      <c r="I115" s="32" t="n">
        <v>202.38</v>
      </c>
      <c r="J115" s="32" t="n">
        <v>4.99</v>
      </c>
      <c r="K115" s="32" t="n">
        <v>135934</v>
      </c>
      <c r="L115" s="31" t="n">
        <v>74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73.25</v>
      </c>
      <c r="P115" s="32" t="n">
        <v>36.71</v>
      </c>
      <c r="Q115" s="32" t="n">
        <v>149.16</v>
      </c>
      <c r="R115" s="31" t="inlineStr">
        <is>
          <t>Near 52W High Breakout</t>
        </is>
      </c>
      <c r="S115" s="31" t="inlineStr">
        <is>
          <t>Nifty Realty</t>
        </is>
      </c>
      <c r="T115" s="32" t="n">
        <v>-6.04</v>
      </c>
      <c r="U115" s="32" t="n">
        <v>34.62</v>
      </c>
      <c r="V115" s="32" t="n">
        <v>43.28</v>
      </c>
      <c r="W115" s="32" t="n">
        <v>21.87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IF(B116=0,"",RANK(B116,$B$2:$B$326,0))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CHENNPETRO</t>
        </is>
      </c>
      <c r="D116" s="31" t="inlineStr">
        <is>
          <t>Chennai Petroleum Corporation Limited</t>
        </is>
      </c>
      <c r="E116" s="31" t="inlineStr">
        <is>
          <t>energy</t>
        </is>
      </c>
      <c r="F116" s="31" t="inlineStr">
        <is>
          <t>refineries</t>
        </is>
      </c>
      <c r="G116" s="31" t="inlineStr">
        <is>
          <t>largecap</t>
        </is>
      </c>
      <c r="H116" s="32" t="n">
        <v>20654.01</v>
      </c>
      <c r="I116" s="32" t="n">
        <v>1414</v>
      </c>
      <c r="J116" s="32" t="n">
        <v>1.95</v>
      </c>
      <c r="K116" s="32" t="n">
        <v>1672746</v>
      </c>
      <c r="L116" s="31" t="n">
        <v>83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72.69</v>
      </c>
      <c r="P116" s="32" t="n">
        <v>56.38</v>
      </c>
      <c r="Q116" s="32" t="n">
        <v>1052.88</v>
      </c>
      <c r="R116" s="31" t="inlineStr">
        <is>
          <t>Near 52W High Breakout</t>
        </is>
      </c>
      <c r="S116" s="31" t="inlineStr">
        <is>
          <t>Nifty Energy</t>
        </is>
      </c>
      <c r="T116" s="32" t="n">
        <v>7.88</v>
      </c>
      <c r="U116" s="32" t="n">
        <v>117.91</v>
      </c>
      <c r="V116" s="32" t="n">
        <v>101.99</v>
      </c>
      <c r="W116" s="32" t="n">
        <v>26.24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Oligopoly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Yes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Cyclical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Volatile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IF(B117=0,"",RANK(B117,$B$2:$B$326,0))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KENNAMET</t>
        </is>
      </c>
      <c r="D117" s="31" t="inlineStr">
        <is>
          <t>Kennametal India Ltd</t>
        </is>
      </c>
      <c r="E117" s="31" t="inlineStr">
        <is>
          <t>industrials</t>
        </is>
      </c>
      <c r="F117" s="31" t="inlineStr">
        <is>
          <t>castings &amp; forgings</t>
        </is>
      </c>
      <c r="G117" s="31" t="inlineStr">
        <is>
          <t>midcap</t>
        </is>
      </c>
      <c r="H117" s="32" t="n">
        <v>10018.12</v>
      </c>
      <c r="I117" s="32" t="n">
        <v>4643.1</v>
      </c>
      <c r="J117" s="32" t="n">
        <v>1.86</v>
      </c>
      <c r="K117" s="32" t="n">
        <v>35878</v>
      </c>
      <c r="L117" s="31" t="n">
        <v>88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85.06</v>
      </c>
      <c r="P117" s="32" t="n">
        <v>47.04</v>
      </c>
      <c r="Q117" s="32" t="n">
        <v>3660.58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-3.34</v>
      </c>
      <c r="U117" s="32" t="n">
        <v>116.68</v>
      </c>
      <c r="V117" s="32" t="n">
        <v>124.17</v>
      </c>
      <c r="W117" s="32" t="n">
        <v>31.31</v>
      </c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Above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IF(B118=0,"",RANK(B118,$B$2:$B$326,0))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GANDHAR</t>
        </is>
      </c>
      <c r="D118" s="31" t="inlineStr">
        <is>
          <t>Gandhar Oil Refinery (India) Ltd</t>
        </is>
      </c>
      <c r="E118" s="31" t="inlineStr">
        <is>
          <t>energy</t>
        </is>
      </c>
      <c r="F118" s="31" t="inlineStr">
        <is>
          <t>refineries</t>
        </is>
      </c>
      <c r="G118" s="31" t="inlineStr">
        <is>
          <t>smallcap</t>
        </is>
      </c>
      <c r="H118" s="32" t="n">
        <v>2562.49</v>
      </c>
      <c r="I118" s="32" t="n">
        <v>265.95</v>
      </c>
      <c r="J118" s="32" t="n">
        <v>1.59</v>
      </c>
      <c r="K118" s="32" t="n">
        <v>1018241</v>
      </c>
      <c r="L118" s="31" t="n">
        <v>89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69.73</v>
      </c>
      <c r="P118" s="32" t="n">
        <v>70.7</v>
      </c>
      <c r="Q118" s="32" t="n">
        <v>213.87</v>
      </c>
      <c r="R118" s="31" t="inlineStr">
        <is>
          <t>Near 52W High Breakout</t>
        </is>
      </c>
      <c r="S118" s="31" t="inlineStr">
        <is>
          <t>Nifty Energy</t>
        </is>
      </c>
      <c r="T118" s="32" t="n">
        <v>7.88</v>
      </c>
      <c r="U118" s="32" t="n">
        <v>61.61</v>
      </c>
      <c r="V118" s="32" t="n">
        <v>49.81</v>
      </c>
      <c r="W118" s="32" t="n">
        <v>35.4</v>
      </c>
      <c r="X118" s="31" t="inlineStr">
        <is>
          <t>Cyclical in an Upturn</t>
        </is>
      </c>
      <c r="Y118" s="31">
        <f>IF(X118="Growing Industry",10,IF(X118="Cyclical in an Upturn",5,0))</f>
        <v/>
      </c>
      <c r="Z118" s="31" t="inlineStr">
        <is>
          <t>Oligopoly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Cyclical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Volatile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IF(B119=0,"",RANK(B119,$B$2:$B$326,0))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SOMANYCERA</t>
        </is>
      </c>
      <c r="D119" s="31" t="inlineStr">
        <is>
          <t>Somany Ceramics Limited</t>
        </is>
      </c>
      <c r="E119" s="31" t="inlineStr">
        <is>
          <t>building materials</t>
        </is>
      </c>
      <c r="F119" s="31" t="inlineStr">
        <is>
          <t>ceramics - tiles / sanitaryware</t>
        </is>
      </c>
      <c r="G119" s="31" t="inlineStr">
        <is>
          <t>smallcap</t>
        </is>
      </c>
      <c r="H119" s="32" t="n">
        <v>2309.64</v>
      </c>
      <c r="I119" s="32" t="n">
        <v>570.1</v>
      </c>
      <c r="J119" s="32" t="n">
        <v>1.23</v>
      </c>
      <c r="K119" s="32" t="n">
        <v>180890</v>
      </c>
      <c r="L119" s="31" t="n">
        <v>30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67.47</v>
      </c>
      <c r="P119" s="32" t="n">
        <v>31.79</v>
      </c>
      <c r="Q119" s="32" t="n">
        <v>450.28</v>
      </c>
      <c r="R119" s="31" t="inlineStr">
        <is>
          <t>Near 52W High Breakout</t>
        </is>
      </c>
      <c r="S119" s="31" t="inlineStr">
        <is>
          <t>Nifty Infra</t>
        </is>
      </c>
      <c r="T119" s="32" t="n">
        <v>1.61</v>
      </c>
      <c r="U119" s="32" t="n">
        <v>8.25</v>
      </c>
      <c r="V119" s="32" t="n">
        <v>6.54</v>
      </c>
      <c r="W119" s="32" t="n">
        <v>7.56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IF(B120=0,"",RANK(B120,$B$2:$B$326,0))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WELSPUNLIV</t>
        </is>
      </c>
      <c r="D120" s="31" t="inlineStr">
        <is>
          <t>Welspun Living Ltd</t>
        </is>
      </c>
      <c r="E120" s="31" t="inlineStr">
        <is>
          <t>textiles</t>
        </is>
      </c>
      <c r="F120" s="31" t="inlineStr">
        <is>
          <t>textiles - products</t>
        </is>
      </c>
      <c r="G120" s="31" t="inlineStr">
        <is>
          <t>midcap</t>
        </is>
      </c>
      <c r="H120" s="32" t="n">
        <v>18744.83</v>
      </c>
      <c r="I120" s="32" t="n">
        <v>200.01</v>
      </c>
      <c r="J120" s="32" t="n">
        <v>0.8100000000000001</v>
      </c>
      <c r="K120" s="32" t="n">
        <v>3448721</v>
      </c>
      <c r="L120" s="31" t="n">
        <v>73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76.8</v>
      </c>
      <c r="P120" s="32" t="n">
        <v>38.08</v>
      </c>
      <c r="Q120" s="32" t="n">
        <v>159.66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-3.34</v>
      </c>
      <c r="U120" s="32" t="n">
        <v>75.52</v>
      </c>
      <c r="V120" s="32" t="n">
        <v>81.59</v>
      </c>
      <c r="W120" s="32" t="n">
        <v>21.21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Above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IF(B121=0,"",RANK(B121,$B$2:$B$326,0))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RGL</t>
        </is>
      </c>
      <c r="D121" s="31" t="inlineStr">
        <is>
          <t>Renaissance Global Ltd</t>
        </is>
      </c>
      <c r="E121" s="31" t="inlineStr">
        <is>
          <t>consumer discretionary</t>
        </is>
      </c>
      <c r="F121" s="31" t="inlineStr">
        <is>
          <t>diamond cutting / jewellery</t>
        </is>
      </c>
      <c r="G121" s="31" t="inlineStr">
        <is>
          <t>smallcap</t>
        </is>
      </c>
      <c r="H121" s="32" t="n">
        <v>1470.52</v>
      </c>
      <c r="I121" s="32" t="n">
        <v>137.79</v>
      </c>
      <c r="J121" s="32" t="n">
        <v>0.61</v>
      </c>
      <c r="K121" s="32" t="n">
        <v>523746</v>
      </c>
      <c r="L121" s="31" t="n">
        <v>48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66.27</v>
      </c>
      <c r="P121" s="32" t="n">
        <v>21.48</v>
      </c>
      <c r="Q121" s="32" t="n">
        <v>102.81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-3.34</v>
      </c>
      <c r="U121" s="32" t="n">
        <v>21.74</v>
      </c>
      <c r="V121" s="32" t="n">
        <v>25.95</v>
      </c>
      <c r="W121" s="32" t="n">
        <v>12.69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IF(B122=0,"",RANK(B122,$B$2:$B$326,0))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PGIL</t>
        </is>
      </c>
      <c r="D122" s="31" t="inlineStr">
        <is>
          <t>Pearl Global Industries Limited</t>
        </is>
      </c>
      <c r="E122" s="31" t="inlineStr">
        <is>
          <t>consumer discretionary</t>
        </is>
      </c>
      <c r="F122" s="31" t="inlineStr">
        <is>
          <t>textiles - products</t>
        </is>
      </c>
      <c r="G122" s="31" t="inlineStr">
        <is>
          <t>midcap</t>
        </is>
      </c>
      <c r="H122" s="32" t="n">
        <v>10844.03</v>
      </c>
      <c r="I122" s="32" t="n">
        <v>2361.6</v>
      </c>
      <c r="J122" s="32" t="n">
        <v>0.58</v>
      </c>
      <c r="K122" s="32" t="n">
        <v>74186</v>
      </c>
      <c r="L122" s="31" t="n">
        <v>80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68.18000000000001</v>
      </c>
      <c r="P122" s="32" t="n">
        <v>57.93</v>
      </c>
      <c r="Q122" s="32" t="n">
        <v>1941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-3.34</v>
      </c>
      <c r="U122" s="32" t="n">
        <v>97.92</v>
      </c>
      <c r="V122" s="32" t="n">
        <v>104.76</v>
      </c>
      <c r="W122" s="32" t="n">
        <v>24.42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IF(B123=0,"",RANK(B123,$B$2:$B$326,0))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3" t="inlineStr">
        <is>
          <t>COSMOFIRST</t>
        </is>
      </c>
      <c r="D123" s="33" t="inlineStr">
        <is>
          <t>Cosmo First Ltd</t>
        </is>
      </c>
      <c r="E123" s="31" t="inlineStr">
        <is>
          <t>industrials</t>
        </is>
      </c>
      <c r="F123" s="31" t="inlineStr">
        <is>
          <t>packaging</t>
        </is>
      </c>
      <c r="G123" s="31" t="inlineStr">
        <is>
          <t>smallcap</t>
        </is>
      </c>
      <c r="H123" s="32" t="n">
        <v>2492.81</v>
      </c>
      <c r="I123" s="32" t="n">
        <v>952.85</v>
      </c>
      <c r="J123" s="32" t="n">
        <v>0.34</v>
      </c>
      <c r="K123" s="32" t="n">
        <v>136691</v>
      </c>
      <c r="L123" s="31" t="n">
        <v>34</v>
      </c>
      <c r="M123" s="31" t="inlineStr">
        <is>
          <t>Underperforming</t>
        </is>
      </c>
      <c r="N123" s="32">
        <f>IF(M123="Underperforming",-5,IF(L123&gt;=95,15,IF(L123&gt;=90,10,IF(L123&gt;=80,5,0))))</f>
        <v/>
      </c>
      <c r="O123" s="32" t="n">
        <v>68.42</v>
      </c>
      <c r="P123" s="32" t="n">
        <v>48.7</v>
      </c>
      <c r="Q123" s="32" t="n">
        <v>738.6</v>
      </c>
      <c r="R123" s="31" t="inlineStr">
        <is>
          <t>Near 52W High Breakout</t>
        </is>
      </c>
      <c r="S123" s="31" t="inlineStr">
        <is>
          <t>Nifty Infra</t>
        </is>
      </c>
      <c r="T123" s="32" t="n">
        <v>1.61</v>
      </c>
      <c r="U123" s="32" t="n">
        <v>-10.81</v>
      </c>
      <c r="V123" s="32" t="n">
        <v>-12.22</v>
      </c>
      <c r="W123" s="32" t="n">
        <v>8.48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Between 0.7 to 1.2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IF(B124=0,"",RANK(B124,$B$2:$B$326,0))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KAPSTON</t>
        </is>
      </c>
      <c r="D124" s="31" t="inlineStr">
        <is>
          <t>Kapston Services Ltd</t>
        </is>
      </c>
      <c r="E124" s="31" t="inlineStr">
        <is>
          <t>miscellaneous</t>
        </is>
      </c>
      <c r="F124" s="31" t="inlineStr">
        <is>
          <t>miscellaneous</t>
        </is>
      </c>
      <c r="G124" s="31" t="inlineStr">
        <is>
          <t>smallcap</t>
        </is>
      </c>
      <c r="H124" s="32" t="n">
        <v>1741.63</v>
      </c>
      <c r="I124" s="32" t="n">
        <v>573.75</v>
      </c>
      <c r="J124" s="32" t="n">
        <v>0.25</v>
      </c>
      <c r="K124" s="32" t="n">
        <v>47094</v>
      </c>
      <c r="L124" s="31" t="n">
        <v>90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73.69</v>
      </c>
      <c r="P124" s="32" t="n">
        <v>36.42</v>
      </c>
      <c r="Q124" s="32" t="n">
        <v>448.67</v>
      </c>
      <c r="R124" s="31" t="inlineStr">
        <is>
          <t>Near 52W High Breakout</t>
        </is>
      </c>
      <c r="S124" s="31" t="inlineStr">
        <is>
          <t>Nifty 50</t>
        </is>
      </c>
      <c r="T124" s="32" t="n">
        <v>-3.34</v>
      </c>
      <c r="U124" s="32" t="n">
        <v>136.63</v>
      </c>
      <c r="V124" s="32" t="n">
        <v>144.81</v>
      </c>
      <c r="W124" s="32" t="n">
        <v>35.6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More than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IF(B125=0,"",RANK(B125,$B$2:$B$326,0))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INDIGOPNTS</t>
        </is>
      </c>
      <c r="D125" s="31" t="inlineStr">
        <is>
          <t>Indigo Paints Ltd</t>
        </is>
      </c>
      <c r="E125" s="31" t="inlineStr">
        <is>
          <t>building materials</t>
        </is>
      </c>
      <c r="F125" s="31" t="inlineStr">
        <is>
          <t>paints / varnishes</t>
        </is>
      </c>
      <c r="G125" s="31" t="inlineStr">
        <is>
          <t>midcap</t>
        </is>
      </c>
      <c r="H125" s="32" t="n">
        <v>5589.49</v>
      </c>
      <c r="I125" s="32" t="n">
        <v>1171</v>
      </c>
      <c r="J125" s="32" t="n">
        <v>-0.12</v>
      </c>
      <c r="K125" s="32" t="n">
        <v>106322</v>
      </c>
      <c r="L125" s="31" t="n">
        <v>37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66.87</v>
      </c>
      <c r="P125" s="32" t="n">
        <v>21.8</v>
      </c>
      <c r="Q125" s="32" t="n">
        <v>936.48</v>
      </c>
      <c r="R125" s="31" t="inlineStr">
        <is>
          <t>Earnings / Momentum Support</t>
        </is>
      </c>
      <c r="S125" s="31" t="inlineStr">
        <is>
          <t>Nifty Infra</t>
        </is>
      </c>
      <c r="T125" s="32" t="n">
        <v>1.61</v>
      </c>
      <c r="U125" s="32" t="n">
        <v>3</v>
      </c>
      <c r="V125" s="32" t="n">
        <v>1.37</v>
      </c>
      <c r="W125" s="32" t="n">
        <v>9.34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IF(B126=0,"",RANK(B126,$B$2:$B$326,0))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NAZARA</t>
        </is>
      </c>
      <c r="D126" s="31" t="inlineStr">
        <is>
          <t>Nazara Technologies Ltd</t>
        </is>
      </c>
      <c r="E126" s="31" t="inlineStr">
        <is>
          <t>i.t</t>
        </is>
      </c>
      <c r="F126" s="31" t="inlineStr">
        <is>
          <t>telecommunications - service provider</t>
        </is>
      </c>
      <c r="G126" s="31" t="inlineStr">
        <is>
          <t>midcap</t>
        </is>
      </c>
      <c r="H126" s="32" t="n">
        <v>14143.35</v>
      </c>
      <c r="I126" s="32" t="n">
        <v>366</v>
      </c>
      <c r="J126" s="32" t="n">
        <v>-0.45</v>
      </c>
      <c r="K126" s="32" t="n">
        <v>851024</v>
      </c>
      <c r="L126" s="31" t="n">
        <v>51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71.34</v>
      </c>
      <c r="P126" s="32" t="n">
        <v>26.59</v>
      </c>
      <c r="Q126" s="32" t="n">
        <v>306.02</v>
      </c>
      <c r="R126" s="31" t="inlineStr">
        <is>
          <t>Near 52W High Breakout</t>
        </is>
      </c>
      <c r="S126" s="31" t="inlineStr">
        <is>
          <t>Nifty IT</t>
        </is>
      </c>
      <c r="T126" s="32" t="n">
        <v>-10.2</v>
      </c>
      <c r="U126" s="32" t="n">
        <v>32.69</v>
      </c>
      <c r="V126" s="32" t="n">
        <v>47.77</v>
      </c>
      <c r="W126" s="32" t="n">
        <v>13.9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Oligopoly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IF(B127=0,"",RANK(B127,$B$2:$B$326,0))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PAYTM</t>
        </is>
      </c>
      <c r="D127" s="31" t="inlineStr">
        <is>
          <t>One 97 Communications Ltd</t>
        </is>
      </c>
      <c r="E127" s="31" t="inlineStr">
        <is>
          <t>i.t</t>
        </is>
      </c>
      <c r="F127" s="31" t="inlineStr">
        <is>
          <t>miscellaneous</t>
        </is>
      </c>
      <c r="G127" s="31" t="inlineStr">
        <is>
          <t>largecap</t>
        </is>
      </c>
      <c r="H127" s="32" t="n">
        <v>104599.05</v>
      </c>
      <c r="I127" s="32" t="n">
        <v>1619</v>
      </c>
      <c r="J127" s="32" t="n">
        <v>-0.89</v>
      </c>
      <c r="K127" s="32" t="n">
        <v>3008191</v>
      </c>
      <c r="L127" s="31" t="n">
        <v>64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71.91</v>
      </c>
      <c r="P127" s="32" t="n">
        <v>25.91</v>
      </c>
      <c r="Q127" s="32" t="n">
        <v>1322.18</v>
      </c>
      <c r="R127" s="31" t="inlineStr">
        <is>
          <t>Near 52W High Breakout</t>
        </is>
      </c>
      <c r="S127" s="31" t="inlineStr">
        <is>
          <t>Nifty IT</t>
        </is>
      </c>
      <c r="T127" s="32" t="n">
        <v>-10.2</v>
      </c>
      <c r="U127" s="32" t="n">
        <v>29.03</v>
      </c>
      <c r="V127" s="32" t="n">
        <v>43.69</v>
      </c>
      <c r="W127" s="32" t="n">
        <v>18.19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IF(B128=0,"",RANK(B128,$B$2:$B$326,0))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THELEELA</t>
        </is>
      </c>
      <c r="D128" s="31" t="inlineStr">
        <is>
          <t>Leela Palaces Hotels &amp; Resorts Ltd</t>
        </is>
      </c>
      <c r="E128" s="31" t="inlineStr">
        <is>
          <t>services</t>
        </is>
      </c>
      <c r="F128" s="31" t="inlineStr">
        <is>
          <t>hotels</t>
        </is>
      </c>
      <c r="G128" s="31" t="inlineStr">
        <is>
          <t>midcap</t>
        </is>
      </c>
      <c r="H128" s="32" t="n">
        <v>19214.27</v>
      </c>
      <c r="I128" s="32" t="n">
        <v>569.9</v>
      </c>
      <c r="J128" s="32" t="n">
        <v>-0.95</v>
      </c>
      <c r="K128" s="32" t="n">
        <v>151712</v>
      </c>
      <c r="L128" s="31" t="n">
        <v>53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70.87</v>
      </c>
      <c r="P128" s="32" t="n">
        <v>37.61</v>
      </c>
      <c r="Q128" s="32" t="n">
        <v>466.61</v>
      </c>
      <c r="R128" s="31" t="inlineStr">
        <is>
          <t>Near 52W High Breakout</t>
        </is>
      </c>
      <c r="S128" s="31" t="inlineStr">
        <is>
          <t>Nifty 50</t>
        </is>
      </c>
      <c r="T128" s="32" t="n">
        <v>-3.34</v>
      </c>
      <c r="U128" s="32" t="n">
        <v>38.73</v>
      </c>
      <c r="V128" s="32" t="n">
        <v>43.52</v>
      </c>
      <c r="W128" s="32" t="n">
        <v>14.87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IF(B129=0,"",RANK(B129,$B$2:$B$326,0))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DYCL</t>
        </is>
      </c>
      <c r="D129" s="31" t="inlineStr">
        <is>
          <t>Dynamic Cables Ltd</t>
        </is>
      </c>
      <c r="E129" s="31" t="inlineStr">
        <is>
          <t>industrials</t>
        </is>
      </c>
      <c r="F129" s="31" t="inlineStr">
        <is>
          <t>cables - power</t>
        </is>
      </c>
      <c r="G129" s="31" t="inlineStr">
        <is>
          <t>smallcap</t>
        </is>
      </c>
      <c r="H129" s="32" t="n">
        <v>2628.4</v>
      </c>
      <c r="I129" s="32" t="n">
        <v>535.55</v>
      </c>
      <c r="J129" s="32" t="n">
        <v>-1.26</v>
      </c>
      <c r="K129" s="32" t="n">
        <v>1090048</v>
      </c>
      <c r="L129" s="31" t="n">
        <v>68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75.51000000000001</v>
      </c>
      <c r="P129" s="32" t="n">
        <v>32.63</v>
      </c>
      <c r="Q129" s="32" t="n">
        <v>392.8</v>
      </c>
      <c r="R129" s="31" t="inlineStr">
        <is>
          <t>Volume Spike &amp; Near 52W High Breakout</t>
        </is>
      </c>
      <c r="S129" s="31" t="inlineStr">
        <is>
          <t>Nifty Energy</t>
        </is>
      </c>
      <c r="T129" s="32" t="n">
        <v>7.88</v>
      </c>
      <c r="U129" s="32" t="n">
        <v>31.17</v>
      </c>
      <c r="V129" s="32" t="n">
        <v>21.59</v>
      </c>
      <c r="W129" s="32" t="n">
        <v>19.28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IF(B130=0,"",RANK(B130,$B$2:$B$326,0))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ACMESOLAR</t>
        </is>
      </c>
      <c r="D130" s="31" t="inlineStr">
        <is>
          <t>ACME Solar Holdings Ltd</t>
        </is>
      </c>
      <c r="E130" s="31" t="inlineStr">
        <is>
          <t>realty</t>
        </is>
      </c>
      <c r="F130" s="31" t="inlineStr">
        <is>
          <t>engineering - turnkey services</t>
        </is>
      </c>
      <c r="G130" s="31" t="inlineStr">
        <is>
          <t>largecap</t>
        </is>
      </c>
      <c r="H130" s="32" t="n">
        <v>28536.52</v>
      </c>
      <c r="I130" s="32" t="n">
        <v>398.25</v>
      </c>
      <c r="J130" s="32" t="n">
        <v>-1.35</v>
      </c>
      <c r="K130" s="32" t="n">
        <v>2449655</v>
      </c>
      <c r="L130" s="31" t="n">
        <v>63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68.54000000000001</v>
      </c>
      <c r="P130" s="32" t="n">
        <v>46.52</v>
      </c>
      <c r="Q130" s="32" t="n">
        <v>312.36</v>
      </c>
      <c r="R130" s="31" t="inlineStr">
        <is>
          <t>Near 52W High Breakout</t>
        </is>
      </c>
      <c r="S130" s="31" t="inlineStr">
        <is>
          <t>Nifty Realty</t>
        </is>
      </c>
      <c r="T130" s="32" t="n">
        <v>-6.04</v>
      </c>
      <c r="U130" s="32" t="n">
        <v>47.38</v>
      </c>
      <c r="V130" s="32" t="n">
        <v>56.86</v>
      </c>
      <c r="W130" s="32" t="n">
        <v>17.89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More than 1.2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IF(B131=0,"",RANK(B131,$B$2:$B$326,0))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MACPOWER</t>
        </is>
      </c>
      <c r="D131" s="31" t="inlineStr">
        <is>
          <t>Macpower CNC Machines Ltd</t>
        </is>
      </c>
      <c r="E131" s="31" t="inlineStr">
        <is>
          <t>industrials</t>
        </is>
      </c>
      <c r="F131" s="31" t="inlineStr">
        <is>
          <t>engineering</t>
        </is>
      </c>
      <c r="G131" s="31" t="inlineStr">
        <is>
          <t>smallcap</t>
        </is>
      </c>
      <c r="H131" s="32" t="n">
        <v>1912.1</v>
      </c>
      <c r="I131" s="32" t="n">
        <v>1883.6</v>
      </c>
      <c r="J131" s="32" t="n">
        <v>-1.45</v>
      </c>
      <c r="K131" s="32" t="n">
        <v>30923</v>
      </c>
      <c r="L131" s="31" t="n">
        <v>91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72.34</v>
      </c>
      <c r="P131" s="32" t="n">
        <v>40.15</v>
      </c>
      <c r="Q131" s="32" t="n">
        <v>1469.18</v>
      </c>
      <c r="R131" s="31" t="inlineStr">
        <is>
          <t>Earnings / Momentum Support</t>
        </is>
      </c>
      <c r="S131" s="31" t="inlineStr">
        <is>
          <t>Nifty 50</t>
        </is>
      </c>
      <c r="T131" s="32" t="n">
        <v>-3.34</v>
      </c>
      <c r="U131" s="32" t="n">
        <v>131.55</v>
      </c>
      <c r="V131" s="32" t="n">
        <v>139.55</v>
      </c>
      <c r="W131" s="32" t="n">
        <v>39.4</v>
      </c>
      <c r="X131" s="31" t="inlineStr">
        <is>
          <t>Cyclical in an Upturn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IF(B132=0,"",RANK(B132,$B$2:$B$326,0))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JKPAPER</t>
        </is>
      </c>
      <c r="D132" s="31" t="inlineStr">
        <is>
          <t>Jk Paper Limited</t>
        </is>
      </c>
      <c r="E132" s="31" t="inlineStr">
        <is>
          <t>building materials</t>
        </is>
      </c>
      <c r="F132" s="31" t="inlineStr">
        <is>
          <t>paper</t>
        </is>
      </c>
      <c r="G132" s="31" t="inlineStr">
        <is>
          <t>midcap</t>
        </is>
      </c>
      <c r="H132" s="32" t="n">
        <v>7271.79</v>
      </c>
      <c r="I132" s="32" t="n">
        <v>395.2</v>
      </c>
      <c r="J132" s="32" t="n">
        <v>-1.46</v>
      </c>
      <c r="K132" s="32" t="n">
        <v>776388</v>
      </c>
      <c r="L132" s="31" t="n">
        <v>17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61.03</v>
      </c>
      <c r="P132" s="32" t="n">
        <v>29.12</v>
      </c>
      <c r="Q132" s="32" t="n">
        <v>319.91</v>
      </c>
      <c r="R132" s="31" t="inlineStr">
        <is>
          <t>Earnings / Momentum Support</t>
        </is>
      </c>
      <c r="S132" s="31" t="inlineStr">
        <is>
          <t>Nifty Infra</t>
        </is>
      </c>
      <c r="T132" s="32" t="n">
        <v>1.61</v>
      </c>
      <c r="U132" s="32" t="n">
        <v>8.25</v>
      </c>
      <c r="V132" s="32" t="n">
        <v>6.54</v>
      </c>
      <c r="W132" s="32" t="n">
        <v>3.95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IF(B133=0,"",RANK(B133,$B$2:$B$326,0))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MUNJALAU</t>
        </is>
      </c>
      <c r="D133" s="31" t="inlineStr">
        <is>
          <t>Munjal Auto Industries Limited</t>
        </is>
      </c>
      <c r="E133" s="31" t="inlineStr">
        <is>
          <t>auto</t>
        </is>
      </c>
      <c r="F133" s="31" t="inlineStr">
        <is>
          <t>auto ancillaries</t>
        </is>
      </c>
      <c r="G133" s="31" t="inlineStr">
        <is>
          <t>smallcap</t>
        </is>
      </c>
      <c r="H133" s="32" t="n">
        <v>1154.6</v>
      </c>
      <c r="I133" s="32" t="n">
        <v>113.44</v>
      </c>
      <c r="J133" s="32" t="n">
        <v>-1.75</v>
      </c>
      <c r="K133" s="32" t="n">
        <v>386696</v>
      </c>
      <c r="L133" s="31" t="n">
        <v>69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67.54000000000001</v>
      </c>
      <c r="P133" s="32" t="n">
        <v>52.11</v>
      </c>
      <c r="Q133" s="32" t="n">
        <v>88.73999999999999</v>
      </c>
      <c r="R133" s="31" t="inlineStr">
        <is>
          <t>Earnings / Momentum Support</t>
        </is>
      </c>
      <c r="S133" s="31" t="inlineStr">
        <is>
          <t>Nifty Auto</t>
        </is>
      </c>
      <c r="T133" s="32" t="n">
        <v>17.66</v>
      </c>
      <c r="U133" s="32" t="n">
        <v>50.98</v>
      </c>
      <c r="V133" s="32" t="n">
        <v>28.32</v>
      </c>
      <c r="W133" s="32" t="n">
        <v>19.81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Between 0.7 to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IF(B134=0,"",RANK(B134,$B$2:$B$326,0))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AEROFLEX</t>
        </is>
      </c>
      <c r="D134" s="31" t="inlineStr">
        <is>
          <t>Aeroflex Industries Ltd</t>
        </is>
      </c>
      <c r="E134" s="31" t="inlineStr">
        <is>
          <t>metals &amp; mining</t>
        </is>
      </c>
      <c r="F134" s="31" t="inlineStr">
        <is>
          <t>steel - medium / small</t>
        </is>
      </c>
      <c r="G134" s="31" t="inlineStr">
        <is>
          <t>midcap</t>
        </is>
      </c>
      <c r="H134" s="32" t="n">
        <v>7305.32</v>
      </c>
      <c r="I134" s="32" t="n">
        <v>540.75</v>
      </c>
      <c r="J134" s="32" t="n">
        <v>-2.05</v>
      </c>
      <c r="K134" s="32" t="n">
        <v>1124008</v>
      </c>
      <c r="L134" s="31" t="n">
        <v>95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72.06999999999999</v>
      </c>
      <c r="P134" s="32" t="n">
        <v>62.21</v>
      </c>
      <c r="Q134" s="32" t="n">
        <v>389.6</v>
      </c>
      <c r="R134" s="31" t="inlineStr">
        <is>
          <t>Near 52W High Breakout</t>
        </is>
      </c>
      <c r="S134" s="31" t="inlineStr">
        <is>
          <t>Nifty Metal</t>
        </is>
      </c>
      <c r="T134" s="32" t="n">
        <v>39.6</v>
      </c>
      <c r="U134" s="32" t="n">
        <v>163.22</v>
      </c>
      <c r="V134" s="32" t="n">
        <v>88.56</v>
      </c>
      <c r="W134" s="32" t="n">
        <v>48.1</v>
      </c>
      <c r="X134" s="31" t="inlineStr">
        <is>
          <t>Cyclical in an Upturn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Cyclical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Volatile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IF(B135=0,"",RANK(B135,$B$2:$B$326,0))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AZAD</t>
        </is>
      </c>
      <c r="D135" s="31" t="inlineStr">
        <is>
          <t>Azad Engineering Ltd</t>
        </is>
      </c>
      <c r="E135" s="31" t="inlineStr">
        <is>
          <t>aerospace &amp; defence</t>
        </is>
      </c>
      <c r="F135" s="31" t="inlineStr">
        <is>
          <t>engineering</t>
        </is>
      </c>
      <c r="G135" s="31" t="inlineStr">
        <is>
          <t>midcap</t>
        </is>
      </c>
      <c r="H135" s="32" t="n">
        <v>18368.99</v>
      </c>
      <c r="I135" s="32" t="n">
        <v>2785.8</v>
      </c>
      <c r="J135" s="32" t="n">
        <v>-2.06</v>
      </c>
      <c r="K135" s="32" t="n">
        <v>254104</v>
      </c>
      <c r="L135" s="31" t="n">
        <v>65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68.06</v>
      </c>
      <c r="P135" s="32" t="n">
        <v>39.07</v>
      </c>
      <c r="Q135" s="32" t="n">
        <v>2206.5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-3.34</v>
      </c>
      <c r="U135" s="32" t="n">
        <v>76.62</v>
      </c>
      <c r="V135" s="32" t="n">
        <v>82.72</v>
      </c>
      <c r="W135" s="32" t="n">
        <v>18.32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IF(B136=0,"",RANK(B136,$B$2:$B$326,0))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CRAFTSMAN</t>
        </is>
      </c>
      <c r="D136" s="31" t="inlineStr">
        <is>
          <t>Craftsman Automation Ltd</t>
        </is>
      </c>
      <c r="E136" s="31" t="inlineStr">
        <is>
          <t>auto</t>
        </is>
      </c>
      <c r="F136" s="31" t="inlineStr">
        <is>
          <t>auto ancillaries</t>
        </is>
      </c>
      <c r="G136" s="31" t="inlineStr">
        <is>
          <t>largecap</t>
        </is>
      </c>
      <c r="H136" s="32" t="n">
        <v>29431.58</v>
      </c>
      <c r="I136" s="32" t="n">
        <v>10999</v>
      </c>
      <c r="J136" s="32" t="n">
        <v>-2.26</v>
      </c>
      <c r="K136" s="32" t="n">
        <v>43059</v>
      </c>
      <c r="L136" s="31" t="n">
        <v>75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71.06999999999999</v>
      </c>
      <c r="P136" s="32" t="n">
        <v>65.92</v>
      </c>
      <c r="Q136" s="32" t="n">
        <v>9102.33</v>
      </c>
      <c r="R136" s="31" t="inlineStr">
        <is>
          <t>Near 52W High Breakout</t>
        </is>
      </c>
      <c r="S136" s="31" t="inlineStr">
        <is>
          <t>Nifty Auto</t>
        </is>
      </c>
      <c r="T136" s="32" t="n">
        <v>17.66</v>
      </c>
      <c r="U136" s="32" t="n">
        <v>75.45</v>
      </c>
      <c r="V136" s="32" t="n">
        <v>49.12</v>
      </c>
      <c r="W136" s="32" t="n">
        <v>22.08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Between 0.7 to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IF(B137=0,"",RANK(B137,$B$2:$B$326,0))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PRECWIRE</t>
        </is>
      </c>
      <c r="D137" s="31" t="inlineStr">
        <is>
          <t>Precision Wires India Limited</t>
        </is>
      </c>
      <c r="E137" s="31" t="inlineStr">
        <is>
          <t>metals &amp; mining</t>
        </is>
      </c>
      <c r="F137" s="31" t="inlineStr">
        <is>
          <t>mining / minerals / metals</t>
        </is>
      </c>
      <c r="G137" s="31" t="inlineStr">
        <is>
          <t>midcap</t>
        </is>
      </c>
      <c r="H137" s="32" t="n">
        <v>9091.040000000001</v>
      </c>
      <c r="I137" s="32" t="n">
        <v>483.1</v>
      </c>
      <c r="J137" s="32" t="n">
        <v>-2.86</v>
      </c>
      <c r="K137" s="32" t="n">
        <v>604171</v>
      </c>
      <c r="L137" s="31" t="n">
        <v>87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65.63</v>
      </c>
      <c r="P137" s="32" t="n">
        <v>41.9</v>
      </c>
      <c r="Q137" s="32" t="n">
        <v>372.83</v>
      </c>
      <c r="R137" s="31" t="inlineStr">
        <is>
          <t>Near 52W High Breakout</t>
        </is>
      </c>
      <c r="S137" s="31" t="inlineStr">
        <is>
          <t>Nifty Metal</t>
        </is>
      </c>
      <c r="T137" s="32" t="n">
        <v>39.6</v>
      </c>
      <c r="U137" s="32" t="n">
        <v>166.64</v>
      </c>
      <c r="V137" s="32" t="n">
        <v>91.01000000000001</v>
      </c>
      <c r="W137" s="32" t="n">
        <v>29.48</v>
      </c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Cyclical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Volatile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IF(B138=0,"",RANK(B138,$B$2:$B$326,0))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SYNCOMF</t>
        </is>
      </c>
      <c r="D138" s="31" t="inlineStr">
        <is>
          <t>Syncom Formulations (India) Ltd</t>
        </is>
      </c>
      <c r="E138" s="31" t="inlineStr">
        <is>
          <t>healthcare</t>
        </is>
      </c>
      <c r="F138" s="31" t="inlineStr">
        <is>
          <t>pharmaceuticals - indian - bulk drugs &amp; formln</t>
        </is>
      </c>
      <c r="G138" s="31" t="inlineStr">
        <is>
          <t>smallcap</t>
        </is>
      </c>
      <c r="H138" s="32" t="n">
        <v>1886.58</v>
      </c>
      <c r="I138" s="32" t="n">
        <v>21.39</v>
      </c>
      <c r="J138" s="32" t="n">
        <v>6.58</v>
      </c>
      <c r="K138" s="32" t="n">
        <v>28986293</v>
      </c>
      <c r="L138" s="31" t="n">
        <v>59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78.36</v>
      </c>
      <c r="P138" s="32" t="n">
        <v>23.23</v>
      </c>
      <c r="Q138" s="32" t="n">
        <v>16.5</v>
      </c>
      <c r="R138" s="31" t="inlineStr">
        <is>
          <t>Volume Spike &amp; Near 52W High Breakout</t>
        </is>
      </c>
      <c r="S138" s="31" t="inlineStr">
        <is>
          <t>Nifty Pharma</t>
        </is>
      </c>
      <c r="T138" s="32" t="n">
        <v>22.15</v>
      </c>
      <c r="U138" s="32" t="n">
        <v>24.29</v>
      </c>
      <c r="V138" s="32" t="n">
        <v>1.75</v>
      </c>
      <c r="W138" s="32" t="n">
        <v>16.65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Yes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Above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IF(B139=0,"",RANK(B139,$B$2:$B$326,0))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SAILIFE</t>
        </is>
      </c>
      <c r="D139" s="31" t="inlineStr">
        <is>
          <t>Sai Life Sciences Ltd</t>
        </is>
      </c>
      <c r="E139" s="31" t="inlineStr">
        <is>
          <t>healthcare</t>
        </is>
      </c>
      <c r="F139" s="31" t="inlineStr">
        <is>
          <t>pharmaceuticals - indian - bulk drugs &amp; formln</t>
        </is>
      </c>
      <c r="G139" s="31" t="inlineStr">
        <is>
          <t>largecap</t>
        </is>
      </c>
      <c r="H139" s="32" t="n">
        <v>32227.14</v>
      </c>
      <c r="I139" s="32" t="n">
        <v>1587</v>
      </c>
      <c r="J139" s="32" t="n">
        <v>4.54</v>
      </c>
      <c r="K139" s="32" t="n">
        <v>2747154</v>
      </c>
      <c r="L139" s="31" t="n">
        <v>71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85.05</v>
      </c>
      <c r="P139" s="32" t="n">
        <v>40.82</v>
      </c>
      <c r="Q139" s="32" t="n">
        <v>1321.72</v>
      </c>
      <c r="R139" s="31" t="inlineStr">
        <is>
          <t>Volume Spike &amp; Near 52W High Breakout</t>
        </is>
      </c>
      <c r="S139" s="31" t="inlineStr">
        <is>
          <t>Nifty Pharma</t>
        </is>
      </c>
      <c r="T139" s="32" t="n">
        <v>22.15</v>
      </c>
      <c r="U139" s="32" t="n">
        <v>84.48</v>
      </c>
      <c r="V139" s="32" t="n">
        <v>51.03</v>
      </c>
      <c r="W139" s="32" t="n">
        <v>20.43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Yes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Above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IF(B140=0,"",RANK(B140,$B$2:$B$326,0))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UGARSUGAR</t>
        </is>
      </c>
      <c r="D140" s="31" t="inlineStr">
        <is>
          <t>The Ugar Sugar Works Limited</t>
        </is>
      </c>
      <c r="E140" s="31" t="inlineStr">
        <is>
          <t>fmcg</t>
        </is>
      </c>
      <c r="F140" s="31" t="inlineStr">
        <is>
          <t>sugar</t>
        </is>
      </c>
      <c r="G140" s="31" t="inlineStr">
        <is>
          <t>smallcap</t>
        </is>
      </c>
      <c r="H140" s="32" t="n">
        <v>597.9400000000001</v>
      </c>
      <c r="I140" s="32" t="n">
        <v>55.01</v>
      </c>
      <c r="J140" s="32" t="n">
        <v>3.5</v>
      </c>
      <c r="K140" s="32" t="n">
        <v>562806</v>
      </c>
      <c r="L140" s="31" t="n">
        <v>44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73.8</v>
      </c>
      <c r="P140" s="32" t="n">
        <v>24.58</v>
      </c>
      <c r="Q140" s="32" t="n">
        <v>41.75</v>
      </c>
      <c r="R140" s="31" t="inlineStr">
        <is>
          <t>Near 52W High Breakout</t>
        </is>
      </c>
      <c r="S140" s="31" t="inlineStr">
        <is>
          <t>Nifty FMCG</t>
        </is>
      </c>
      <c r="T140" s="32" t="n">
        <v>-15.28</v>
      </c>
      <c r="U140" s="32" t="n">
        <v>22.4</v>
      </c>
      <c r="V140" s="32" t="n">
        <v>44.48</v>
      </c>
      <c r="W140" s="32" t="n">
        <v>11.14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B2C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More than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IF(B141=0,"",RANK(B141,$B$2:$B$326,0))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DBOL</t>
        </is>
      </c>
      <c r="D141" s="31" t="inlineStr">
        <is>
          <t>Dhampur Bio Organics Ltd</t>
        </is>
      </c>
      <c r="E141" s="31" t="inlineStr">
        <is>
          <t>fmcg</t>
        </is>
      </c>
      <c r="F141" s="31" t="inlineStr">
        <is>
          <t>sugar</t>
        </is>
      </c>
      <c r="G141" s="31" t="inlineStr">
        <is>
          <t>smallcap</t>
        </is>
      </c>
      <c r="H141" s="32" t="n">
        <v>841.53</v>
      </c>
      <c r="I141" s="32" t="n">
        <v>128.18</v>
      </c>
      <c r="J141" s="32" t="n">
        <v>1.12</v>
      </c>
      <c r="K141" s="32" t="n">
        <v>136571</v>
      </c>
      <c r="L141" s="31" t="n">
        <v>41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62.89</v>
      </c>
      <c r="P141" s="32" t="n">
        <v>37.3</v>
      </c>
      <c r="Q141" s="32" t="n">
        <v>96.29000000000001</v>
      </c>
      <c r="R141" s="31" t="inlineStr">
        <is>
          <t>Near 52W High Breakout</t>
        </is>
      </c>
      <c r="S141" s="31" t="inlineStr">
        <is>
          <t>Nifty FMCG</t>
        </is>
      </c>
      <c r="T141" s="32" t="n">
        <v>-15.28</v>
      </c>
      <c r="U141" s="32" t="n">
        <v>47.02</v>
      </c>
      <c r="V141" s="32" t="n">
        <v>73.53</v>
      </c>
      <c r="W141" s="32" t="n">
        <v>10.61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B2C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Between 0.7 to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IF(B142=0,"",RANK(B142,$B$2:$B$326,0))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3" t="inlineStr">
        <is>
          <t>TARSONS</t>
        </is>
      </c>
      <c r="D142" s="33" t="inlineStr">
        <is>
          <t>Tarsons Products Ltd</t>
        </is>
      </c>
      <c r="E142" s="31" t="inlineStr">
        <is>
          <t>healthcare</t>
        </is>
      </c>
      <c r="F142" s="31" t="inlineStr">
        <is>
          <t>miscellaneous</t>
        </is>
      </c>
      <c r="G142" s="31" t="inlineStr">
        <is>
          <t>smallcap</t>
        </is>
      </c>
      <c r="H142" s="32" t="n">
        <v>1830.83</v>
      </c>
      <c r="I142" s="32" t="n">
        <v>345.35</v>
      </c>
      <c r="J142" s="32" t="n">
        <v>0.36</v>
      </c>
      <c r="K142" s="32" t="n">
        <v>113735</v>
      </c>
      <c r="L142" s="31" t="n">
        <v>66</v>
      </c>
      <c r="M142" s="31" t="inlineStr">
        <is>
          <t>Underperforming</t>
        </is>
      </c>
      <c r="N142" s="32">
        <f>IF(M142="Underperforming",-5,IF(L142&gt;=95,15,IF(L142&gt;=90,10,IF(L142&gt;=80,5,0))))</f>
        <v/>
      </c>
      <c r="O142" s="32" t="n">
        <v>67.59999999999999</v>
      </c>
      <c r="P142" s="32" t="n">
        <v>46.58</v>
      </c>
      <c r="Q142" s="32" t="n">
        <v>261.7</v>
      </c>
      <c r="R142" s="31" t="inlineStr">
        <is>
          <t>Near 52W High Breakout</t>
        </is>
      </c>
      <c r="S142" s="31" t="inlineStr">
        <is>
          <t>Nifty Pharma</t>
        </is>
      </c>
      <c r="T142" s="32" t="n">
        <v>22.15</v>
      </c>
      <c r="U142" s="32" t="n">
        <v>8.119999999999999</v>
      </c>
      <c r="V142" s="32" t="n">
        <v>-11.48</v>
      </c>
      <c r="W142" s="32" t="n">
        <v>18.77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Yes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IF(B143=0,"",RANK(B143,$B$2:$B$326,0))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LAURUSLABS</t>
        </is>
      </c>
      <c r="D143" s="31" t="inlineStr">
        <is>
          <t>Laurus Labs Limited</t>
        </is>
      </c>
      <c r="E143" s="31" t="inlineStr">
        <is>
          <t>healthcare</t>
        </is>
      </c>
      <c r="F143" s="31" t="inlineStr">
        <is>
          <t>pharmaceuticals - indian - bulk drugs &amp; formln</t>
        </is>
      </c>
      <c r="G143" s="31" t="inlineStr">
        <is>
          <t>largecap</t>
        </is>
      </c>
      <c r="H143" s="32" t="n">
        <v>100572.86</v>
      </c>
      <c r="I143" s="32" t="n">
        <v>1864</v>
      </c>
      <c r="J143" s="32" t="n">
        <v>0.13</v>
      </c>
      <c r="K143" s="32" t="n">
        <v>2265630</v>
      </c>
      <c r="L143" s="31" t="n">
        <v>77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75.8</v>
      </c>
      <c r="P143" s="32" t="n">
        <v>69.89</v>
      </c>
      <c r="Q143" s="32" t="n">
        <v>1656.13</v>
      </c>
      <c r="R143" s="31" t="inlineStr">
        <is>
          <t>Volume Spike &amp; Near 52W High Breakout</t>
        </is>
      </c>
      <c r="S143" s="31" t="inlineStr">
        <is>
          <t>Nifty Pharma</t>
        </is>
      </c>
      <c r="T143" s="32" t="n">
        <v>22.15</v>
      </c>
      <c r="U143" s="32" t="n">
        <v>112.05</v>
      </c>
      <c r="V143" s="32" t="n">
        <v>73.59999999999999</v>
      </c>
      <c r="W143" s="32" t="n">
        <v>23.08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Yes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Annuity, Lower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IF(B144=0,"",RANK(B144,$B$2:$B$326,0))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3" t="inlineStr">
        <is>
          <t>METROPOLIS</t>
        </is>
      </c>
      <c r="D144" s="33" t="inlineStr">
        <is>
          <t>Metropolis Healthcare Ltd</t>
        </is>
      </c>
      <c r="E144" s="31" t="inlineStr">
        <is>
          <t>healthcare</t>
        </is>
      </c>
      <c r="F144" s="31" t="inlineStr">
        <is>
          <t>healthcare</t>
        </is>
      </c>
      <c r="G144" s="31" t="inlineStr">
        <is>
          <t>midcap</t>
        </is>
      </c>
      <c r="H144" s="32" t="n">
        <v>12071.9</v>
      </c>
      <c r="I144" s="32" t="n">
        <v>582.2</v>
      </c>
      <c r="J144" s="32" t="n">
        <v>-0.01</v>
      </c>
      <c r="K144" s="32" t="n">
        <v>135132</v>
      </c>
      <c r="L144" s="31" t="n">
        <v>15</v>
      </c>
      <c r="M144" s="31" t="inlineStr">
        <is>
          <t>Underperforming</t>
        </is>
      </c>
      <c r="N144" s="32">
        <f>IF(M144="Underperforming",-5,IF(L144&gt;=95,15,IF(L144&gt;=90,10,IF(L144&gt;=80,5,0))))</f>
        <v/>
      </c>
      <c r="O144" s="32" t="n">
        <v>60.71</v>
      </c>
      <c r="P144" s="32" t="n">
        <v>42.12</v>
      </c>
      <c r="Q144" s="32" t="n">
        <v>470.27</v>
      </c>
      <c r="R144" s="31" t="inlineStr">
        <is>
          <t>Near 52W High Breakout</t>
        </is>
      </c>
      <c r="S144" s="31" t="inlineStr">
        <is>
          <t>Nifty Pharma</t>
        </is>
      </c>
      <c r="T144" s="32" t="n">
        <v>22.15</v>
      </c>
      <c r="U144" s="32" t="n">
        <v>6</v>
      </c>
      <c r="V144" s="32" t="n">
        <v>-13.22</v>
      </c>
      <c r="W144" s="32" t="n">
        <v>3.64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Yes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Between 12 to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IF(B145=0,"",RANK(B145,$B$2:$B$326,0))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COFORGE</t>
        </is>
      </c>
      <c r="D145" s="31" t="inlineStr">
        <is>
          <t>Coforge (Niit Tech) Ltd</t>
        </is>
      </c>
      <c r="E145" s="31" t="inlineStr">
        <is>
          <t>i.t</t>
        </is>
      </c>
      <c r="F145" s="31" t="inlineStr">
        <is>
          <t>computers - software - large</t>
        </is>
      </c>
      <c r="G145" s="31" t="inlineStr">
        <is>
          <t>largecap</t>
        </is>
      </c>
      <c r="H145" s="32" t="n">
        <v>88046.78</v>
      </c>
      <c r="I145" s="32" t="n">
        <v>1965.7</v>
      </c>
      <c r="J145" s="32" t="n">
        <v>-1.17</v>
      </c>
      <c r="K145" s="32" t="n">
        <v>1665060</v>
      </c>
      <c r="L145" s="31" t="n">
        <v>55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70.53</v>
      </c>
      <c r="P145" s="32" t="n">
        <v>19.67</v>
      </c>
      <c r="Q145" s="32" t="n">
        <v>1643.24</v>
      </c>
      <c r="R145" s="31" t="inlineStr">
        <is>
          <t>Near 52W High Breakout</t>
        </is>
      </c>
      <c r="S145" s="31" t="inlineStr">
        <is>
          <t>Nifty IT</t>
        </is>
      </c>
      <c r="T145" s="32" t="n">
        <v>-10.2</v>
      </c>
      <c r="U145" s="32" t="n">
        <v>19.64</v>
      </c>
      <c r="V145" s="32" t="n">
        <v>33.22</v>
      </c>
      <c r="W145" s="32" t="n">
        <v>15.41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0 to 20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IF(B146=0,"",RANK(B146,$B$2:$B$326,0))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AVADHSUGAR</t>
        </is>
      </c>
      <c r="D146" s="31" t="inlineStr">
        <is>
          <t>Avadh Sugar &amp; Energy</t>
        </is>
      </c>
      <c r="E146" s="31" t="inlineStr">
        <is>
          <t>fmcg</t>
        </is>
      </c>
      <c r="F146" s="31" t="inlineStr">
        <is>
          <t>sugar</t>
        </is>
      </c>
      <c r="G146" s="31" t="inlineStr">
        <is>
          <t>smallcap</t>
        </is>
      </c>
      <c r="H146" s="32" t="n">
        <v>1648.12</v>
      </c>
      <c r="I146" s="32" t="n">
        <v>811.7</v>
      </c>
      <c r="J146" s="32" t="n">
        <v>-1.41</v>
      </c>
      <c r="K146" s="32" t="n">
        <v>120202</v>
      </c>
      <c r="L146" s="31" t="n">
        <v>88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81.34999999999999</v>
      </c>
      <c r="P146" s="32" t="n">
        <v>47.63</v>
      </c>
      <c r="Q146" s="32" t="n">
        <v>643.36</v>
      </c>
      <c r="R146" s="31" t="inlineStr">
        <is>
          <t>Near 52W High Breakout</t>
        </is>
      </c>
      <c r="S146" s="31" t="inlineStr">
        <is>
          <t>Nifty FMCG</t>
        </is>
      </c>
      <c r="T146" s="32" t="n">
        <v>-15.28</v>
      </c>
      <c r="U146" s="32" t="n">
        <v>78.15000000000001</v>
      </c>
      <c r="V146" s="32" t="n">
        <v>110.28</v>
      </c>
      <c r="W146" s="32" t="n">
        <v>31.7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B2C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More than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IF(B147=0,"",RANK(B147,$B$2:$B$326,0))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BLSE</t>
        </is>
      </c>
      <c r="D147" s="31" t="inlineStr">
        <is>
          <t>BLS E-Services Ltd</t>
        </is>
      </c>
      <c r="E147" s="31" t="inlineStr">
        <is>
          <t>i.t</t>
        </is>
      </c>
      <c r="F147" s="31" t="inlineStr">
        <is>
          <t>computers - software - medium / small</t>
        </is>
      </c>
      <c r="G147" s="31" t="inlineStr">
        <is>
          <t>smallcap</t>
        </is>
      </c>
      <c r="H147" s="32" t="n">
        <v>2977.37</v>
      </c>
      <c r="I147" s="32" t="n">
        <v>322.85</v>
      </c>
      <c r="J147" s="32" t="n">
        <v>-1.48</v>
      </c>
      <c r="K147" s="32" t="n">
        <v>151988</v>
      </c>
      <c r="L147" s="31" t="n">
        <v>84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82.43000000000001</v>
      </c>
      <c r="P147" s="32" t="n">
        <v>55.78</v>
      </c>
      <c r="Q147" s="32" t="n">
        <v>262.83</v>
      </c>
      <c r="R147" s="31" t="inlineStr">
        <is>
          <t>Near 52W High Breakout</t>
        </is>
      </c>
      <c r="S147" s="31" t="inlineStr">
        <is>
          <t>Nifty IT</t>
        </is>
      </c>
      <c r="T147" s="32" t="n">
        <v>-10.2</v>
      </c>
      <c r="U147" s="32" t="n">
        <v>83.18000000000001</v>
      </c>
      <c r="V147" s="32" t="n">
        <v>103.99</v>
      </c>
      <c r="W147" s="32" t="n">
        <v>27.43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IF(B148=0,"",RANK(B148,$B$2:$B$326,0))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BODALCHEM</t>
        </is>
      </c>
      <c r="D148" s="31" t="inlineStr">
        <is>
          <t>Bodal Chemicals Limited</t>
        </is>
      </c>
      <c r="E148" s="31" t="inlineStr">
        <is>
          <t>chemicals</t>
        </is>
      </c>
      <c r="F148" s="31" t="inlineStr">
        <is>
          <t>dyes and pigments</t>
        </is>
      </c>
      <c r="G148" s="31" t="inlineStr">
        <is>
          <t>smallcap</t>
        </is>
      </c>
      <c r="H148" s="32" t="n">
        <v>1596.47</v>
      </c>
      <c r="I148" s="32" t="n">
        <v>145.45</v>
      </c>
      <c r="J148" s="32" t="n">
        <v>14.74</v>
      </c>
      <c r="K148" s="32" t="n">
        <v>30271526</v>
      </c>
      <c r="L148" s="31" t="n">
        <v>94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85.92</v>
      </c>
      <c r="P148" s="32" t="n">
        <v>36.09</v>
      </c>
      <c r="Q148" s="32" t="n">
        <v>112.44</v>
      </c>
      <c r="R148" s="31" t="inlineStr">
        <is>
          <t>Volume Spike &amp; Near 52W High Breakout</t>
        </is>
      </c>
      <c r="S148" s="31" t="inlineStr">
        <is>
          <t>Nifty 50</t>
        </is>
      </c>
      <c r="T148" s="32" t="n">
        <v>-3.34</v>
      </c>
      <c r="U148" s="32" t="n">
        <v>123.29</v>
      </c>
      <c r="V148" s="32" t="n">
        <v>131.01</v>
      </c>
      <c r="W148" s="32" t="n">
        <v>46.69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Between 0.7 to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IF(B149=0,"",RANK(B149,$B$2:$B$326,0))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RISHABH</t>
        </is>
      </c>
      <c r="D149" s="31" t="inlineStr">
        <is>
          <t>Rishabh Instruments Ltd</t>
        </is>
      </c>
      <c r="E149" s="31" t="inlineStr">
        <is>
          <t>industrials</t>
        </is>
      </c>
      <c r="F149" s="31" t="inlineStr">
        <is>
          <t>electric equipment</t>
        </is>
      </c>
      <c r="G149" s="31" t="inlineStr">
        <is>
          <t>smallcap</t>
        </is>
      </c>
      <c r="H149" s="32" t="n">
        <v>2681.65</v>
      </c>
      <c r="I149" s="32" t="n">
        <v>746</v>
      </c>
      <c r="J149" s="32" t="n">
        <v>7.23</v>
      </c>
      <c r="K149" s="32" t="n">
        <v>1177885</v>
      </c>
      <c r="L149" s="31" t="n">
        <v>89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75.59</v>
      </c>
      <c r="P149" s="32" t="n">
        <v>45.57</v>
      </c>
      <c r="Q149" s="32" t="n">
        <v>559.64</v>
      </c>
      <c r="R149" s="31" t="inlineStr">
        <is>
          <t>Near 52W High Breakout</t>
        </is>
      </c>
      <c r="S149" s="31" t="inlineStr">
        <is>
          <t>Nifty Infra</t>
        </is>
      </c>
      <c r="T149" s="32" t="n">
        <v>1.61</v>
      </c>
      <c r="U149" s="32" t="n">
        <v>162.63</v>
      </c>
      <c r="V149" s="32" t="n">
        <v>158.48</v>
      </c>
      <c r="W149" s="32" t="n">
        <v>34.79</v>
      </c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IF(B150=0,"",RANK(B150,$B$2:$B$326,0))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HMT</t>
        </is>
      </c>
      <c r="D150" s="31" t="inlineStr">
        <is>
          <t>Hmt Limited</t>
        </is>
      </c>
      <c r="E150" s="31" t="inlineStr">
        <is>
          <t>consumer discretionary</t>
        </is>
      </c>
      <c r="F150" s="31" t="inlineStr">
        <is>
          <t>miscellaneous</t>
        </is>
      </c>
      <c r="G150" s="31" t="inlineStr">
        <is>
          <t>midcap</t>
        </is>
      </c>
      <c r="H150" s="32" t="n">
        <v>7738.7</v>
      </c>
      <c r="I150" s="32" t="n">
        <v>67.48</v>
      </c>
      <c r="J150" s="32" t="n">
        <v>4.99</v>
      </c>
      <c r="K150" s="32" t="n">
        <v>46803</v>
      </c>
      <c r="L150" s="31" t="n">
        <v>41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61.27</v>
      </c>
      <c r="P150" s="32" t="n">
        <v>17.27</v>
      </c>
      <c r="Q150" s="32" t="n">
        <v>51.31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-3.34</v>
      </c>
      <c r="U150" s="32" t="n">
        <v>18.01</v>
      </c>
      <c r="V150" s="32" t="n">
        <v>22.09</v>
      </c>
      <c r="W150" s="32" t="n">
        <v>10.37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0 to 20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IF(B151=0,"",RANK(B151,$B$2:$B$326,0))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KRONOX</t>
        </is>
      </c>
      <c r="D151" s="31" t="inlineStr">
        <is>
          <t>Kronox Lab Sciences Ltd</t>
        </is>
      </c>
      <c r="E151" s="31" t="inlineStr">
        <is>
          <t>chemicals</t>
        </is>
      </c>
      <c r="F151" s="31" t="inlineStr">
        <is>
          <t>chemicals</t>
        </is>
      </c>
      <c r="G151" s="31" t="inlineStr">
        <is>
          <t>smallcap</t>
        </is>
      </c>
      <c r="H151" s="32" t="n">
        <v>672.29</v>
      </c>
      <c r="I151" s="32" t="n">
        <v>189.68</v>
      </c>
      <c r="J151" s="32" t="n">
        <v>4.69</v>
      </c>
      <c r="K151" s="32" t="n">
        <v>216651</v>
      </c>
      <c r="L151" s="31" t="n">
        <v>49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61.62</v>
      </c>
      <c r="P151" s="32" t="n">
        <v>37.45</v>
      </c>
      <c r="Q151" s="32" t="n">
        <v>150.42</v>
      </c>
      <c r="R151" s="31" t="inlineStr">
        <is>
          <t>Earnings / Momentum Support</t>
        </is>
      </c>
      <c r="S151" s="31" t="inlineStr">
        <is>
          <t>Nifty 50</t>
        </is>
      </c>
      <c r="T151" s="32" t="n">
        <v>-3.34</v>
      </c>
      <c r="U151" s="32" t="n">
        <v>11.65</v>
      </c>
      <c r="V151" s="32" t="n">
        <v>15.51</v>
      </c>
      <c r="W151" s="32" t="n">
        <v>13.08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Between 12 to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IF(B152=0,"",RANK(B152,$B$2:$B$326,0))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TCPLPACK</t>
        </is>
      </c>
      <c r="D152" s="31" t="inlineStr">
        <is>
          <t>TCPL Packaging Ltd</t>
        </is>
      </c>
      <c r="E152" s="31" t="inlineStr">
        <is>
          <t>industrials</t>
        </is>
      </c>
      <c r="F152" s="31" t="inlineStr">
        <is>
          <t>packaging</t>
        </is>
      </c>
      <c r="G152" s="31" t="inlineStr">
        <is>
          <t>smallcap</t>
        </is>
      </c>
      <c r="H152" s="32" t="n">
        <v>3512.78</v>
      </c>
      <c r="I152" s="32" t="n">
        <v>4000.3</v>
      </c>
      <c r="J152" s="32" t="n">
        <v>3.63</v>
      </c>
      <c r="K152" s="32" t="n">
        <v>12897</v>
      </c>
      <c r="L152" s="31" t="n">
        <v>59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70.02</v>
      </c>
      <c r="P152" s="32" t="n">
        <v>37.61</v>
      </c>
      <c r="Q152" s="32" t="n">
        <v>3139.36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-3.34</v>
      </c>
      <c r="U152" s="32" t="n">
        <v>19.5</v>
      </c>
      <c r="V152" s="32" t="n">
        <v>23.63</v>
      </c>
      <c r="W152" s="32" t="n">
        <v>16.75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IF(B153=0,"",RANK(B153,$B$2:$B$326,0))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ANDHRSUGAR</t>
        </is>
      </c>
      <c r="D153" s="31" t="inlineStr">
        <is>
          <t>The Andhra Sugars Limited</t>
        </is>
      </c>
      <c r="E153" s="31" t="inlineStr">
        <is>
          <t>chemicals</t>
        </is>
      </c>
      <c r="F153" s="31" t="inlineStr">
        <is>
          <t>chlor alkali / soda ash</t>
        </is>
      </c>
      <c r="G153" s="31" t="inlineStr">
        <is>
          <t>smallcap</t>
        </is>
      </c>
      <c r="H153" s="32" t="n">
        <v>1307.78</v>
      </c>
      <c r="I153" s="32" t="n">
        <v>99.2</v>
      </c>
      <c r="J153" s="32" t="n">
        <v>2.81</v>
      </c>
      <c r="K153" s="32" t="n">
        <v>490982</v>
      </c>
      <c r="L153" s="31" t="n">
        <v>43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62.32</v>
      </c>
      <c r="P153" s="32" t="n">
        <v>13.34</v>
      </c>
      <c r="Q153" s="32" t="n">
        <v>77.45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-3.34</v>
      </c>
      <c r="U153" s="32" t="n">
        <v>30.69</v>
      </c>
      <c r="V153" s="32" t="n">
        <v>35.2</v>
      </c>
      <c r="W153" s="32" t="n">
        <v>10.96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IF(B154=0,"",RANK(B154,$B$2:$B$326,0))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SHREEPUSHK</t>
        </is>
      </c>
      <c r="D154" s="31" t="inlineStr">
        <is>
          <t>Shree Pushkar Chemicals &amp; Fertilisers Limited</t>
        </is>
      </c>
      <c r="E154" s="31" t="inlineStr">
        <is>
          <t>chemicals</t>
        </is>
      </c>
      <c r="F154" s="31" t="inlineStr">
        <is>
          <t>dyes and pigments</t>
        </is>
      </c>
      <c r="G154" s="31" t="inlineStr">
        <is>
          <t>smallcap</t>
        </is>
      </c>
      <c r="H154" s="32" t="n">
        <v>1501.92</v>
      </c>
      <c r="I154" s="32" t="n">
        <v>468.05</v>
      </c>
      <c r="J154" s="32" t="n">
        <v>0.78</v>
      </c>
      <c r="K154" s="32" t="n">
        <v>71193</v>
      </c>
      <c r="L154" s="31" t="n">
        <v>51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65.92</v>
      </c>
      <c r="P154" s="32" t="n">
        <v>36.82</v>
      </c>
      <c r="Q154" s="32" t="n">
        <v>342.26</v>
      </c>
      <c r="R154" s="31" t="inlineStr">
        <is>
          <t>Near 52W High Breakout</t>
        </is>
      </c>
      <c r="S154" s="31" t="inlineStr">
        <is>
          <t>Nifty IT</t>
        </is>
      </c>
      <c r="T154" s="32" t="n">
        <v>-10.2</v>
      </c>
      <c r="U154" s="32" t="n">
        <v>35.11</v>
      </c>
      <c r="V154" s="32" t="n">
        <v>50.46</v>
      </c>
      <c r="W154" s="32" t="n">
        <v>14.09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IF(B155=0,"",RANK(B155,$B$2:$B$326,0))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KRN</t>
        </is>
      </c>
      <c r="D155" s="31" t="inlineStr">
        <is>
          <t>KRN Heat Exchanger and Refrigeration Ltd</t>
        </is>
      </c>
      <c r="E155" s="31" t="inlineStr">
        <is>
          <t>industrials</t>
        </is>
      </c>
      <c r="F155" s="31" t="inlineStr">
        <is>
          <t>engineering</t>
        </is>
      </c>
      <c r="G155" s="31" t="inlineStr">
        <is>
          <t>midcap</t>
        </is>
      </c>
      <c r="H155" s="32" t="n">
        <v>9998.129999999999</v>
      </c>
      <c r="I155" s="32" t="n">
        <v>1534.8</v>
      </c>
      <c r="J155" s="32" t="n">
        <v>0.48</v>
      </c>
      <c r="K155" s="32" t="n">
        <v>161090</v>
      </c>
      <c r="L155" s="31" t="n">
        <v>64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69.01000000000001</v>
      </c>
      <c r="P155" s="32" t="n">
        <v>35.18</v>
      </c>
      <c r="Q155" s="32" t="n">
        <v>1200.53</v>
      </c>
      <c r="R155" s="31" t="inlineStr">
        <is>
          <t>Near 52W High Breakout</t>
        </is>
      </c>
      <c r="S155" s="31" t="inlineStr">
        <is>
          <t>Nifty 50</t>
        </is>
      </c>
      <c r="T155" s="32" t="n">
        <v>-3.34</v>
      </c>
      <c r="U155" s="32" t="n">
        <v>75.58</v>
      </c>
      <c r="V155" s="32" t="n">
        <v>81.64</v>
      </c>
      <c r="W155" s="32" t="n">
        <v>18.3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IF(B156=0,"",RANK(B156,$B$2:$B$326,0))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WHEELS</t>
        </is>
      </c>
      <c r="D156" s="31" t="inlineStr">
        <is>
          <t>Wheels India Limited</t>
        </is>
      </c>
      <c r="E156" s="31" t="inlineStr">
        <is>
          <t>auto</t>
        </is>
      </c>
      <c r="F156" s="31" t="inlineStr">
        <is>
          <t>auto ancillaries</t>
        </is>
      </c>
      <c r="G156" s="31" t="inlineStr">
        <is>
          <t>smallcap</t>
        </is>
      </c>
      <c r="H156" s="32" t="n">
        <v>3767.08</v>
      </c>
      <c r="I156" s="32" t="n">
        <v>1544.3</v>
      </c>
      <c r="J156" s="32" t="n">
        <v>0.16</v>
      </c>
      <c r="K156" s="32" t="n">
        <v>100218</v>
      </c>
      <c r="L156" s="31" t="n">
        <v>84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61.84</v>
      </c>
      <c r="P156" s="32" t="n">
        <v>54.02</v>
      </c>
      <c r="Q156" s="32" t="n">
        <v>1286.12</v>
      </c>
      <c r="R156" s="31" t="inlineStr">
        <is>
          <t>Earnings / Momentum Support</t>
        </is>
      </c>
      <c r="S156" s="31" t="inlineStr">
        <is>
          <t>Nifty Auto</t>
        </is>
      </c>
      <c r="T156" s="32" t="n">
        <v>17.66</v>
      </c>
      <c r="U156" s="32" t="n">
        <v>96</v>
      </c>
      <c r="V156" s="32" t="n">
        <v>66.58</v>
      </c>
      <c r="W156" s="32" t="n">
        <v>27.32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IF(B157=0,"",RANK(B157,$B$2:$B$326,0))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SHRIPISTON</t>
        </is>
      </c>
      <c r="D157" s="31" t="inlineStr">
        <is>
          <t>Shriram Pistons &amp; Rings Limited</t>
        </is>
      </c>
      <c r="E157" s="31" t="inlineStr">
        <is>
          <t>auto</t>
        </is>
      </c>
      <c r="F157" s="31" t="inlineStr">
        <is>
          <t>auto ancillaries</t>
        </is>
      </c>
      <c r="G157" s="31" t="inlineStr">
        <is>
          <t>largecap</t>
        </is>
      </c>
      <c r="H157" s="32" t="n">
        <v>21329.34</v>
      </c>
      <c r="I157" s="32" t="n">
        <v>4600.4</v>
      </c>
      <c r="J157" s="32" t="n">
        <v>0.05</v>
      </c>
      <c r="K157" s="32" t="n">
        <v>95112</v>
      </c>
      <c r="L157" s="31" t="n">
        <v>73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75.09999999999999</v>
      </c>
      <c r="P157" s="32" t="n">
        <v>54.06</v>
      </c>
      <c r="Q157" s="32" t="n">
        <v>3720.98</v>
      </c>
      <c r="R157" s="31" t="inlineStr">
        <is>
          <t>Near 52W High Breakout</t>
        </is>
      </c>
      <c r="S157" s="31" t="inlineStr">
        <is>
          <t>Nifty Auto</t>
        </is>
      </c>
      <c r="T157" s="32" t="n">
        <v>17.66</v>
      </c>
      <c r="U157" s="32" t="n">
        <v>90.84</v>
      </c>
      <c r="V157" s="32" t="n">
        <v>62.19</v>
      </c>
      <c r="W157" s="32" t="n">
        <v>21.09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IF(B158=0,"",RANK(B158,$B$2:$B$326,0))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EIMCOELECO</t>
        </is>
      </c>
      <c r="D158" s="31" t="inlineStr">
        <is>
          <t>Eimco Elecon (india) Limited</t>
        </is>
      </c>
      <c r="E158" s="31" t="inlineStr">
        <is>
          <t>industrials</t>
        </is>
      </c>
      <c r="F158" s="31" t="inlineStr">
        <is>
          <t>engineering</t>
        </is>
      </c>
      <c r="G158" s="31" t="inlineStr">
        <is>
          <t>smallcap</t>
        </is>
      </c>
      <c r="H158" s="32" t="n">
        <v>1265.24</v>
      </c>
      <c r="I158" s="32" t="n">
        <v>2194.6</v>
      </c>
      <c r="J158" s="32" t="n">
        <v>0.05</v>
      </c>
      <c r="K158" s="32" t="n">
        <v>22028</v>
      </c>
      <c r="L158" s="31" t="n">
        <v>49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71.67</v>
      </c>
      <c r="P158" s="32" t="n">
        <v>43.71</v>
      </c>
      <c r="Q158" s="32" t="n">
        <v>1689.78</v>
      </c>
      <c r="R158" s="31" t="inlineStr">
        <is>
          <t>Near 52W High Breakout</t>
        </is>
      </c>
      <c r="S158" s="31" t="inlineStr">
        <is>
          <t>Nifty 50</t>
        </is>
      </c>
      <c r="T158" s="32" t="n">
        <v>-3.34</v>
      </c>
      <c r="U158" s="32" t="n">
        <v>14.33</v>
      </c>
      <c r="V158" s="32" t="n">
        <v>18.29</v>
      </c>
      <c r="W158" s="32" t="n">
        <v>13.09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IF(B159=0,"",RANK(B159,$B$2:$B$326,0))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VMART</t>
        </is>
      </c>
      <c r="D159" s="31" t="inlineStr">
        <is>
          <t>V-mart Retail Limited</t>
        </is>
      </c>
      <c r="E159" s="31" t="inlineStr">
        <is>
          <t>consumer discretionary</t>
        </is>
      </c>
      <c r="F159" s="31" t="inlineStr">
        <is>
          <t>trading</t>
        </is>
      </c>
      <c r="G159" s="31" t="inlineStr">
        <is>
          <t>midcap</t>
        </is>
      </c>
      <c r="H159" s="32" t="n">
        <v>6763.97</v>
      </c>
      <c r="I159" s="32" t="n">
        <v>849.95</v>
      </c>
      <c r="J159" s="32" t="n">
        <v>-0.04</v>
      </c>
      <c r="K159" s="32" t="n">
        <v>35124</v>
      </c>
      <c r="L159" s="31" t="n">
        <v>42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65.48</v>
      </c>
      <c r="P159" s="32" t="n">
        <v>30.31</v>
      </c>
      <c r="Q159" s="32" t="n">
        <v>665.88</v>
      </c>
      <c r="R159" s="31" t="inlineStr">
        <is>
          <t>Near 52W High Breakout</t>
        </is>
      </c>
      <c r="S159" s="31" t="inlineStr">
        <is>
          <t>Nifty 50</t>
        </is>
      </c>
      <c r="T159" s="32" t="n">
        <v>-3.34</v>
      </c>
      <c r="U159" s="32" t="n">
        <v>14.03</v>
      </c>
      <c r="V159" s="32" t="n">
        <v>17.97</v>
      </c>
      <c r="W159" s="32" t="n">
        <v>10.87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Between 0.7 to 1.2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IF(B160=0,"",RANK(B160,$B$2:$B$326,0))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ETERNAL</t>
        </is>
      </c>
      <c r="D160" s="31" t="inlineStr">
        <is>
          <t>Eternal Ltd</t>
        </is>
      </c>
      <c r="E160" s="31" t="inlineStr">
        <is>
          <t>i.t</t>
        </is>
      </c>
      <c r="F160" s="31" t="inlineStr">
        <is>
          <t>miscellaneous</t>
        </is>
      </c>
      <c r="G160" s="31" t="inlineStr">
        <is>
          <t>largecap</t>
        </is>
      </c>
      <c r="H160" s="32" t="n">
        <v>316290.24</v>
      </c>
      <c r="I160" s="32" t="n">
        <v>327.3</v>
      </c>
      <c r="J160" s="32" t="n">
        <v>-0.14</v>
      </c>
      <c r="K160" s="32" t="n">
        <v>20138975</v>
      </c>
      <c r="L160" s="31" t="n">
        <v>27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67.81999999999999</v>
      </c>
      <c r="P160" s="32" t="n">
        <v>24.14</v>
      </c>
      <c r="Q160" s="32" t="n">
        <v>267.9</v>
      </c>
      <c r="R160" s="31" t="inlineStr">
        <is>
          <t>Volume Spike / Accumulation</t>
        </is>
      </c>
      <c r="S160" s="31" t="inlineStr">
        <is>
          <t>Nifty IT</t>
        </is>
      </c>
      <c r="T160" s="32" t="n">
        <v>-10.2</v>
      </c>
      <c r="U160" s="32" t="n">
        <v>-0.5600000000000001</v>
      </c>
      <c r="V160" s="32" t="n">
        <v>10.73</v>
      </c>
      <c r="W160" s="32" t="n">
        <v>6.77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IF(B161=0,"",RANK(B161,$B$2:$B$326,0))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JINDALSAW</t>
        </is>
      </c>
      <c r="D161" s="31" t="inlineStr">
        <is>
          <t>Jindal Saw Limited</t>
        </is>
      </c>
      <c r="E161" s="31" t="inlineStr">
        <is>
          <t>industrials</t>
        </is>
      </c>
      <c r="F161" s="31" t="inlineStr">
        <is>
          <t>steel - large</t>
        </is>
      </c>
      <c r="G161" s="31" t="inlineStr">
        <is>
          <t>midcap</t>
        </is>
      </c>
      <c r="H161" s="32" t="n">
        <v>19808.77</v>
      </c>
      <c r="I161" s="32" t="n">
        <v>309.15</v>
      </c>
      <c r="J161" s="32" t="n">
        <v>-0.19</v>
      </c>
      <c r="K161" s="32" t="n">
        <v>2082953</v>
      </c>
      <c r="L161" s="31" t="n">
        <v>53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71.20999999999999</v>
      </c>
      <c r="P161" s="32" t="n">
        <v>46.41</v>
      </c>
      <c r="Q161" s="32" t="n">
        <v>241.25</v>
      </c>
      <c r="R161" s="31" t="inlineStr">
        <is>
          <t>Near 52W High Breakout</t>
        </is>
      </c>
      <c r="S161" s="31" t="inlineStr">
        <is>
          <t>Nifty Metal</t>
        </is>
      </c>
      <c r="T161" s="32" t="n">
        <v>39.6</v>
      </c>
      <c r="U161" s="32" t="n">
        <v>40.01</v>
      </c>
      <c r="V161" s="32" t="n">
        <v>0.29</v>
      </c>
      <c r="W161" s="32" t="n">
        <v>14.93</v>
      </c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IF(B162=0,"",RANK(B162,$B$2:$B$326,0))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BOSCH-HCIL</t>
        </is>
      </c>
      <c r="D162" s="31" t="inlineStr">
        <is>
          <t>Bosch Home Comfort India Ltd</t>
        </is>
      </c>
      <c r="E162" s="31" t="inlineStr">
        <is>
          <t>consumer discretionary</t>
        </is>
      </c>
      <c r="F162" s="31" t="inlineStr">
        <is>
          <t>air-conditioners</t>
        </is>
      </c>
      <c r="G162" s="31" t="inlineStr">
        <is>
          <t>smallcap</t>
        </is>
      </c>
      <c r="H162" s="32" t="n">
        <v>4746.17</v>
      </c>
      <c r="I162" s="32" t="n">
        <v>1733.9</v>
      </c>
      <c r="J162" s="32" t="n">
        <v>-0.66</v>
      </c>
      <c r="K162" s="32" t="n">
        <v>29791</v>
      </c>
      <c r="L162" s="31" t="n">
        <v>23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68.42</v>
      </c>
      <c r="P162" s="32" t="n">
        <v>24.07</v>
      </c>
      <c r="Q162" s="32" t="n">
        <v>1400.21</v>
      </c>
      <c r="R162" s="31" t="inlineStr">
        <is>
          <t>Near 52W High Breakout</t>
        </is>
      </c>
      <c r="S162" s="31" t="inlineStr">
        <is>
          <t>Nifty 50</t>
        </is>
      </c>
      <c r="T162" s="32" t="n">
        <v>-3.34</v>
      </c>
      <c r="U162" s="32" t="n">
        <v>0.26</v>
      </c>
      <c r="V162" s="32" t="n">
        <v>3.73</v>
      </c>
      <c r="W162" s="32" t="n">
        <v>6.24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IF(B163=0,"",RANK(B163,$B$2:$B$326,0))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SIGMAADV</t>
        </is>
      </c>
      <c r="D163" s="31" t="inlineStr">
        <is>
          <t>Sigma Advanced System Ltd</t>
        </is>
      </c>
      <c r="E163" s="31" t="inlineStr">
        <is>
          <t>aerospace &amp; defence</t>
        </is>
      </c>
      <c r="F163" s="31" t="inlineStr">
        <is>
          <t>electronics - components</t>
        </is>
      </c>
      <c r="G163" s="31" t="inlineStr">
        <is>
          <t>midcap</t>
        </is>
      </c>
      <c r="H163" s="32" t="n">
        <v>14789.23</v>
      </c>
      <c r="I163" s="32" t="n">
        <v>772.95</v>
      </c>
      <c r="J163" s="32" t="n">
        <v>-0.96</v>
      </c>
      <c r="K163" s="32" t="n">
        <v>169732</v>
      </c>
      <c r="L163" s="31" t="n">
        <v>98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77.3</v>
      </c>
      <c r="P163" s="32" t="n">
        <v>65.75</v>
      </c>
      <c r="Q163" s="32" t="n">
        <v>573.03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-3.34</v>
      </c>
      <c r="U163" s="32" t="n">
        <v>440.26</v>
      </c>
      <c r="V163" s="32" t="n">
        <v>458.93</v>
      </c>
      <c r="W163" s="32" t="n">
        <v>69.22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Above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Between 0.7 to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IF(B164=0,"",RANK(B164,$B$2:$B$326,0))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TBOTEK</t>
        </is>
      </c>
      <c r="D164" s="31" t="inlineStr">
        <is>
          <t>TBO Tek Ltd</t>
        </is>
      </c>
      <c r="E164" s="31" t="inlineStr">
        <is>
          <t>i.t</t>
        </is>
      </c>
      <c r="F164" s="31" t="inlineStr">
        <is>
          <t>travel agencies</t>
        </is>
      </c>
      <c r="G164" s="31" t="inlineStr">
        <is>
          <t>midcap</t>
        </is>
      </c>
      <c r="H164" s="32" t="n">
        <v>18703.16</v>
      </c>
      <c r="I164" s="32" t="n">
        <v>1700</v>
      </c>
      <c r="J164" s="32" t="n">
        <v>-1.3</v>
      </c>
      <c r="K164" s="32" t="n">
        <v>156687</v>
      </c>
      <c r="L164" s="31" t="n">
        <v>46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67.16</v>
      </c>
      <c r="P164" s="32" t="n">
        <v>25.4</v>
      </c>
      <c r="Q164" s="32" t="n">
        <v>1357.29</v>
      </c>
      <c r="R164" s="31" t="inlineStr">
        <is>
          <t>Near 52W High Breakout</t>
        </is>
      </c>
      <c r="S164" s="31" t="inlineStr">
        <is>
          <t>Nifty IT</t>
        </is>
      </c>
      <c r="T164" s="32" t="n">
        <v>-10.2</v>
      </c>
      <c r="U164" s="32" t="n">
        <v>10.25</v>
      </c>
      <c r="V164" s="32" t="n">
        <v>22.77</v>
      </c>
      <c r="W164" s="32" t="n">
        <v>11.85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IF(B165=0,"",RANK(B165,$B$2:$B$326,0))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AEROENTER</t>
        </is>
      </c>
      <c r="D165" s="33" t="inlineStr">
        <is>
          <t>Aeroflex Enterprises Ltd</t>
        </is>
      </c>
      <c r="E165" s="31" t="inlineStr">
        <is>
          <t>metals &amp; mining</t>
        </is>
      </c>
      <c r="F165" s="31" t="inlineStr">
        <is>
          <t>steel - medium / small</t>
        </is>
      </c>
      <c r="G165" s="31" t="inlineStr">
        <is>
          <t>smallcap</t>
        </is>
      </c>
      <c r="H165" s="32" t="n">
        <v>1622.66</v>
      </c>
      <c r="I165" s="32" t="n">
        <v>140.46</v>
      </c>
      <c r="J165" s="32" t="n">
        <v>-2.04</v>
      </c>
      <c r="K165" s="32" t="n">
        <v>413196</v>
      </c>
      <c r="L165" s="31" t="n">
        <v>69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65.18000000000001</v>
      </c>
      <c r="P165" s="32" t="n">
        <v>53.16</v>
      </c>
      <c r="Q165" s="32" t="n">
        <v>106.19</v>
      </c>
      <c r="R165" s="31" t="inlineStr">
        <is>
          <t>Near 52W High Breakout</t>
        </is>
      </c>
      <c r="S165" s="31" t="inlineStr">
        <is>
          <t>Nifty Metal</t>
        </is>
      </c>
      <c r="T165" s="32" t="n">
        <v>39.6</v>
      </c>
      <c r="U165" s="32" t="n">
        <v>37.24</v>
      </c>
      <c r="V165" s="32" t="n">
        <v>-1.69</v>
      </c>
      <c r="W165" s="32" t="n">
        <v>19.55</v>
      </c>
      <c r="X165" s="31" t="inlineStr">
        <is>
          <t>Cyclical in an Upturn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Cyclical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Volatile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IF(B166=0,"",RANK(B166,$B$2:$B$326,0))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SOTL</t>
        </is>
      </c>
      <c r="D166" s="31" t="inlineStr">
        <is>
          <t>Savita Oil Technologies Limited</t>
        </is>
      </c>
      <c r="E166" s="31" t="inlineStr">
        <is>
          <t>energy</t>
        </is>
      </c>
      <c r="F166" s="31" t="inlineStr">
        <is>
          <t>petrochemicals</t>
        </is>
      </c>
      <c r="G166" s="31" t="inlineStr">
        <is>
          <t>midcap</t>
        </is>
      </c>
      <c r="H166" s="32" t="n">
        <v>5288.75</v>
      </c>
      <c r="I166" s="32" t="n">
        <v>752.6</v>
      </c>
      <c r="J166" s="32" t="n">
        <v>-2.44</v>
      </c>
      <c r="K166" s="32" t="n">
        <v>5145071</v>
      </c>
      <c r="L166" s="31" t="n">
        <v>92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69.03</v>
      </c>
      <c r="P166" s="32" t="n">
        <v>57.07</v>
      </c>
      <c r="Q166" s="32" t="n">
        <v>540.67</v>
      </c>
      <c r="R166" s="31" t="inlineStr">
        <is>
          <t>Volume Spike &amp; Near 52W High Breakout</t>
        </is>
      </c>
      <c r="S166" s="31" t="inlineStr">
        <is>
          <t>Nifty Energy</t>
        </is>
      </c>
      <c r="T166" s="32" t="n">
        <v>7.88</v>
      </c>
      <c r="U166" s="32" t="n">
        <v>89.51000000000001</v>
      </c>
      <c r="V166" s="32" t="n">
        <v>75.67</v>
      </c>
      <c r="W166" s="32" t="n">
        <v>41.4</v>
      </c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Oligopoly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Yes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Cyclical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Volatile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IF(B167=0,"",RANK(B167,$B$2:$B$326,0))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HEG</t>
        </is>
      </c>
      <c r="D167" s="31" t="inlineStr">
        <is>
          <t>Heg Limited</t>
        </is>
      </c>
      <c r="E167" s="31" t="inlineStr">
        <is>
          <t>industrials</t>
        </is>
      </c>
      <c r="F167" s="31" t="inlineStr">
        <is>
          <t>electrodes - graphites</t>
        </is>
      </c>
      <c r="G167" s="31" t="inlineStr">
        <is>
          <t>midcap</t>
        </is>
      </c>
      <c r="H167" s="32" t="n">
        <v>14085.43</v>
      </c>
      <c r="I167" s="32" t="n">
        <v>706.4</v>
      </c>
      <c r="J167" s="32" t="n">
        <v>-3.22</v>
      </c>
      <c r="K167" s="32" t="n">
        <v>1020619</v>
      </c>
      <c r="L167" s="31" t="n">
        <v>52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65.11</v>
      </c>
      <c r="P167" s="32" t="n">
        <v>30.58</v>
      </c>
      <c r="Q167" s="32" t="n">
        <v>581.04</v>
      </c>
      <c r="R167" s="31" t="inlineStr">
        <is>
          <t>Near 52W High Breakout</t>
        </is>
      </c>
      <c r="S167" s="31" t="inlineStr">
        <is>
          <t>Nifty 50</t>
        </is>
      </c>
      <c r="T167" s="32" t="n">
        <v>-3.34</v>
      </c>
      <c r="U167" s="32" t="n">
        <v>44.26</v>
      </c>
      <c r="V167" s="32" t="n">
        <v>49.24</v>
      </c>
      <c r="W167" s="32" t="n">
        <v>14.54</v>
      </c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Between 12 to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IF(B168=0,"",RANK(B168,$B$2:$B$326,0))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KABRAEXTRU</t>
        </is>
      </c>
      <c r="D168" s="31" t="inlineStr">
        <is>
          <t>Kabra Extrusion Technik Limited</t>
        </is>
      </c>
      <c r="E168" s="31" t="inlineStr">
        <is>
          <t>industrials</t>
        </is>
      </c>
      <c r="F168" s="31" t="inlineStr">
        <is>
          <t>engineering</t>
        </is>
      </c>
      <c r="G168" s="31" t="inlineStr">
        <is>
          <t>smallcap</t>
        </is>
      </c>
      <c r="H168" s="32" t="n">
        <v>2026.33</v>
      </c>
      <c r="I168" s="32" t="n">
        <v>559.95</v>
      </c>
      <c r="J168" s="32" t="n">
        <v>-3.36</v>
      </c>
      <c r="K168" s="32" t="n">
        <v>315900</v>
      </c>
      <c r="L168" s="31" t="n">
        <v>96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79.51000000000001</v>
      </c>
      <c r="P168" s="32" t="n">
        <v>50.49</v>
      </c>
      <c r="Q168" s="32" t="n">
        <v>467.57</v>
      </c>
      <c r="R168" s="31" t="inlineStr">
        <is>
          <t>Earnings / Momentum Support</t>
        </is>
      </c>
      <c r="S168" s="31" t="inlineStr">
        <is>
          <t>Nifty 50</t>
        </is>
      </c>
      <c r="T168" s="32" t="n">
        <v>-3.34</v>
      </c>
      <c r="U168" s="32" t="n">
        <v>105.07</v>
      </c>
      <c r="V168" s="32" t="n">
        <v>112.16</v>
      </c>
      <c r="W168" s="32" t="n">
        <v>52.46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Above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IF(B169=0,"",RANK(B169,$B$2:$B$326,0))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MAWANASUG</t>
        </is>
      </c>
      <c r="D169" s="31" t="inlineStr">
        <is>
          <t>Mawana Sugars Limited</t>
        </is>
      </c>
      <c r="E169" s="31" t="inlineStr">
        <is>
          <t>fmcg</t>
        </is>
      </c>
      <c r="F169" s="31" t="inlineStr">
        <is>
          <t>sugar</t>
        </is>
      </c>
      <c r="G169" s="31" t="inlineStr">
        <is>
          <t>smallcap</t>
        </is>
      </c>
      <c r="H169" s="32" t="n">
        <v>556.67</v>
      </c>
      <c r="I169" s="32" t="n">
        <v>147.87</v>
      </c>
      <c r="J169" s="32" t="n">
        <v>3.91</v>
      </c>
      <c r="K169" s="32" t="n">
        <v>734892</v>
      </c>
      <c r="L169" s="31" t="n">
        <v>74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76.40000000000001</v>
      </c>
      <c r="P169" s="32" t="n">
        <v>39.26</v>
      </c>
      <c r="Q169" s="32" t="n">
        <v>113.99</v>
      </c>
      <c r="R169" s="31" t="inlineStr">
        <is>
          <t>Near 52W High Breakout</t>
        </is>
      </c>
      <c r="S169" s="31" t="inlineStr">
        <is>
          <t>Nifty FMCG</t>
        </is>
      </c>
      <c r="T169" s="32" t="n">
        <v>-15.28</v>
      </c>
      <c r="U169" s="32" t="n">
        <v>58.36</v>
      </c>
      <c r="V169" s="32" t="n">
        <v>86.92</v>
      </c>
      <c r="W169" s="32" t="n">
        <v>21.54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B2C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Annuity, Lower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Above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Between 0.7 to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IF(B170=0,"",RANK(B170,$B$2:$B$326,0))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3" t="inlineStr">
        <is>
          <t>LINCOLN</t>
        </is>
      </c>
      <c r="D170" s="33" t="inlineStr">
        <is>
          <t>Lincoln Pharmaceuticals Limited</t>
        </is>
      </c>
      <c r="E170" s="31" t="inlineStr">
        <is>
          <t>healthcare</t>
        </is>
      </c>
      <c r="F170" s="31" t="inlineStr">
        <is>
          <t>pharmaceuticals - indian - formulations</t>
        </is>
      </c>
      <c r="G170" s="31" t="inlineStr">
        <is>
          <t>smallcap</t>
        </is>
      </c>
      <c r="H170" s="32" t="n">
        <v>1221.11</v>
      </c>
      <c r="I170" s="32" t="n">
        <v>618.35</v>
      </c>
      <c r="J170" s="32" t="n">
        <v>1.43</v>
      </c>
      <c r="K170" s="32" t="n">
        <v>56377</v>
      </c>
      <c r="L170" s="31" t="n">
        <v>11</v>
      </c>
      <c r="M170" s="31" t="inlineStr">
        <is>
          <t>Underperforming</t>
        </is>
      </c>
      <c r="N170" s="32">
        <f>IF(M170="Underperforming",-5,IF(L170&gt;=95,15,IF(L170&gt;=90,10,IF(L170&gt;=80,5,0))))</f>
        <v/>
      </c>
      <c r="O170" s="32" t="n">
        <v>52.93</v>
      </c>
      <c r="P170" s="32" t="n">
        <v>28.73</v>
      </c>
      <c r="Q170" s="32" t="n">
        <v>493.6</v>
      </c>
      <c r="R170" s="31" t="inlineStr">
        <is>
          <t>Earnings / Momentum Support</t>
        </is>
      </c>
      <c r="S170" s="31" t="inlineStr">
        <is>
          <t>Nifty Pharma</t>
        </is>
      </c>
      <c r="T170" s="32" t="n">
        <v>22.15</v>
      </c>
      <c r="U170" s="32" t="n">
        <v>11.03</v>
      </c>
      <c r="V170" s="32" t="n">
        <v>-9.1</v>
      </c>
      <c r="W170" s="32" t="n">
        <v>2.55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IF(B171=0,"",RANK(B171,$B$2:$B$326,0))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LTFOODS</t>
        </is>
      </c>
      <c r="D171" s="31" t="inlineStr">
        <is>
          <t>L T Foods Ltd</t>
        </is>
      </c>
      <c r="E171" s="31" t="inlineStr">
        <is>
          <t>fmcg</t>
        </is>
      </c>
      <c r="F171" s="31" t="inlineStr">
        <is>
          <t>food - processing - indian</t>
        </is>
      </c>
      <c r="G171" s="31" t="inlineStr">
        <is>
          <t>midcap</t>
        </is>
      </c>
      <c r="H171" s="32" t="n">
        <v>15174.95</v>
      </c>
      <c r="I171" s="32" t="n">
        <v>442.45</v>
      </c>
      <c r="J171" s="32" t="n">
        <v>1.25</v>
      </c>
      <c r="K171" s="32" t="n">
        <v>718335</v>
      </c>
      <c r="L171" s="31" t="n">
        <v>4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63.09</v>
      </c>
      <c r="P171" s="32" t="n">
        <v>19.27</v>
      </c>
      <c r="Q171" s="32" t="n">
        <v>357.47</v>
      </c>
      <c r="R171" s="31" t="inlineStr">
        <is>
          <t>Earnings / Momentum Support</t>
        </is>
      </c>
      <c r="S171" s="31" t="inlineStr">
        <is>
          <t>Nifty FMCG</t>
        </is>
      </c>
      <c r="T171" s="32" t="n">
        <v>-15.28</v>
      </c>
      <c r="U171" s="32" t="n">
        <v>-8.529999999999999</v>
      </c>
      <c r="V171" s="32" t="n">
        <v>7.96</v>
      </c>
      <c r="W171" s="32" t="n">
        <v>0.35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B2C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IF(B172=0,"",RANK(B172,$B$2:$B$326,0))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3" t="inlineStr">
        <is>
          <t>ANTHEM</t>
        </is>
      </c>
      <c r="D172" s="33" t="inlineStr">
        <is>
          <t>Anthem Biosciences Ltd</t>
        </is>
      </c>
      <c r="E172" s="31" t="inlineStr">
        <is>
          <t>healthcare</t>
        </is>
      </c>
      <c r="F172" s="31" t="inlineStr">
        <is>
          <t>pharmaceuticals - indian - bulk drugs &amp; formln</t>
        </is>
      </c>
      <c r="G172" s="31" t="inlineStr">
        <is>
          <t>largecap</t>
        </is>
      </c>
      <c r="H172" s="32" t="n">
        <v>52084.92</v>
      </c>
      <c r="I172" s="32" t="n">
        <v>934.5</v>
      </c>
      <c r="J172" s="32" t="n">
        <v>1.08</v>
      </c>
      <c r="K172" s="32" t="n">
        <v>1484697</v>
      </c>
      <c r="L172" s="31" t="n">
        <v>32</v>
      </c>
      <c r="M172" s="31" t="inlineStr">
        <is>
          <t>Underperforming</t>
        </is>
      </c>
      <c r="N172" s="32">
        <f>IF(M172="Underperforming",-5,IF(L172&gt;=95,15,IF(L172&gt;=90,10,IF(L172&gt;=80,5,0))))</f>
        <v/>
      </c>
      <c r="O172" s="32" t="n">
        <v>72.56</v>
      </c>
      <c r="P172" s="32" t="n">
        <v>42.58</v>
      </c>
      <c r="Q172" s="32" t="n">
        <v>783.9</v>
      </c>
      <c r="R172" s="31" t="inlineStr">
        <is>
          <t>Near 52W High Breakout</t>
        </is>
      </c>
      <c r="S172" s="31" t="inlineStr">
        <is>
          <t>Nifty Pharma</t>
        </is>
      </c>
      <c r="T172" s="32" t="n">
        <v>22.15</v>
      </c>
      <c r="U172" s="32" t="n">
        <v>12.91</v>
      </c>
      <c r="V172" s="32" t="n">
        <v>-7.56</v>
      </c>
      <c r="W172" s="32" t="n">
        <v>8.220000000000001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Yes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IF(B173=0,"",RANK(B173,$B$2:$B$326,0))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KOPRAN</t>
        </is>
      </c>
      <c r="D173" s="31" t="inlineStr">
        <is>
          <t>Kopran Limited</t>
        </is>
      </c>
      <c r="E173" s="31" t="inlineStr">
        <is>
          <t>healthcare</t>
        </is>
      </c>
      <c r="F173" s="31" t="inlineStr">
        <is>
          <t>pharmaceuticals - indian - bulk drugs &amp; formln</t>
        </is>
      </c>
      <c r="G173" s="31" t="inlineStr">
        <is>
          <t>smallcap</t>
        </is>
      </c>
      <c r="H173" s="32" t="n">
        <v>1050.6</v>
      </c>
      <c r="I173" s="32" t="n">
        <v>218.81</v>
      </c>
      <c r="J173" s="32" t="n">
        <v>0.57</v>
      </c>
      <c r="K173" s="32" t="n">
        <v>212685</v>
      </c>
      <c r="L173" s="31" t="n">
        <v>44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67.39</v>
      </c>
      <c r="P173" s="32" t="n">
        <v>40.31</v>
      </c>
      <c r="Q173" s="32" t="n">
        <v>158.85</v>
      </c>
      <c r="R173" s="31" t="inlineStr">
        <is>
          <t>Volume Spike &amp; Near 52W High Breakout</t>
        </is>
      </c>
      <c r="S173" s="31" t="inlineStr">
        <is>
          <t>Nifty Pharma</t>
        </is>
      </c>
      <c r="T173" s="32" t="n">
        <v>22.15</v>
      </c>
      <c r="U173" s="32" t="n">
        <v>25.72</v>
      </c>
      <c r="V173" s="32" t="n">
        <v>2.92</v>
      </c>
      <c r="W173" s="32" t="n">
        <v>11.31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Yes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IF(B174=0,"",RANK(B174,$B$2:$B$326,0))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SBCL</t>
        </is>
      </c>
      <c r="D174" s="31" t="inlineStr">
        <is>
          <t>Shivalik Bimetal Controls Ltd</t>
        </is>
      </c>
      <c r="E174" s="31" t="inlineStr">
        <is>
          <t>metals &amp; mining</t>
        </is>
      </c>
      <c r="F174" s="31" t="inlineStr">
        <is>
          <t>mining / minerals / metals</t>
        </is>
      </c>
      <c r="G174" s="31" t="inlineStr">
        <is>
          <t>midcap</t>
        </is>
      </c>
      <c r="H174" s="32" t="n">
        <v>6036.34</v>
      </c>
      <c r="I174" s="32" t="n">
        <v>1050.9</v>
      </c>
      <c r="J174" s="32" t="n">
        <v>0.29</v>
      </c>
      <c r="K174" s="32" t="n">
        <v>240612</v>
      </c>
      <c r="L174" s="31" t="n">
        <v>89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77.06</v>
      </c>
      <c r="P174" s="32" t="n">
        <v>50.85</v>
      </c>
      <c r="Q174" s="32" t="n">
        <v>804.26</v>
      </c>
      <c r="R174" s="31" t="inlineStr">
        <is>
          <t>Near 52W High Breakout</t>
        </is>
      </c>
      <c r="S174" s="31" t="inlineStr">
        <is>
          <t>Nifty Metal</t>
        </is>
      </c>
      <c r="T174" s="32" t="n">
        <v>39.6</v>
      </c>
      <c r="U174" s="32" t="n">
        <v>91.44</v>
      </c>
      <c r="V174" s="32" t="n">
        <v>37.14</v>
      </c>
      <c r="W174" s="32" t="n">
        <v>34.45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Monopoly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Shallow Cyclical (2 to 3 Years Growth)</t>
        </is>
      </c>
      <c r="AG174" s="31">
        <f>IF(AF174="Structural (10 Years Consistency)",10,IF(AF174="Shallow Cyclical (2 to 3 years growth)",5,0))</f>
        <v/>
      </c>
      <c r="AH174" s="31" t="inlineStr">
        <is>
          <t>Yes due to Product Mix change or Operating Leverage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Fully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Yes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Between 1.5 to 2</t>
        </is>
      </c>
      <c r="BU174" s="31">
        <f>IF(BT174="Above 2",0,IF(BT174="Between 1.5 to 2",5,IF(BT174="Less than 1.5",10,0)))</f>
        <v/>
      </c>
      <c r="BV174" s="31" t="inlineStr">
        <is>
          <t>Less than 50%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IF(B175=0,"",RANK(B175,$B$2:$B$326,0))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3" t="inlineStr">
        <is>
          <t>PPLPHARMA</t>
        </is>
      </c>
      <c r="D175" s="33" t="inlineStr">
        <is>
          <t>Piramal Pharma Ltd</t>
        </is>
      </c>
      <c r="E175" s="31" t="inlineStr">
        <is>
          <t>healthcare</t>
        </is>
      </c>
      <c r="F175" s="31" t="inlineStr">
        <is>
          <t>pharmaceuticals - indian - bulk drugs &amp; formln</t>
        </is>
      </c>
      <c r="G175" s="31" t="inlineStr">
        <is>
          <t>largecap</t>
        </is>
      </c>
      <c r="H175" s="32" t="n">
        <v>28384.34</v>
      </c>
      <c r="I175" s="32" t="n">
        <v>213.78</v>
      </c>
      <c r="J175" s="32" t="n">
        <v>0.27</v>
      </c>
      <c r="K175" s="32" t="n">
        <v>3102064</v>
      </c>
      <c r="L175" s="31" t="n">
        <v>31</v>
      </c>
      <c r="M175" s="31" t="inlineStr">
        <is>
          <t>Underperforming</t>
        </is>
      </c>
      <c r="N175" s="32">
        <f>IF(M175="Underperforming",-5,IF(L175&gt;=95,15,IF(L175&gt;=90,10,IF(L175&gt;=80,5,0))))</f>
        <v/>
      </c>
      <c r="O175" s="32" t="n">
        <v>68.75</v>
      </c>
      <c r="P175" s="32" t="n">
        <v>30.28</v>
      </c>
      <c r="Q175" s="32" t="n">
        <v>175.27</v>
      </c>
      <c r="R175" s="31" t="inlineStr">
        <is>
          <t>Near 52W High Breakout</t>
        </is>
      </c>
      <c r="S175" s="31" t="inlineStr">
        <is>
          <t>Nifty Pharma</t>
        </is>
      </c>
      <c r="T175" s="32" t="n">
        <v>22.15</v>
      </c>
      <c r="U175" s="32" t="n">
        <v>6.54</v>
      </c>
      <c r="V175" s="32" t="n">
        <v>-12.77</v>
      </c>
      <c r="W175" s="32" t="n">
        <v>8.050000000000001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Yes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IF(B176=0,"",RANK(B176,$B$2:$B$326,0))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ENTERO</t>
        </is>
      </c>
      <c r="D176" s="31" t="inlineStr">
        <is>
          <t>Entero Healthcare Solutions Ltd</t>
        </is>
      </c>
      <c r="E176" s="31" t="inlineStr">
        <is>
          <t>healthcare</t>
        </is>
      </c>
      <c r="F176" s="31" t="inlineStr">
        <is>
          <t>trading</t>
        </is>
      </c>
      <c r="G176" s="31" t="inlineStr">
        <is>
          <t>midcap</t>
        </is>
      </c>
      <c r="H176" s="32" t="n">
        <v>7855.91</v>
      </c>
      <c r="I176" s="32" t="n">
        <v>1797.4</v>
      </c>
      <c r="J176" s="32" t="n">
        <v>-0.42</v>
      </c>
      <c r="K176" s="32" t="n">
        <v>166967</v>
      </c>
      <c r="L176" s="31" t="n">
        <v>78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77.03</v>
      </c>
      <c r="P176" s="32" t="n">
        <v>33.21</v>
      </c>
      <c r="Q176" s="32" t="n">
        <v>1427.14</v>
      </c>
      <c r="R176" s="31" t="inlineStr">
        <is>
          <t>Near 52W High Breakout</t>
        </is>
      </c>
      <c r="S176" s="31" t="inlineStr">
        <is>
          <t>Nifty Pharma</t>
        </is>
      </c>
      <c r="T176" s="32" t="n">
        <v>22.15</v>
      </c>
      <c r="U176" s="32" t="n">
        <v>49.37</v>
      </c>
      <c r="V176" s="32" t="n">
        <v>22.29</v>
      </c>
      <c r="W176" s="32" t="n">
        <v>23.27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Yes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Above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Between 1.5 to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IF(B177=0,"",RANK(B177,$B$2:$B$326,0))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3" t="inlineStr">
        <is>
          <t>SOLARA</t>
        </is>
      </c>
      <c r="D177" s="33" t="inlineStr">
        <is>
          <t>Solara Active Pharma Sciences Ltd</t>
        </is>
      </c>
      <c r="E177" s="31" t="inlineStr">
        <is>
          <t>healthcare</t>
        </is>
      </c>
      <c r="F177" s="31" t="inlineStr">
        <is>
          <t>pharmaceuticals - indian - bulk drugs &amp; formln</t>
        </is>
      </c>
      <c r="G177" s="31" t="inlineStr">
        <is>
          <t>smallcap</t>
        </is>
      </c>
      <c r="H177" s="32" t="n">
        <v>3104.39</v>
      </c>
      <c r="I177" s="32" t="n">
        <v>640.35</v>
      </c>
      <c r="J177" s="32" t="n">
        <v>-0.48</v>
      </c>
      <c r="K177" s="32" t="n">
        <v>350170</v>
      </c>
      <c r="L177" s="31" t="n">
        <v>18</v>
      </c>
      <c r="M177" s="31" t="inlineStr">
        <is>
          <t>Underperforming</t>
        </is>
      </c>
      <c r="N177" s="32">
        <f>IF(M177="Underperforming",-5,IF(L177&gt;=95,15,IF(L177&gt;=90,10,IF(L177&gt;=80,5,0))))</f>
        <v/>
      </c>
      <c r="O177" s="32" t="n">
        <v>63.12</v>
      </c>
      <c r="P177" s="32" t="n">
        <v>26.33</v>
      </c>
      <c r="Q177" s="32" t="n">
        <v>470.25</v>
      </c>
      <c r="R177" s="31" t="inlineStr">
        <is>
          <t>Earnings / Momentum Support</t>
        </is>
      </c>
      <c r="S177" s="31" t="inlineStr">
        <is>
          <t>Nifty Pharma</t>
        </is>
      </c>
      <c r="T177" s="32" t="n">
        <v>22.15</v>
      </c>
      <c r="U177" s="32" t="n">
        <v>-3.67</v>
      </c>
      <c r="V177" s="32" t="n">
        <v>-21.14</v>
      </c>
      <c r="W177" s="32" t="n">
        <v>4.43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Yes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IF(B178=0,"",RANK(B178,$B$2:$B$326,0))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ARTEMISMED</t>
        </is>
      </c>
      <c r="D178" s="31" t="inlineStr">
        <is>
          <t>Artemis Medicare Services Ltd</t>
        </is>
      </c>
      <c r="E178" s="31" t="inlineStr">
        <is>
          <t>healthcare</t>
        </is>
      </c>
      <c r="F178" s="31" t="inlineStr">
        <is>
          <t>healthcare</t>
        </is>
      </c>
      <c r="G178" s="31" t="inlineStr">
        <is>
          <t>midcap</t>
        </is>
      </c>
      <c r="H178" s="32" t="n">
        <v>5191.65</v>
      </c>
      <c r="I178" s="32" t="n">
        <v>320.7</v>
      </c>
      <c r="J178" s="32" t="n">
        <v>-2.21</v>
      </c>
      <c r="K178" s="32" t="n">
        <v>226615</v>
      </c>
      <c r="L178" s="31" t="n">
        <v>47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69.43000000000001</v>
      </c>
      <c r="P178" s="32" t="n">
        <v>34.48</v>
      </c>
      <c r="Q178" s="32" t="n">
        <v>265.21</v>
      </c>
      <c r="R178" s="31" t="inlineStr">
        <is>
          <t>Near 52W High Breakout</t>
        </is>
      </c>
      <c r="S178" s="31" t="inlineStr">
        <is>
          <t>Nifty Pharma</t>
        </is>
      </c>
      <c r="T178" s="32" t="n">
        <v>22.15</v>
      </c>
      <c r="U178" s="32" t="n">
        <v>41.24</v>
      </c>
      <c r="V178" s="32" t="n">
        <v>15.63</v>
      </c>
      <c r="W178" s="32" t="n">
        <v>11.94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IF(B179=0,"",RANK(B179,$B$2:$B$326,0))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ARIES</t>
        </is>
      </c>
      <c r="D179" s="31" t="inlineStr">
        <is>
          <t>Aries Agro Limited</t>
        </is>
      </c>
      <c r="E179" s="31" t="inlineStr">
        <is>
          <t>chemicals</t>
        </is>
      </c>
      <c r="F179" s="31" t="inlineStr">
        <is>
          <t>fertilizers</t>
        </is>
      </c>
      <c r="G179" s="31" t="inlineStr">
        <is>
          <t>smallcap</t>
        </is>
      </c>
      <c r="H179" s="32" t="n">
        <v>596.7</v>
      </c>
      <c r="I179" s="32" t="n">
        <v>495.35</v>
      </c>
      <c r="J179" s="32" t="n">
        <v>7.95</v>
      </c>
      <c r="K179" s="32" t="n">
        <v>480377</v>
      </c>
      <c r="L179" s="31" t="n">
        <v>57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79.48999999999999</v>
      </c>
      <c r="P179" s="32" t="n">
        <v>19.81</v>
      </c>
      <c r="Q179" s="32" t="n">
        <v>384.98</v>
      </c>
      <c r="R179" s="31" t="inlineStr">
        <is>
          <t>Volume Spike &amp; Near 52W High Breakout</t>
        </is>
      </c>
      <c r="S179" s="31" t="inlineStr">
        <is>
          <t>Nifty 50</t>
        </is>
      </c>
      <c r="T179" s="32" t="n">
        <v>-3.34</v>
      </c>
      <c r="U179" s="32" t="n">
        <v>20.1</v>
      </c>
      <c r="V179" s="32" t="n">
        <v>24.25</v>
      </c>
      <c r="W179" s="32" t="n">
        <v>16.09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Above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Blue sky scenario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IF(B180=0,"",RANK(B180,$B$2:$B$326,0))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3" t="inlineStr">
        <is>
          <t>RAYMOND</t>
        </is>
      </c>
      <c r="D180" s="33" t="inlineStr">
        <is>
          <t>Raymond Limited</t>
        </is>
      </c>
      <c r="E180" s="31" t="inlineStr">
        <is>
          <t>transportation</t>
        </is>
      </c>
      <c r="F180" s="31" t="inlineStr">
        <is>
          <t>transport - airlines</t>
        </is>
      </c>
      <c r="G180" s="31" t="inlineStr">
        <is>
          <t>smallcap</t>
        </is>
      </c>
      <c r="H180" s="32" t="n">
        <v>4229.43</v>
      </c>
      <c r="I180" s="32" t="n">
        <v>667.25</v>
      </c>
      <c r="J180" s="32" t="n">
        <v>5.03</v>
      </c>
      <c r="K180" s="32" t="n">
        <v>2180718</v>
      </c>
      <c r="L180" s="31" t="n">
        <v>52</v>
      </c>
      <c r="M180" s="31" t="inlineStr">
        <is>
          <t>Underperforming</t>
        </is>
      </c>
      <c r="N180" s="32">
        <f>IF(M180="Underperforming",-5,IF(L180&gt;=95,15,IF(L180&gt;=90,10,IF(L180&gt;=80,5,0))))</f>
        <v/>
      </c>
      <c r="O180" s="32" t="n">
        <v>65.54000000000001</v>
      </c>
      <c r="P180" s="32" t="n">
        <v>42.36</v>
      </c>
      <c r="Q180" s="32" t="n">
        <v>521.51</v>
      </c>
      <c r="R180" s="31" t="inlineStr">
        <is>
          <t>Near 52W High Breakout</t>
        </is>
      </c>
      <c r="S180" s="31" t="inlineStr">
        <is>
          <t>Nifty Infra</t>
        </is>
      </c>
      <c r="T180" s="32" t="n">
        <v>1.61</v>
      </c>
      <c r="U180" s="32" t="n">
        <v>-5.1</v>
      </c>
      <c r="V180" s="32" t="n">
        <v>-6.6</v>
      </c>
      <c r="W180" s="32" t="n">
        <v>14.18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IF(B181=0,"",RANK(B181,$B$2:$B$326,0))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GANESHBE</t>
        </is>
      </c>
      <c r="D181" s="31" t="inlineStr">
        <is>
          <t>Ganesh Benzoplast Ltd</t>
        </is>
      </c>
      <c r="E181" s="31" t="inlineStr">
        <is>
          <t>miscellaneous</t>
        </is>
      </c>
      <c r="F181" s="31" t="inlineStr">
        <is>
          <t>miscellaneous</t>
        </is>
      </c>
      <c r="G181" s="31" t="inlineStr">
        <is>
          <t>smallcap</t>
        </is>
      </c>
      <c r="H181" s="32" t="n">
        <v>837.74</v>
      </c>
      <c r="I181" s="32" t="n">
        <v>122.18</v>
      </c>
      <c r="J181" s="32" t="n">
        <v>4.99</v>
      </c>
      <c r="K181" s="32" t="n">
        <v>186820</v>
      </c>
      <c r="L181" s="31" t="n">
        <v>45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65.40000000000001</v>
      </c>
      <c r="P181" s="32" t="n">
        <v>32.64</v>
      </c>
      <c r="Q181" s="32" t="n">
        <v>90.79000000000001</v>
      </c>
      <c r="R181" s="31" t="inlineStr">
        <is>
          <t>Near 52W High Breakout</t>
        </is>
      </c>
      <c r="S181" s="31" t="inlineStr">
        <is>
          <t>Nifty Energy</t>
        </is>
      </c>
      <c r="T181" s="32" t="n">
        <v>7.88</v>
      </c>
      <c r="U181" s="32" t="n">
        <v>27.05</v>
      </c>
      <c r="V181" s="32" t="n">
        <v>17.77</v>
      </c>
      <c r="W181" s="32" t="n">
        <v>11.41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IF(B182=0,"",RANK(B182,$B$2:$B$326,0))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3" t="inlineStr">
        <is>
          <t>KAMDHENU</t>
        </is>
      </c>
      <c r="D182" s="33" t="inlineStr">
        <is>
          <t>Kamdhenu Limited</t>
        </is>
      </c>
      <c r="E182" s="31" t="inlineStr">
        <is>
          <t>metals &amp; mining</t>
        </is>
      </c>
      <c r="F182" s="31" t="inlineStr">
        <is>
          <t>steel - medium / small</t>
        </is>
      </c>
      <c r="G182" s="31" t="inlineStr">
        <is>
          <t>smallcap</t>
        </is>
      </c>
      <c r="H182" s="32" t="n">
        <v>1019.29</v>
      </c>
      <c r="I182" s="32" t="n">
        <v>37.45</v>
      </c>
      <c r="J182" s="32" t="n">
        <v>3.57</v>
      </c>
      <c r="K182" s="32" t="n">
        <v>1034547</v>
      </c>
      <c r="L182" s="31" t="n">
        <v>78</v>
      </c>
      <c r="M182" s="31" t="inlineStr">
        <is>
          <t>Underperforming</t>
        </is>
      </c>
      <c r="N182" s="32">
        <f>IF(M182="Underperforming",-5,IF(L182&gt;=95,15,IF(L182&gt;=90,10,IF(L182&gt;=80,5,0))))</f>
        <v/>
      </c>
      <c r="O182" s="32" t="n">
        <v>71.83</v>
      </c>
      <c r="P182" s="32" t="n">
        <v>47.96</v>
      </c>
      <c r="Q182" s="32" t="n">
        <v>28.02</v>
      </c>
      <c r="R182" s="31" t="inlineStr">
        <is>
          <t>Near 52W High Breakout</t>
        </is>
      </c>
      <c r="S182" s="31" t="inlineStr">
        <is>
          <t>Nifty Metal</t>
        </is>
      </c>
      <c r="T182" s="32" t="n">
        <v>39.6</v>
      </c>
      <c r="U182" s="32" t="n">
        <v>26.54</v>
      </c>
      <c r="V182" s="32" t="n">
        <v>-9.359999999999999</v>
      </c>
      <c r="W182" s="32" t="n">
        <v>23.28</v>
      </c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Cyclical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Volatile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IF(B183=0,"",RANK(B183,$B$2:$B$326,0))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ORIENTHOT</t>
        </is>
      </c>
      <c r="D183" s="31" t="inlineStr">
        <is>
          <t>Oriental Hotels Limited</t>
        </is>
      </c>
      <c r="E183" s="31" t="inlineStr">
        <is>
          <t>services</t>
        </is>
      </c>
      <c r="F183" s="31" t="inlineStr">
        <is>
          <t>hotels</t>
        </is>
      </c>
      <c r="G183" s="31" t="inlineStr">
        <is>
          <t>smallcap</t>
        </is>
      </c>
      <c r="H183" s="32" t="n">
        <v>2476.28</v>
      </c>
      <c r="I183" s="32" t="n">
        <v>141.32</v>
      </c>
      <c r="J183" s="32" t="n">
        <v>1.93</v>
      </c>
      <c r="K183" s="32" t="n">
        <v>1214254</v>
      </c>
      <c r="L183" s="31" t="n">
        <v>40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63.57</v>
      </c>
      <c r="P183" s="32" t="n">
        <v>38.17</v>
      </c>
      <c r="Q183" s="32" t="n">
        <v>105.28</v>
      </c>
      <c r="R183" s="31" t="inlineStr">
        <is>
          <t>Near 52W High Breakout</t>
        </is>
      </c>
      <c r="S183" s="31" t="inlineStr">
        <is>
          <t>Nifty 50</t>
        </is>
      </c>
      <c r="T183" s="32" t="n">
        <v>-3.34</v>
      </c>
      <c r="U183" s="32" t="n">
        <v>1.24</v>
      </c>
      <c r="V183" s="32" t="n">
        <v>4.74</v>
      </c>
      <c r="W183" s="32" t="n">
        <v>10.16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IF(B184=0,"",RANK(B184,$B$2:$B$326,0))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INGERRAND</t>
        </is>
      </c>
      <c r="D184" s="31" t="inlineStr">
        <is>
          <t>Ingersoll Rand (india) Limited</t>
        </is>
      </c>
      <c r="E184" s="31" t="inlineStr">
        <is>
          <t>industrials</t>
        </is>
      </c>
      <c r="F184" s="31" t="inlineStr">
        <is>
          <t>compressors / drilling equipment</t>
        </is>
      </c>
      <c r="G184" s="31" t="inlineStr">
        <is>
          <t>midcap</t>
        </is>
      </c>
      <c r="H184" s="32" t="n">
        <v>15133.7</v>
      </c>
      <c r="I184" s="32" t="n">
        <v>4883.5</v>
      </c>
      <c r="J184" s="32" t="n">
        <v>1.87</v>
      </c>
      <c r="K184" s="32" t="n">
        <v>78135</v>
      </c>
      <c r="L184" s="31" t="n">
        <v>41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65.09</v>
      </c>
      <c r="P184" s="32" t="n">
        <v>23.36</v>
      </c>
      <c r="Q184" s="32" t="n">
        <v>3967.24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-3.34</v>
      </c>
      <c r="U184" s="32" t="n">
        <v>30.73</v>
      </c>
      <c r="V184" s="32" t="n">
        <v>35.25</v>
      </c>
      <c r="W184" s="32" t="n">
        <v>10.68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Between 12 to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IF(B185=0,"",RANK(B185,$B$2:$B$326,0))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TITAN</t>
        </is>
      </c>
      <c r="D185" s="31" t="inlineStr">
        <is>
          <t>Titan Company Limited</t>
        </is>
      </c>
      <c r="E185" s="31" t="inlineStr">
        <is>
          <t>consumer discretionary</t>
        </is>
      </c>
      <c r="F185" s="31" t="inlineStr">
        <is>
          <t>diamond cutting / jewellery</t>
        </is>
      </c>
      <c r="G185" s="31" t="inlineStr">
        <is>
          <t>largecap</t>
        </is>
      </c>
      <c r="H185" s="32" t="n">
        <v>448332.01</v>
      </c>
      <c r="I185" s="32" t="n">
        <v>5074</v>
      </c>
      <c r="J185" s="32" t="n">
        <v>0.48</v>
      </c>
      <c r="K185" s="32" t="n">
        <v>812660</v>
      </c>
      <c r="L185" s="31" t="n">
        <v>42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69.08</v>
      </c>
      <c r="P185" s="32" t="n">
        <v>33.86</v>
      </c>
      <c r="Q185" s="32" t="n">
        <v>4561.77</v>
      </c>
      <c r="R185" s="31" t="inlineStr">
        <is>
          <t>Near 52W High Breakout</t>
        </is>
      </c>
      <c r="S185" s="31" t="inlineStr">
        <is>
          <t>Nifty 50</t>
        </is>
      </c>
      <c r="T185" s="32" t="n">
        <v>-3.34</v>
      </c>
      <c r="U185" s="32" t="n">
        <v>38.89</v>
      </c>
      <c r="V185" s="32" t="n">
        <v>43.69</v>
      </c>
      <c r="W185" s="32" t="n">
        <v>10.94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More than 1.2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IF(B186=0,"",RANK(B186,$B$2:$B$326,0))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BEPL</t>
        </is>
      </c>
      <c r="D186" s="31" t="inlineStr">
        <is>
          <t>Bhansali Engineering Polymers Limited</t>
        </is>
      </c>
      <c r="E186" s="31" t="inlineStr">
        <is>
          <t>energy</t>
        </is>
      </c>
      <c r="F186" s="31" t="inlineStr">
        <is>
          <t>petrochemicals</t>
        </is>
      </c>
      <c r="G186" s="31" t="inlineStr">
        <is>
          <t>smallcap</t>
        </is>
      </c>
      <c r="H186" s="32" t="n">
        <v>3164.48</v>
      </c>
      <c r="I186" s="32" t="n">
        <v>127.29</v>
      </c>
      <c r="J186" s="32" t="n">
        <v>0.1</v>
      </c>
      <c r="K186" s="32" t="n">
        <v>1468903</v>
      </c>
      <c r="L186" s="31" t="n">
        <v>46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71.5</v>
      </c>
      <c r="P186" s="32" t="n">
        <v>54.75</v>
      </c>
      <c r="Q186" s="32" t="n">
        <v>99.56999999999999</v>
      </c>
      <c r="R186" s="31" t="inlineStr">
        <is>
          <t>Near 52W High Breakout</t>
        </is>
      </c>
      <c r="S186" s="31" t="inlineStr">
        <is>
          <t>Nifty Energy</t>
        </is>
      </c>
      <c r="T186" s="32" t="n">
        <v>7.88</v>
      </c>
      <c r="U186" s="32" t="n">
        <v>23.35</v>
      </c>
      <c r="V186" s="32" t="n">
        <v>14.34</v>
      </c>
      <c r="W186" s="32" t="n">
        <v>11.81</v>
      </c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Oligopoly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Yes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Cyclical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Volatile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Less than 1.5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IF(B187=0,"",RANK(B187,$B$2:$B$326,0))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SIEMENS</t>
        </is>
      </c>
      <c r="D187" s="31" t="inlineStr">
        <is>
          <t>Siemens Limited</t>
        </is>
      </c>
      <c r="E187" s="31" t="inlineStr">
        <is>
          <t>industrials</t>
        </is>
      </c>
      <c r="F187" s="31" t="inlineStr">
        <is>
          <t>electric equipment</t>
        </is>
      </c>
      <c r="G187" s="31" t="inlineStr">
        <is>
          <t>largecap</t>
        </is>
      </c>
      <c r="H187" s="32" t="n">
        <v>143516.56</v>
      </c>
      <c r="I187" s="32" t="n">
        <v>4018.9</v>
      </c>
      <c r="J187" s="32" t="n">
        <v>-0.28</v>
      </c>
      <c r="K187" s="32" t="n">
        <v>263290</v>
      </c>
      <c r="L187" s="31" t="n">
        <v>30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63.6</v>
      </c>
      <c r="P187" s="32" t="n">
        <v>28.5</v>
      </c>
      <c r="Q187" s="32" t="n">
        <v>3404.17</v>
      </c>
      <c r="R187" s="31" t="inlineStr">
        <is>
          <t>Near 52W High Breakout</t>
        </is>
      </c>
      <c r="S187" s="31" t="inlineStr">
        <is>
          <t>Nifty 500</t>
        </is>
      </c>
      <c r="T187" s="32" t="n">
        <v>1.72</v>
      </c>
      <c r="U187" s="32" t="n">
        <v>30.74</v>
      </c>
      <c r="V187" s="32" t="n">
        <v>28.52</v>
      </c>
      <c r="W187" s="32" t="n">
        <v>7.48</v>
      </c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IF(B188=0,"",RANK(B188,$B$2:$B$326,0))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MATRIMONY</t>
        </is>
      </c>
      <c r="D188" s="31" t="inlineStr">
        <is>
          <t>Matrimony.com Ltd</t>
        </is>
      </c>
      <c r="E188" s="31" t="inlineStr">
        <is>
          <t>miscellaneous</t>
        </is>
      </c>
      <c r="F188" s="31" t="inlineStr">
        <is>
          <t>miscellaneous</t>
        </is>
      </c>
      <c r="G188" s="31" t="inlineStr">
        <is>
          <t>smallcap</t>
        </is>
      </c>
      <c r="H188" s="32" t="n">
        <v>1072.95</v>
      </c>
      <c r="I188" s="32" t="n">
        <v>514.35</v>
      </c>
      <c r="J188" s="32" t="n">
        <v>-0.9</v>
      </c>
      <c r="K188" s="32" t="n">
        <v>5735</v>
      </c>
      <c r="L188" s="31" t="n">
        <v>27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62.28</v>
      </c>
      <c r="P188" s="32" t="n">
        <v>30.27</v>
      </c>
      <c r="Q188" s="32" t="n">
        <v>423.72</v>
      </c>
      <c r="R188" s="31" t="inlineStr">
        <is>
          <t>Earnings / Momentum Support</t>
        </is>
      </c>
      <c r="S188" s="31" t="inlineStr">
        <is>
          <t>Nifty 50</t>
        </is>
      </c>
      <c r="T188" s="32" t="n">
        <v>-3.34</v>
      </c>
      <c r="U188" s="32" t="n">
        <v>1.89</v>
      </c>
      <c r="V188" s="32" t="n">
        <v>5.41</v>
      </c>
      <c r="W188" s="32" t="n">
        <v>6.76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IF(B189=0,"",RANK(B189,$B$2:$B$326,0))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3" t="inlineStr">
        <is>
          <t>QUADFUTURE</t>
        </is>
      </c>
      <c r="D189" s="33" t="inlineStr">
        <is>
          <t>Quadrant Future Tek Ltd</t>
        </is>
      </c>
      <c r="E189" s="31" t="inlineStr">
        <is>
          <t>industrials</t>
        </is>
      </c>
      <c r="F189" s="31" t="inlineStr">
        <is>
          <t>cables - power</t>
        </is>
      </c>
      <c r="G189" s="31" t="inlineStr">
        <is>
          <t>smallcap</t>
        </is>
      </c>
      <c r="H189" s="32" t="n">
        <v>1676.6</v>
      </c>
      <c r="I189" s="32" t="n">
        <v>415</v>
      </c>
      <c r="J189" s="32" t="n">
        <v>-0.99</v>
      </c>
      <c r="K189" s="32" t="n">
        <v>294548</v>
      </c>
      <c r="L189" s="31" t="n">
        <v>24</v>
      </c>
      <c r="M189" s="31" t="inlineStr">
        <is>
          <t>Underperforming</t>
        </is>
      </c>
      <c r="N189" s="32">
        <f>IF(M189="Underperforming",-5,IF(L189&gt;=95,15,IF(L189&gt;=90,10,IF(L189&gt;=80,5,0))))</f>
        <v/>
      </c>
      <c r="O189" s="32" t="n">
        <v>58.13</v>
      </c>
      <c r="P189" s="32" t="n">
        <v>35.6</v>
      </c>
      <c r="Q189" s="32" t="n">
        <v>330.44</v>
      </c>
      <c r="R189" s="31" t="inlineStr">
        <is>
          <t>Earnings / Momentum Support</t>
        </is>
      </c>
      <c r="S189" s="31" t="inlineStr">
        <is>
          <t>Nifty Energy</t>
        </is>
      </c>
      <c r="T189" s="32" t="n">
        <v>7.88</v>
      </c>
      <c r="U189" s="32" t="n">
        <v>-11.67</v>
      </c>
      <c r="V189" s="32" t="n">
        <v>-18.13</v>
      </c>
      <c r="W189" s="32" t="n">
        <v>6.28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IF(B190=0,"",RANK(B190,$B$2:$B$326,0))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LUMAXIND</t>
        </is>
      </c>
      <c r="D190" s="31" t="inlineStr">
        <is>
          <t>Lumax Industries Limited</t>
        </is>
      </c>
      <c r="E190" s="31" t="inlineStr">
        <is>
          <t>auto</t>
        </is>
      </c>
      <c r="F190" s="31" t="inlineStr">
        <is>
          <t>auto ancillaries</t>
        </is>
      </c>
      <c r="G190" s="31" t="inlineStr">
        <is>
          <t>midcap</t>
        </is>
      </c>
      <c r="H190" s="32" t="n">
        <v>6003.58</v>
      </c>
      <c r="I190" s="32" t="n">
        <v>6347</v>
      </c>
      <c r="J190" s="32" t="n">
        <v>-1.18</v>
      </c>
      <c r="K190" s="32" t="n">
        <v>38591</v>
      </c>
      <c r="L190" s="31" t="n">
        <v>59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66.84999999999999</v>
      </c>
      <c r="P190" s="32" t="n">
        <v>14.14</v>
      </c>
      <c r="Q190" s="32" t="n">
        <v>4897.85</v>
      </c>
      <c r="R190" s="31" t="inlineStr">
        <is>
          <t>Near 52W High Breakout</t>
        </is>
      </c>
      <c r="S190" s="31" t="inlineStr">
        <is>
          <t>Nifty Auto</t>
        </is>
      </c>
      <c r="T190" s="32" t="n">
        <v>17.66</v>
      </c>
      <c r="U190" s="32" t="n">
        <v>68.92</v>
      </c>
      <c r="V190" s="32" t="n">
        <v>43.56</v>
      </c>
      <c r="W190" s="32" t="n">
        <v>16.73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Between 0.7 to 1.2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IF(B191=0,"",RANK(B191,$B$2:$B$326,0))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LMW</t>
        </is>
      </c>
      <c r="D191" s="31" t="inlineStr">
        <is>
          <t>LMW Ltd</t>
        </is>
      </c>
      <c r="E191" s="31" t="inlineStr">
        <is>
          <t>industrials</t>
        </is>
      </c>
      <c r="F191" s="31" t="inlineStr">
        <is>
          <t>textile machinery</t>
        </is>
      </c>
      <c r="G191" s="31" t="inlineStr">
        <is>
          <t>largecap</t>
        </is>
      </c>
      <c r="H191" s="32" t="n">
        <v>20309.45</v>
      </c>
      <c r="I191" s="32" t="n">
        <v>18783</v>
      </c>
      <c r="J191" s="32" t="n">
        <v>-1.2</v>
      </c>
      <c r="K191" s="32" t="n">
        <v>3472</v>
      </c>
      <c r="L191" s="31" t="n">
        <v>40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66.18000000000001</v>
      </c>
      <c r="P191" s="32" t="n">
        <v>46.01</v>
      </c>
      <c r="Q191" s="32" t="n">
        <v>16295.79</v>
      </c>
      <c r="R191" s="31" t="inlineStr">
        <is>
          <t>Earnings / Momentum Support</t>
        </is>
      </c>
      <c r="S191" s="31" t="inlineStr">
        <is>
          <t>Nifty 50</t>
        </is>
      </c>
      <c r="T191" s="32" t="n">
        <v>-3.34</v>
      </c>
      <c r="U191" s="32" t="n">
        <v>32.55</v>
      </c>
      <c r="V191" s="32" t="n">
        <v>37.13</v>
      </c>
      <c r="W191" s="32" t="n">
        <v>10.07</v>
      </c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IF(B192=0,"",RANK(B192,$B$2:$B$326,0))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ENGINERSIN</t>
        </is>
      </c>
      <c r="D192" s="31" t="inlineStr">
        <is>
          <t>Engineers India Limited</t>
        </is>
      </c>
      <c r="E192" s="31" t="inlineStr">
        <is>
          <t>realty</t>
        </is>
      </c>
      <c r="F192" s="31" t="inlineStr">
        <is>
          <t>engineering - turnkey services</t>
        </is>
      </c>
      <c r="G192" s="31" t="inlineStr">
        <is>
          <t>midcap</t>
        </is>
      </c>
      <c r="H192" s="32" t="n">
        <v>15740</v>
      </c>
      <c r="I192" s="32" t="n">
        <v>276.6</v>
      </c>
      <c r="J192" s="32" t="n">
        <v>-1.23</v>
      </c>
      <c r="K192" s="32" t="n">
        <v>6781901</v>
      </c>
      <c r="L192" s="31" t="n">
        <v>36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67.45</v>
      </c>
      <c r="P192" s="32" t="n">
        <v>13.63</v>
      </c>
      <c r="Q192" s="32" t="n">
        <v>218.38</v>
      </c>
      <c r="R192" s="31" t="inlineStr">
        <is>
          <t>Volume Spike &amp; Near 52W High Breakout</t>
        </is>
      </c>
      <c r="S192" s="31" t="inlineStr">
        <is>
          <t>Nifty Realty</t>
        </is>
      </c>
      <c r="T192" s="32" t="n">
        <v>-6.04</v>
      </c>
      <c r="U192" s="32" t="n">
        <v>23.32</v>
      </c>
      <c r="V192" s="32" t="n">
        <v>31.25</v>
      </c>
      <c r="W192" s="32" t="n">
        <v>9.24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IF(B193=0,"",RANK(B193,$B$2:$B$326,0))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TVSSRICHAK</t>
        </is>
      </c>
      <c r="D193" s="31" t="inlineStr">
        <is>
          <t>Tvs Srichakra Limited</t>
        </is>
      </c>
      <c r="E193" s="31" t="inlineStr">
        <is>
          <t>auto</t>
        </is>
      </c>
      <c r="F193" s="31" t="inlineStr">
        <is>
          <t>tyres</t>
        </is>
      </c>
      <c r="G193" s="31" t="inlineStr">
        <is>
          <t>smallcap</t>
        </is>
      </c>
      <c r="H193" s="32" t="n">
        <v>4230.9</v>
      </c>
      <c r="I193" s="32" t="n">
        <v>5426</v>
      </c>
      <c r="J193" s="32" t="n">
        <v>-1.8</v>
      </c>
      <c r="K193" s="32" t="n">
        <v>15811</v>
      </c>
      <c r="L193" s="31" t="n">
        <v>77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76.28</v>
      </c>
      <c r="P193" s="32" t="n">
        <v>29.36</v>
      </c>
      <c r="Q193" s="32" t="n">
        <v>4291.31</v>
      </c>
      <c r="R193" s="31" t="inlineStr">
        <is>
          <t>Near 52W High Breakout</t>
        </is>
      </c>
      <c r="S193" s="31" t="inlineStr">
        <is>
          <t>Nifty Auto</t>
        </is>
      </c>
      <c r="T193" s="32" t="n">
        <v>17.66</v>
      </c>
      <c r="U193" s="32" t="n">
        <v>82.09</v>
      </c>
      <c r="V193" s="32" t="n">
        <v>54.76</v>
      </c>
      <c r="W193" s="32" t="n">
        <v>22.98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Above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IF(B194=0,"",RANK(B194,$B$2:$B$326,0))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3" t="inlineStr">
        <is>
          <t>FMGOETZE</t>
        </is>
      </c>
      <c r="D194" s="33" t="inlineStr">
        <is>
          <t>Federal-mogul Goetze (india) Limited.</t>
        </is>
      </c>
      <c r="E194" s="31" t="inlineStr">
        <is>
          <t>auto</t>
        </is>
      </c>
      <c r="F194" s="31" t="inlineStr">
        <is>
          <t>auto ancillaries</t>
        </is>
      </c>
      <c r="G194" s="31" t="inlineStr">
        <is>
          <t>smallcap</t>
        </is>
      </c>
      <c r="H194" s="32" t="n">
        <v>3476.17</v>
      </c>
      <c r="I194" s="32" t="n">
        <v>612.4</v>
      </c>
      <c r="J194" s="32" t="n">
        <v>-1.99</v>
      </c>
      <c r="K194" s="32" t="n">
        <v>1528240</v>
      </c>
      <c r="L194" s="31" t="n">
        <v>43</v>
      </c>
      <c r="M194" s="31" t="inlineStr">
        <is>
          <t>Underperforming</t>
        </is>
      </c>
      <c r="N194" s="32">
        <f>IF(M194="Underperforming",-5,IF(L194&gt;=95,15,IF(L194&gt;=90,10,IF(L194&gt;=80,5,0))))</f>
        <v/>
      </c>
      <c r="O194" s="32" t="n">
        <v>71.87</v>
      </c>
      <c r="P194" s="32" t="n">
        <v>21.1</v>
      </c>
      <c r="Q194" s="32" t="n">
        <v>480.66</v>
      </c>
      <c r="R194" s="31" t="inlineStr">
        <is>
          <t>Volume Spike &amp; Near 52W High Breakout</t>
        </is>
      </c>
      <c r="S194" s="31" t="inlineStr">
        <is>
          <t>Nifty Auto</t>
        </is>
      </c>
      <c r="T194" s="32" t="n">
        <v>17.66</v>
      </c>
      <c r="U194" s="32" t="n">
        <v>2.98</v>
      </c>
      <c r="V194" s="32" t="n">
        <v>-12.47</v>
      </c>
      <c r="W194" s="32" t="n">
        <v>11.07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Blue sky scenario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IF(B195=0,"",RANK(B195,$B$2:$B$326,0))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MANINDS</t>
        </is>
      </c>
      <c r="D195" s="31" t="inlineStr">
        <is>
          <t>Man Industries (india) Limited</t>
        </is>
      </c>
      <c r="E195" s="31" t="inlineStr">
        <is>
          <t>metals &amp; mining</t>
        </is>
      </c>
      <c r="F195" s="31" t="inlineStr">
        <is>
          <t>steel - medium / small</t>
        </is>
      </c>
      <c r="G195" s="31" t="inlineStr">
        <is>
          <t>midcap</t>
        </is>
      </c>
      <c r="H195" s="32" t="n">
        <v>5721.36</v>
      </c>
      <c r="I195" s="32" t="n">
        <v>744.85</v>
      </c>
      <c r="J195" s="32" t="n">
        <v>-2.35</v>
      </c>
      <c r="K195" s="32" t="n">
        <v>417411</v>
      </c>
      <c r="L195" s="31" t="n">
        <v>78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71.43000000000001</v>
      </c>
      <c r="P195" s="32" t="n">
        <v>32.28</v>
      </c>
      <c r="Q195" s="32" t="n">
        <v>587.5</v>
      </c>
      <c r="R195" s="31" t="inlineStr">
        <is>
          <t>Near 52W High Breakout</t>
        </is>
      </c>
      <c r="S195" s="31" t="inlineStr">
        <is>
          <t>Nifty Metal</t>
        </is>
      </c>
      <c r="T195" s="32" t="n">
        <v>39.6</v>
      </c>
      <c r="U195" s="32" t="n">
        <v>74.83</v>
      </c>
      <c r="V195" s="32" t="n">
        <v>25.24</v>
      </c>
      <c r="W195" s="32" t="n">
        <v>23.71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Cyclical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Volatile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Less than 1.5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IF(B196=0,"",RANK(B196,$B$2:$B$326,0))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BOSCHLTD</t>
        </is>
      </c>
      <c r="D196" s="31" t="inlineStr">
        <is>
          <t>Bosch Limited</t>
        </is>
      </c>
      <c r="E196" s="31" t="inlineStr">
        <is>
          <t>auto</t>
        </is>
      </c>
      <c r="F196" s="31" t="inlineStr">
        <is>
          <t>auto ancillaries</t>
        </is>
      </c>
      <c r="G196" s="31" t="inlineStr">
        <is>
          <t>largecap</t>
        </is>
      </c>
      <c r="H196" s="32" t="n">
        <v>143203.57</v>
      </c>
      <c r="I196" s="32" t="n">
        <v>47250</v>
      </c>
      <c r="J196" s="32" t="n">
        <v>-2.68</v>
      </c>
      <c r="K196" s="32" t="n">
        <v>50832</v>
      </c>
      <c r="L196" s="31" t="n">
        <v>46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69.72</v>
      </c>
      <c r="P196" s="32" t="n">
        <v>38.98</v>
      </c>
      <c r="Q196" s="32" t="n">
        <v>41304.04</v>
      </c>
      <c r="R196" s="31" t="inlineStr">
        <is>
          <t>Near 52W High Breakout</t>
        </is>
      </c>
      <c r="S196" s="31" t="inlineStr">
        <is>
          <t>Nifty Auto</t>
        </is>
      </c>
      <c r="T196" s="32" t="n">
        <v>17.66</v>
      </c>
      <c r="U196" s="32" t="n">
        <v>27.43</v>
      </c>
      <c r="V196" s="32" t="n">
        <v>8.300000000000001</v>
      </c>
      <c r="W196" s="32" t="n">
        <v>11.61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IF(B197=0,"",RANK(B197,$B$2:$B$326,0))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VARROC</t>
        </is>
      </c>
      <c r="D197" s="31" t="inlineStr">
        <is>
          <t>Varroc Engineering Ltd</t>
        </is>
      </c>
      <c r="E197" s="31" t="inlineStr">
        <is>
          <t>auto</t>
        </is>
      </c>
      <c r="F197" s="31" t="inlineStr">
        <is>
          <t>auto ancillaries</t>
        </is>
      </c>
      <c r="G197" s="31" t="inlineStr">
        <is>
          <t>midcap</t>
        </is>
      </c>
      <c r="H197" s="32" t="n">
        <v>13399.37</v>
      </c>
      <c r="I197" s="32" t="n">
        <v>824.4</v>
      </c>
      <c r="J197" s="32" t="n">
        <v>-6</v>
      </c>
      <c r="K197" s="32" t="n">
        <v>535517</v>
      </c>
      <c r="L197" s="31" t="n">
        <v>79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75.09</v>
      </c>
      <c r="P197" s="32" t="n">
        <v>50.12</v>
      </c>
      <c r="Q197" s="32" t="n">
        <v>682</v>
      </c>
      <c r="R197" s="31" t="inlineStr">
        <is>
          <t>Near 52W High Breakout</t>
        </is>
      </c>
      <c r="S197" s="31" t="inlineStr">
        <is>
          <t>Nifty Auto</t>
        </is>
      </c>
      <c r="T197" s="32" t="n">
        <v>17.66</v>
      </c>
      <c r="U197" s="32" t="n">
        <v>53.71</v>
      </c>
      <c r="V197" s="32" t="n">
        <v>30.64</v>
      </c>
      <c r="W197" s="32" t="n">
        <v>23.85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IF(B198=0,"",RANK(B198,$B$2:$B$326,0))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SAGILITY</t>
        </is>
      </c>
      <c r="D198" s="31" t="inlineStr">
        <is>
          <t>Sagility India Ltd</t>
        </is>
      </c>
      <c r="E198" s="31" t="inlineStr">
        <is>
          <t>i.t</t>
        </is>
      </c>
      <c r="F198" s="31" t="inlineStr">
        <is>
          <t>computers - software - medium / small</t>
        </is>
      </c>
      <c r="G198" s="31" t="inlineStr">
        <is>
          <t>largecap</t>
        </is>
      </c>
      <c r="H198" s="32" t="n">
        <v>21744.77</v>
      </c>
      <c r="I198" s="32" t="n">
        <v>46.7</v>
      </c>
      <c r="J198" s="32" t="n">
        <v>0.54</v>
      </c>
      <c r="K198" s="32" t="n">
        <v>16448512</v>
      </c>
      <c r="L198" s="31" t="n">
        <v>23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60.32</v>
      </c>
      <c r="P198" s="32" t="n">
        <v>14.47</v>
      </c>
      <c r="Q198" s="32" t="n">
        <v>37.87</v>
      </c>
      <c r="R198" s="31" t="inlineStr">
        <is>
          <t>Earnings / Momentum Support</t>
        </is>
      </c>
      <c r="S198" s="31" t="inlineStr">
        <is>
          <t>Nifty IT</t>
        </is>
      </c>
      <c r="T198" s="32" t="n">
        <v>-10.2</v>
      </c>
      <c r="U198" s="32" t="n">
        <v>9.109999999999999</v>
      </c>
      <c r="V198" s="32" t="n">
        <v>21.51</v>
      </c>
      <c r="W198" s="32" t="n">
        <v>6.09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Annuity, Lower One Time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0 to 20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IF(B199=0,"",RANK(B199,$B$2:$B$326,0))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THEMISMED</t>
        </is>
      </c>
      <c r="D199" s="31" t="inlineStr">
        <is>
          <t>Themis Medicare Limited</t>
        </is>
      </c>
      <c r="E199" s="31" t="inlineStr">
        <is>
          <t>healthcare</t>
        </is>
      </c>
      <c r="F199" s="31" t="inlineStr">
        <is>
          <t>pharmaceuticals - indian - bulk drugs &amp; formln</t>
        </is>
      </c>
      <c r="G199" s="31" t="inlineStr">
        <is>
          <t>smallcap</t>
        </is>
      </c>
      <c r="H199" s="32" t="n">
        <v>1138.08</v>
      </c>
      <c r="I199" s="32" t="n">
        <v>124.15</v>
      </c>
      <c r="J199" s="32" t="n">
        <v>0.47</v>
      </c>
      <c r="K199" s="32" t="n">
        <v>107957</v>
      </c>
      <c r="L199" s="31" t="n">
        <v>39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63.33</v>
      </c>
      <c r="P199" s="32" t="n">
        <v>37.42</v>
      </c>
      <c r="Q199" s="32" t="n">
        <v>87.01000000000001</v>
      </c>
      <c r="R199" s="31" t="inlineStr">
        <is>
          <t>Earnings / Momentum Support</t>
        </is>
      </c>
      <c r="S199" s="31" t="inlineStr">
        <is>
          <t>Nifty Pharma</t>
        </is>
      </c>
      <c r="T199" s="32" t="n">
        <v>22.15</v>
      </c>
      <c r="U199" s="32" t="n">
        <v>23.78</v>
      </c>
      <c r="V199" s="32" t="n">
        <v>1.34</v>
      </c>
      <c r="W199" s="32" t="n">
        <v>10.06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Yes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Annuity, Lower One Time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IF(B200=0,"",RANK(B200,$B$2:$B$326,0))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YATHARTH</t>
        </is>
      </c>
      <c r="D200" s="31" t="inlineStr">
        <is>
          <t>Yatharth Hospital &amp; Trauma Care Services Ltd</t>
        </is>
      </c>
      <c r="E200" s="31" t="inlineStr">
        <is>
          <t>healthcare</t>
        </is>
      </c>
      <c r="F200" s="31" t="inlineStr">
        <is>
          <t>healthcare</t>
        </is>
      </c>
      <c r="G200" s="31" t="inlineStr">
        <is>
          <t>midcap</t>
        </is>
      </c>
      <c r="H200" s="32" t="n">
        <v>9392.620000000001</v>
      </c>
      <c r="I200" s="32" t="n">
        <v>966.5</v>
      </c>
      <c r="J200" s="32" t="n">
        <v>-0.85</v>
      </c>
      <c r="K200" s="32" t="n">
        <v>242009</v>
      </c>
      <c r="L200" s="31" t="n">
        <v>36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67.76000000000001</v>
      </c>
      <c r="P200" s="32" t="n">
        <v>38.41</v>
      </c>
      <c r="Q200" s="32" t="n">
        <v>766.76</v>
      </c>
      <c r="R200" s="31" t="inlineStr">
        <is>
          <t>Near 52W High Breakout</t>
        </is>
      </c>
      <c r="S200" s="31" t="inlineStr">
        <is>
          <t>Nifty Pharma</t>
        </is>
      </c>
      <c r="T200" s="32" t="n">
        <v>22.15</v>
      </c>
      <c r="U200" s="32" t="n">
        <v>23.76</v>
      </c>
      <c r="V200" s="32" t="n">
        <v>1.32</v>
      </c>
      <c r="W200" s="32" t="n">
        <v>9.24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Yes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Annuity, Lower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Blue sky scenario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IF(B201=0,"",RANK(B201,$B$2:$B$326,0))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PVRINOX</t>
        </is>
      </c>
      <c r="D201" s="31" t="inlineStr">
        <is>
          <t>PVR Inox Ltd</t>
        </is>
      </c>
      <c r="E201" s="31" t="inlineStr">
        <is>
          <t>media</t>
        </is>
      </c>
      <c r="F201" s="31" t="inlineStr">
        <is>
          <t>entertainment / electronic media software</t>
        </is>
      </c>
      <c r="G201" s="31" t="inlineStr">
        <is>
          <t>midcap</t>
        </is>
      </c>
      <c r="H201" s="32" t="n">
        <v>12060.92</v>
      </c>
      <c r="I201" s="32" t="n">
        <v>1210</v>
      </c>
      <c r="J201" s="32" t="n">
        <v>-1.48</v>
      </c>
      <c r="K201" s="32" t="n">
        <v>311807</v>
      </c>
      <c r="L201" s="31" t="n">
        <v>26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69.93000000000001</v>
      </c>
      <c r="P201" s="32" t="n">
        <v>24.8</v>
      </c>
      <c r="Q201" s="32" t="n">
        <v>1024.36</v>
      </c>
      <c r="R201" s="31" t="inlineStr">
        <is>
          <t>Near 52W High Breakout</t>
        </is>
      </c>
      <c r="S201" s="31" t="inlineStr">
        <is>
          <t>Nifty IT</t>
        </is>
      </c>
      <c r="T201" s="32" t="n">
        <v>-10.2</v>
      </c>
      <c r="U201" s="32" t="n">
        <v>5.56</v>
      </c>
      <c r="V201" s="32" t="n">
        <v>17.55</v>
      </c>
      <c r="W201" s="32" t="n">
        <v>6.55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Between 0.7 to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IF(B202=0,"",RANK(B202,$B$2:$B$326,0))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SUBEXLTD</t>
        </is>
      </c>
      <c r="D202" s="31" t="inlineStr">
        <is>
          <t>Subex Ltd</t>
        </is>
      </c>
      <c r="E202" s="31" t="inlineStr">
        <is>
          <t>i.t</t>
        </is>
      </c>
      <c r="F202" s="31" t="inlineStr">
        <is>
          <t>computers - software - medium / small</t>
        </is>
      </c>
      <c r="G202" s="31" t="inlineStr">
        <is>
          <t>smallcap</t>
        </is>
      </c>
      <c r="H202" s="32" t="n">
        <v>1004.86</v>
      </c>
      <c r="I202" s="32" t="n">
        <v>17.57</v>
      </c>
      <c r="J202" s="32" t="n">
        <v>-1.73</v>
      </c>
      <c r="K202" s="32" t="n">
        <v>1683676</v>
      </c>
      <c r="L202" s="31" t="n">
        <v>76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70.67</v>
      </c>
      <c r="P202" s="32" t="n">
        <v>32.69</v>
      </c>
      <c r="Q202" s="32" t="n">
        <v>13.66</v>
      </c>
      <c r="R202" s="31" t="inlineStr">
        <is>
          <t>Earnings / Momentum Support</t>
        </is>
      </c>
      <c r="S202" s="31" t="inlineStr">
        <is>
          <t>Nifty IT</t>
        </is>
      </c>
      <c r="T202" s="32" t="n">
        <v>-10.2</v>
      </c>
      <c r="U202" s="32" t="n">
        <v>36.1</v>
      </c>
      <c r="V202" s="32" t="n">
        <v>51.56</v>
      </c>
      <c r="W202" s="32" t="n">
        <v>22.72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Between 12 to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IF(B203=0,"",RANK(B203,$B$2:$B$326,0))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DALMIASUG</t>
        </is>
      </c>
      <c r="D203" s="31" t="inlineStr">
        <is>
          <t>Dalmia Bharat Sugar And Industries Limited</t>
        </is>
      </c>
      <c r="E203" s="31" t="inlineStr">
        <is>
          <t>fmcg</t>
        </is>
      </c>
      <c r="F203" s="31" t="inlineStr">
        <is>
          <t>sugar</t>
        </is>
      </c>
      <c r="G203" s="31" t="inlineStr">
        <is>
          <t>smallcap</t>
        </is>
      </c>
      <c r="H203" s="32" t="n">
        <v>3786.75</v>
      </c>
      <c r="I203" s="32" t="n">
        <v>456.55</v>
      </c>
      <c r="J203" s="32" t="n">
        <v>-2.42</v>
      </c>
      <c r="K203" s="32" t="n">
        <v>337632</v>
      </c>
      <c r="L203" s="31" t="n">
        <v>42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65.48</v>
      </c>
      <c r="P203" s="32" t="n">
        <v>33.76</v>
      </c>
      <c r="Q203" s="32" t="n">
        <v>369.64</v>
      </c>
      <c r="R203" s="31" t="inlineStr">
        <is>
          <t>Earnings / Momentum Support</t>
        </is>
      </c>
      <c r="S203" s="31" t="inlineStr">
        <is>
          <t>Nifty FMCG</t>
        </is>
      </c>
      <c r="T203" s="32" t="n">
        <v>-15.28</v>
      </c>
      <c r="U203" s="32" t="n">
        <v>22.98</v>
      </c>
      <c r="V203" s="32" t="n">
        <v>45.16</v>
      </c>
      <c r="W203" s="32" t="n">
        <v>10.74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B2C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IF(B204=0,"",RANK(B204,$B$2:$B$326,0))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ANTELOPUS</t>
        </is>
      </c>
      <c r="D204" s="31" t="inlineStr">
        <is>
          <t>Antelopus Selan Energy Ltd</t>
        </is>
      </c>
      <c r="E204" s="31" t="inlineStr">
        <is>
          <t>energy</t>
        </is>
      </c>
      <c r="F204" s="31" t="inlineStr">
        <is>
          <t>oil drilling / allied services</t>
        </is>
      </c>
      <c r="G204" s="31" t="inlineStr">
        <is>
          <t>smallcap</t>
        </is>
      </c>
      <c r="H204" s="32" t="n">
        <v>2787.14</v>
      </c>
      <c r="I204" s="32" t="n">
        <v>951.15</v>
      </c>
      <c r="J204" s="32" t="n">
        <v>20</v>
      </c>
      <c r="K204" s="32" t="n">
        <v>12446135</v>
      </c>
      <c r="L204" s="31" t="n">
        <v>75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66.44</v>
      </c>
      <c r="P204" s="32" t="n">
        <v>44.87</v>
      </c>
      <c r="Q204" s="32" t="n">
        <v>675.13</v>
      </c>
      <c r="R204" s="31" t="inlineStr">
        <is>
          <t>Volume Spike &amp; Near 52W High Breakout</t>
        </is>
      </c>
      <c r="S204" s="31" t="inlineStr">
        <is>
          <t>Nifty Energy</t>
        </is>
      </c>
      <c r="T204" s="32" t="n">
        <v>7.88</v>
      </c>
      <c r="U204" s="32" t="n">
        <v>52.56</v>
      </c>
      <c r="V204" s="32" t="n">
        <v>41.42</v>
      </c>
      <c r="W204" s="32" t="n">
        <v>22.08</v>
      </c>
      <c r="X204" s="31" t="inlineStr">
        <is>
          <t>Cyclical in an Upturn</t>
        </is>
      </c>
      <c r="Y204" s="31">
        <f>IF(X204="Growing Industry",10,IF(X204="Cyclical in an Upturn",5,0))</f>
        <v/>
      </c>
      <c r="Z204" s="31" t="inlineStr">
        <is>
          <t>Oligopoly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Cyclical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Volatile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Above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IF(B205=0,"",RANK(B205,$B$2:$B$326,0))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GLOBAL</t>
        </is>
      </c>
      <c r="D205" s="31" t="inlineStr">
        <is>
          <t>Global Education Ltd</t>
        </is>
      </c>
      <c r="E205" s="31" t="inlineStr">
        <is>
          <t>services</t>
        </is>
      </c>
      <c r="F205" s="31" t="inlineStr">
        <is>
          <t>miscellaneous</t>
        </is>
      </c>
      <c r="G205" s="31" t="inlineStr">
        <is>
          <t>smallcap</t>
        </is>
      </c>
      <c r="H205" s="32" t="n">
        <v>560.63</v>
      </c>
      <c r="I205" s="32" t="n">
        <v>117.31</v>
      </c>
      <c r="J205" s="32" t="n">
        <v>6.51</v>
      </c>
      <c r="K205" s="32" t="n">
        <v>496539</v>
      </c>
      <c r="L205" s="31" t="n">
        <v>55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65.77</v>
      </c>
      <c r="P205" s="32" t="n">
        <v>38.5</v>
      </c>
      <c r="Q205" s="32" t="n">
        <v>87.14</v>
      </c>
      <c r="R205" s="31" t="inlineStr">
        <is>
          <t>Volume Spike &amp; Near 52W High Breakout</t>
        </is>
      </c>
      <c r="S205" s="31" t="inlineStr">
        <is>
          <t>Nifty 50</t>
        </is>
      </c>
      <c r="T205" s="32" t="n">
        <v>-3.34</v>
      </c>
      <c r="U205" s="32" t="n">
        <v>84.77</v>
      </c>
      <c r="V205" s="32" t="n">
        <v>91.16</v>
      </c>
      <c r="W205" s="32" t="n">
        <v>15.57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Less than 50%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IF(B206=0,"",RANK(B206,$B$2:$B$326,0))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WELENT</t>
        </is>
      </c>
      <c r="D206" s="31" t="inlineStr">
        <is>
          <t>Welspun Enterprises Limited</t>
        </is>
      </c>
      <c r="E206" s="31" t="inlineStr">
        <is>
          <t>realty</t>
        </is>
      </c>
      <c r="F206" s="31" t="inlineStr">
        <is>
          <t>construction</t>
        </is>
      </c>
      <c r="G206" s="31" t="inlineStr">
        <is>
          <t>midcap</t>
        </is>
      </c>
      <c r="H206" s="32" t="n">
        <v>9765.790000000001</v>
      </c>
      <c r="I206" s="32" t="n">
        <v>741.7</v>
      </c>
      <c r="J206" s="32" t="n">
        <v>5.12</v>
      </c>
      <c r="K206" s="32" t="n">
        <v>1021703</v>
      </c>
      <c r="L206" s="31" t="n">
        <v>69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76.78</v>
      </c>
      <c r="P206" s="32" t="n">
        <v>26.89</v>
      </c>
      <c r="Q206" s="32" t="n">
        <v>595.0599999999999</v>
      </c>
      <c r="R206" s="31" t="inlineStr">
        <is>
          <t>Near 52W High Breakout</t>
        </is>
      </c>
      <c r="S206" s="31" t="inlineStr">
        <is>
          <t>Nifty Realty</t>
        </is>
      </c>
      <c r="T206" s="32" t="n">
        <v>-6.04</v>
      </c>
      <c r="U206" s="32" t="n">
        <v>49.74</v>
      </c>
      <c r="V206" s="32" t="n">
        <v>59.38</v>
      </c>
      <c r="W206" s="32" t="n">
        <v>19.68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Above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IF(B207=0,"",RANK(B207,$B$2:$B$326,0))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OAL</t>
        </is>
      </c>
      <c r="D207" s="31" t="inlineStr">
        <is>
          <t>Oriental Aromatics Ltd</t>
        </is>
      </c>
      <c r="E207" s="31" t="inlineStr">
        <is>
          <t>chemicals</t>
        </is>
      </c>
      <c r="F207" s="31" t="inlineStr">
        <is>
          <t>chemicals</t>
        </is>
      </c>
      <c r="G207" s="31" t="inlineStr">
        <is>
          <t>smallcap</t>
        </is>
      </c>
      <c r="H207" s="32" t="n">
        <v>1501.96</v>
      </c>
      <c r="I207" s="32" t="n">
        <v>457.95</v>
      </c>
      <c r="J207" s="32" t="n">
        <v>2.61</v>
      </c>
      <c r="K207" s="32" t="n">
        <v>51928</v>
      </c>
      <c r="L207" s="31" t="n">
        <v>62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67.5</v>
      </c>
      <c r="P207" s="32" t="n">
        <v>30.25</v>
      </c>
      <c r="Q207" s="32" t="n">
        <v>360.4</v>
      </c>
      <c r="R207" s="31" t="inlineStr">
        <is>
          <t>Earnings / Momentum Support</t>
        </is>
      </c>
      <c r="S207" s="31" t="inlineStr">
        <is>
          <t>Nifty 50</t>
        </is>
      </c>
      <c r="T207" s="32" t="n">
        <v>-3.34</v>
      </c>
      <c r="U207" s="32" t="n">
        <v>35.35</v>
      </c>
      <c r="V207" s="32" t="n">
        <v>40.02</v>
      </c>
      <c r="W207" s="32" t="n">
        <v>17.57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IF(B208=0,"",RANK(B208,$B$2:$B$326,0))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GENUSPOWER</t>
        </is>
      </c>
      <c r="D208" s="31" t="inlineStr">
        <is>
          <t>Genus Power Infrastructures Limited</t>
        </is>
      </c>
      <c r="E208" s="31" t="inlineStr">
        <is>
          <t>consumer discretionary</t>
        </is>
      </c>
      <c r="F208" s="31" t="inlineStr">
        <is>
          <t>electronics - components</t>
        </is>
      </c>
      <c r="G208" s="31" t="inlineStr">
        <is>
          <t>midcap</t>
        </is>
      </c>
      <c r="H208" s="32" t="n">
        <v>9976.120000000001</v>
      </c>
      <c r="I208" s="32" t="n">
        <v>336.15</v>
      </c>
      <c r="J208" s="32" t="n">
        <v>2.52</v>
      </c>
      <c r="K208" s="32" t="n">
        <v>3705712</v>
      </c>
      <c r="L208" s="31" t="n">
        <v>13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59.13</v>
      </c>
      <c r="P208" s="32" t="n">
        <v>9.65</v>
      </c>
      <c r="Q208" s="32" t="n">
        <v>267.96</v>
      </c>
      <c r="R208" s="31" t="inlineStr">
        <is>
          <t>Near 52W High Breakout</t>
        </is>
      </c>
      <c r="S208" s="31" t="inlineStr">
        <is>
          <t>Nifty 50</t>
        </is>
      </c>
      <c r="T208" s="32" t="n">
        <v>-3.34</v>
      </c>
      <c r="U208" s="32" t="n">
        <v>2.94</v>
      </c>
      <c r="V208" s="32" t="n">
        <v>6.5</v>
      </c>
      <c r="W208" s="32" t="n">
        <v>3.12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Between 0.7 to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IF(B209=0,"",RANK(B209,$B$2:$B$326,0))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MANGLMCEM</t>
        </is>
      </c>
      <c r="D209" s="31" t="inlineStr">
        <is>
          <t>Mangalam Cement Limited</t>
        </is>
      </c>
      <c r="E209" s="31" t="inlineStr">
        <is>
          <t>building materials</t>
        </is>
      </c>
      <c r="F209" s="31" t="inlineStr">
        <is>
          <t>cement - north india</t>
        </is>
      </c>
      <c r="G209" s="31" t="inlineStr">
        <is>
          <t>smallcap</t>
        </is>
      </c>
      <c r="H209" s="32" t="n">
        <v>2980.71</v>
      </c>
      <c r="I209" s="32" t="n">
        <v>1092.9</v>
      </c>
      <c r="J209" s="32" t="n">
        <v>0.82</v>
      </c>
      <c r="K209" s="32" t="n">
        <v>304145</v>
      </c>
      <c r="L209" s="31" t="n">
        <v>50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69.88</v>
      </c>
      <c r="P209" s="32" t="n">
        <v>26.83</v>
      </c>
      <c r="Q209" s="32" t="n">
        <v>894.34</v>
      </c>
      <c r="R209" s="31" t="inlineStr">
        <is>
          <t>Near 52W High Breakout</t>
        </is>
      </c>
      <c r="S209" s="31" t="inlineStr">
        <is>
          <t>Nifty Infra</t>
        </is>
      </c>
      <c r="T209" s="32" t="n">
        <v>1.61</v>
      </c>
      <c r="U209" s="32" t="n">
        <v>51.54</v>
      </c>
      <c r="V209" s="32" t="n">
        <v>49.15</v>
      </c>
      <c r="W209" s="32" t="n">
        <v>13.13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Blue sky scenario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Between 0.7 to 1.2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IF(B210=0,"",RANK(B210,$B$2:$B$326,0))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TEXINFRA</t>
        </is>
      </c>
      <c r="D210" s="31" t="inlineStr">
        <is>
          <t>Texmaco Infrastructure &amp; Holdings Limited</t>
        </is>
      </c>
      <c r="E210" s="31" t="inlineStr">
        <is>
          <t>realty</t>
        </is>
      </c>
      <c r="F210" s="31" t="inlineStr">
        <is>
          <t>construction</t>
        </is>
      </c>
      <c r="G210" s="31" t="inlineStr">
        <is>
          <t>smallcap</t>
        </is>
      </c>
      <c r="H210" s="32" t="n">
        <v>1444.13</v>
      </c>
      <c r="I210" s="32" t="n">
        <v>113.96</v>
      </c>
      <c r="J210" s="32" t="n">
        <v>0.5600000000000001</v>
      </c>
      <c r="K210" s="32" t="n">
        <v>169201</v>
      </c>
      <c r="L210" s="31" t="n">
        <v>28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62.47</v>
      </c>
      <c r="P210" s="32" t="n">
        <v>38.1</v>
      </c>
      <c r="Q210" s="32" t="n">
        <v>94.91</v>
      </c>
      <c r="R210" s="31" t="inlineStr">
        <is>
          <t>Near 52W High Breakout</t>
        </is>
      </c>
      <c r="S210" s="31" t="inlineStr">
        <is>
          <t>Nifty Realty</t>
        </is>
      </c>
      <c r="T210" s="32" t="n">
        <v>-6.04</v>
      </c>
      <c r="U210" s="32" t="n">
        <v>15.9</v>
      </c>
      <c r="V210" s="32" t="n">
        <v>23.36</v>
      </c>
      <c r="W210" s="32" t="n">
        <v>7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IF(B211=0,"",RANK(B211,$B$2:$B$326,0))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MMP</t>
        </is>
      </c>
      <c r="D211" s="31" t="inlineStr">
        <is>
          <t>MMP Industries Ltd</t>
        </is>
      </c>
      <c r="E211" s="31" t="inlineStr">
        <is>
          <t>metals &amp; mining</t>
        </is>
      </c>
      <c r="F211" s="31" t="inlineStr">
        <is>
          <t>aluminium and aluminium products</t>
        </is>
      </c>
      <c r="G211" s="31" t="inlineStr">
        <is>
          <t>smallcap</t>
        </is>
      </c>
      <c r="H211" s="32" t="n">
        <v>725.14</v>
      </c>
      <c r="I211" s="32" t="n">
        <v>384.1</v>
      </c>
      <c r="J211" s="32" t="n">
        <v>0.22</v>
      </c>
      <c r="K211" s="32" t="n">
        <v>61096</v>
      </c>
      <c r="L211" s="31" t="n">
        <v>70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71.59999999999999</v>
      </c>
      <c r="P211" s="32" t="n">
        <v>45.58</v>
      </c>
      <c r="Q211" s="32" t="n">
        <v>302.65</v>
      </c>
      <c r="R211" s="31" t="inlineStr">
        <is>
          <t>Earnings / Momentum Support</t>
        </is>
      </c>
      <c r="S211" s="31" t="inlineStr">
        <is>
          <t>Nifty Metal</t>
        </is>
      </c>
      <c r="T211" s="32" t="n">
        <v>39.6</v>
      </c>
      <c r="U211" s="32" t="n">
        <v>41.99</v>
      </c>
      <c r="V211" s="32" t="n">
        <v>1.72</v>
      </c>
      <c r="W211" s="32" t="n">
        <v>19.84</v>
      </c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Cyclical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Volatile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Above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Less than 1.5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IF(B212=0,"",RANK(B212,$B$2:$B$326,0))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ASAHIINDIA</t>
        </is>
      </c>
      <c r="D212" s="31" t="inlineStr">
        <is>
          <t>Asahi India Glass Limited</t>
        </is>
      </c>
      <c r="E212" s="31" t="inlineStr">
        <is>
          <t>building materials</t>
        </is>
      </c>
      <c r="F212" s="31" t="inlineStr">
        <is>
          <t>glass &amp; glass products</t>
        </is>
      </c>
      <c r="G212" s="31" t="inlineStr">
        <is>
          <t>largecap</t>
        </is>
      </c>
      <c r="H212" s="32" t="n">
        <v>24248.67</v>
      </c>
      <c r="I212" s="32" t="n">
        <v>951.05</v>
      </c>
      <c r="J212" s="32" t="n">
        <v>-0.02</v>
      </c>
      <c r="K212" s="32" t="n">
        <v>213328</v>
      </c>
      <c r="L212" s="31" t="n">
        <v>22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58.76</v>
      </c>
      <c r="P212" s="32" t="n">
        <v>25.92</v>
      </c>
      <c r="Q212" s="32" t="n">
        <v>792.73</v>
      </c>
      <c r="R212" s="31" t="inlineStr">
        <is>
          <t>Earnings / Momentum Support</t>
        </is>
      </c>
      <c r="S212" s="31" t="inlineStr">
        <is>
          <t>Nifty Infra</t>
        </is>
      </c>
      <c r="T212" s="32" t="n">
        <v>1.61</v>
      </c>
      <c r="U212" s="32" t="n">
        <v>13.99</v>
      </c>
      <c r="V212" s="32" t="n">
        <v>12.19</v>
      </c>
      <c r="W212" s="32" t="n">
        <v>5.91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IF(B213=0,"",RANK(B213,$B$2:$B$326,0))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TIIL</t>
        </is>
      </c>
      <c r="D213" s="33" t="inlineStr">
        <is>
          <t>Technocraft Industries (india) Limited</t>
        </is>
      </c>
      <c r="E213" s="31" t="inlineStr">
        <is>
          <t>metals &amp; mining</t>
        </is>
      </c>
      <c r="F213" s="31" t="inlineStr">
        <is>
          <t>steel - medium / small</t>
        </is>
      </c>
      <c r="G213" s="31" t="inlineStr">
        <is>
          <t>midcap</t>
        </is>
      </c>
      <c r="H213" s="32" t="n">
        <v>7408.34</v>
      </c>
      <c r="I213" s="32" t="n">
        <v>3262</v>
      </c>
      <c r="J213" s="32" t="n">
        <v>-0.17</v>
      </c>
      <c r="K213" s="32" t="n">
        <v>40346</v>
      </c>
      <c r="L213" s="31" t="n">
        <v>35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73.45</v>
      </c>
      <c r="P213" s="32" t="n">
        <v>35.69</v>
      </c>
      <c r="Q213" s="32" t="n">
        <v>2639.58</v>
      </c>
      <c r="R213" s="31" t="inlineStr">
        <is>
          <t>Near 52W High Breakout</t>
        </is>
      </c>
      <c r="S213" s="31" t="inlineStr">
        <is>
          <t>Nifty Metal</t>
        </is>
      </c>
      <c r="T213" s="32" t="n">
        <v>39.6</v>
      </c>
      <c r="U213" s="32" t="n">
        <v>-0.96</v>
      </c>
      <c r="V213" s="32" t="n">
        <v>-29.06</v>
      </c>
      <c r="W213" s="32" t="n">
        <v>8.800000000000001</v>
      </c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Cyclical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Volatile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Blue sky scenario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IF(B214=0,"",RANK(B214,$B$2:$B$326,0))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PTCIL</t>
        </is>
      </c>
      <c r="D214" s="31" t="inlineStr">
        <is>
          <t>PTC Industries Ltd</t>
        </is>
      </c>
      <c r="E214" s="31" t="inlineStr">
        <is>
          <t>industrials</t>
        </is>
      </c>
      <c r="F214" s="31" t="inlineStr">
        <is>
          <t>castings &amp; forgings</t>
        </is>
      </c>
      <c r="G214" s="31" t="inlineStr">
        <is>
          <t>largecap</t>
        </is>
      </c>
      <c r="H214" s="32" t="n">
        <v>34115.55</v>
      </c>
      <c r="I214" s="32" t="n">
        <v>22715</v>
      </c>
      <c r="J214" s="32" t="n">
        <v>-0.18</v>
      </c>
      <c r="K214" s="32" t="n">
        <v>33761</v>
      </c>
      <c r="L214" s="31" t="n">
        <v>58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75.69</v>
      </c>
      <c r="P214" s="32" t="n">
        <v>30.18</v>
      </c>
      <c r="Q214" s="32" t="n">
        <v>18738.54</v>
      </c>
      <c r="R214" s="31" t="inlineStr">
        <is>
          <t>Near 52W High Breakout</t>
        </is>
      </c>
      <c r="S214" s="31" t="inlineStr">
        <is>
          <t>Nifty 50</t>
        </is>
      </c>
      <c r="T214" s="32" t="n">
        <v>-3.34</v>
      </c>
      <c r="U214" s="32" t="n">
        <v>67.23</v>
      </c>
      <c r="V214" s="32" t="n">
        <v>73.01000000000001</v>
      </c>
      <c r="W214" s="32" t="n">
        <v>16.52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Above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IF(B215=0,"",RANK(B215,$B$2:$B$326,0))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YUKEN</t>
        </is>
      </c>
      <c r="D215" s="33" t="inlineStr">
        <is>
          <t>Yuken India Ltd</t>
        </is>
      </c>
      <c r="E215" s="31" t="inlineStr">
        <is>
          <t>industrials</t>
        </is>
      </c>
      <c r="F215" s="31" t="inlineStr">
        <is>
          <t>engineering</t>
        </is>
      </c>
      <c r="G215" s="31" t="inlineStr">
        <is>
          <t>smallcap</t>
        </is>
      </c>
      <c r="H215" s="32" t="n">
        <v>1320.43</v>
      </c>
      <c r="I215" s="32" t="n">
        <v>967.25</v>
      </c>
      <c r="J215" s="32" t="n">
        <v>-0.49</v>
      </c>
      <c r="K215" s="32" t="n">
        <v>12576</v>
      </c>
      <c r="L215" s="31" t="n">
        <v>24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67.29000000000001</v>
      </c>
      <c r="P215" s="32" t="n">
        <v>22.37</v>
      </c>
      <c r="Q215" s="32" t="n">
        <v>783.97</v>
      </c>
      <c r="R215" s="31" t="inlineStr">
        <is>
          <t>Near 52W High Breakout</t>
        </is>
      </c>
      <c r="S215" s="31" t="inlineStr">
        <is>
          <t>Nifty Infra</t>
        </is>
      </c>
      <c r="T215" s="32" t="n">
        <v>1.61</v>
      </c>
      <c r="U215" s="32" t="n">
        <v>-10.77</v>
      </c>
      <c r="V215" s="32" t="n">
        <v>-12.18</v>
      </c>
      <c r="W215" s="32" t="n">
        <v>6.3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IF(B216=0,"",RANK(B216,$B$2:$B$326,0))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3" t="inlineStr">
        <is>
          <t>SHYAMMETL</t>
        </is>
      </c>
      <c r="D216" s="33" t="inlineStr">
        <is>
          <t>Shyam Metalics &amp; Energy Ltd</t>
        </is>
      </c>
      <c r="E216" s="31" t="inlineStr">
        <is>
          <t>metals &amp; mining</t>
        </is>
      </c>
      <c r="F216" s="31" t="inlineStr">
        <is>
          <t>steel - large</t>
        </is>
      </c>
      <c r="G216" s="31" t="inlineStr">
        <is>
          <t>largecap</t>
        </is>
      </c>
      <c r="H216" s="32" t="n">
        <v>30090.41</v>
      </c>
      <c r="I216" s="32" t="n">
        <v>1072.6</v>
      </c>
      <c r="J216" s="32" t="n">
        <v>-0.5</v>
      </c>
      <c r="K216" s="32" t="n">
        <v>102401</v>
      </c>
      <c r="L216" s="31" t="n">
        <v>38</v>
      </c>
      <c r="M216" s="31" t="inlineStr">
        <is>
          <t>Underperforming</t>
        </is>
      </c>
      <c r="N216" s="32">
        <f>IF(M216="Underperforming",-5,IF(L216&gt;=95,15,IF(L216&gt;=90,10,IF(L216&gt;=80,5,0))))</f>
        <v/>
      </c>
      <c r="O216" s="32" t="n">
        <v>65.08</v>
      </c>
      <c r="P216" s="32" t="n">
        <v>25.05</v>
      </c>
      <c r="Q216" s="32" t="n">
        <v>916.03</v>
      </c>
      <c r="R216" s="31" t="inlineStr">
        <is>
          <t>Near 52W High Breakout</t>
        </is>
      </c>
      <c r="S216" s="31" t="inlineStr">
        <is>
          <t>Nifty Metal</t>
        </is>
      </c>
      <c r="T216" s="32" t="n">
        <v>39.6</v>
      </c>
      <c r="U216" s="32" t="n">
        <v>11.65</v>
      </c>
      <c r="V216" s="32" t="n">
        <v>-20.02</v>
      </c>
      <c r="W216" s="32" t="n">
        <v>9.550000000000001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Cyclical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Volatile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Blue sky scenario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Less than 1.5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IF(B217=0,"",RANK(B217,$B$2:$B$326,0))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VGUARD</t>
        </is>
      </c>
      <c r="D217" s="33" t="inlineStr">
        <is>
          <t>V-guard Industries Limited</t>
        </is>
      </c>
      <c r="E217" s="31" t="inlineStr">
        <is>
          <t>industrials</t>
        </is>
      </c>
      <c r="F217" s="31" t="inlineStr">
        <is>
          <t>electric equipment</t>
        </is>
      </c>
      <c r="G217" s="31" t="inlineStr">
        <is>
          <t>midcap</t>
        </is>
      </c>
      <c r="H217" s="32" t="n">
        <v>14987.55</v>
      </c>
      <c r="I217" s="32" t="n">
        <v>341.2</v>
      </c>
      <c r="J217" s="32" t="n">
        <v>-0.54</v>
      </c>
      <c r="K217" s="32" t="n">
        <v>517815</v>
      </c>
      <c r="L217" s="31" t="n">
        <v>6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61.38</v>
      </c>
      <c r="P217" s="32" t="n">
        <v>22.42</v>
      </c>
      <c r="Q217" s="32" t="n">
        <v>282.56</v>
      </c>
      <c r="R217" s="31" t="inlineStr">
        <is>
          <t>Earnings / Momentum Support</t>
        </is>
      </c>
      <c r="S217" s="31" t="inlineStr">
        <is>
          <t>Nifty 50</t>
        </is>
      </c>
      <c r="T217" s="32" t="n">
        <v>-3.34</v>
      </c>
      <c r="U217" s="32" t="n">
        <v>-7.52</v>
      </c>
      <c r="V217" s="32" t="n">
        <v>-4.32</v>
      </c>
      <c r="W217" s="32" t="n">
        <v>0.77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IF(B218=0,"",RANK(B218,$B$2:$B$326,0))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HARSHA</t>
        </is>
      </c>
      <c r="D218" s="31" t="inlineStr">
        <is>
          <t>Harsha Engineers International Ltd</t>
        </is>
      </c>
      <c r="E218" s="31" t="inlineStr">
        <is>
          <t>industrials</t>
        </is>
      </c>
      <c r="F218" s="31" t="inlineStr">
        <is>
          <t>engineering</t>
        </is>
      </c>
      <c r="G218" s="31" t="inlineStr">
        <is>
          <t>smallcap</t>
        </is>
      </c>
      <c r="H218" s="32" t="n">
        <v>4130.67</v>
      </c>
      <c r="I218" s="32" t="n">
        <v>450.75</v>
      </c>
      <c r="J218" s="32" t="n">
        <v>-0.65</v>
      </c>
      <c r="K218" s="32" t="n">
        <v>241531</v>
      </c>
      <c r="L218" s="31" t="n">
        <v>23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62.43</v>
      </c>
      <c r="P218" s="32" t="n">
        <v>37.85</v>
      </c>
      <c r="Q218" s="32" t="n">
        <v>359.24</v>
      </c>
      <c r="R218" s="31" t="inlineStr">
        <is>
          <t>Near 52W High Breakout</t>
        </is>
      </c>
      <c r="S218" s="31" t="inlineStr">
        <is>
          <t>Nifty Infra</t>
        </is>
      </c>
      <c r="T218" s="32" t="n">
        <v>1.61</v>
      </c>
      <c r="U218" s="32" t="n">
        <v>10.62</v>
      </c>
      <c r="V218" s="32" t="n">
        <v>8.880000000000001</v>
      </c>
      <c r="W218" s="32" t="n">
        <v>6.11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IF(B219=0,"",RANK(B219,$B$2:$B$326,0))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MMFL</t>
        </is>
      </c>
      <c r="D219" s="31" t="inlineStr">
        <is>
          <t>Mm Forgings Limited</t>
        </is>
      </c>
      <c r="E219" s="31" t="inlineStr">
        <is>
          <t>industrials</t>
        </is>
      </c>
      <c r="F219" s="31" t="inlineStr">
        <is>
          <t>castings &amp; forgings</t>
        </is>
      </c>
      <c r="G219" s="31" t="inlineStr">
        <is>
          <t>smallcap</t>
        </is>
      </c>
      <c r="H219" s="32" t="n">
        <v>3174.27</v>
      </c>
      <c r="I219" s="32" t="n">
        <v>648.05</v>
      </c>
      <c r="J219" s="32" t="n">
        <v>-1.43</v>
      </c>
      <c r="K219" s="32" t="n">
        <v>172249</v>
      </c>
      <c r="L219" s="31" t="n">
        <v>82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72.37</v>
      </c>
      <c r="P219" s="32" t="n">
        <v>32.31</v>
      </c>
      <c r="Q219" s="32" t="n">
        <v>492.81</v>
      </c>
      <c r="R219" s="31" t="inlineStr">
        <is>
          <t>Near 52W High Breakout</t>
        </is>
      </c>
      <c r="S219" s="31" t="inlineStr">
        <is>
          <t>Nifty 50</t>
        </is>
      </c>
      <c r="T219" s="32" t="n">
        <v>-3.34</v>
      </c>
      <c r="U219" s="32" t="n">
        <v>106.87</v>
      </c>
      <c r="V219" s="32" t="n">
        <v>114.02</v>
      </c>
      <c r="W219" s="32" t="n">
        <v>25.76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More than 1.2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IF(B220=0,"",RANK(B220,$B$2:$B$326,0))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3" t="inlineStr">
        <is>
          <t>FOSECOIND</t>
        </is>
      </c>
      <c r="D220" s="33" t="inlineStr">
        <is>
          <t>Foseco India Limited</t>
        </is>
      </c>
      <c r="E220" s="31" t="inlineStr">
        <is>
          <t>chemicals</t>
        </is>
      </c>
      <c r="F220" s="31" t="inlineStr">
        <is>
          <t>chemicals</t>
        </is>
      </c>
      <c r="G220" s="31" t="inlineStr">
        <is>
          <t>smallcap</t>
        </is>
      </c>
      <c r="H220" s="32" t="n">
        <v>4754.88</v>
      </c>
      <c r="I220" s="32" t="n">
        <v>6183</v>
      </c>
      <c r="J220" s="32" t="n">
        <v>-1.99</v>
      </c>
      <c r="K220" s="32" t="n">
        <v>12329</v>
      </c>
      <c r="L220" s="31" t="n">
        <v>22</v>
      </c>
      <c r="M220" s="31" t="inlineStr">
        <is>
          <t>Underperforming</t>
        </is>
      </c>
      <c r="N220" s="32">
        <f>IF(M220="Underperforming",-5,IF(L220&gt;=95,15,IF(L220&gt;=90,10,IF(L220&gt;=80,5,0))))</f>
        <v/>
      </c>
      <c r="O220" s="32" t="n">
        <v>66.13</v>
      </c>
      <c r="P220" s="32" t="n">
        <v>24.48</v>
      </c>
      <c r="Q220" s="32" t="n">
        <v>4973.87</v>
      </c>
      <c r="R220" s="31" t="inlineStr">
        <is>
          <t>Volume Spike &amp; Near 52W High Breakout</t>
        </is>
      </c>
      <c r="S220" s="31" t="inlineStr">
        <is>
          <t>Nifty 50</t>
        </is>
      </c>
      <c r="T220" s="32" t="n">
        <v>-3.34</v>
      </c>
      <c r="U220" s="32" t="n">
        <v>-3.68</v>
      </c>
      <c r="V220" s="32" t="n">
        <v>-0.35</v>
      </c>
      <c r="W220" s="32" t="n">
        <v>5.94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IF(B221=0,"",RANK(B221,$B$2:$B$326,0))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QPOWER</t>
        </is>
      </c>
      <c r="D221" s="31" t="inlineStr">
        <is>
          <t>Quality Power Electrical Equipments Ltd</t>
        </is>
      </c>
      <c r="E221" s="31" t="inlineStr">
        <is>
          <t>industrials</t>
        </is>
      </c>
      <c r="F221" s="31" t="inlineStr">
        <is>
          <t>electric equipment</t>
        </is>
      </c>
      <c r="G221" s="31" t="inlineStr">
        <is>
          <t>midcap</t>
        </is>
      </c>
      <c r="H221" s="32" t="n">
        <v>11523.68</v>
      </c>
      <c r="I221" s="32" t="n">
        <v>1455.6</v>
      </c>
      <c r="J221" s="32" t="n">
        <v>-2.18</v>
      </c>
      <c r="K221" s="32" t="n">
        <v>190928</v>
      </c>
      <c r="L221" s="31" t="n">
        <v>67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66.48999999999999</v>
      </c>
      <c r="P221" s="32" t="n">
        <v>16.64</v>
      </c>
      <c r="Q221" s="32" t="n">
        <v>1069.41</v>
      </c>
      <c r="R221" s="31" t="inlineStr">
        <is>
          <t>Near 52W High Breakout</t>
        </is>
      </c>
      <c r="S221" s="31" t="inlineStr">
        <is>
          <t>Nifty 50</t>
        </is>
      </c>
      <c r="T221" s="32" t="n">
        <v>-3.34</v>
      </c>
      <c r="U221" s="32" t="n">
        <v>60.41</v>
      </c>
      <c r="V221" s="32" t="n">
        <v>65.95999999999999</v>
      </c>
      <c r="W221" s="32" t="n">
        <v>19.09</v>
      </c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Between 1.5 to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IF(B222=0,"",RANK(B222,$B$2:$B$326,0))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INOXINDIA</t>
        </is>
      </c>
      <c r="D222" s="31" t="inlineStr">
        <is>
          <t>Inox India Ltd</t>
        </is>
      </c>
      <c r="E222" s="31" t="inlineStr">
        <is>
          <t>industrials</t>
        </is>
      </c>
      <c r="F222" s="31" t="inlineStr">
        <is>
          <t>packaging</t>
        </is>
      </c>
      <c r="G222" s="31" t="inlineStr">
        <is>
          <t>midcap</t>
        </is>
      </c>
      <c r="H222" s="32" t="n">
        <v>19658.47</v>
      </c>
      <c r="I222" s="32" t="n">
        <v>2099.4</v>
      </c>
      <c r="J222" s="32" t="n">
        <v>-3.07</v>
      </c>
      <c r="K222" s="32" t="n">
        <v>226228</v>
      </c>
      <c r="L222" s="31" t="n">
        <v>71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75.59</v>
      </c>
      <c r="P222" s="32" t="n">
        <v>64.25</v>
      </c>
      <c r="Q222" s="32" t="n">
        <v>1627.95</v>
      </c>
      <c r="R222" s="31" t="inlineStr">
        <is>
          <t>Near 52W High Breakout</t>
        </is>
      </c>
      <c r="S222" s="31" t="inlineStr">
        <is>
          <t>Nifty 50</t>
        </is>
      </c>
      <c r="T222" s="32" t="n">
        <v>-3.34</v>
      </c>
      <c r="U222" s="32" t="n">
        <v>80.89</v>
      </c>
      <c r="V222" s="32" t="n">
        <v>87.14</v>
      </c>
      <c r="W222" s="32" t="n">
        <v>20.34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Above 40</t>
        </is>
      </c>
      <c r="AY222" s="31">
        <f>IF(AX222="Above 40",20,IF(AX222="20 to 40",10,IF(AX222="0 to 20",-5,0)))</f>
        <v/>
      </c>
      <c r="AZ222" s="31" t="inlineStr">
        <is>
          <t>Above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Blue sky scenario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IF(B223=0,"",RANK(B223,$B$2:$B$326,0))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MAHASTEEL</t>
        </is>
      </c>
      <c r="D223" s="31" t="inlineStr">
        <is>
          <t>Mahamaya Steel Industries Limited</t>
        </is>
      </c>
      <c r="E223" s="31" t="inlineStr">
        <is>
          <t>metals &amp; mining</t>
        </is>
      </c>
      <c r="F223" s="31" t="inlineStr">
        <is>
          <t>steel - medium / small</t>
        </is>
      </c>
      <c r="G223" s="31" t="inlineStr">
        <is>
          <t>smallcap</t>
        </is>
      </c>
      <c r="H223" s="32" t="n">
        <v>2291.12</v>
      </c>
      <c r="I223" s="32" t="n">
        <v>1324.4</v>
      </c>
      <c r="J223" s="32" t="n">
        <v>-5</v>
      </c>
      <c r="K223" s="32" t="n">
        <v>3557</v>
      </c>
      <c r="L223" s="31" t="n">
        <v>94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74.31</v>
      </c>
      <c r="P223" s="32" t="n">
        <v>22.18</v>
      </c>
      <c r="Q223" s="32" t="n">
        <v>997.4400000000001</v>
      </c>
      <c r="R223" s="31" t="inlineStr">
        <is>
          <t>Near 52W High Breakout</t>
        </is>
      </c>
      <c r="S223" s="31" t="inlineStr">
        <is>
          <t>Nifty Metal</t>
        </is>
      </c>
      <c r="T223" s="32" t="n">
        <v>39.6</v>
      </c>
      <c r="U223" s="32" t="n">
        <v>267.89</v>
      </c>
      <c r="V223" s="32" t="n">
        <v>163.53</v>
      </c>
      <c r="W223" s="32" t="n">
        <v>43.69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Cyclical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Volatile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Blue sky scenario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IF(B224=0,"",RANK(B224,$B$2:$B$326,0))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PVP</t>
        </is>
      </c>
      <c r="D224" s="31" t="inlineStr">
        <is>
          <t>Pvp Ventures Limited</t>
        </is>
      </c>
      <c r="E224" s="31" t="inlineStr">
        <is>
          <t>realty</t>
        </is>
      </c>
      <c r="F224" s="31" t="inlineStr">
        <is>
          <t>construction</t>
        </is>
      </c>
      <c r="G224" s="31" t="inlineStr">
        <is>
          <t>smallcap</t>
        </is>
      </c>
      <c r="H224" s="32" t="n">
        <v>1694.19</v>
      </c>
      <c r="I224" s="32" t="n">
        <v>61.81</v>
      </c>
      <c r="J224" s="32" t="n">
        <v>-5</v>
      </c>
      <c r="K224" s="32" t="n">
        <v>700698</v>
      </c>
      <c r="L224" s="31" t="n">
        <v>94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77.03</v>
      </c>
      <c r="P224" s="32" t="n">
        <v>24.82</v>
      </c>
      <c r="Q224" s="32" t="n">
        <v>47.55</v>
      </c>
      <c r="R224" s="31" t="inlineStr">
        <is>
          <t>Earnings / Momentum Support</t>
        </is>
      </c>
      <c r="S224" s="31" t="inlineStr">
        <is>
          <t>Nifty Realty</t>
        </is>
      </c>
      <c r="T224" s="32" t="n">
        <v>-6.04</v>
      </c>
      <c r="U224" s="32" t="n">
        <v>192.66</v>
      </c>
      <c r="V224" s="32" t="n">
        <v>211.49</v>
      </c>
      <c r="W224" s="32" t="n">
        <v>46.09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Above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IF(B225=0,"",RANK(B225,$B$2:$B$326,0))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ECLERX</t>
        </is>
      </c>
      <c r="D225" s="31" t="inlineStr">
        <is>
          <t>Eclerx Services Limited</t>
        </is>
      </c>
      <c r="E225" s="31" t="inlineStr">
        <is>
          <t>i.t</t>
        </is>
      </c>
      <c r="F225" s="31" t="inlineStr">
        <is>
          <t>computers - software - medium / small</t>
        </is>
      </c>
      <c r="G225" s="31" t="inlineStr">
        <is>
          <t>midcap</t>
        </is>
      </c>
      <c r="H225" s="32" t="n">
        <v>18563.73</v>
      </c>
      <c r="I225" s="32" t="n">
        <v>2004.5</v>
      </c>
      <c r="J225" s="32" t="n">
        <v>1.56</v>
      </c>
      <c r="K225" s="32" t="n">
        <v>264722</v>
      </c>
      <c r="L225" s="31" t="n">
        <v>45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59.68</v>
      </c>
      <c r="P225" s="32" t="n">
        <v>19.37</v>
      </c>
      <c r="Q225" s="32" t="n">
        <v>1445.41</v>
      </c>
      <c r="R225" s="31" t="inlineStr">
        <is>
          <t>Earnings / Momentum Support</t>
        </is>
      </c>
      <c r="S225" s="31" t="inlineStr">
        <is>
          <t>Nifty IT</t>
        </is>
      </c>
      <c r="T225" s="32" t="n">
        <v>-10.2</v>
      </c>
      <c r="U225" s="32" t="n">
        <v>-6.51</v>
      </c>
      <c r="V225" s="32" t="n">
        <v>4.11</v>
      </c>
      <c r="W225" s="32" t="n">
        <v>11.43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Between 12 to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Less than 1.5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IF(B226=0,"",RANK(B226,$B$2:$B$326,0))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MUKKA</t>
        </is>
      </c>
      <c r="D226" s="31" t="inlineStr">
        <is>
          <t>Mukka Proteins Ltd</t>
        </is>
      </c>
      <c r="E226" s="31" t="inlineStr">
        <is>
          <t>fmcg</t>
        </is>
      </c>
      <c r="F226" s="31" t="inlineStr">
        <is>
          <t>food - processing - indian</t>
        </is>
      </c>
      <c r="G226" s="31" t="inlineStr">
        <is>
          <t>smallcap</t>
        </is>
      </c>
      <c r="H226" s="32" t="n">
        <v>801</v>
      </c>
      <c r="I226" s="32" t="n">
        <v>26.85</v>
      </c>
      <c r="J226" s="32" t="n">
        <v>0.5600000000000001</v>
      </c>
      <c r="K226" s="32" t="n">
        <v>966096</v>
      </c>
      <c r="L226" s="31" t="n">
        <v>8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61.48</v>
      </c>
      <c r="P226" s="32" t="n">
        <v>11.39</v>
      </c>
      <c r="Q226" s="32" t="n">
        <v>20.4</v>
      </c>
      <c r="R226" s="31" t="inlineStr">
        <is>
          <t>Volume Spike &amp; Near 52W High Breakout</t>
        </is>
      </c>
      <c r="S226" s="31" t="inlineStr">
        <is>
          <t>Nifty FMCG</t>
        </is>
      </c>
      <c r="T226" s="32" t="n">
        <v>-15.28</v>
      </c>
      <c r="U226" s="32" t="n">
        <v>-7.67</v>
      </c>
      <c r="V226" s="32" t="n">
        <v>8.98</v>
      </c>
      <c r="W226" s="32" t="n">
        <v>1.32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B2C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Annuity, Lower One Time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Less than 1.5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More than 1.2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IF(B227=0,"",RANK(B227,$B$2:$B$326,0))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3" t="inlineStr">
        <is>
          <t>SURAKSHA</t>
        </is>
      </c>
      <c r="D227" s="33" t="inlineStr">
        <is>
          <t>Suraksha Diagnostic Ltd</t>
        </is>
      </c>
      <c r="E227" s="31" t="inlineStr">
        <is>
          <t>healthcare</t>
        </is>
      </c>
      <c r="F227" s="31" t="inlineStr">
        <is>
          <t>healthcare</t>
        </is>
      </c>
      <c r="G227" s="31" t="inlineStr">
        <is>
          <t>smallcap</t>
        </is>
      </c>
      <c r="H227" s="32" t="n">
        <v>1774.91</v>
      </c>
      <c r="I227" s="32" t="n">
        <v>340.35</v>
      </c>
      <c r="J227" s="32" t="n">
        <v>-0.13</v>
      </c>
      <c r="K227" s="32" t="n">
        <v>117448</v>
      </c>
      <c r="L227" s="31" t="n">
        <v>31</v>
      </c>
      <c r="M227" s="31" t="inlineStr">
        <is>
          <t>Underperforming</t>
        </is>
      </c>
      <c r="N227" s="32">
        <f>IF(M227="Underperforming",-5,IF(L227&gt;=95,15,IF(L227&gt;=90,10,IF(L227&gt;=80,5,0))))</f>
        <v/>
      </c>
      <c r="O227" s="32" t="n">
        <v>69.17</v>
      </c>
      <c r="P227" s="32" t="n">
        <v>17.66</v>
      </c>
      <c r="Q227" s="32" t="n">
        <v>268.95</v>
      </c>
      <c r="R227" s="31" t="inlineStr">
        <is>
          <t>Near 52W High Breakout</t>
        </is>
      </c>
      <c r="S227" s="31" t="inlineStr">
        <is>
          <t>Nifty Pharma</t>
        </is>
      </c>
      <c r="T227" s="32" t="n">
        <v>22.15</v>
      </c>
      <c r="U227" s="32" t="n">
        <v>13.15</v>
      </c>
      <c r="V227" s="32" t="n">
        <v>-7.37</v>
      </c>
      <c r="W227" s="32" t="n">
        <v>7.85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Less than 1.5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IF(B228=0,"",RANK(B228,$B$2:$B$326,0))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GLENMARK</t>
        </is>
      </c>
      <c r="D228" s="33" t="inlineStr">
        <is>
          <t>Glenmark Pharmaceuticals Limited</t>
        </is>
      </c>
      <c r="E228" s="31" t="inlineStr">
        <is>
          <t>healthcare</t>
        </is>
      </c>
      <c r="F228" s="31" t="inlineStr">
        <is>
          <t>pharmaceuticals - indian - bulk drugs &amp; formln</t>
        </is>
      </c>
      <c r="G228" s="31" t="inlineStr">
        <is>
          <t>largecap</t>
        </is>
      </c>
      <c r="H228" s="32" t="n">
        <v>69714.89</v>
      </c>
      <c r="I228" s="32" t="n">
        <v>2460</v>
      </c>
      <c r="J228" s="32" t="n">
        <v>-0.42</v>
      </c>
      <c r="K228" s="32" t="n">
        <v>516029</v>
      </c>
      <c r="L228" s="31" t="n">
        <v>26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65.06</v>
      </c>
      <c r="P228" s="32" t="n">
        <v>17.77</v>
      </c>
      <c r="Q228" s="32" t="n">
        <v>2120.58</v>
      </c>
      <c r="R228" s="31" t="inlineStr">
        <is>
          <t>Near 52W High Breakout</t>
        </is>
      </c>
      <c r="S228" s="31" t="inlineStr">
        <is>
          <t>Nifty Pharma</t>
        </is>
      </c>
      <c r="T228" s="32" t="n">
        <v>22.15</v>
      </c>
      <c r="U228" s="32" t="n">
        <v>20.3</v>
      </c>
      <c r="V228" s="32" t="n">
        <v>-1.51</v>
      </c>
      <c r="W228" s="32" t="n">
        <v>6.68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Annuity, Lower One Time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Blue sky scenario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IF(B229=0,"",RANK(B229,$B$2:$B$326,0))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INDGN</t>
        </is>
      </c>
      <c r="D229" s="33" t="inlineStr">
        <is>
          <t>Indegene Ltd</t>
        </is>
      </c>
      <c r="E229" s="31" t="inlineStr">
        <is>
          <t>healthcare</t>
        </is>
      </c>
      <c r="F229" s="31" t="inlineStr">
        <is>
          <t>miscellaneous</t>
        </is>
      </c>
      <c r="G229" s="31" t="inlineStr">
        <is>
          <t>midcap</t>
        </is>
      </c>
      <c r="H229" s="32" t="n">
        <v>14587.37</v>
      </c>
      <c r="I229" s="32" t="n">
        <v>600.15</v>
      </c>
      <c r="J229" s="32" t="n">
        <v>-0.87</v>
      </c>
      <c r="K229" s="32" t="n">
        <v>684806</v>
      </c>
      <c r="L229" s="31" t="n">
        <v>20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70.23</v>
      </c>
      <c r="P229" s="32" t="n">
        <v>20.75</v>
      </c>
      <c r="Q229" s="32" t="n">
        <v>500.7</v>
      </c>
      <c r="R229" s="31" t="inlineStr">
        <is>
          <t>Volume Spike &amp; Near 52W High Breakout</t>
        </is>
      </c>
      <c r="S229" s="31" t="inlineStr">
        <is>
          <t>Nifty Pharma</t>
        </is>
      </c>
      <c r="T229" s="32" t="n">
        <v>22.15</v>
      </c>
      <c r="U229" s="32" t="n">
        <v>7.37</v>
      </c>
      <c r="V229" s="32" t="n">
        <v>-12.1</v>
      </c>
      <c r="W229" s="32" t="n">
        <v>5.1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Yes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Annuity, Lower One Time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IF(B230=0,"",RANK(B230,$B$2:$B$326,0))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XPROINDIA</t>
        </is>
      </c>
      <c r="D230" s="31" t="inlineStr">
        <is>
          <t>Xpro India Limited</t>
        </is>
      </c>
      <c r="E230" s="31" t="inlineStr">
        <is>
          <t>industrials</t>
        </is>
      </c>
      <c r="F230" s="31" t="inlineStr">
        <is>
          <t>packaging</t>
        </is>
      </c>
      <c r="G230" s="31" t="inlineStr">
        <is>
          <t>smallcap</t>
        </is>
      </c>
      <c r="H230" s="32" t="n">
        <v>2665.77</v>
      </c>
      <c r="I230" s="32" t="n">
        <v>1285.6</v>
      </c>
      <c r="J230" s="32" t="n">
        <v>13.19</v>
      </c>
      <c r="K230" s="32" t="n">
        <v>1517669</v>
      </c>
      <c r="L230" s="31" t="n">
        <v>18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54.64</v>
      </c>
      <c r="P230" s="32" t="n">
        <v>40.61</v>
      </c>
      <c r="Q230" s="32" t="n">
        <v>1064.99</v>
      </c>
      <c r="R230" s="31" t="inlineStr">
        <is>
          <t>Volume Spike / Accumulation</t>
        </is>
      </c>
      <c r="S230" s="31" t="inlineStr">
        <is>
          <t>Nifty 50</t>
        </is>
      </c>
      <c r="T230" s="32" t="n">
        <v>-3.34</v>
      </c>
      <c r="U230" s="32" t="n">
        <v>5.07</v>
      </c>
      <c r="V230" s="32" t="n">
        <v>8.699999999999999</v>
      </c>
      <c r="W230" s="32" t="n">
        <v>4.22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Above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1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IF(B231=0,"",RANK(B231,$B$2:$B$326,0))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UFLEX</t>
        </is>
      </c>
      <c r="D231" s="31" t="inlineStr">
        <is>
          <t>Uflex Limited</t>
        </is>
      </c>
      <c r="E231" s="31" t="inlineStr">
        <is>
          <t>industrials</t>
        </is>
      </c>
      <c r="F231" s="31" t="inlineStr">
        <is>
          <t>packaging</t>
        </is>
      </c>
      <c r="G231" s="31" t="inlineStr">
        <is>
          <t>smallcap</t>
        </is>
      </c>
      <c r="H231" s="32" t="n">
        <v>4658</v>
      </c>
      <c r="I231" s="32" t="n">
        <v>701.8</v>
      </c>
      <c r="J231" s="32" t="n">
        <v>8.800000000000001</v>
      </c>
      <c r="K231" s="32" t="n">
        <v>2479035</v>
      </c>
      <c r="L231" s="31" t="n">
        <v>81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81.11</v>
      </c>
      <c r="P231" s="32" t="n">
        <v>26.19</v>
      </c>
      <c r="Q231" s="32" t="n">
        <v>558.79</v>
      </c>
      <c r="R231" s="31" t="inlineStr">
        <is>
          <t>Near 52W High Breakout</t>
        </is>
      </c>
      <c r="S231" s="31" t="inlineStr">
        <is>
          <t>Nifty Infra</t>
        </is>
      </c>
      <c r="T231" s="32" t="n">
        <v>1.61</v>
      </c>
      <c r="U231" s="32" t="n">
        <v>20.21</v>
      </c>
      <c r="V231" s="32" t="n">
        <v>18.31</v>
      </c>
      <c r="W231" s="32" t="n">
        <v>24.78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Above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Less than 1.5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More than 1.2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IF(B232=0,"",RANK(B232,$B$2:$B$326,0))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MANAKSTEEL</t>
        </is>
      </c>
      <c r="D232" s="31" t="inlineStr">
        <is>
          <t>Manaksia Steels Limited</t>
        </is>
      </c>
      <c r="E232" s="31" t="inlineStr">
        <is>
          <t>metals &amp; mining</t>
        </is>
      </c>
      <c r="F232" s="31" t="inlineStr">
        <is>
          <t>steel - medium / small</t>
        </is>
      </c>
      <c r="G232" s="31" t="inlineStr">
        <is>
          <t>smallcap</t>
        </is>
      </c>
      <c r="H232" s="32" t="n">
        <v>682.21</v>
      </c>
      <c r="I232" s="32" t="n">
        <v>109.3</v>
      </c>
      <c r="J232" s="32" t="n">
        <v>5</v>
      </c>
      <c r="K232" s="32" t="n">
        <v>509467</v>
      </c>
      <c r="L232" s="31" t="n">
        <v>76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77.62</v>
      </c>
      <c r="P232" s="32" t="n">
        <v>41.97</v>
      </c>
      <c r="Q232" s="32" t="n">
        <v>82.66</v>
      </c>
      <c r="R232" s="31" t="inlineStr">
        <is>
          <t>Volume Spike &amp; Near 52W High Breakout</t>
        </is>
      </c>
      <c r="S232" s="31" t="inlineStr">
        <is>
          <t>Nifty Metal</t>
        </is>
      </c>
      <c r="T232" s="32" t="n">
        <v>39.6</v>
      </c>
      <c r="U232" s="32" t="n">
        <v>77.15000000000001</v>
      </c>
      <c r="V232" s="32" t="n">
        <v>26.9</v>
      </c>
      <c r="W232" s="32" t="n">
        <v>22.59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Cyclical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Volatile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Above 40</t>
        </is>
      </c>
      <c r="AY232" s="31">
        <f>IF(AX232="Above 40",20,IF(AX232="20 to 40",10,IF(AX232="0 to 20",-5,0)))</f>
        <v/>
      </c>
      <c r="AZ232" s="31" t="inlineStr">
        <is>
          <t>Above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IF(B233=0,"",RANK(B233,$B$2:$B$326,0))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ARROWGREEN</t>
        </is>
      </c>
      <c r="D233" s="31" t="inlineStr">
        <is>
          <t>Arrow Greentech Limited</t>
        </is>
      </c>
      <c r="E233" s="31" t="inlineStr">
        <is>
          <t>plastic products</t>
        </is>
      </c>
      <c r="F233" s="31" t="inlineStr">
        <is>
          <t>plastics products</t>
        </is>
      </c>
      <c r="G233" s="31" t="inlineStr">
        <is>
          <t>smallcap</t>
        </is>
      </c>
      <c r="H233" s="32" t="n">
        <v>1108.21</v>
      </c>
      <c r="I233" s="32" t="n">
        <v>771.2</v>
      </c>
      <c r="J233" s="32" t="n">
        <v>5</v>
      </c>
      <c r="K233" s="32" t="n">
        <v>26675</v>
      </c>
      <c r="L233" s="31" t="n">
        <v>65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64</v>
      </c>
      <c r="P233" s="32" t="n">
        <v>41.34</v>
      </c>
      <c r="Q233" s="32" t="n">
        <v>595.1900000000001</v>
      </c>
      <c r="R233" s="31" t="inlineStr">
        <is>
          <t>Near 52W High Breakout</t>
        </is>
      </c>
      <c r="S233" s="31" t="inlineStr">
        <is>
          <t>Nifty 50</t>
        </is>
      </c>
      <c r="T233" s="32" t="n">
        <v>-3.34</v>
      </c>
      <c r="U233" s="32" t="n">
        <v>35.16</v>
      </c>
      <c r="V233" s="32" t="n">
        <v>39.84</v>
      </c>
      <c r="W233" s="32" t="n">
        <v>18.57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Above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IF(B234=0,"",RANK(B234,$B$2:$B$326,0))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SEAMECLTD</t>
        </is>
      </c>
      <c r="D234" s="31" t="inlineStr">
        <is>
          <t>Seamec Limited</t>
        </is>
      </c>
      <c r="E234" s="31" t="inlineStr">
        <is>
          <t>miscellaneous</t>
        </is>
      </c>
      <c r="F234" s="31" t="inlineStr">
        <is>
          <t>miscellaneous</t>
        </is>
      </c>
      <c r="G234" s="31" t="inlineStr">
        <is>
          <t>smallcap</t>
        </is>
      </c>
      <c r="H234" s="32" t="n">
        <v>4268.35</v>
      </c>
      <c r="I234" s="32" t="n">
        <v>1735.7</v>
      </c>
      <c r="J234" s="32" t="n">
        <v>3.39</v>
      </c>
      <c r="K234" s="32" t="n">
        <v>168329</v>
      </c>
      <c r="L234" s="31" t="n">
        <v>56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69.3</v>
      </c>
      <c r="P234" s="32" t="n">
        <v>18.92</v>
      </c>
      <c r="Q234" s="32" t="n">
        <v>1360.9</v>
      </c>
      <c r="R234" s="31" t="inlineStr">
        <is>
          <t>Near 52W High Breakout</t>
        </is>
      </c>
      <c r="S234" s="31" t="inlineStr">
        <is>
          <t>Nifty 50</t>
        </is>
      </c>
      <c r="T234" s="32" t="n">
        <v>-3.34</v>
      </c>
      <c r="U234" s="32" t="n">
        <v>87.59999999999999</v>
      </c>
      <c r="V234" s="32" t="n">
        <v>94.08</v>
      </c>
      <c r="W234" s="32" t="n">
        <v>15.85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IF(B235=0,"",RANK(B235,$B$2:$B$326,0))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VSSL</t>
        </is>
      </c>
      <c r="D235" s="31" t="inlineStr">
        <is>
          <t>Vardhman Special Steels Limited</t>
        </is>
      </c>
      <c r="E235" s="31" t="inlineStr">
        <is>
          <t>metals &amp; mining</t>
        </is>
      </c>
      <c r="F235" s="31" t="inlineStr">
        <is>
          <t>steel - medium / small</t>
        </is>
      </c>
      <c r="G235" s="31" t="inlineStr">
        <is>
          <t>smallcap</t>
        </is>
      </c>
      <c r="H235" s="32" t="n">
        <v>3430.89</v>
      </c>
      <c r="I235" s="32" t="n">
        <v>362.1</v>
      </c>
      <c r="J235" s="32" t="n">
        <v>2.04</v>
      </c>
      <c r="K235" s="32" t="n">
        <v>106991</v>
      </c>
      <c r="L235" s="31" t="n">
        <v>60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77.36</v>
      </c>
      <c r="P235" s="32" t="n">
        <v>34.58</v>
      </c>
      <c r="Q235" s="32" t="n">
        <v>289.47</v>
      </c>
      <c r="R235" s="31" t="inlineStr">
        <is>
          <t>Near 52W High Breakout</t>
        </is>
      </c>
      <c r="S235" s="31" t="inlineStr">
        <is>
          <t>Nifty Metal</t>
        </is>
      </c>
      <c r="T235" s="32" t="n">
        <v>39.6</v>
      </c>
      <c r="U235" s="32" t="n">
        <v>43.3</v>
      </c>
      <c r="V235" s="32" t="n">
        <v>2.65</v>
      </c>
      <c r="W235" s="32" t="n">
        <v>16.89</v>
      </c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Cyclical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Volatile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Above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Less than 1.5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IF(B236=0,"",RANK(B236,$B$2:$B$326,0))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SBC</t>
        </is>
      </c>
      <c r="D236" s="31" t="inlineStr">
        <is>
          <t>SBC Exports Ltd</t>
        </is>
      </c>
      <c r="E236" s="31" t="inlineStr">
        <is>
          <t>textiles</t>
        </is>
      </c>
      <c r="F236" s="31" t="inlineStr">
        <is>
          <t>textiles - products</t>
        </is>
      </c>
      <c r="G236" s="31" t="inlineStr">
        <is>
          <t>smallcap</t>
        </is>
      </c>
      <c r="H236" s="32" t="n">
        <v>2001.9</v>
      </c>
      <c r="I236" s="32" t="n">
        <v>42.81</v>
      </c>
      <c r="J236" s="32" t="n">
        <v>1.83</v>
      </c>
      <c r="K236" s="32" t="n">
        <v>7904399</v>
      </c>
      <c r="L236" s="31" t="n">
        <v>68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66.81</v>
      </c>
      <c r="P236" s="32" t="n">
        <v>32.69</v>
      </c>
      <c r="Q236" s="32" t="n">
        <v>35.77</v>
      </c>
      <c r="R236" s="31" t="inlineStr">
        <is>
          <t>Near 52W High Breakout</t>
        </is>
      </c>
      <c r="S236" s="31" t="inlineStr">
        <is>
          <t>Nifty 50</t>
        </is>
      </c>
      <c r="T236" s="32" t="n">
        <v>-3.34</v>
      </c>
      <c r="U236" s="32" t="n">
        <v>109.54</v>
      </c>
      <c r="V236" s="32" t="n">
        <v>116.79</v>
      </c>
      <c r="W236" s="32" t="n">
        <v>19.54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More than 1.2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IF(B237=0,"",RANK(B237,$B$2:$B$326,0))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SAIL</t>
        </is>
      </c>
      <c r="D237" s="31" t="inlineStr">
        <is>
          <t>Steel Authority Of India Limited</t>
        </is>
      </c>
      <c r="E237" s="31" t="inlineStr">
        <is>
          <t>metals &amp; mining</t>
        </is>
      </c>
      <c r="F237" s="31" t="inlineStr">
        <is>
          <t>steel - large</t>
        </is>
      </c>
      <c r="G237" s="31" t="inlineStr">
        <is>
          <t>largecap</t>
        </is>
      </c>
      <c r="H237" s="32" t="n">
        <v>79719.14</v>
      </c>
      <c r="I237" s="32" t="n">
        <v>196.5</v>
      </c>
      <c r="J237" s="32" t="n">
        <v>1.81</v>
      </c>
      <c r="K237" s="32" t="n">
        <v>19458118</v>
      </c>
      <c r="L237" s="31" t="n">
        <v>43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63.33</v>
      </c>
      <c r="P237" s="32" t="n">
        <v>21.41</v>
      </c>
      <c r="Q237" s="32" t="n">
        <v>158.68</v>
      </c>
      <c r="R237" s="31" t="inlineStr">
        <is>
          <t>Near 52W High Breakout</t>
        </is>
      </c>
      <c r="S237" s="31" t="inlineStr">
        <is>
          <t>Nifty Metal</t>
        </is>
      </c>
      <c r="T237" s="32" t="n">
        <v>39.6</v>
      </c>
      <c r="U237" s="32" t="n">
        <v>52.26</v>
      </c>
      <c r="V237" s="32" t="n">
        <v>9.07</v>
      </c>
      <c r="W237" s="32" t="n">
        <v>11.08</v>
      </c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Cyclical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Volatile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Blue sky scenario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IF(B238=0,"",RANK(B238,$B$2:$B$326,0))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PITTIENG</t>
        </is>
      </c>
      <c r="D238" s="31" t="inlineStr">
        <is>
          <t>Pitti Engineering Ltd</t>
        </is>
      </c>
      <c r="E238" s="31" t="inlineStr">
        <is>
          <t>industrials</t>
        </is>
      </c>
      <c r="F238" s="31" t="inlineStr">
        <is>
          <t>engineering</t>
        </is>
      </c>
      <c r="G238" s="31" t="inlineStr">
        <is>
          <t>smallcap</t>
        </is>
      </c>
      <c r="H238" s="32" t="n">
        <v>4046.63</v>
      </c>
      <c r="I238" s="32" t="n">
        <v>1093</v>
      </c>
      <c r="J238" s="32" t="n">
        <v>1.7</v>
      </c>
      <c r="K238" s="32" t="n">
        <v>71422</v>
      </c>
      <c r="L238" s="31" t="n">
        <v>30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64.28</v>
      </c>
      <c r="P238" s="32" t="n">
        <v>14.45</v>
      </c>
      <c r="Q238" s="32" t="n">
        <v>878.9299999999999</v>
      </c>
      <c r="R238" s="31" t="inlineStr">
        <is>
          <t>Near 52W High Breakout</t>
        </is>
      </c>
      <c r="S238" s="31" t="inlineStr">
        <is>
          <t>Nifty 50</t>
        </is>
      </c>
      <c r="T238" s="32" t="n">
        <v>-3.34</v>
      </c>
      <c r="U238" s="32" t="n">
        <v>20.34</v>
      </c>
      <c r="V238" s="32" t="n">
        <v>24.5</v>
      </c>
      <c r="W238" s="32" t="n">
        <v>7.7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Between 0.7 to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IF(B239=0,"",RANK(B239,$B$2:$B$326,0))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ALEMBICLTD</t>
        </is>
      </c>
      <c r="D239" s="33" t="inlineStr">
        <is>
          <t>Alembic Limited</t>
        </is>
      </c>
      <c r="E239" s="31" t="inlineStr">
        <is>
          <t>realty</t>
        </is>
      </c>
      <c r="F239" s="31" t="inlineStr">
        <is>
          <t>construction</t>
        </is>
      </c>
      <c r="G239" s="31" t="inlineStr">
        <is>
          <t>smallcap</t>
        </is>
      </c>
      <c r="H239" s="32" t="n">
        <v>2538.29</v>
      </c>
      <c r="I239" s="32" t="n">
        <v>100.14</v>
      </c>
      <c r="J239" s="32" t="n">
        <v>1.31</v>
      </c>
      <c r="K239" s="32" t="n">
        <v>645226</v>
      </c>
      <c r="L239" s="31" t="n">
        <v>6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64.23999999999999</v>
      </c>
      <c r="P239" s="32" t="n">
        <v>12.63</v>
      </c>
      <c r="Q239" s="32" t="n">
        <v>82.44</v>
      </c>
      <c r="R239" s="31" t="inlineStr">
        <is>
          <t>Near 52W High Breakout</t>
        </is>
      </c>
      <c r="S239" s="31" t="inlineStr">
        <is>
          <t>Nifty Realty</t>
        </is>
      </c>
      <c r="T239" s="32" t="n">
        <v>-6.04</v>
      </c>
      <c r="U239" s="32" t="n">
        <v>-8.67</v>
      </c>
      <c r="V239" s="32" t="n">
        <v>-2.8</v>
      </c>
      <c r="W239" s="32" t="n">
        <v>1.03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IF(B240=0,"",RANK(B240,$B$2:$B$326,0))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JSWDULUX</t>
        </is>
      </c>
      <c r="D240" s="33" t="inlineStr">
        <is>
          <t>JSW Dulux Ltd</t>
        </is>
      </c>
      <c r="E240" s="31" t="inlineStr">
        <is>
          <t>building materials</t>
        </is>
      </c>
      <c r="F240" s="31" t="inlineStr">
        <is>
          <t>paints / varnishes</t>
        </is>
      </c>
      <c r="G240" s="31" t="inlineStr">
        <is>
          <t>midcap</t>
        </is>
      </c>
      <c r="H240" s="32" t="n">
        <v>14315.14</v>
      </c>
      <c r="I240" s="32" t="n">
        <v>3163.3</v>
      </c>
      <c r="J240" s="32" t="n">
        <v>0.63</v>
      </c>
      <c r="K240" s="32" t="n">
        <v>29237</v>
      </c>
      <c r="L240" s="31" t="n">
        <v>3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55.01</v>
      </c>
      <c r="P240" s="32" t="n">
        <v>13.54</v>
      </c>
      <c r="Q240" s="32" t="n">
        <v>2741.99</v>
      </c>
      <c r="R240" s="31" t="inlineStr">
        <is>
          <t>Earnings / Momentum Support</t>
        </is>
      </c>
      <c r="S240" s="31" t="inlineStr">
        <is>
          <t>Nifty Infra</t>
        </is>
      </c>
      <c r="T240" s="32" t="n">
        <v>1.61</v>
      </c>
      <c r="U240" s="32" t="n">
        <v>-10.9</v>
      </c>
      <c r="V240" s="32" t="n">
        <v>-12.31</v>
      </c>
      <c r="W240" s="32" t="n">
        <v>-0.23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Less than 1.5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IF(B241=0,"",RANK(B241,$B$2:$B$326,0))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ROSSTECH</t>
        </is>
      </c>
      <c r="D241" s="31" t="inlineStr">
        <is>
          <t>Rossell Techsys Ltd</t>
        </is>
      </c>
      <c r="E241" s="31" t="inlineStr">
        <is>
          <t>aerospace &amp; defence</t>
        </is>
      </c>
      <c r="F241" s="31" t="inlineStr">
        <is>
          <t>engineering</t>
        </is>
      </c>
      <c r="G241" s="31" t="inlineStr">
        <is>
          <t>smallcap</t>
        </is>
      </c>
      <c r="H241" s="32" t="n">
        <v>4283.07</v>
      </c>
      <c r="I241" s="32" t="n">
        <v>1134</v>
      </c>
      <c r="J241" s="32" t="n">
        <v>-0.19</v>
      </c>
      <c r="K241" s="32" t="n">
        <v>164242</v>
      </c>
      <c r="L241" s="31" t="n">
        <v>48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65.90000000000001</v>
      </c>
      <c r="P241" s="32" t="n">
        <v>27.45</v>
      </c>
      <c r="Q241" s="32" t="n">
        <v>807.02</v>
      </c>
      <c r="R241" s="31" t="inlineStr">
        <is>
          <t>Near 52W High Breakout</t>
        </is>
      </c>
      <c r="S241" s="31" t="inlineStr">
        <is>
          <t>Nifty 50</t>
        </is>
      </c>
      <c r="T241" s="32" t="n">
        <v>-3.34</v>
      </c>
      <c r="U241" s="32" t="n">
        <v>58.61</v>
      </c>
      <c r="V241" s="32" t="n">
        <v>64.09</v>
      </c>
      <c r="W241" s="32" t="n">
        <v>12.41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Blue sky scenario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More than 1.2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IF(B242=0,"",RANK(B242,$B$2:$B$326,0))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SUNDRMFAST</t>
        </is>
      </c>
      <c r="D242" s="31" t="inlineStr">
        <is>
          <t>Sundram Fasteners Limited</t>
        </is>
      </c>
      <c r="E242" s="31" t="inlineStr">
        <is>
          <t>auto</t>
        </is>
      </c>
      <c r="F242" s="31" t="inlineStr">
        <is>
          <t>auto ancillaries</t>
        </is>
      </c>
      <c r="G242" s="31" t="inlineStr">
        <is>
          <t>largecap</t>
        </is>
      </c>
      <c r="H242" s="32" t="n">
        <v>25314.16</v>
      </c>
      <c r="I242" s="32" t="n">
        <v>1200.7</v>
      </c>
      <c r="J242" s="32" t="n">
        <v>-0.33</v>
      </c>
      <c r="K242" s="32" t="n">
        <v>77604</v>
      </c>
      <c r="L242" s="31" t="n">
        <v>57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77.09</v>
      </c>
      <c r="P242" s="32" t="n">
        <v>34.56</v>
      </c>
      <c r="Q242" s="32" t="n">
        <v>1051.37</v>
      </c>
      <c r="R242" s="31" t="inlineStr">
        <is>
          <t>Near 52W High Breakout</t>
        </is>
      </c>
      <c r="S242" s="31" t="inlineStr">
        <is>
          <t>Nifty Auto</t>
        </is>
      </c>
      <c r="T242" s="32" t="n">
        <v>17.66</v>
      </c>
      <c r="U242" s="32" t="n">
        <v>20.7</v>
      </c>
      <c r="V242" s="32" t="n">
        <v>2.58</v>
      </c>
      <c r="W242" s="32" t="n">
        <v>16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Above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Between 12 to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IF(B243=0,"",RANK(B243,$B$2:$B$326,0))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VOLTAMP</t>
        </is>
      </c>
      <c r="D243" s="31" t="inlineStr">
        <is>
          <t>Voltamp Transformers Limited</t>
        </is>
      </c>
      <c r="E243" s="31" t="inlineStr">
        <is>
          <t>industrials</t>
        </is>
      </c>
      <c r="F243" s="31" t="inlineStr">
        <is>
          <t>electric equipment</t>
        </is>
      </c>
      <c r="G243" s="31" t="inlineStr">
        <is>
          <t>midcap</t>
        </is>
      </c>
      <c r="H243" s="32" t="n">
        <v>10908.28</v>
      </c>
      <c r="I243" s="32" t="n">
        <v>10682</v>
      </c>
      <c r="J243" s="32" t="n">
        <v>-0.93</v>
      </c>
      <c r="K243" s="32" t="n">
        <v>21874</v>
      </c>
      <c r="L243" s="31" t="n">
        <v>34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60.54</v>
      </c>
      <c r="P243" s="32" t="n">
        <v>30.43</v>
      </c>
      <c r="Q243" s="32" t="n">
        <v>8643.709999999999</v>
      </c>
      <c r="R243" s="31" t="inlineStr">
        <is>
          <t>Earnings / Momentum Support</t>
        </is>
      </c>
      <c r="S243" s="31" t="inlineStr">
        <is>
          <t>Nifty 50</t>
        </is>
      </c>
      <c r="T243" s="32" t="n">
        <v>-3.34</v>
      </c>
      <c r="U243" s="32" t="n">
        <v>37.37</v>
      </c>
      <c r="V243" s="32" t="n">
        <v>42.12</v>
      </c>
      <c r="W243" s="32" t="n">
        <v>8.550000000000001</v>
      </c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Between 12 to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IF(B244=0,"",RANK(B244,$B$2:$B$326,0))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SVLL</t>
        </is>
      </c>
      <c r="D244" s="31" t="inlineStr">
        <is>
          <t>Shree Vasu Logistics Ltd</t>
        </is>
      </c>
      <c r="E244" s="31" t="inlineStr">
        <is>
          <t>transportation</t>
        </is>
      </c>
      <c r="F244" s="31" t="inlineStr">
        <is>
          <t>miscellaneous</t>
        </is>
      </c>
      <c r="G244" s="31" t="inlineStr">
        <is>
          <t>smallcap</t>
        </is>
      </c>
      <c r="H244" s="32" t="n">
        <v>936.85</v>
      </c>
      <c r="I244" s="32" t="n">
        <v>807</v>
      </c>
      <c r="J244" s="32" t="n">
        <v>-0.99</v>
      </c>
      <c r="K244" s="32" t="n">
        <v>2150</v>
      </c>
      <c r="L244" s="31" t="n">
        <v>18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64.05</v>
      </c>
      <c r="P244" s="32" t="n">
        <v>36.85</v>
      </c>
      <c r="Q244" s="32" t="n">
        <v>601.39</v>
      </c>
      <c r="R244" s="31" t="inlineStr">
        <is>
          <t>Near 52W High Breakout</t>
        </is>
      </c>
      <c r="S244" s="31" t="inlineStr">
        <is>
          <t>Nifty 50</t>
        </is>
      </c>
      <c r="T244" s="32" t="n">
        <v>-3.34</v>
      </c>
      <c r="U244" s="32" t="n">
        <v>5.02</v>
      </c>
      <c r="V244" s="32" t="n">
        <v>8.65</v>
      </c>
      <c r="W244" s="32" t="n">
        <v>4.14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More than 1.2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IF(B245=0,"",RANK(B245,$B$2:$B$326,0))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CEIGALL</t>
        </is>
      </c>
      <c r="D245" s="31" t="inlineStr">
        <is>
          <t>Ceigall India Ltd</t>
        </is>
      </c>
      <c r="E245" s="31" t="inlineStr">
        <is>
          <t>realty</t>
        </is>
      </c>
      <c r="F245" s="31" t="inlineStr">
        <is>
          <t>construction</t>
        </is>
      </c>
      <c r="G245" s="31" t="inlineStr">
        <is>
          <t>midcap</t>
        </is>
      </c>
      <c r="H245" s="32" t="n">
        <v>6004.84</v>
      </c>
      <c r="I245" s="32" t="n">
        <v>340.6</v>
      </c>
      <c r="J245" s="32" t="n">
        <v>-1.19</v>
      </c>
      <c r="K245" s="32" t="n">
        <v>203190</v>
      </c>
      <c r="L245" s="31" t="n">
        <v>24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54.27</v>
      </c>
      <c r="P245" s="32" t="n">
        <v>31.94</v>
      </c>
      <c r="Q245" s="32" t="n">
        <v>303.91</v>
      </c>
      <c r="R245" s="31" t="inlineStr">
        <is>
          <t>Earnings / Momentum Support</t>
        </is>
      </c>
      <c r="S245" s="31" t="inlineStr">
        <is>
          <t>Nifty Realty</t>
        </is>
      </c>
      <c r="T245" s="32" t="n">
        <v>-6.04</v>
      </c>
      <c r="U245" s="32" t="n">
        <v>29.16</v>
      </c>
      <c r="V245" s="32" t="n">
        <v>37.47</v>
      </c>
      <c r="W245" s="32" t="n">
        <v>6.4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1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Less than 1.5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IF(B246=0,"",RANK(B246,$B$2:$B$326,0))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WONDERLA</t>
        </is>
      </c>
      <c r="D246" s="33" t="inlineStr">
        <is>
          <t>Wonderla Holidays Limited</t>
        </is>
      </c>
      <c r="E246" s="31" t="inlineStr">
        <is>
          <t>media</t>
        </is>
      </c>
      <c r="F246" s="31" t="inlineStr">
        <is>
          <t>recreation / amusement parks</t>
        </is>
      </c>
      <c r="G246" s="31" t="inlineStr">
        <is>
          <t>smallcap</t>
        </is>
      </c>
      <c r="H246" s="32" t="n">
        <v>3402.51</v>
      </c>
      <c r="I246" s="32" t="n">
        <v>529.55</v>
      </c>
      <c r="J246" s="32" t="n">
        <v>-1.25</v>
      </c>
      <c r="K246" s="32" t="n">
        <v>66709</v>
      </c>
      <c r="L246" s="31" t="n">
        <v>1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56.68</v>
      </c>
      <c r="P246" s="32" t="n">
        <v>12.51</v>
      </c>
      <c r="Q246" s="32" t="n">
        <v>439.59</v>
      </c>
      <c r="R246" s="31" t="inlineStr">
        <is>
          <t>Earnings / Momentum Support</t>
        </is>
      </c>
      <c r="S246" s="31" t="inlineStr">
        <is>
          <t>Nifty Media</t>
        </is>
      </c>
      <c r="T246" s="32" t="n">
        <v>-8.119999999999999</v>
      </c>
      <c r="U246" s="32" t="n">
        <v>-17.62</v>
      </c>
      <c r="V246" s="32" t="n">
        <v>-10.35</v>
      </c>
      <c r="W246" s="32" t="n">
        <v>-3.33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IF(B247=0,"",RANK(B247,$B$2:$B$326,0))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RATNAVEER</t>
        </is>
      </c>
      <c r="D247" s="31" t="inlineStr">
        <is>
          <t>Ratnaveer Precision Engineering Ltd</t>
        </is>
      </c>
      <c r="E247" s="31" t="inlineStr">
        <is>
          <t>metals &amp; mining</t>
        </is>
      </c>
      <c r="F247" s="31" t="inlineStr">
        <is>
          <t>steel - medium / small</t>
        </is>
      </c>
      <c r="G247" s="31" t="inlineStr">
        <is>
          <t>smallcap</t>
        </is>
      </c>
      <c r="H247" s="32" t="n">
        <v>2081.02</v>
      </c>
      <c r="I247" s="32" t="n">
        <v>286.15</v>
      </c>
      <c r="J247" s="32" t="n">
        <v>-1.78</v>
      </c>
      <c r="K247" s="32" t="n">
        <v>1974512</v>
      </c>
      <c r="L247" s="31" t="n">
        <v>91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78</v>
      </c>
      <c r="P247" s="32" t="n">
        <v>54.81</v>
      </c>
      <c r="Q247" s="32" t="n">
        <v>216.5</v>
      </c>
      <c r="R247" s="31" t="inlineStr">
        <is>
          <t>Near 52W High Breakout</t>
        </is>
      </c>
      <c r="S247" s="31" t="inlineStr">
        <is>
          <t>Nifty Metal</t>
        </is>
      </c>
      <c r="T247" s="32" t="n">
        <v>39.6</v>
      </c>
      <c r="U247" s="32" t="n">
        <v>84.45</v>
      </c>
      <c r="V247" s="32" t="n">
        <v>32.13</v>
      </c>
      <c r="W247" s="32" t="n">
        <v>37.76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Above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Blue sky scenario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IF(B248=0,"",RANK(B248,$B$2:$B$326,0))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VIDHIING</t>
        </is>
      </c>
      <c r="D248" s="33" t="inlineStr">
        <is>
          <t>Vidhi Specialty Food Ingredients</t>
        </is>
      </c>
      <c r="E248" s="31" t="inlineStr">
        <is>
          <t>chemicals</t>
        </is>
      </c>
      <c r="F248" s="31" t="inlineStr">
        <is>
          <t>dyes and pigments</t>
        </is>
      </c>
      <c r="G248" s="31" t="inlineStr">
        <is>
          <t>smallcap</t>
        </is>
      </c>
      <c r="H248" s="32" t="n">
        <v>1769.8</v>
      </c>
      <c r="I248" s="32" t="n">
        <v>342.9</v>
      </c>
      <c r="J248" s="32" t="n">
        <v>-3.23</v>
      </c>
      <c r="K248" s="32" t="n">
        <v>13344</v>
      </c>
      <c r="L248" s="31" t="n">
        <v>10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59.06</v>
      </c>
      <c r="P248" s="32" t="n">
        <v>17.87</v>
      </c>
      <c r="Q248" s="32" t="n">
        <v>278.02</v>
      </c>
      <c r="R248" s="31" t="inlineStr">
        <is>
          <t>Earnings / Momentum Support</t>
        </is>
      </c>
      <c r="S248" s="31" t="inlineStr">
        <is>
          <t>Nifty 50</t>
        </is>
      </c>
      <c r="T248" s="32" t="n">
        <v>-3.34</v>
      </c>
      <c r="U248" s="32" t="n">
        <v>-10.35</v>
      </c>
      <c r="V248" s="32" t="n">
        <v>-7.25</v>
      </c>
      <c r="W248" s="32" t="n">
        <v>1.93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IF(B249=0,"",RANK(B249,$B$2:$B$326,0))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INDOCO</t>
        </is>
      </c>
      <c r="D249" s="33" t="inlineStr">
        <is>
          <t>Indoco Remedies Limited</t>
        </is>
      </c>
      <c r="E249" s="31" t="inlineStr">
        <is>
          <t>healthcare</t>
        </is>
      </c>
      <c r="F249" s="31" t="inlineStr">
        <is>
          <t>pharmaceuticals - indian - bulk drugs &amp; formln</t>
        </is>
      </c>
      <c r="G249" s="31" t="inlineStr">
        <is>
          <t>smallcap</t>
        </is>
      </c>
      <c r="H249" s="32" t="n">
        <v>2250.73</v>
      </c>
      <c r="I249" s="32" t="n">
        <v>273.77</v>
      </c>
      <c r="J249" s="32" t="n">
        <v>12.27</v>
      </c>
      <c r="K249" s="32" t="n">
        <v>19225160</v>
      </c>
      <c r="L249" s="31" t="n">
        <v>31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63.01</v>
      </c>
      <c r="P249" s="32" t="n">
        <v>38.44</v>
      </c>
      <c r="Q249" s="32" t="n">
        <v>196.56</v>
      </c>
      <c r="R249" s="31" t="inlineStr">
        <is>
          <t>Volume Spike / Accumulation</t>
        </is>
      </c>
      <c r="S249" s="31" t="inlineStr">
        <is>
          <t>Nifty Pharma</t>
        </is>
      </c>
      <c r="T249" s="32" t="n">
        <v>22.15</v>
      </c>
      <c r="U249" s="32" t="n">
        <v>0.08</v>
      </c>
      <c r="V249" s="32" t="n">
        <v>-18.07</v>
      </c>
      <c r="W249" s="32" t="n">
        <v>7.96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Yes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Annuity, Lower One Time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Between 0.7 to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IF(B250=0,"",RANK(B250,$B$2:$B$326,0))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WINDLAS</t>
        </is>
      </c>
      <c r="D250" s="33" t="inlineStr">
        <is>
          <t>Windlas Biotech Ltd</t>
        </is>
      </c>
      <c r="E250" s="31" t="inlineStr">
        <is>
          <t>healthcare</t>
        </is>
      </c>
      <c r="F250" s="31" t="inlineStr">
        <is>
          <t>pharmaceuticals - indian - formulations</t>
        </is>
      </c>
      <c r="G250" s="31" t="inlineStr">
        <is>
          <t>smallcap</t>
        </is>
      </c>
      <c r="H250" s="32" t="n">
        <v>2080.85</v>
      </c>
      <c r="I250" s="32" t="n">
        <v>1096.6</v>
      </c>
      <c r="J250" s="32" t="n">
        <v>8.75</v>
      </c>
      <c r="K250" s="32" t="n">
        <v>1564975</v>
      </c>
      <c r="L250" s="31" t="n">
        <v>43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77.03</v>
      </c>
      <c r="P250" s="32" t="n">
        <v>25.84</v>
      </c>
      <c r="Q250" s="32" t="n">
        <v>878.23</v>
      </c>
      <c r="R250" s="31" t="inlineStr">
        <is>
          <t>Volume Spike &amp; Near 52W High Breakout</t>
        </is>
      </c>
      <c r="S250" s="31" t="inlineStr">
        <is>
          <t>Nifty Pharma</t>
        </is>
      </c>
      <c r="T250" s="32" t="n">
        <v>22.15</v>
      </c>
      <c r="U250" s="32" t="n">
        <v>11.2</v>
      </c>
      <c r="V250" s="32" t="n">
        <v>-8.960000000000001</v>
      </c>
      <c r="W250" s="32" t="n">
        <v>11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Yes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Annuity, Lower One Time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Above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Blue sky scenario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Less than 12%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IF(B251=0,"",RANK(B251,$B$2:$B$326,0))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POLYMED</t>
        </is>
      </c>
      <c r="D251" s="33" t="inlineStr">
        <is>
          <t>Poly Medicure Limited</t>
        </is>
      </c>
      <c r="E251" s="31" t="inlineStr">
        <is>
          <t>healthcare</t>
        </is>
      </c>
      <c r="F251" s="31" t="inlineStr">
        <is>
          <t>healthcare</t>
        </is>
      </c>
      <c r="G251" s="31" t="inlineStr">
        <is>
          <t>midcap</t>
        </is>
      </c>
      <c r="H251" s="32" t="n">
        <v>17802.78</v>
      </c>
      <c r="I251" s="32" t="n">
        <v>1783.8</v>
      </c>
      <c r="J251" s="32" t="n">
        <v>1.56</v>
      </c>
      <c r="K251" s="32" t="n">
        <v>744104</v>
      </c>
      <c r="L251" s="31" t="n">
        <v>18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59.63</v>
      </c>
      <c r="P251" s="32" t="n">
        <v>28.73</v>
      </c>
      <c r="Q251" s="32" t="n">
        <v>1353.59</v>
      </c>
      <c r="R251" s="31" t="inlineStr">
        <is>
          <t>Volume Spike / Accumulation</t>
        </is>
      </c>
      <c r="S251" s="31" t="inlineStr">
        <is>
          <t>Nifty Pharma</t>
        </is>
      </c>
      <c r="T251" s="32" t="n">
        <v>22.15</v>
      </c>
      <c r="U251" s="32" t="n">
        <v>-12.3</v>
      </c>
      <c r="V251" s="32" t="n">
        <v>-28.2</v>
      </c>
      <c r="W251" s="32" t="n">
        <v>4.21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Yes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Annuity, Lower One Time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IF(B252=0,"",RANK(B252,$B$2:$B$326,0))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TI</t>
        </is>
      </c>
      <c r="D252" s="31" t="inlineStr">
        <is>
          <t>Tilaknagar Industries Limited</t>
        </is>
      </c>
      <c r="E252" s="31" t="inlineStr">
        <is>
          <t>fmcg</t>
        </is>
      </c>
      <c r="F252" s="31" t="inlineStr">
        <is>
          <t>breweries &amp; distilleries</t>
        </is>
      </c>
      <c r="G252" s="31" t="inlineStr">
        <is>
          <t>midcap</t>
        </is>
      </c>
      <c r="H252" s="32" t="n">
        <v>13504.65</v>
      </c>
      <c r="I252" s="32" t="n">
        <v>552.35</v>
      </c>
      <c r="J252" s="32" t="n">
        <v>1.22</v>
      </c>
      <c r="K252" s="32" t="n">
        <v>582156</v>
      </c>
      <c r="L252" s="31" t="n">
        <v>29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66.65000000000001</v>
      </c>
      <c r="P252" s="32" t="n">
        <v>17.6</v>
      </c>
      <c r="Q252" s="32" t="n">
        <v>462.73</v>
      </c>
      <c r="R252" s="31" t="inlineStr">
        <is>
          <t>Near 52W High Breakout</t>
        </is>
      </c>
      <c r="S252" s="31" t="inlineStr">
        <is>
          <t>Nifty FMCG</t>
        </is>
      </c>
      <c r="T252" s="32" t="n">
        <v>-15.28</v>
      </c>
      <c r="U252" s="32" t="n">
        <v>11.29</v>
      </c>
      <c r="V252" s="32" t="n">
        <v>31.36</v>
      </c>
      <c r="W252" s="32" t="n">
        <v>7.43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B2C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Annuity, Lower One Time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Blue sky scenario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Between 0.7 to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IF(B253=0,"",RANK(B253,$B$2:$B$326,0))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AARTIPHARM</t>
        </is>
      </c>
      <c r="D253" s="33" t="inlineStr">
        <is>
          <t>Aarti Pharmalabs Ltd</t>
        </is>
      </c>
      <c r="E253" s="31" t="inlineStr">
        <is>
          <t>healthcare</t>
        </is>
      </c>
      <c r="F253" s="31" t="inlineStr">
        <is>
          <t>pharmaceuticals - indian - bulk drugs &amp; formln</t>
        </is>
      </c>
      <c r="G253" s="31" t="inlineStr">
        <is>
          <t>midcap</t>
        </is>
      </c>
      <c r="H253" s="32" t="n">
        <v>7845.62</v>
      </c>
      <c r="I253" s="32" t="n">
        <v>867.25</v>
      </c>
      <c r="J253" s="32" t="n">
        <v>0.24</v>
      </c>
      <c r="K253" s="32" t="n">
        <v>343720</v>
      </c>
      <c r="L253" s="31" t="n">
        <v>35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65.53</v>
      </c>
      <c r="P253" s="32" t="n">
        <v>18.06</v>
      </c>
      <c r="Q253" s="32" t="n">
        <v>665.62</v>
      </c>
      <c r="R253" s="31" t="inlineStr">
        <is>
          <t>Earnings / Momentum Support</t>
        </is>
      </c>
      <c r="S253" s="31" t="inlineStr">
        <is>
          <t>Nifty Pharma</t>
        </is>
      </c>
      <c r="T253" s="32" t="n">
        <v>22.15</v>
      </c>
      <c r="U253" s="32" t="n">
        <v>-1.27</v>
      </c>
      <c r="V253" s="32" t="n">
        <v>-19.17</v>
      </c>
      <c r="W253" s="32" t="n">
        <v>9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Yes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Annuity, Lower One Time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Less than 1.5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IF(B254=0,"",RANK(B254,$B$2:$B$326,0))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APLAPOLLO</t>
        </is>
      </c>
      <c r="D254" s="31" t="inlineStr">
        <is>
          <t>Apl Apollo Tubes Limited</t>
        </is>
      </c>
      <c r="E254" s="31" t="inlineStr">
        <is>
          <t>industrials</t>
        </is>
      </c>
      <c r="F254" s="31" t="inlineStr">
        <is>
          <t>steel - large</t>
        </is>
      </c>
      <c r="G254" s="31" t="inlineStr">
        <is>
          <t>largecap</t>
        </is>
      </c>
      <c r="H254" s="32" t="n">
        <v>62028.89</v>
      </c>
      <c r="I254" s="32" t="n">
        <v>2210</v>
      </c>
      <c r="J254" s="32" t="n">
        <v>-1.07</v>
      </c>
      <c r="K254" s="32" t="n">
        <v>786402</v>
      </c>
      <c r="L254" s="31" t="n">
        <v>39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65.33</v>
      </c>
      <c r="P254" s="32" t="n">
        <v>19.39</v>
      </c>
      <c r="Q254" s="32" t="n">
        <v>1929.22</v>
      </c>
      <c r="R254" s="31" t="inlineStr">
        <is>
          <t>Near 52W High Breakout</t>
        </is>
      </c>
      <c r="S254" s="31" t="inlineStr">
        <is>
          <t>Nifty Metal</t>
        </is>
      </c>
      <c r="T254" s="32" t="n">
        <v>39.6</v>
      </c>
      <c r="U254" s="32" t="n">
        <v>43.72</v>
      </c>
      <c r="V254" s="32" t="n">
        <v>2.95</v>
      </c>
      <c r="W254" s="32" t="n">
        <v>9.76</v>
      </c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Oligopoly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Cyclical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B2C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Fully One Time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Above 40</t>
        </is>
      </c>
      <c r="AY254" s="31">
        <f>IF(AX254="Above 40",20,IF(AX254="20 to 40",10,IF(AX254="0 to 20",-5,0)))</f>
        <v/>
      </c>
      <c r="AZ254" s="31" t="inlineStr">
        <is>
          <t>Above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Yes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Between 1.5 to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IF(B255=0,"",RANK(B255,$B$2:$B$326,0))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APOLLOPIPE</t>
        </is>
      </c>
      <c r="D255" s="31" t="inlineStr">
        <is>
          <t>Apollo Pipes Ltd</t>
        </is>
      </c>
      <c r="E255" s="31" t="inlineStr">
        <is>
          <t>plastic products</t>
        </is>
      </c>
      <c r="F255" s="31" t="inlineStr">
        <is>
          <t>plastics products</t>
        </is>
      </c>
      <c r="G255" s="31" t="inlineStr">
        <is>
          <t>smallcap</t>
        </is>
      </c>
      <c r="H255" s="32" t="n">
        <v>2686.28</v>
      </c>
      <c r="I255" s="32" t="n">
        <v>599.05</v>
      </c>
      <c r="J255" s="32" t="n">
        <v>-1.77</v>
      </c>
      <c r="K255" s="32" t="n">
        <v>159504</v>
      </c>
      <c r="L255" s="31" t="n">
        <v>54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69.7</v>
      </c>
      <c r="P255" s="32" t="n">
        <v>44.47</v>
      </c>
      <c r="Q255" s="32" t="n">
        <v>489.35</v>
      </c>
      <c r="R255" s="31" t="inlineStr">
        <is>
          <t>Earnings / Momentum Support</t>
        </is>
      </c>
      <c r="S255" s="31" t="inlineStr">
        <is>
          <t>Nifty 50</t>
        </is>
      </c>
      <c r="T255" s="32" t="n">
        <v>-3.34</v>
      </c>
      <c r="U255" s="32" t="n">
        <v>48.73</v>
      </c>
      <c r="V255" s="32" t="n">
        <v>53.87</v>
      </c>
      <c r="W255" s="32" t="n">
        <v>15.08</v>
      </c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Oligopoly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Cyclical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B2C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Fully One Time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Above 40</t>
        </is>
      </c>
      <c r="AY255" s="31">
        <f>IF(AX255="Above 40",20,IF(AX255="20 to 40",10,IF(AX255="0 to 20",-5,0)))</f>
        <v/>
      </c>
      <c r="AZ255" s="31" t="inlineStr">
        <is>
          <t>Above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Yes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Between 1.5 to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IF(B256=0,"",RANK(B256,$B$2:$B$326,0))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DEEPINDS</t>
        </is>
      </c>
      <c r="D256" s="31" t="inlineStr">
        <is>
          <t>Deep Industries Ltd</t>
        </is>
      </c>
      <c r="E256" s="31" t="inlineStr">
        <is>
          <t>energy</t>
        </is>
      </c>
      <c r="F256" s="31" t="inlineStr">
        <is>
          <t>oil drilling / allied services</t>
        </is>
      </c>
      <c r="G256" s="31" t="inlineStr">
        <is>
          <t>smallcap</t>
        </is>
      </c>
      <c r="H256" s="32" t="n">
        <v>4256</v>
      </c>
      <c r="I256" s="32" t="n">
        <v>693.65</v>
      </c>
      <c r="J256" s="32" t="n">
        <v>4.31</v>
      </c>
      <c r="K256" s="32" t="n">
        <v>450290</v>
      </c>
      <c r="L256" s="31" t="n">
        <v>72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75.29000000000001</v>
      </c>
      <c r="P256" s="32" t="n">
        <v>29.44</v>
      </c>
      <c r="Q256" s="32" t="n">
        <v>535.66</v>
      </c>
      <c r="R256" s="31" t="inlineStr">
        <is>
          <t>Near 52W High Breakout</t>
        </is>
      </c>
      <c r="S256" s="31" t="inlineStr">
        <is>
          <t>Nifty Energy</t>
        </is>
      </c>
      <c r="T256" s="32" t="n">
        <v>7.88</v>
      </c>
      <c r="U256" s="32" t="n">
        <v>55.29</v>
      </c>
      <c r="V256" s="32" t="n">
        <v>43.95</v>
      </c>
      <c r="W256" s="32" t="n">
        <v>20.64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Oligopoly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Yes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Cyclical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Volatile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Above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Blue sky scenario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IF(B257=0,"",RANK(B257,$B$2:$B$326,0))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MAXESTATES</t>
        </is>
      </c>
      <c r="D257" s="31" t="inlineStr">
        <is>
          <t>Max Estates Ltd</t>
        </is>
      </c>
      <c r="E257" s="31" t="inlineStr">
        <is>
          <t>realty</t>
        </is>
      </c>
      <c r="F257" s="31" t="inlineStr">
        <is>
          <t>construction</t>
        </is>
      </c>
      <c r="G257" s="31" t="inlineStr">
        <is>
          <t>midcap</t>
        </is>
      </c>
      <c r="H257" s="32" t="n">
        <v>8223.91</v>
      </c>
      <c r="I257" s="32" t="n">
        <v>520.65</v>
      </c>
      <c r="J257" s="32" t="n">
        <v>3.51</v>
      </c>
      <c r="K257" s="32" t="n">
        <v>193763</v>
      </c>
      <c r="L257" s="31" t="n">
        <v>32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65.06</v>
      </c>
      <c r="P257" s="32" t="n">
        <v>23.26</v>
      </c>
      <c r="Q257" s="32" t="n">
        <v>406.26</v>
      </c>
      <c r="R257" s="31" t="inlineStr">
        <is>
          <t>Near 52W High Breakout</t>
        </is>
      </c>
      <c r="S257" s="31" t="inlineStr">
        <is>
          <t>Nifty Realty</t>
        </is>
      </c>
      <c r="T257" s="32" t="n">
        <v>-6.04</v>
      </c>
      <c r="U257" s="32" t="n">
        <v>1.86</v>
      </c>
      <c r="V257" s="32" t="n">
        <v>8.41</v>
      </c>
      <c r="W257" s="32" t="n">
        <v>8.23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Between 0.7 to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IF(B258=0,"",RANK(B258,$B$2:$B$326,0))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ASIANENE</t>
        </is>
      </c>
      <c r="D258" s="31" t="inlineStr">
        <is>
          <t>Asian Energy Services Ltd</t>
        </is>
      </c>
      <c r="E258" s="31" t="inlineStr">
        <is>
          <t>energy</t>
        </is>
      </c>
      <c r="F258" s="31" t="inlineStr">
        <is>
          <t>oil drilling / allied services</t>
        </is>
      </c>
      <c r="G258" s="31" t="inlineStr">
        <is>
          <t>smallcap</t>
        </is>
      </c>
      <c r="H258" s="32" t="n">
        <v>2375.07</v>
      </c>
      <c r="I258" s="32" t="n">
        <v>504.1</v>
      </c>
      <c r="J258" s="32" t="n">
        <v>3.21</v>
      </c>
      <c r="K258" s="32" t="n">
        <v>919172</v>
      </c>
      <c r="L258" s="31" t="n">
        <v>86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73.06</v>
      </c>
      <c r="P258" s="32" t="n">
        <v>22.05</v>
      </c>
      <c r="Q258" s="32" t="n">
        <v>367.54</v>
      </c>
      <c r="R258" s="31" t="inlineStr">
        <is>
          <t>Near 52W High Breakout</t>
        </is>
      </c>
      <c r="S258" s="31" t="inlineStr">
        <is>
          <t>Nifty Energy</t>
        </is>
      </c>
      <c r="T258" s="32" t="n">
        <v>7.88</v>
      </c>
      <c r="U258" s="32" t="n">
        <v>77.29000000000001</v>
      </c>
      <c r="V258" s="32" t="n">
        <v>64.33</v>
      </c>
      <c r="W258" s="32" t="n">
        <v>29.31</v>
      </c>
      <c r="X258" s="31" t="inlineStr">
        <is>
          <t>Cyclical in an Upturn</t>
        </is>
      </c>
      <c r="Y258" s="31">
        <f>IF(X258="Growing Industry",10,IF(X258="Cyclical in an Upturn",5,0))</f>
        <v/>
      </c>
      <c r="Z258" s="31" t="inlineStr">
        <is>
          <t>Oligopoly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Yes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Cyclical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Volatile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Blue sky scenario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IF(B259=0,"",RANK(B259,$B$2:$B$326,0))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UDS</t>
        </is>
      </c>
      <c r="D259" s="33" t="inlineStr">
        <is>
          <t>Updater Services Ltd</t>
        </is>
      </c>
      <c r="E259" s="31" t="inlineStr">
        <is>
          <t>miscellaneous</t>
        </is>
      </c>
      <c r="F259" s="31" t="inlineStr">
        <is>
          <t>miscellaneous</t>
        </is>
      </c>
      <c r="G259" s="31" t="inlineStr">
        <is>
          <t>smallcap</t>
        </is>
      </c>
      <c r="H259" s="32" t="n">
        <v>1520.64</v>
      </c>
      <c r="I259" s="32" t="n">
        <v>231.44</v>
      </c>
      <c r="J259" s="32" t="n">
        <v>1.9</v>
      </c>
      <c r="K259" s="32" t="n">
        <v>425241</v>
      </c>
      <c r="L259" s="31" t="n">
        <v>20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71.81999999999999</v>
      </c>
      <c r="P259" s="32" t="n">
        <v>39.62</v>
      </c>
      <c r="Q259" s="32" t="n">
        <v>183.69</v>
      </c>
      <c r="R259" s="31" t="inlineStr">
        <is>
          <t>Earnings / Momentum Support</t>
        </is>
      </c>
      <c r="S259" s="31" t="inlineStr">
        <is>
          <t>Nifty 50</t>
        </is>
      </c>
      <c r="T259" s="32" t="n">
        <v>-3.34</v>
      </c>
      <c r="U259" s="32" t="n">
        <v>-6.59</v>
      </c>
      <c r="V259" s="32" t="n">
        <v>-3.37</v>
      </c>
      <c r="W259" s="32" t="n">
        <v>5.09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IF(B260=0,"",RANK(B260,$B$2:$B$326,0))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BIL</t>
        </is>
      </c>
      <c r="D260" s="31" t="inlineStr">
        <is>
          <t>Bhartiya International Limited</t>
        </is>
      </c>
      <c r="E260" s="31" t="inlineStr">
        <is>
          <t>consumer discretionary</t>
        </is>
      </c>
      <c r="F260" s="31" t="inlineStr">
        <is>
          <t>leather / leather products</t>
        </is>
      </c>
      <c r="G260" s="31" t="inlineStr">
        <is>
          <t>smallcap</t>
        </is>
      </c>
      <c r="H260" s="32" t="n">
        <v>1187.42</v>
      </c>
      <c r="I260" s="32" t="n">
        <v>893.2</v>
      </c>
      <c r="J260" s="32" t="n">
        <v>0.88</v>
      </c>
      <c r="K260" s="32" t="n">
        <v>18069</v>
      </c>
      <c r="L260" s="31" t="n">
        <v>29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64.01000000000001</v>
      </c>
      <c r="P260" s="32" t="n">
        <v>18.14</v>
      </c>
      <c r="Q260" s="32" t="n">
        <v>651</v>
      </c>
      <c r="R260" s="31" t="inlineStr">
        <is>
          <t>Volume Spike &amp; Near 52W High Breakout</t>
        </is>
      </c>
      <c r="S260" s="31" t="inlineStr">
        <is>
          <t>Nifty 50</t>
        </is>
      </c>
      <c r="T260" s="32" t="n">
        <v>-3.34</v>
      </c>
      <c r="U260" s="32" t="n">
        <v>4.62</v>
      </c>
      <c r="V260" s="32" t="n">
        <v>8.24</v>
      </c>
      <c r="W260" s="32" t="n">
        <v>7.37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Blue sky scenario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Between 0.7 to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IF(B261=0,"",RANK(B261,$B$2:$B$326,0))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3" t="inlineStr">
        <is>
          <t>SHANTIGEAR</t>
        </is>
      </c>
      <c r="D261" s="33" t="inlineStr">
        <is>
          <t>Shanthi Gears Limited</t>
        </is>
      </c>
      <c r="E261" s="31" t="inlineStr">
        <is>
          <t>industrials</t>
        </is>
      </c>
      <c r="F261" s="31" t="inlineStr">
        <is>
          <t>engineering</t>
        </is>
      </c>
      <c r="G261" s="31" t="inlineStr">
        <is>
          <t>smallcap</t>
        </is>
      </c>
      <c r="H261" s="32" t="n">
        <v>4070.93</v>
      </c>
      <c r="I261" s="32" t="n">
        <v>529.85</v>
      </c>
      <c r="J261" s="32" t="n">
        <v>-0.15</v>
      </c>
      <c r="K261" s="32" t="n">
        <v>71215</v>
      </c>
      <c r="L261" s="31" t="n">
        <v>9</v>
      </c>
      <c r="M261" s="31" t="inlineStr">
        <is>
          <t>Underperforming</t>
        </is>
      </c>
      <c r="N261" s="32">
        <f>IF(M261="Underperforming",-5,IF(L261&gt;=95,15,IF(L261&gt;=90,10,IF(L261&gt;=80,5,0))))</f>
        <v/>
      </c>
      <c r="O261" s="32" t="n">
        <v>69.73</v>
      </c>
      <c r="P261" s="32" t="n">
        <v>21.53</v>
      </c>
      <c r="Q261" s="32" t="n">
        <v>429.69</v>
      </c>
      <c r="R261" s="31" t="inlineStr">
        <is>
          <t>Near 52W High Breakout</t>
        </is>
      </c>
      <c r="S261" s="31" t="inlineStr">
        <is>
          <t>Nifty Infra</t>
        </is>
      </c>
      <c r="T261" s="32" t="n">
        <v>1.61</v>
      </c>
      <c r="U261" s="32" t="n">
        <v>-7.43</v>
      </c>
      <c r="V261" s="32" t="n">
        <v>-8.9</v>
      </c>
      <c r="W261" s="32" t="n">
        <v>1.65</v>
      </c>
      <c r="X261" s="31" t="inlineStr">
        <is>
          <t>Cyclical in an Upturn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IF(B262=0,"",RANK(B262,$B$2:$B$326,0))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MANALIPETC</t>
        </is>
      </c>
      <c r="D262" s="31" t="inlineStr">
        <is>
          <t>Manali Petrochemicals Limited</t>
        </is>
      </c>
      <c r="E262" s="31" t="inlineStr">
        <is>
          <t>energy</t>
        </is>
      </c>
      <c r="F262" s="31" t="inlineStr">
        <is>
          <t>petrochemicals</t>
        </is>
      </c>
      <c r="G262" s="31" t="inlineStr">
        <is>
          <t>smallcap</t>
        </is>
      </c>
      <c r="H262" s="32" t="n">
        <v>1445.48</v>
      </c>
      <c r="I262" s="32" t="n">
        <v>82.76000000000001</v>
      </c>
      <c r="J262" s="32" t="n">
        <v>-1.52</v>
      </c>
      <c r="K262" s="32" t="n">
        <v>8290147</v>
      </c>
      <c r="L262" s="31" t="n">
        <v>60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73.77</v>
      </c>
      <c r="P262" s="32" t="n">
        <v>38.62</v>
      </c>
      <c r="Q262" s="32" t="n">
        <v>61.56</v>
      </c>
      <c r="R262" s="31" t="inlineStr">
        <is>
          <t>Volume Spike &amp; Near 52W High Breakout</t>
        </is>
      </c>
      <c r="S262" s="31" t="inlineStr">
        <is>
          <t>Nifty Energy</t>
        </is>
      </c>
      <c r="T262" s="32" t="n">
        <v>7.88</v>
      </c>
      <c r="U262" s="32" t="n">
        <v>14.32</v>
      </c>
      <c r="V262" s="32" t="n">
        <v>5.97</v>
      </c>
      <c r="W262" s="32" t="n">
        <v>16.98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Oligopoly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Yes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Cyclical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Volatile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Blue sky scenario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IF(B263=0,"",RANK(B263,$B$2:$B$326,0))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LUMAXTECH</t>
        </is>
      </c>
      <c r="D263" s="31" t="inlineStr">
        <is>
          <t>Lumax Auto Technologies Limited</t>
        </is>
      </c>
      <c r="E263" s="31" t="inlineStr">
        <is>
          <t>auto</t>
        </is>
      </c>
      <c r="F263" s="31" t="inlineStr">
        <is>
          <t>auto ancillaries</t>
        </is>
      </c>
      <c r="G263" s="31" t="inlineStr">
        <is>
          <t>midcap</t>
        </is>
      </c>
      <c r="H263" s="32" t="n">
        <v>14040.49</v>
      </c>
      <c r="I263" s="32" t="n">
        <v>1986.5</v>
      </c>
      <c r="J263" s="32" t="n">
        <v>-3.57</v>
      </c>
      <c r="K263" s="32" t="n">
        <v>117029</v>
      </c>
      <c r="L263" s="31" t="n">
        <v>61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65.53</v>
      </c>
      <c r="P263" s="32" t="n">
        <v>19.51</v>
      </c>
      <c r="Q263" s="32" t="n">
        <v>1537.7</v>
      </c>
      <c r="R263" s="31" t="inlineStr">
        <is>
          <t>Near 52W High Breakout</t>
        </is>
      </c>
      <c r="S263" s="31" t="inlineStr">
        <is>
          <t>Nifty Auto</t>
        </is>
      </c>
      <c r="T263" s="32" t="n">
        <v>17.66</v>
      </c>
      <c r="U263" s="32" t="n">
        <v>93.03</v>
      </c>
      <c r="V263" s="32" t="n">
        <v>64.05</v>
      </c>
      <c r="W263" s="32" t="n">
        <v>17.47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Blue sky scenario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Between 0.7 to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IF(B264=0,"",RANK(B264,$B$2:$B$326,0))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BALUFORGE</t>
        </is>
      </c>
      <c r="D264" s="33" t="inlineStr">
        <is>
          <t>Balu Forge Industries Ltd</t>
        </is>
      </c>
      <c r="E264" s="31" t="inlineStr">
        <is>
          <t>industrials</t>
        </is>
      </c>
      <c r="F264" s="31" t="inlineStr">
        <is>
          <t>castings &amp; forgings</t>
        </is>
      </c>
      <c r="G264" s="31" t="inlineStr">
        <is>
          <t>midcap</t>
        </is>
      </c>
      <c r="H264" s="32" t="n">
        <v>7443.02</v>
      </c>
      <c r="I264" s="32" t="n">
        <v>578.4</v>
      </c>
      <c r="J264" s="32" t="n">
        <v>-6.99</v>
      </c>
      <c r="K264" s="32" t="n">
        <v>2344406</v>
      </c>
      <c r="L264" s="31" t="n">
        <v>12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59.85</v>
      </c>
      <c r="P264" s="32" t="n">
        <v>19.38</v>
      </c>
      <c r="Q264" s="32" t="n">
        <v>480.34</v>
      </c>
      <c r="R264" s="31" t="inlineStr">
        <is>
          <t>Earnings / Momentum Support</t>
        </is>
      </c>
      <c r="S264" s="31" t="inlineStr">
        <is>
          <t>Nifty 50</t>
        </is>
      </c>
      <c r="T264" s="32" t="n">
        <v>-3.34</v>
      </c>
      <c r="U264" s="32" t="n">
        <v>-12.98</v>
      </c>
      <c r="V264" s="32" t="n">
        <v>-9.98</v>
      </c>
      <c r="W264" s="32" t="n">
        <v>2.62</v>
      </c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Less than 1.5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IF(B265=0,"",RANK(B265,$B$2:$B$326,0))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NOVARTIND</t>
        </is>
      </c>
      <c r="D265" s="31" t="inlineStr">
        <is>
          <t>Novartis India Ltd</t>
        </is>
      </c>
      <c r="E265" s="31" t="inlineStr">
        <is>
          <t>healthcare</t>
        </is>
      </c>
      <c r="F265" s="31" t="inlineStr">
        <is>
          <t>pharmaceuticals - multinational</t>
        </is>
      </c>
      <c r="G265" s="31" t="inlineStr">
        <is>
          <t>smallcap</t>
        </is>
      </c>
      <c r="H265" s="32" t="n">
        <v>3906.33</v>
      </c>
      <c r="I265" s="32" t="n">
        <v>1601.5</v>
      </c>
      <c r="J265" s="32" t="n">
        <v>1.23</v>
      </c>
      <c r="K265" s="32" t="n">
        <v>7814</v>
      </c>
      <c r="L265" s="31" t="n">
        <v>58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64.04000000000001</v>
      </c>
      <c r="P265" s="32" t="n">
        <v>65.18000000000001</v>
      </c>
      <c r="Q265" s="32" t="n">
        <v>1229.48</v>
      </c>
      <c r="R265" s="31" t="inlineStr">
        <is>
          <t>Near 52W High Breakout</t>
        </is>
      </c>
      <c r="S265" s="31" t="inlineStr">
        <is>
          <t>Nifty Pharma</t>
        </is>
      </c>
      <c r="T265" s="32" t="n">
        <v>22.15</v>
      </c>
      <c r="U265" s="32" t="n">
        <v>71.83</v>
      </c>
      <c r="V265" s="32" t="n">
        <v>40.67</v>
      </c>
      <c r="W265" s="32" t="n">
        <v>16.55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Yes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Annuity, Lower One Time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Above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Blue sky scenario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Between 12 to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IF(B266=0,"",RANK(B266,$B$2:$B$326,0))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LALPATHLAB</t>
        </is>
      </c>
      <c r="D266" s="33" t="inlineStr">
        <is>
          <t>Dr. Lal Path Labs Ltd.</t>
        </is>
      </c>
      <c r="E266" s="31" t="inlineStr">
        <is>
          <t>healthcare</t>
        </is>
      </c>
      <c r="F266" s="31" t="inlineStr">
        <is>
          <t>healthcare</t>
        </is>
      </c>
      <c r="G266" s="31" t="inlineStr">
        <is>
          <t>largecap</t>
        </is>
      </c>
      <c r="H266" s="32" t="n">
        <v>31924.94</v>
      </c>
      <c r="I266" s="32" t="n">
        <v>1916.1</v>
      </c>
      <c r="J266" s="32" t="n">
        <v>0.61</v>
      </c>
      <c r="K266" s="32" t="n">
        <v>178401</v>
      </c>
      <c r="L266" s="31" t="n">
        <v>37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70.48999999999999</v>
      </c>
      <c r="P266" s="32" t="n">
        <v>43.12</v>
      </c>
      <c r="Q266" s="32" t="n">
        <v>1625.63</v>
      </c>
      <c r="R266" s="31" t="inlineStr">
        <is>
          <t>Near 52W High Breakout</t>
        </is>
      </c>
      <c r="S266" s="31" t="inlineStr">
        <is>
          <t>Nifty Pharma</t>
        </is>
      </c>
      <c r="T266" s="32" t="n">
        <v>22.15</v>
      </c>
      <c r="U266" s="32" t="n">
        <v>19.09</v>
      </c>
      <c r="V266" s="32" t="n">
        <v>-2.5</v>
      </c>
      <c r="W266" s="32" t="n">
        <v>9.41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Yes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Annuity, Lower One Time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Above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Blue sky scenario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IF(B267=0,"",RANK(B267,$B$2:$B$326,0))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BAJAJHIND</t>
        </is>
      </c>
      <c r="D267" s="31" t="inlineStr">
        <is>
          <t>Bajaj Hindusthan Sugar Limited</t>
        </is>
      </c>
      <c r="E267" s="31" t="inlineStr">
        <is>
          <t>fmcg</t>
        </is>
      </c>
      <c r="F267" s="31" t="inlineStr">
        <is>
          <t>sugar</t>
        </is>
      </c>
      <c r="G267" s="31" t="inlineStr">
        <is>
          <t>midcap</t>
        </is>
      </c>
      <c r="H267" s="32" t="n">
        <v>5240.34</v>
      </c>
      <c r="I267" s="32" t="n">
        <v>21.84</v>
      </c>
      <c r="J267" s="32" t="n">
        <v>-0.37</v>
      </c>
      <c r="K267" s="32" t="n">
        <v>28951286</v>
      </c>
      <c r="L267" s="31" t="n">
        <v>11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62.07</v>
      </c>
      <c r="P267" s="32" t="n">
        <v>17.6</v>
      </c>
      <c r="Q267" s="32" t="n">
        <v>16.9</v>
      </c>
      <c r="R267" s="31" t="inlineStr">
        <is>
          <t>Earnings / Momentum Support</t>
        </is>
      </c>
      <c r="S267" s="31" t="inlineStr">
        <is>
          <t>Nifty FMCG</t>
        </is>
      </c>
      <c r="T267" s="32" t="n">
        <v>-15.28</v>
      </c>
      <c r="U267" s="32" t="n">
        <v>-12.88</v>
      </c>
      <c r="V267" s="32" t="n">
        <v>2.83</v>
      </c>
      <c r="W267" s="32" t="n">
        <v>2.05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B2C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Annuity, Lower One Time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0 to 20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Between 0.7 to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IF(B268=0,"",RANK(B268,$B$2:$B$326,0))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TECHM</t>
        </is>
      </c>
      <c r="D268" s="31" t="inlineStr">
        <is>
          <t>Tech Mahindra Limited</t>
        </is>
      </c>
      <c r="E268" s="31" t="inlineStr">
        <is>
          <t>i.t</t>
        </is>
      </c>
      <c r="F268" s="31" t="inlineStr">
        <is>
          <t>computers - software - large</t>
        </is>
      </c>
      <c r="G268" s="31" t="inlineStr">
        <is>
          <t>largecap</t>
        </is>
      </c>
      <c r="H268" s="32" t="n">
        <v>160533.49</v>
      </c>
      <c r="I268" s="32" t="n">
        <v>1623</v>
      </c>
      <c r="J268" s="32" t="n">
        <v>-0.92</v>
      </c>
      <c r="K268" s="32" t="n">
        <v>1508528</v>
      </c>
      <c r="L268" s="31" t="n">
        <v>21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60.15</v>
      </c>
      <c r="P268" s="32" t="n">
        <v>13.93</v>
      </c>
      <c r="Q268" s="32" t="n">
        <v>1387.67</v>
      </c>
      <c r="R268" s="31" t="inlineStr">
        <is>
          <t>Near 52W High Breakout</t>
        </is>
      </c>
      <c r="S268" s="31" t="inlineStr">
        <is>
          <t>Nifty IT</t>
        </is>
      </c>
      <c r="T268" s="32" t="n">
        <v>-10.2</v>
      </c>
      <c r="U268" s="32" t="n">
        <v>13.85</v>
      </c>
      <c r="V268" s="32" t="n">
        <v>26.78</v>
      </c>
      <c r="W268" s="32" t="n">
        <v>5.61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Annuity, Lower One Time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Blue sky scenario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IF(B269=0,"",RANK(B269,$B$2:$B$326,0))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3" t="inlineStr">
        <is>
          <t>GLAXO</t>
        </is>
      </c>
      <c r="D269" s="33" t="inlineStr">
        <is>
          <t>Glaxosmithkline Pharmaceuticals Limited</t>
        </is>
      </c>
      <c r="E269" s="31" t="inlineStr">
        <is>
          <t>healthcare</t>
        </is>
      </c>
      <c r="F269" s="31" t="inlineStr">
        <is>
          <t>pharmaceuticals - multinational</t>
        </is>
      </c>
      <c r="G269" s="31" t="inlineStr">
        <is>
          <t>largecap</t>
        </is>
      </c>
      <c r="H269" s="32" t="n">
        <v>50755.74</v>
      </c>
      <c r="I269" s="32" t="n">
        <v>2949.9</v>
      </c>
      <c r="J269" s="32" t="n">
        <v>-1.54</v>
      </c>
      <c r="K269" s="32" t="n">
        <v>59227</v>
      </c>
      <c r="L269" s="31" t="n">
        <v>41</v>
      </c>
      <c r="M269" s="31" t="inlineStr">
        <is>
          <t>Underperforming</t>
        </is>
      </c>
      <c r="N269" s="32">
        <f>IF(M269="Underperforming",-5,IF(L269&gt;=95,15,IF(L269&gt;=90,10,IF(L269&gt;=80,5,0))))</f>
        <v/>
      </c>
      <c r="O269" s="32" t="n">
        <v>66.39</v>
      </c>
      <c r="P269" s="32" t="n">
        <v>26.63</v>
      </c>
      <c r="Q269" s="32" t="n">
        <v>2598.65</v>
      </c>
      <c r="R269" s="31" t="inlineStr">
        <is>
          <t>Earnings / Momentum Support</t>
        </is>
      </c>
      <c r="S269" s="31" t="inlineStr">
        <is>
          <t>Nifty Pharma</t>
        </is>
      </c>
      <c r="T269" s="32" t="n">
        <v>22.15</v>
      </c>
      <c r="U269" s="32" t="n">
        <v>9.19</v>
      </c>
      <c r="V269" s="32" t="n">
        <v>-10.61</v>
      </c>
      <c r="W269" s="32" t="n">
        <v>10.31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Yes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Annuity, Lower One Time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Between 12 to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IF(B270=0,"",RANK(B270,$B$2:$B$326,0))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DOLPHIN</t>
        </is>
      </c>
      <c r="D270" s="31" t="inlineStr">
        <is>
          <t>Dolphin Offshore Enterprises (India) Ltd</t>
        </is>
      </c>
      <c r="E270" s="31" t="inlineStr">
        <is>
          <t>energy</t>
        </is>
      </c>
      <c r="F270" s="31" t="inlineStr">
        <is>
          <t>oil drilling / allied services</t>
        </is>
      </c>
      <c r="G270" s="31" t="inlineStr">
        <is>
          <t>smallcap</t>
        </is>
      </c>
      <c r="H270" s="32" t="n">
        <v>2333.47</v>
      </c>
      <c r="I270" s="32" t="n">
        <v>603.45</v>
      </c>
      <c r="J270" s="32" t="n">
        <v>3.45</v>
      </c>
      <c r="K270" s="32" t="n">
        <v>34269</v>
      </c>
      <c r="L270" s="31" t="n">
        <v>61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73.31</v>
      </c>
      <c r="P270" s="32" t="n">
        <v>34.47</v>
      </c>
      <c r="Q270" s="32" t="n">
        <v>480.39</v>
      </c>
      <c r="R270" s="31" t="inlineStr">
        <is>
          <t>Earnings / Momentum Support</t>
        </is>
      </c>
      <c r="S270" s="31" t="inlineStr">
        <is>
          <t>Nifty Energy</t>
        </is>
      </c>
      <c r="T270" s="32" t="n">
        <v>7.88</v>
      </c>
      <c r="U270" s="32" t="n">
        <v>36.57</v>
      </c>
      <c r="V270" s="32" t="n">
        <v>26.6</v>
      </c>
      <c r="W270" s="32" t="n">
        <v>17.52</v>
      </c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Oligopoly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Yes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Cyclical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Volatile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Less than 1.5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IF(B271=0,"",RANK(B271,$B$2:$B$326,0))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BEML</t>
        </is>
      </c>
      <c r="D271" s="31" t="inlineStr">
        <is>
          <t>Beml Limited</t>
        </is>
      </c>
      <c r="E271" s="31" t="inlineStr">
        <is>
          <t>aerospace &amp; defence</t>
        </is>
      </c>
      <c r="F271" s="31" t="inlineStr">
        <is>
          <t>engineering</t>
        </is>
      </c>
      <c r="G271" s="31" t="inlineStr">
        <is>
          <t>midcap</t>
        </is>
      </c>
      <c r="H271" s="32" t="n">
        <v>16409.6</v>
      </c>
      <c r="I271" s="32" t="n">
        <v>2032.4</v>
      </c>
      <c r="J271" s="32" t="n">
        <v>3.16</v>
      </c>
      <c r="K271" s="32" t="n">
        <v>966324</v>
      </c>
      <c r="L271" s="31" t="n">
        <v>16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63.5</v>
      </c>
      <c r="P271" s="32" t="n">
        <v>14.01</v>
      </c>
      <c r="Q271" s="32" t="n">
        <v>1627.19</v>
      </c>
      <c r="R271" s="31" t="inlineStr">
        <is>
          <t>Earnings / Momentum Support</t>
        </is>
      </c>
      <c r="S271" s="31" t="inlineStr">
        <is>
          <t>Nifty 50</t>
        </is>
      </c>
      <c r="T271" s="32" t="n">
        <v>-3.34</v>
      </c>
      <c r="U271" s="32" t="n">
        <v>-0.15</v>
      </c>
      <c r="V271" s="32" t="n">
        <v>3.31</v>
      </c>
      <c r="W271" s="32" t="n">
        <v>3.88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IF(B272=0,"",RANK(B272,$B$2:$B$326,0))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TEJASNET</t>
        </is>
      </c>
      <c r="D272" s="33" t="inlineStr">
        <is>
          <t>Tejas Networks Ltd</t>
        </is>
      </c>
      <c r="E272" s="31" t="inlineStr">
        <is>
          <t>telecom</t>
        </is>
      </c>
      <c r="F272" s="31" t="inlineStr">
        <is>
          <t>telecommunications - equipment</t>
        </is>
      </c>
      <c r="G272" s="31" t="inlineStr">
        <is>
          <t>midcap</t>
        </is>
      </c>
      <c r="H272" s="32" t="n">
        <v>9644.41</v>
      </c>
      <c r="I272" s="32" t="n">
        <v>548.85</v>
      </c>
      <c r="J272" s="32" t="n">
        <v>1.28</v>
      </c>
      <c r="K272" s="32" t="n">
        <v>2071490</v>
      </c>
      <c r="L272" s="31" t="n">
        <v>1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54.41</v>
      </c>
      <c r="P272" s="32" t="n">
        <v>28.32</v>
      </c>
      <c r="Q272" s="32" t="n">
        <v>471.69</v>
      </c>
      <c r="R272" s="31" t="inlineStr">
        <is>
          <t>Earnings / Momentum Support</t>
        </is>
      </c>
      <c r="S272" s="31" t="inlineStr">
        <is>
          <t>Nifty 50</t>
        </is>
      </c>
      <c r="T272" s="32" t="n">
        <v>-3.34</v>
      </c>
      <c r="U272" s="32" t="n">
        <v>-6.7</v>
      </c>
      <c r="V272" s="32" t="n">
        <v>-3.47</v>
      </c>
      <c r="W272" s="32" t="n">
        <v>-1.5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Oligopoly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Yes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Less than 1.5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More than 1.2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IF(B273=0,"",RANK(B273,$B$2:$B$326,0))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PANAMAPET</t>
        </is>
      </c>
      <c r="D273" s="31" t="inlineStr">
        <is>
          <t>Panama Petrochem Limited</t>
        </is>
      </c>
      <c r="E273" s="31" t="inlineStr">
        <is>
          <t>energy</t>
        </is>
      </c>
      <c r="F273" s="31" t="inlineStr">
        <is>
          <t>petrochemicals</t>
        </is>
      </c>
      <c r="G273" s="31" t="inlineStr">
        <is>
          <t>smallcap</t>
        </is>
      </c>
      <c r="H273" s="32" t="n">
        <v>2946.34</v>
      </c>
      <c r="I273" s="32" t="n">
        <v>489.75</v>
      </c>
      <c r="J273" s="32" t="n">
        <v>0.55</v>
      </c>
      <c r="K273" s="32" t="n">
        <v>309631</v>
      </c>
      <c r="L273" s="31" t="n">
        <v>85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63.6</v>
      </c>
      <c r="P273" s="32" t="n">
        <v>61.98</v>
      </c>
      <c r="Q273" s="32" t="n">
        <v>346.76</v>
      </c>
      <c r="R273" s="31" t="inlineStr">
        <is>
          <t>Near 52W High Breakout</t>
        </is>
      </c>
      <c r="S273" s="31" t="inlineStr">
        <is>
          <t>Nifty Energy</t>
        </is>
      </c>
      <c r="T273" s="32" t="n">
        <v>7.88</v>
      </c>
      <c r="U273" s="32" t="n">
        <v>44.41</v>
      </c>
      <c r="V273" s="32" t="n">
        <v>33.86</v>
      </c>
      <c r="W273" s="32" t="n">
        <v>28.48</v>
      </c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Oligopoly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Yes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Cyclical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Volatile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Above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Blue sky scenario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Less than 1.5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IF(B274=0,"",RANK(B274,$B$2:$B$326,0))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EMIL</t>
        </is>
      </c>
      <c r="D274" s="31" t="inlineStr">
        <is>
          <t>Electronics Mart India Ltd</t>
        </is>
      </c>
      <c r="E274" s="31" t="inlineStr">
        <is>
          <t>consumer discretionary</t>
        </is>
      </c>
      <c r="F274" s="31" t="inlineStr">
        <is>
          <t>trading</t>
        </is>
      </c>
      <c r="G274" s="31" t="inlineStr">
        <is>
          <t>midcap</t>
        </is>
      </c>
      <c r="H274" s="32" t="n">
        <v>6760.04</v>
      </c>
      <c r="I274" s="32" t="n">
        <v>176.44</v>
      </c>
      <c r="J274" s="32" t="n">
        <v>0.42</v>
      </c>
      <c r="K274" s="32" t="n">
        <v>942548</v>
      </c>
      <c r="L274" s="31" t="n">
        <v>67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69.15000000000001</v>
      </c>
      <c r="P274" s="32" t="n">
        <v>34.23</v>
      </c>
      <c r="Q274" s="32" t="n">
        <v>146.38</v>
      </c>
      <c r="R274" s="31" t="inlineStr">
        <is>
          <t>Earnings / Momentum Support</t>
        </is>
      </c>
      <c r="S274" s="31" t="inlineStr">
        <is>
          <t>Nifty 50</t>
        </is>
      </c>
      <c r="T274" s="32" t="n">
        <v>-3.34</v>
      </c>
      <c r="U274" s="32" t="n">
        <v>18.35</v>
      </c>
      <c r="V274" s="32" t="n">
        <v>22.44</v>
      </c>
      <c r="W274" s="32" t="n">
        <v>18.96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More than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IF(B275=0,"",RANK(B275,$B$2:$B$326,0))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CHALET</t>
        </is>
      </c>
      <c r="D275" s="33" t="inlineStr">
        <is>
          <t>Chalet Hotels Ltd</t>
        </is>
      </c>
      <c r="E275" s="31" t="inlineStr">
        <is>
          <t>services</t>
        </is>
      </c>
      <c r="F275" s="31" t="inlineStr">
        <is>
          <t>hotels</t>
        </is>
      </c>
      <c r="G275" s="31" t="inlineStr">
        <is>
          <t>midcap</t>
        </is>
      </c>
      <c r="H275" s="32" t="n">
        <v>19654.72</v>
      </c>
      <c r="I275" s="32" t="n">
        <v>897.95</v>
      </c>
      <c r="J275" s="32" t="n">
        <v>0.05</v>
      </c>
      <c r="K275" s="32" t="n">
        <v>70205</v>
      </c>
      <c r="L275" s="31" t="n">
        <v>7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60</v>
      </c>
      <c r="P275" s="32" t="n">
        <v>11.85</v>
      </c>
      <c r="Q275" s="32" t="n">
        <v>732.9</v>
      </c>
      <c r="R275" s="31" t="inlineStr">
        <is>
          <t>Volume Spike / Accumulation</t>
        </is>
      </c>
      <c r="S275" s="31" t="inlineStr">
        <is>
          <t>Nifty 50</t>
        </is>
      </c>
      <c r="T275" s="32" t="n">
        <v>-3.34</v>
      </c>
      <c r="U275" s="32" t="n">
        <v>-11.95</v>
      </c>
      <c r="V275" s="32" t="n">
        <v>-8.9</v>
      </c>
      <c r="W275" s="32" t="n">
        <v>1.18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IF(B276=0,"",RANK(B276,$B$2:$B$326,0))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NAVINFLUOR</t>
        </is>
      </c>
      <c r="D276" s="31" t="inlineStr">
        <is>
          <t>Navin Fluorine International Limited</t>
        </is>
      </c>
      <c r="E276" s="31" t="inlineStr">
        <is>
          <t>chemicals</t>
        </is>
      </c>
      <c r="F276" s="31" t="inlineStr">
        <is>
          <t>chemicals</t>
        </is>
      </c>
      <c r="G276" s="31" t="inlineStr">
        <is>
          <t>largecap</t>
        </is>
      </c>
      <c r="H276" s="32" t="n">
        <v>44295.04</v>
      </c>
      <c r="I276" s="32" t="n">
        <v>8542.5</v>
      </c>
      <c r="J276" s="32" t="n">
        <v>-1.08</v>
      </c>
      <c r="K276" s="32" t="n">
        <v>217819</v>
      </c>
      <c r="L276" s="31" t="n">
        <v>62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77.91</v>
      </c>
      <c r="P276" s="32" t="n">
        <v>59.24</v>
      </c>
      <c r="Q276" s="32" t="n">
        <v>7126.33</v>
      </c>
      <c r="R276" s="31" t="inlineStr">
        <is>
          <t>Near 52W High Breakout</t>
        </is>
      </c>
      <c r="S276" s="31" t="inlineStr">
        <is>
          <t>Nifty 50</t>
        </is>
      </c>
      <c r="T276" s="32" t="n">
        <v>-3.34</v>
      </c>
      <c r="U276" s="32" t="n">
        <v>83.59999999999999</v>
      </c>
      <c r="V276" s="32" t="n">
        <v>89.94</v>
      </c>
      <c r="W276" s="32" t="n">
        <v>17.6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Oligopoly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Shallow Cyclical (2 to 3 Years Growth)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3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Between 50% to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IF(B277=0,"",RANK(B277,$B$2:$B$326,0))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RBA</t>
        </is>
      </c>
      <c r="D277" s="31" t="inlineStr">
        <is>
          <t>Restaurant Brands Asia Ltd</t>
        </is>
      </c>
      <c r="E277" s="31" t="inlineStr">
        <is>
          <t>consumer discretionary</t>
        </is>
      </c>
      <c r="F277" s="31" t="inlineStr">
        <is>
          <t>hotels</t>
        </is>
      </c>
      <c r="G277" s="31" t="inlineStr">
        <is>
          <t>midcap</t>
        </is>
      </c>
      <c r="H277" s="32" t="n">
        <v>7114.34</v>
      </c>
      <c r="I277" s="32" t="n">
        <v>97.75</v>
      </c>
      <c r="J277" s="32" t="n">
        <v>-2.21</v>
      </c>
      <c r="K277" s="32" t="n">
        <v>2134628</v>
      </c>
      <c r="L277" s="31" t="n">
        <v>52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68.90000000000001</v>
      </c>
      <c r="P277" s="32" t="n">
        <v>37.56</v>
      </c>
      <c r="Q277" s="32" t="n">
        <v>82.38</v>
      </c>
      <c r="R277" s="31" t="inlineStr">
        <is>
          <t>Earnings / Momentum Support</t>
        </is>
      </c>
      <c r="S277" s="31" t="inlineStr">
        <is>
          <t>Nifty 50</t>
        </is>
      </c>
      <c r="T277" s="32" t="n">
        <v>-3.34</v>
      </c>
      <c r="U277" s="32" t="n">
        <v>22.91</v>
      </c>
      <c r="V277" s="32" t="n">
        <v>27.16</v>
      </c>
      <c r="W277" s="32" t="n">
        <v>14.56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More than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IF(B278=0,"",RANK(B278,$B$2:$B$326,0))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GODREJAGRO</t>
        </is>
      </c>
      <c r="D278" s="33" t="inlineStr">
        <is>
          <t>Godrej Agrovet Ltd</t>
        </is>
      </c>
      <c r="E278" s="31" t="inlineStr">
        <is>
          <t>fmcg</t>
        </is>
      </c>
      <c r="F278" s="31" t="inlineStr">
        <is>
          <t>food - processing - indian</t>
        </is>
      </c>
      <c r="G278" s="31" t="inlineStr">
        <is>
          <t>midcap</t>
        </is>
      </c>
      <c r="H278" s="32" t="n">
        <v>12588.04</v>
      </c>
      <c r="I278" s="32" t="n">
        <v>670.25</v>
      </c>
      <c r="J278" s="32" t="n">
        <v>2.42</v>
      </c>
      <c r="K278" s="32" t="n">
        <v>2230141</v>
      </c>
      <c r="L278" s="31" t="n">
        <v>5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68.29000000000001</v>
      </c>
      <c r="P278" s="32" t="n">
        <v>17.96</v>
      </c>
      <c r="Q278" s="32" t="n">
        <v>552.4400000000001</v>
      </c>
      <c r="R278" s="31" t="inlineStr">
        <is>
          <t>Volume Spike / Accumulation</t>
        </is>
      </c>
      <c r="S278" s="31" t="inlineStr">
        <is>
          <t>Nifty FMCG</t>
        </is>
      </c>
      <c r="T278" s="32" t="n">
        <v>-15.28</v>
      </c>
      <c r="U278" s="32" t="n">
        <v>-17.49</v>
      </c>
      <c r="V278" s="32" t="n">
        <v>-2.61</v>
      </c>
      <c r="W278" s="32" t="n">
        <v>0.53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B2C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Annuity, Lower One Time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Between 0.7 to 1.2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IF(B279=0,"",RANK(B279,$B$2:$B$326,0))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APCOTEXIND</t>
        </is>
      </c>
      <c r="D279" s="31" t="inlineStr">
        <is>
          <t>Apcotex Industries Limited</t>
        </is>
      </c>
      <c r="E279" s="31" t="inlineStr">
        <is>
          <t>chemicals</t>
        </is>
      </c>
      <c r="F279" s="31" t="inlineStr">
        <is>
          <t>miscellaneous</t>
        </is>
      </c>
      <c r="G279" s="31" t="inlineStr">
        <is>
          <t>smallcap</t>
        </is>
      </c>
      <c r="H279" s="32" t="n">
        <v>3313.93</v>
      </c>
      <c r="I279" s="32" t="n">
        <v>628.65</v>
      </c>
      <c r="J279" s="32" t="n">
        <v>-1.65</v>
      </c>
      <c r="K279" s="32" t="n">
        <v>107750</v>
      </c>
      <c r="L279" s="31" t="n">
        <v>53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72.98999999999999</v>
      </c>
      <c r="P279" s="32" t="n">
        <v>65.44</v>
      </c>
      <c r="Q279" s="32" t="n">
        <v>484.43</v>
      </c>
      <c r="R279" s="31" t="inlineStr">
        <is>
          <t>Near 52W High Breakout</t>
        </is>
      </c>
      <c r="S279" s="31" t="inlineStr">
        <is>
          <t>Nifty 50</t>
        </is>
      </c>
      <c r="T279" s="32" t="n">
        <v>-3.34</v>
      </c>
      <c r="U279" s="32" t="n">
        <v>59.97</v>
      </c>
      <c r="V279" s="32" t="n">
        <v>65.5</v>
      </c>
      <c r="W279" s="32" t="n">
        <v>14.92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Oligopoly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Cyclical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Fully One Time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Above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1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Sideways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Overhead supply in last 2 years in last 2 years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Less than 1.5</t>
        </is>
      </c>
      <c r="BU279" s="31">
        <f>IF(BT279="Above 2",0,IF(BT279="Between 1.5 to 2",5,IF(BT279="Less than 1.5",10,0)))</f>
        <v/>
      </c>
      <c r="BV279" s="31" t="inlineStr">
        <is>
          <t>Between 50% to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IF(B280=0,"",RANK(B280,$B$2:$B$326,0))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CYIENT</t>
        </is>
      </c>
      <c r="D280" s="31" t="inlineStr">
        <is>
          <t>Cyient Limited</t>
        </is>
      </c>
      <c r="E280" s="31" t="inlineStr">
        <is>
          <t>i.t</t>
        </is>
      </c>
      <c r="F280" s="31" t="inlineStr">
        <is>
          <t>computers - software - medium / small</t>
        </is>
      </c>
      <c r="G280" s="31" t="inlineStr">
        <is>
          <t>midcap</t>
        </is>
      </c>
      <c r="H280" s="32" t="n">
        <v>12198.23</v>
      </c>
      <c r="I280" s="32" t="n">
        <v>1122.2</v>
      </c>
      <c r="J280" s="32" t="n">
        <v>-3.64</v>
      </c>
      <c r="K280" s="32" t="n">
        <v>820374</v>
      </c>
      <c r="L280" s="31" t="n">
        <v>25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68.7</v>
      </c>
      <c r="P280" s="32" t="n">
        <v>12.98</v>
      </c>
      <c r="Q280" s="32" t="n">
        <v>889.52</v>
      </c>
      <c r="R280" s="31" t="inlineStr">
        <is>
          <t>Earnings / Momentum Support</t>
        </is>
      </c>
      <c r="S280" s="31" t="inlineStr">
        <is>
          <t>Nifty IT</t>
        </is>
      </c>
      <c r="T280" s="32" t="n">
        <v>-10.2</v>
      </c>
      <c r="U280" s="32" t="n">
        <v>-2.43</v>
      </c>
      <c r="V280" s="32" t="n">
        <v>8.66</v>
      </c>
      <c r="W280" s="32" t="n">
        <v>6.47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Annuity, Lower One Time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IF(B281=0,"",RANK(B281,$B$2:$B$326,0))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JINDRILL</t>
        </is>
      </c>
      <c r="D281" s="33" t="inlineStr">
        <is>
          <t>Jindal Drilling And Industries Limited</t>
        </is>
      </c>
      <c r="E281" s="31" t="inlineStr">
        <is>
          <t>energy</t>
        </is>
      </c>
      <c r="F281" s="31" t="inlineStr">
        <is>
          <t>oil drilling / allied services</t>
        </is>
      </c>
      <c r="G281" s="31" t="inlineStr">
        <is>
          <t>smallcap</t>
        </is>
      </c>
      <c r="H281" s="32" t="n">
        <v>1784.22</v>
      </c>
      <c r="I281" s="32" t="n">
        <v>642.1</v>
      </c>
      <c r="J281" s="32" t="n">
        <v>4.3</v>
      </c>
      <c r="K281" s="32" t="n">
        <v>610029</v>
      </c>
      <c r="L281" s="31" t="n">
        <v>20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57.78</v>
      </c>
      <c r="P281" s="32" t="n">
        <v>45.15</v>
      </c>
      <c r="Q281" s="32" t="n">
        <v>466.37</v>
      </c>
      <c r="R281" s="31" t="inlineStr">
        <is>
          <t>Near 52W High Breakout</t>
        </is>
      </c>
      <c r="S281" s="31" t="inlineStr">
        <is>
          <t>Nifty Energy</t>
        </is>
      </c>
      <c r="T281" s="32" t="n">
        <v>7.88</v>
      </c>
      <c r="U281" s="32" t="n">
        <v>3.09</v>
      </c>
      <c r="V281" s="32" t="n">
        <v>-4.44</v>
      </c>
      <c r="W281" s="32" t="n">
        <v>5.13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Oligopoly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Yes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Cyclical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Volatile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Above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IF(B282=0,"",RANK(B282,$B$2:$B$326,0))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OIL</t>
        </is>
      </c>
      <c r="D282" s="31" t="inlineStr">
        <is>
          <t>Oil India Limited</t>
        </is>
      </c>
      <c r="E282" s="31" t="inlineStr">
        <is>
          <t>energy</t>
        </is>
      </c>
      <c r="F282" s="31" t="inlineStr">
        <is>
          <t>oil drilling / allied services</t>
        </is>
      </c>
      <c r="G282" s="31" t="inlineStr">
        <is>
          <t>largecap</t>
        </is>
      </c>
      <c r="H282" s="32" t="n">
        <v>79703.78</v>
      </c>
      <c r="I282" s="32" t="n">
        <v>498.15</v>
      </c>
      <c r="J282" s="32" t="n">
        <v>1.66</v>
      </c>
      <c r="K282" s="32" t="n">
        <v>4334724</v>
      </c>
      <c r="L282" s="31" t="n">
        <v>19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60.12</v>
      </c>
      <c r="P282" s="32" t="n">
        <v>14.14</v>
      </c>
      <c r="Q282" s="32" t="n">
        <v>412.18</v>
      </c>
      <c r="R282" s="31" t="inlineStr">
        <is>
          <t>Near 52W High Breakout</t>
        </is>
      </c>
      <c r="S282" s="31" t="inlineStr">
        <is>
          <t>Nifty Energy</t>
        </is>
      </c>
      <c r="T282" s="32" t="n">
        <v>7.88</v>
      </c>
      <c r="U282" s="32" t="n">
        <v>17.71</v>
      </c>
      <c r="V282" s="32" t="n">
        <v>9.119999999999999</v>
      </c>
      <c r="W282" s="32" t="n">
        <v>4.45</v>
      </c>
      <c r="X282" s="31" t="inlineStr">
        <is>
          <t>Cyclical in an Upturn</t>
        </is>
      </c>
      <c r="Y282" s="31">
        <f>IF(X282="Growing Industry",10,IF(X282="Cyclical in an Upturn",5,0))</f>
        <v/>
      </c>
      <c r="Z282" s="31" t="inlineStr">
        <is>
          <t>Oligopoly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Yes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Cyclical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Volatile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Less than 1.5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IF(B283=0,"",RANK(B283,$B$2:$B$326,0))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TNPETRO</t>
        </is>
      </c>
      <c r="D283" s="31" t="inlineStr">
        <is>
          <t>Tamilnadu Petroproducts Limited</t>
        </is>
      </c>
      <c r="E283" s="31" t="inlineStr">
        <is>
          <t>energy</t>
        </is>
      </c>
      <c r="F283" s="31" t="inlineStr">
        <is>
          <t>petrochemicals</t>
        </is>
      </c>
      <c r="G283" s="31" t="inlineStr">
        <is>
          <t>smallcap</t>
        </is>
      </c>
      <c r="H283" s="32" t="n">
        <v>1190.77</v>
      </c>
      <c r="I283" s="32" t="n">
        <v>133.73</v>
      </c>
      <c r="J283" s="32" t="n">
        <v>1.04</v>
      </c>
      <c r="K283" s="32" t="n">
        <v>4876318</v>
      </c>
      <c r="L283" s="31" t="n">
        <v>66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78.48</v>
      </c>
      <c r="P283" s="32" t="n">
        <v>32.28</v>
      </c>
      <c r="Q283" s="32" t="n">
        <v>104.5</v>
      </c>
      <c r="R283" s="31" t="inlineStr">
        <is>
          <t>Volume Spike &amp; Near 52W High Breakout</t>
        </is>
      </c>
      <c r="S283" s="31" t="inlineStr">
        <is>
          <t>Nifty Energy</t>
        </is>
      </c>
      <c r="T283" s="32" t="n">
        <v>7.88</v>
      </c>
      <c r="U283" s="32" t="n">
        <v>32.03</v>
      </c>
      <c r="V283" s="32" t="n">
        <v>22.39</v>
      </c>
      <c r="W283" s="32" t="n">
        <v>18.63</v>
      </c>
      <c r="X283" s="31" t="inlineStr">
        <is>
          <t>Cyclical in an Upturn</t>
        </is>
      </c>
      <c r="Y283" s="31">
        <f>IF(X283="Growing Industry",10,IF(X283="Cyclical in an Upturn",5,0))</f>
        <v/>
      </c>
      <c r="Z283" s="31" t="inlineStr">
        <is>
          <t>Oligopoly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Yes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Cyclical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Volatile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Above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IF(B284=0,"",RANK(B284,$B$2:$B$326,0))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SMARTWORKS</t>
        </is>
      </c>
      <c r="D284" s="31" t="inlineStr">
        <is>
          <t>Smartworks Coworking Spaces Ltd</t>
        </is>
      </c>
      <c r="E284" s="31" t="inlineStr">
        <is>
          <t>co-working</t>
        </is>
      </c>
      <c r="F284" s="31" t="inlineStr">
        <is>
          <t>miscellaneous</t>
        </is>
      </c>
      <c r="G284" s="31" t="inlineStr">
        <is>
          <t>midcap</t>
        </is>
      </c>
      <c r="H284" s="32" t="n">
        <v>6009.04</v>
      </c>
      <c r="I284" s="32" t="n">
        <v>525.45</v>
      </c>
      <c r="J284" s="32" t="n">
        <v>-0.09</v>
      </c>
      <c r="K284" s="32" t="n">
        <v>41047</v>
      </c>
      <c r="L284" s="31" t="n">
        <v>16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60.19</v>
      </c>
      <c r="P284" s="32" t="n">
        <v>34.3</v>
      </c>
      <c r="Q284" s="32" t="n">
        <v>424.67</v>
      </c>
      <c r="R284" s="31" t="inlineStr">
        <is>
          <t>Earnings / Momentum Support</t>
        </is>
      </c>
      <c r="S284" s="31" t="inlineStr">
        <is>
          <t>Nifty 50</t>
        </is>
      </c>
      <c r="T284" s="32" t="n">
        <v>-3.34</v>
      </c>
      <c r="U284" s="32" t="n">
        <v>0.03</v>
      </c>
      <c r="V284" s="32" t="n">
        <v>3.49</v>
      </c>
      <c r="W284" s="32" t="n">
        <v>3.92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More than 1.2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IF(B285=0,"",RANK(B285,$B$2:$B$326,0))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LGBBROSLTD</t>
        </is>
      </c>
      <c r="D285" s="31" t="inlineStr">
        <is>
          <t>Lg Balakrishnan &amp; Bros Limited</t>
        </is>
      </c>
      <c r="E285" s="31" t="inlineStr">
        <is>
          <t>auto</t>
        </is>
      </c>
      <c r="F285" s="31" t="inlineStr">
        <is>
          <t>bearings</t>
        </is>
      </c>
      <c r="G285" s="31" t="inlineStr">
        <is>
          <t>midcap</t>
        </is>
      </c>
      <c r="H285" s="32" t="n">
        <v>5430.96</v>
      </c>
      <c r="I285" s="32" t="n">
        <v>1699.9</v>
      </c>
      <c r="J285" s="32" t="n">
        <v>-0.18</v>
      </c>
      <c r="K285" s="32" t="n">
        <v>22848</v>
      </c>
      <c r="L285" s="31" t="n">
        <v>25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57.3</v>
      </c>
      <c r="P285" s="32" t="n">
        <v>9.31</v>
      </c>
      <c r="Q285" s="32" t="n">
        <v>1421.39</v>
      </c>
      <c r="R285" s="31" t="inlineStr">
        <is>
          <t>Earnings / Momentum Support</t>
        </is>
      </c>
      <c r="S285" s="31" t="inlineStr">
        <is>
          <t>Nifty Auto</t>
        </is>
      </c>
      <c r="T285" s="32" t="n">
        <v>17.66</v>
      </c>
      <c r="U285" s="32" t="n">
        <v>35.54</v>
      </c>
      <c r="V285" s="32" t="n">
        <v>15.19</v>
      </c>
      <c r="W285" s="32" t="n">
        <v>6.49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Less than 12%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Less than 1.5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IF(B286=0,"",RANK(B286,$B$2:$B$326,0))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IMAGICAA</t>
        </is>
      </c>
      <c r="D286" s="33" t="inlineStr">
        <is>
          <t>Imagicaaworld Entertainment Ltd</t>
        </is>
      </c>
      <c r="E286" s="31" t="inlineStr">
        <is>
          <t>media</t>
        </is>
      </c>
      <c r="F286" s="31" t="inlineStr">
        <is>
          <t>recreation / amusement parks</t>
        </is>
      </c>
      <c r="G286" s="31" t="inlineStr">
        <is>
          <t>smallcap</t>
        </is>
      </c>
      <c r="H286" s="32" t="n">
        <v>3112.24</v>
      </c>
      <c r="I286" s="32" t="n">
        <v>54.61</v>
      </c>
      <c r="J286" s="32" t="n">
        <v>-0.71</v>
      </c>
      <c r="K286" s="32" t="n">
        <v>484536</v>
      </c>
      <c r="L286" s="31" t="n">
        <v>5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58.85</v>
      </c>
      <c r="P286" s="32" t="n">
        <v>16.13</v>
      </c>
      <c r="Q286" s="32" t="n">
        <v>42.55</v>
      </c>
      <c r="R286" s="31" t="inlineStr">
        <is>
          <t>Earnings / Momentum Support</t>
        </is>
      </c>
      <c r="S286" s="31" t="inlineStr">
        <is>
          <t>Nifty Media</t>
        </is>
      </c>
      <c r="T286" s="32" t="n">
        <v>-8.119999999999999</v>
      </c>
      <c r="U286" s="32" t="n">
        <v>-16.23</v>
      </c>
      <c r="V286" s="32" t="n">
        <v>-8.83</v>
      </c>
      <c r="W286" s="32" t="n">
        <v>0.43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IF(B287=0,"",RANK(B287,$B$2:$B$326,0))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GRAPHITE</t>
        </is>
      </c>
      <c r="D287" s="31" t="inlineStr">
        <is>
          <t>Graphite India Limited</t>
        </is>
      </c>
      <c r="E287" s="31" t="inlineStr">
        <is>
          <t>industrials</t>
        </is>
      </c>
      <c r="F287" s="31" t="inlineStr">
        <is>
          <t>electrodes - graphites</t>
        </is>
      </c>
      <c r="G287" s="31" t="inlineStr">
        <is>
          <t>midcap</t>
        </is>
      </c>
      <c r="H287" s="32" t="n">
        <v>14319.08</v>
      </c>
      <c r="I287" s="32" t="n">
        <v>726.6</v>
      </c>
      <c r="J287" s="32" t="n">
        <v>-0.86</v>
      </c>
      <c r="K287" s="32" t="n">
        <v>680122</v>
      </c>
      <c r="L287" s="31" t="n">
        <v>33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59.08</v>
      </c>
      <c r="P287" s="32" t="n">
        <v>12.58</v>
      </c>
      <c r="Q287" s="32" t="n">
        <v>553.65</v>
      </c>
      <c r="R287" s="31" t="inlineStr">
        <is>
          <t>Earnings / Momentum Support</t>
        </is>
      </c>
      <c r="S287" s="31" t="inlineStr">
        <is>
          <t>Nifty 50</t>
        </is>
      </c>
      <c r="T287" s="32" t="n">
        <v>-3.34</v>
      </c>
      <c r="U287" s="32" t="n">
        <v>42.24</v>
      </c>
      <c r="V287" s="32" t="n">
        <v>47.15</v>
      </c>
      <c r="W287" s="32" t="n">
        <v>8.43</v>
      </c>
      <c r="X287" s="31" t="inlineStr">
        <is>
          <t>Cyclical in an Upturn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IF(B288=0,"",RANK(B288,$B$2:$B$326,0))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GMMPFAUDLR</t>
        </is>
      </c>
      <c r="D288" s="33" t="inlineStr">
        <is>
          <t>GMM Pfaudler Ltd</t>
        </is>
      </c>
      <c r="E288" s="31" t="inlineStr">
        <is>
          <t>industrials</t>
        </is>
      </c>
      <c r="F288" s="31" t="inlineStr">
        <is>
          <t>engineering</t>
        </is>
      </c>
      <c r="G288" s="31" t="inlineStr">
        <is>
          <t>smallcap</t>
        </is>
      </c>
      <c r="H288" s="32" t="n">
        <v>4872.46</v>
      </c>
      <c r="I288" s="32" t="n">
        <v>1070</v>
      </c>
      <c r="J288" s="32" t="n">
        <v>-1.27</v>
      </c>
      <c r="K288" s="32" t="n">
        <v>167948</v>
      </c>
      <c r="L288" s="31" t="n">
        <v>29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65.65000000000001</v>
      </c>
      <c r="P288" s="32" t="n">
        <v>29.41</v>
      </c>
      <c r="Q288" s="32" t="n">
        <v>855.91</v>
      </c>
      <c r="R288" s="31" t="inlineStr">
        <is>
          <t>Earnings / Momentum Support</t>
        </is>
      </c>
      <c r="S288" s="31" t="inlineStr">
        <is>
          <t>Nifty 50</t>
        </is>
      </c>
      <c r="T288" s="32" t="n">
        <v>-3.34</v>
      </c>
      <c r="U288" s="32" t="n">
        <v>-7.48</v>
      </c>
      <c r="V288" s="32" t="n">
        <v>-4.29</v>
      </c>
      <c r="W288" s="32" t="n">
        <v>7.27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Between 0.7 to 1.2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IF(B289=0,"",RANK(B289,$B$2:$B$326,0))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RAMRAT</t>
        </is>
      </c>
      <c r="D289" s="31" t="inlineStr">
        <is>
          <t>Ram Ratna Wires Ltd</t>
        </is>
      </c>
      <c r="E289" s="31" t="inlineStr">
        <is>
          <t>metals &amp; mining</t>
        </is>
      </c>
      <c r="F289" s="31" t="inlineStr">
        <is>
          <t>mining / minerals / metals</t>
        </is>
      </c>
      <c r="G289" s="31" t="inlineStr">
        <is>
          <t>midcap</t>
        </is>
      </c>
      <c r="H289" s="32" t="n">
        <v>5322.76</v>
      </c>
      <c r="I289" s="32" t="n">
        <v>535.1</v>
      </c>
      <c r="J289" s="32" t="n">
        <v>-6.16</v>
      </c>
      <c r="K289" s="32" t="n">
        <v>400073</v>
      </c>
      <c r="L289" s="31" t="n">
        <v>66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67.68000000000001</v>
      </c>
      <c r="P289" s="32" t="n">
        <v>44</v>
      </c>
      <c r="Q289" s="32" t="n">
        <v>448.54</v>
      </c>
      <c r="R289" s="31" t="inlineStr">
        <is>
          <t>Earnings / Momentum Support</t>
        </is>
      </c>
      <c r="S289" s="31" t="inlineStr">
        <is>
          <t>Nifty Metal</t>
        </is>
      </c>
      <c r="T289" s="32" t="n">
        <v>39.6</v>
      </c>
      <c r="U289" s="32" t="n">
        <v>53.78</v>
      </c>
      <c r="V289" s="32" t="n">
        <v>10.16</v>
      </c>
      <c r="W289" s="32" t="n">
        <v>18.94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Cyclical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Volatile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Above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Between 0.7 to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IF(B290=0,"",RANK(B290,$B$2:$B$326,0))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HATSUN</t>
        </is>
      </c>
      <c r="D290" s="31" t="inlineStr">
        <is>
          <t>Hatsun Agro Product Limited</t>
        </is>
      </c>
      <c r="E290" s="31" t="inlineStr">
        <is>
          <t>fmcg</t>
        </is>
      </c>
      <c r="F290" s="31" t="inlineStr">
        <is>
          <t>food - processing - indian</t>
        </is>
      </c>
      <c r="G290" s="31" t="inlineStr">
        <is>
          <t>largecap</t>
        </is>
      </c>
      <c r="H290" s="32" t="n">
        <v>26250.88</v>
      </c>
      <c r="I290" s="32" t="n">
        <v>1193.6</v>
      </c>
      <c r="J290" s="32" t="n">
        <v>1.28</v>
      </c>
      <c r="K290" s="32" t="n">
        <v>244250</v>
      </c>
      <c r="L290" s="31" t="n">
        <v>40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76.81999999999999</v>
      </c>
      <c r="P290" s="32" t="n">
        <v>18.66</v>
      </c>
      <c r="Q290" s="32" t="n">
        <v>991.8099999999999</v>
      </c>
      <c r="R290" s="31" t="inlineStr">
        <is>
          <t>Volume Spike &amp; Near 52W High Breakout</t>
        </is>
      </c>
      <c r="S290" s="31" t="inlineStr">
        <is>
          <t>Nifty FMCG</t>
        </is>
      </c>
      <c r="T290" s="32" t="n">
        <v>-15.28</v>
      </c>
      <c r="U290" s="32" t="n">
        <v>30.76</v>
      </c>
      <c r="V290" s="32" t="n">
        <v>54.35</v>
      </c>
      <c r="W290" s="32" t="n">
        <v>10.28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B2C</t>
        </is>
      </c>
      <c r="AO290" s="31">
        <f>IF(AN290="B2C",10,IF(AN290="B2B",5,0))</f>
        <v/>
      </c>
      <c r="AP290" s="31" t="inlineStr">
        <is>
          <t>Yes</t>
        </is>
      </c>
      <c r="AQ290" s="31">
        <f>IF(AP290="Yes",10,0)</f>
        <v/>
      </c>
      <c r="AR290" s="31" t="inlineStr">
        <is>
          <t>Higher Annuity, Lower One Time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Above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Blue sky scenario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Between 0.7 to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IF(B291=0,"",RANK(B291,$B$2:$B$326,0))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MPHASIS</t>
        </is>
      </c>
      <c r="D291" s="31" t="inlineStr">
        <is>
          <t>Mphasis Limited</t>
        </is>
      </c>
      <c r="E291" s="31" t="inlineStr">
        <is>
          <t>i.t</t>
        </is>
      </c>
      <c r="F291" s="31" t="inlineStr">
        <is>
          <t>computers - software - large</t>
        </is>
      </c>
      <c r="G291" s="31" t="inlineStr">
        <is>
          <t>largecap</t>
        </is>
      </c>
      <c r="H291" s="32" t="n">
        <v>47823.26</v>
      </c>
      <c r="I291" s="32" t="n">
        <v>2480</v>
      </c>
      <c r="J291" s="32" t="n">
        <v>-1.02</v>
      </c>
      <c r="K291" s="32" t="n">
        <v>900566</v>
      </c>
      <c r="L291" s="31" t="n">
        <v>6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56.16</v>
      </c>
      <c r="P291" s="32" t="n">
        <v>7.24</v>
      </c>
      <c r="Q291" s="32" t="n">
        <v>2054.19</v>
      </c>
      <c r="R291" s="31" t="inlineStr">
        <is>
          <t>Earnings / Momentum Support</t>
        </is>
      </c>
      <c r="S291" s="31" t="inlineStr">
        <is>
          <t>Nifty IT</t>
        </is>
      </c>
      <c r="T291" s="32" t="n">
        <v>-10.2</v>
      </c>
      <c r="U291" s="32" t="n">
        <v>-8.970000000000001</v>
      </c>
      <c r="V291" s="32" t="n">
        <v>1.37</v>
      </c>
      <c r="W291" s="32" t="n">
        <v>0.87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Annuity, Lower One Time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Between 50% to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IF(B292=0,"",RANK(B292,$B$2:$B$326,0))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PERSISTENT</t>
        </is>
      </c>
      <c r="D292" s="31" t="inlineStr">
        <is>
          <t>Persistent Systems Limited</t>
        </is>
      </c>
      <c r="E292" s="31" t="inlineStr">
        <is>
          <t>i.t</t>
        </is>
      </c>
      <c r="F292" s="31" t="inlineStr">
        <is>
          <t>computers - software - large</t>
        </is>
      </c>
      <c r="G292" s="31" t="inlineStr">
        <is>
          <t>largecap</t>
        </is>
      </c>
      <c r="H292" s="32" t="n">
        <v>91495</v>
      </c>
      <c r="I292" s="32" t="n">
        <v>5690</v>
      </c>
      <c r="J292" s="32" t="n">
        <v>-1.9</v>
      </c>
      <c r="K292" s="32" t="n">
        <v>610391</v>
      </c>
      <c r="L292" s="31" t="n">
        <v>26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58.07</v>
      </c>
      <c r="P292" s="32" t="n">
        <v>11.93</v>
      </c>
      <c r="Q292" s="32" t="n">
        <v>4741.3</v>
      </c>
      <c r="R292" s="31" t="inlineStr">
        <is>
          <t>Earnings / Momentum Support</t>
        </is>
      </c>
      <c r="S292" s="31" t="inlineStr">
        <is>
          <t>Nifty IT</t>
        </is>
      </c>
      <c r="T292" s="32" t="n">
        <v>-10.2</v>
      </c>
      <c r="U292" s="32" t="n">
        <v>11.66</v>
      </c>
      <c r="V292" s="32" t="n">
        <v>24.34</v>
      </c>
      <c r="W292" s="32" t="n">
        <v>6.54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Annuity, Lower One Time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Between 12 to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Between 50% to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IF(B293=0,"",RANK(B293,$B$2:$B$326,0))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3" t="inlineStr">
        <is>
          <t>MAHSEAMLES</t>
        </is>
      </c>
      <c r="D293" s="33" t="inlineStr">
        <is>
          <t>Maharashtra Seamless Limited</t>
        </is>
      </c>
      <c r="E293" s="31" t="inlineStr">
        <is>
          <t>metals &amp; mining</t>
        </is>
      </c>
      <c r="F293" s="31" t="inlineStr">
        <is>
          <t>steel - medium / small</t>
        </is>
      </c>
      <c r="G293" s="31" t="inlineStr">
        <is>
          <t>midcap</t>
        </is>
      </c>
      <c r="H293" s="32" t="n">
        <v>8704.59</v>
      </c>
      <c r="I293" s="32" t="n">
        <v>665.05</v>
      </c>
      <c r="J293" s="32" t="n">
        <v>2.38</v>
      </c>
      <c r="K293" s="32" t="n">
        <v>492471</v>
      </c>
      <c r="L293" s="31" t="n">
        <v>8</v>
      </c>
      <c r="M293" s="31" t="inlineStr">
        <is>
          <t>Underperforming</t>
        </is>
      </c>
      <c r="N293" s="32">
        <f>IF(M293="Underperforming",-5,IF(L293&gt;=95,15,IF(L293&gt;=90,10,IF(L293&gt;=80,5,0))))</f>
        <v/>
      </c>
      <c r="O293" s="32" t="n">
        <v>67.04000000000001</v>
      </c>
      <c r="P293" s="32" t="n">
        <v>18.17</v>
      </c>
      <c r="Q293" s="32" t="n">
        <v>560.63</v>
      </c>
      <c r="R293" s="31" t="inlineStr">
        <is>
          <t>Near 52W High Breakout</t>
        </is>
      </c>
      <c r="S293" s="31" t="inlineStr">
        <is>
          <t>Nifty Metal</t>
        </is>
      </c>
      <c r="T293" s="32" t="n">
        <v>39.6</v>
      </c>
      <c r="U293" s="32" t="n">
        <v>-2.95</v>
      </c>
      <c r="V293" s="32" t="n">
        <v>-30.48</v>
      </c>
      <c r="W293" s="32" t="n">
        <v>1.54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Cyclical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Volatile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0 to 20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Between 12 to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Less than 1.5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IF(B294=0,"",RANK(B294,$B$2:$B$326,0))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THEJO</t>
        </is>
      </c>
      <c r="D294" s="31" t="inlineStr">
        <is>
          <t>Thejo Engineering Ltd</t>
        </is>
      </c>
      <c r="E294" s="31" t="inlineStr">
        <is>
          <t>industrials</t>
        </is>
      </c>
      <c r="F294" s="31" t="inlineStr">
        <is>
          <t>engineering</t>
        </is>
      </c>
      <c r="G294" s="31" t="inlineStr">
        <is>
          <t>smallcap</t>
        </is>
      </c>
      <c r="H294" s="32" t="n">
        <v>2251.29</v>
      </c>
      <c r="I294" s="32" t="n">
        <v>2098.7</v>
      </c>
      <c r="J294" s="32" t="n">
        <v>1.12</v>
      </c>
      <c r="K294" s="32" t="n">
        <v>2835</v>
      </c>
      <c r="L294" s="31" t="n">
        <v>41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62.67</v>
      </c>
      <c r="P294" s="32" t="n">
        <v>33.2</v>
      </c>
      <c r="Q294" s="32" t="n">
        <v>1749.84</v>
      </c>
      <c r="R294" s="31" t="inlineStr">
        <is>
          <t>Earnings / Momentum Support</t>
        </is>
      </c>
      <c r="S294" s="31" t="inlineStr">
        <is>
          <t>Nifty 50</t>
        </is>
      </c>
      <c r="T294" s="32" t="n">
        <v>-3.34</v>
      </c>
      <c r="U294" s="32" t="n">
        <v>9.5</v>
      </c>
      <c r="V294" s="32" t="n">
        <v>13.28</v>
      </c>
      <c r="W294" s="32" t="n">
        <v>10.31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Less than 1.5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IF(B295=0,"",RANK(B295,$B$2:$B$326,0))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3" t="inlineStr">
        <is>
          <t>KSL</t>
        </is>
      </c>
      <c r="D295" s="33" t="inlineStr">
        <is>
          <t>Kalyani Steels Limited</t>
        </is>
      </c>
      <c r="E295" s="31" t="inlineStr">
        <is>
          <t>metals &amp; mining</t>
        </is>
      </c>
      <c r="F295" s="31" t="inlineStr">
        <is>
          <t>steel - medium / small</t>
        </is>
      </c>
      <c r="G295" s="31" t="inlineStr">
        <is>
          <t>smallcap</t>
        </is>
      </c>
      <c r="H295" s="32" t="n">
        <v>3928.78</v>
      </c>
      <c r="I295" s="32" t="n">
        <v>904.3</v>
      </c>
      <c r="J295" s="32" t="n">
        <v>0.48</v>
      </c>
      <c r="K295" s="32" t="n">
        <v>110343</v>
      </c>
      <c r="L295" s="31" t="n">
        <v>19</v>
      </c>
      <c r="M295" s="31" t="inlineStr">
        <is>
          <t>Underperforming</t>
        </is>
      </c>
      <c r="N295" s="32">
        <f>IF(M295="Underperforming",-5,IF(L295&gt;=95,15,IF(L295&gt;=90,10,IF(L295&gt;=80,5,0))))</f>
        <v/>
      </c>
      <c r="O295" s="32" t="n">
        <v>60.95</v>
      </c>
      <c r="P295" s="32" t="n">
        <v>23.97</v>
      </c>
      <c r="Q295" s="32" t="n">
        <v>754.45</v>
      </c>
      <c r="R295" s="31" t="inlineStr">
        <is>
          <t>Near 52W High Breakout</t>
        </is>
      </c>
      <c r="S295" s="31" t="inlineStr">
        <is>
          <t>Nifty Metal</t>
        </is>
      </c>
      <c r="T295" s="32" t="n">
        <v>39.6</v>
      </c>
      <c r="U295" s="32" t="n">
        <v>3.53</v>
      </c>
      <c r="V295" s="32" t="n">
        <v>-25.84</v>
      </c>
      <c r="W295" s="32" t="n">
        <v>4.67</v>
      </c>
      <c r="X295" s="31" t="inlineStr">
        <is>
          <t>Cyclical in an Upturn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Cyclical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Volatile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IF(B296=0,"",RANK(B296,$B$2:$B$326,0))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NOCIL</t>
        </is>
      </c>
      <c r="D296" s="31" t="inlineStr">
        <is>
          <t>Nocil Limited</t>
        </is>
      </c>
      <c r="E296" s="31" t="inlineStr">
        <is>
          <t>chemicals</t>
        </is>
      </c>
      <c r="F296" s="31" t="inlineStr">
        <is>
          <t>chemicals</t>
        </is>
      </c>
      <c r="G296" s="31" t="inlineStr">
        <is>
          <t>smallcap</t>
        </is>
      </c>
      <c r="H296" s="32" t="n">
        <v>2833.08</v>
      </c>
      <c r="I296" s="32" t="n">
        <v>169.95</v>
      </c>
      <c r="J296" s="32" t="n">
        <v>0.19</v>
      </c>
      <c r="K296" s="32" t="n">
        <v>416607</v>
      </c>
      <c r="L296" s="31" t="n">
        <v>7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53.02</v>
      </c>
      <c r="P296" s="32" t="n">
        <v>18.65</v>
      </c>
      <c r="Q296" s="32" t="n">
        <v>142.54</v>
      </c>
      <c r="R296" s="31" t="inlineStr">
        <is>
          <t>Earnings / Momentum Support</t>
        </is>
      </c>
      <c r="S296" s="31" t="inlineStr">
        <is>
          <t>Nifty IT</t>
        </is>
      </c>
      <c r="T296" s="32" t="n">
        <v>-10.2</v>
      </c>
      <c r="U296" s="32" t="n">
        <v>-5.25</v>
      </c>
      <c r="V296" s="32" t="n">
        <v>5.51</v>
      </c>
      <c r="W296" s="32" t="n">
        <v>1.07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1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Less than 1.5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IF(B297=0,"",RANK(B297,$B$2:$B$326,0))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SALSTEEL</t>
        </is>
      </c>
      <c r="D297" s="31" t="inlineStr">
        <is>
          <t>SAL Steel</t>
        </is>
      </c>
      <c r="E297" s="31" t="inlineStr">
        <is>
          <t>metals &amp; mining</t>
        </is>
      </c>
      <c r="F297" s="31" t="inlineStr">
        <is>
          <t>steel - sponge iron</t>
        </is>
      </c>
      <c r="G297" s="31" t="inlineStr">
        <is>
          <t>smallcap</t>
        </is>
      </c>
      <c r="H297" s="32" t="n">
        <v>1193.31</v>
      </c>
      <c r="I297" s="32" t="n">
        <v>82.04000000000001</v>
      </c>
      <c r="J297" s="32" t="n">
        <v>-0.47</v>
      </c>
      <c r="K297" s="32" t="n">
        <v>1174529</v>
      </c>
      <c r="L297" s="31" t="n">
        <v>96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75.29000000000001</v>
      </c>
      <c r="P297" s="32" t="n">
        <v>28.75</v>
      </c>
      <c r="Q297" s="32" t="n">
        <v>57.31</v>
      </c>
      <c r="R297" s="31" t="inlineStr">
        <is>
          <t>Near 52W High Breakout</t>
        </is>
      </c>
      <c r="S297" s="31" t="inlineStr">
        <is>
          <t>Nifty Metal</t>
        </is>
      </c>
      <c r="T297" s="32" t="n">
        <v>39.6</v>
      </c>
      <c r="U297" s="32" t="n">
        <v>415</v>
      </c>
      <c r="V297" s="32" t="n">
        <v>268.92</v>
      </c>
      <c r="W297" s="32" t="n">
        <v>53.68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Cyclical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Volatile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Above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Blue sky scenario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More than 1.2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IF(B298=0,"",RANK(B298,$B$2:$B$326,0))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LOKESHMACH</t>
        </is>
      </c>
      <c r="D298" s="31" t="inlineStr">
        <is>
          <t>Lokesh Machines Limited</t>
        </is>
      </c>
      <c r="E298" s="31" t="inlineStr">
        <is>
          <t>industrials</t>
        </is>
      </c>
      <c r="F298" s="31" t="inlineStr">
        <is>
          <t>engineering</t>
        </is>
      </c>
      <c r="G298" s="31" t="inlineStr">
        <is>
          <t>smallcap</t>
        </is>
      </c>
      <c r="H298" s="32" t="n">
        <v>754.71</v>
      </c>
      <c r="I298" s="32" t="n">
        <v>339.9</v>
      </c>
      <c r="J298" s="32" t="n">
        <v>-1.83</v>
      </c>
      <c r="K298" s="32" t="n">
        <v>25446</v>
      </c>
      <c r="L298" s="31" t="n">
        <v>73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66.97</v>
      </c>
      <c r="P298" s="32" t="n">
        <v>42.58</v>
      </c>
      <c r="Q298" s="32" t="n">
        <v>260.54</v>
      </c>
      <c r="R298" s="31" t="inlineStr">
        <is>
          <t>Volume Spike &amp; Near 52W High Breakout</t>
        </is>
      </c>
      <c r="S298" s="31" t="inlineStr">
        <is>
          <t>Nifty 50</t>
        </is>
      </c>
      <c r="T298" s="32" t="n">
        <v>-3.34</v>
      </c>
      <c r="U298" s="32" t="n">
        <v>67.98999999999999</v>
      </c>
      <c r="V298" s="32" t="n">
        <v>73.8</v>
      </c>
      <c r="W298" s="32" t="n">
        <v>21.03</v>
      </c>
      <c r="X298" s="31" t="inlineStr">
        <is>
          <t>Cyclical in an Upturn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Above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Between 0.7 to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IF(B299=0,"",RANK(B299,$B$2:$B$326,0))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STAR</t>
        </is>
      </c>
      <c r="D299" s="33" t="inlineStr">
        <is>
          <t>Strides Shasun Limited</t>
        </is>
      </c>
      <c r="E299" s="31" t="inlineStr">
        <is>
          <t>healthcare</t>
        </is>
      </c>
      <c r="F299" s="31" t="inlineStr">
        <is>
          <t>pharmaceuticals - indian - bulk drugs &amp; formln</t>
        </is>
      </c>
      <c r="G299" s="31" t="inlineStr">
        <is>
          <t>midcap</t>
        </is>
      </c>
      <c r="H299" s="32" t="n">
        <v>9440.33</v>
      </c>
      <c r="I299" s="32" t="n">
        <v>1047.8</v>
      </c>
      <c r="J299" s="32" t="n">
        <v>2.3</v>
      </c>
      <c r="K299" s="32" t="n">
        <v>327406</v>
      </c>
      <c r="L299" s="31" t="n">
        <v>16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54.04</v>
      </c>
      <c r="P299" s="32" t="n">
        <v>8.359999999999999</v>
      </c>
      <c r="Q299" s="32" t="n">
        <v>873.42</v>
      </c>
      <c r="R299" s="31" t="inlineStr">
        <is>
          <t>Earnings / Momentum Support</t>
        </is>
      </c>
      <c r="S299" s="31" t="inlineStr">
        <is>
          <t>Nifty Pharma</t>
        </is>
      </c>
      <c r="T299" s="32" t="n">
        <v>22.15</v>
      </c>
      <c r="U299" s="32" t="n">
        <v>18.24</v>
      </c>
      <c r="V299" s="32" t="n">
        <v>-3.2</v>
      </c>
      <c r="W299" s="32" t="n">
        <v>3.89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Yes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Annuity, Lower One Time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1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Less than 1.5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IF(B300=0,"",RANK(B300,$B$2:$B$326,0))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JTLIND</t>
        </is>
      </c>
      <c r="D300" s="33" t="inlineStr">
        <is>
          <t>JTL Industries Ltd</t>
        </is>
      </c>
      <c r="E300" s="31" t="inlineStr">
        <is>
          <t>metals &amp; mining</t>
        </is>
      </c>
      <c r="F300" s="31" t="inlineStr">
        <is>
          <t>steel - medium / small</t>
        </is>
      </c>
      <c r="G300" s="31" t="inlineStr">
        <is>
          <t>smallcap</t>
        </is>
      </c>
      <c r="H300" s="32" t="n">
        <v>3457.94</v>
      </c>
      <c r="I300" s="32" t="n">
        <v>92.40000000000001</v>
      </c>
      <c r="J300" s="32" t="n">
        <v>5.04</v>
      </c>
      <c r="K300" s="32" t="n">
        <v>10046013</v>
      </c>
      <c r="L300" s="31" t="n">
        <v>28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65.98999999999999</v>
      </c>
      <c r="P300" s="32" t="n">
        <v>12.94</v>
      </c>
      <c r="Q300" s="32" t="n">
        <v>67.59</v>
      </c>
      <c r="R300" s="31" t="inlineStr">
        <is>
          <t>Near 52W High Breakout</t>
        </is>
      </c>
      <c r="S300" s="31" t="inlineStr">
        <is>
          <t>Nifty Metal</t>
        </is>
      </c>
      <c r="T300" s="32" t="n">
        <v>39.6</v>
      </c>
      <c r="U300" s="32" t="n">
        <v>20.24</v>
      </c>
      <c r="V300" s="32" t="n">
        <v>-13.87</v>
      </c>
      <c r="W300" s="32" t="n">
        <v>6.89</v>
      </c>
      <c r="X300" s="31" t="inlineStr">
        <is>
          <t>Cyclical in an Upturn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Cyclical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Volatile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IF(B301=0,"",RANK(B301,$B$2:$B$326,0))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SIMPLEXINF</t>
        </is>
      </c>
      <c r="D301" s="33" t="inlineStr">
        <is>
          <t>Simplex Infrastructures Limited</t>
        </is>
      </c>
      <c r="E301" s="31" t="inlineStr">
        <is>
          <t>realty</t>
        </is>
      </c>
      <c r="F301" s="31" t="inlineStr">
        <is>
          <t>construction</t>
        </is>
      </c>
      <c r="G301" s="31" t="inlineStr">
        <is>
          <t>smallcap</t>
        </is>
      </c>
      <c r="H301" s="32" t="n">
        <v>2029.59</v>
      </c>
      <c r="I301" s="32" t="n">
        <v>265.2</v>
      </c>
      <c r="J301" s="32" t="n">
        <v>3.35</v>
      </c>
      <c r="K301" s="32" t="n">
        <v>109146</v>
      </c>
      <c r="L301" s="31" t="n">
        <v>14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55.83</v>
      </c>
      <c r="P301" s="32" t="n">
        <v>19.74</v>
      </c>
      <c r="Q301" s="32" t="n">
        <v>194.03</v>
      </c>
      <c r="R301" s="31" t="inlineStr">
        <is>
          <t>Earnings / Momentum Support</t>
        </is>
      </c>
      <c r="S301" s="31" t="inlineStr">
        <is>
          <t>Nifty Realty</t>
        </is>
      </c>
      <c r="T301" s="32" t="n">
        <v>-6.04</v>
      </c>
      <c r="U301" s="32" t="n">
        <v>-13.5</v>
      </c>
      <c r="V301" s="32" t="n">
        <v>-7.94</v>
      </c>
      <c r="W301" s="32" t="n">
        <v>3.4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Less than 1.5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More than 1.2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IF(B302=0,"",RANK(B302,$B$2:$B$326,0))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NSLNISP</t>
        </is>
      </c>
      <c r="D302" s="33" t="inlineStr">
        <is>
          <t>NMDC Steel Ltd</t>
        </is>
      </c>
      <c r="E302" s="31" t="inlineStr">
        <is>
          <t>metals &amp; mining</t>
        </is>
      </c>
      <c r="F302" s="31" t="inlineStr">
        <is>
          <t>steel - large</t>
        </is>
      </c>
      <c r="G302" s="31" t="inlineStr">
        <is>
          <t>midcap</t>
        </is>
      </c>
      <c r="H302" s="32" t="n">
        <v>13366.49</v>
      </c>
      <c r="I302" s="32" t="n">
        <v>45.69</v>
      </c>
      <c r="J302" s="32" t="n">
        <v>0.18</v>
      </c>
      <c r="K302" s="32" t="n">
        <v>10189200</v>
      </c>
      <c r="L302" s="31" t="n">
        <v>24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53.83</v>
      </c>
      <c r="P302" s="32" t="n">
        <v>23.63</v>
      </c>
      <c r="Q302" s="32" t="n">
        <v>38.71</v>
      </c>
      <c r="R302" s="31" t="inlineStr">
        <is>
          <t>Earnings / Momentum Support</t>
        </is>
      </c>
      <c r="S302" s="31" t="inlineStr">
        <is>
          <t>Nifty Metal</t>
        </is>
      </c>
      <c r="T302" s="32" t="n">
        <v>39.6</v>
      </c>
      <c r="U302" s="32" t="n">
        <v>19.23</v>
      </c>
      <c r="V302" s="32" t="n">
        <v>-14.59</v>
      </c>
      <c r="W302" s="32" t="n">
        <v>6.33</v>
      </c>
      <c r="X302" s="31" t="inlineStr">
        <is>
          <t>Cyclical in an Upturn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Cyclical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Volatile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IF(B303=0,"",RANK(B303,$B$2:$B$326,0))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JYOTICNC</t>
        </is>
      </c>
      <c r="D303" s="31" t="inlineStr">
        <is>
          <t>Jyoti CNC Automation Ltd</t>
        </is>
      </c>
      <c r="E303" s="31" t="inlineStr">
        <is>
          <t>industrials</t>
        </is>
      </c>
      <c r="F303" s="31" t="inlineStr">
        <is>
          <t>engineering</t>
        </is>
      </c>
      <c r="G303" s="31" t="inlineStr">
        <is>
          <t>largecap</t>
        </is>
      </c>
      <c r="H303" s="32" t="n">
        <v>22494.42</v>
      </c>
      <c r="I303" s="32" t="n">
        <v>955.65</v>
      </c>
      <c r="J303" s="32" t="n">
        <v>-3.38</v>
      </c>
      <c r="K303" s="32" t="n">
        <v>757084</v>
      </c>
      <c r="L303" s="31" t="n">
        <v>51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61.11</v>
      </c>
      <c r="P303" s="32" t="n">
        <v>16.58</v>
      </c>
      <c r="Q303" s="32" t="n">
        <v>802.5599999999999</v>
      </c>
      <c r="R303" s="31" t="inlineStr">
        <is>
          <t>Earnings / Momentum Support</t>
        </is>
      </c>
      <c r="S303" s="31" t="inlineStr">
        <is>
          <t>Nifty 50</t>
        </is>
      </c>
      <c r="T303" s="32" t="n">
        <v>-3.34</v>
      </c>
      <c r="U303" s="32" t="n">
        <v>6.57</v>
      </c>
      <c r="V303" s="32" t="n">
        <v>10.25</v>
      </c>
      <c r="W303" s="32" t="n">
        <v>14.16</v>
      </c>
      <c r="X303" s="31" t="inlineStr">
        <is>
          <t>Cyclical in an Upturn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IF(B304=0,"",RANK(B304,$B$2:$B$326,0))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PRABHA</t>
        </is>
      </c>
      <c r="D304" s="33" t="inlineStr">
        <is>
          <t>Prabha Energy Ltd</t>
        </is>
      </c>
      <c r="E304" s="31" t="inlineStr">
        <is>
          <t>energy</t>
        </is>
      </c>
      <c r="F304" s="31" t="inlineStr">
        <is>
          <t>oil drilling / allied services</t>
        </is>
      </c>
      <c r="G304" s="31" t="inlineStr">
        <is>
          <t>smallcap</t>
        </is>
      </c>
      <c r="H304" s="32" t="n">
        <v>3115.55</v>
      </c>
      <c r="I304" s="32" t="n">
        <v>216.27</v>
      </c>
      <c r="J304" s="32" t="n">
        <v>1.75</v>
      </c>
      <c r="K304" s="32" t="n">
        <v>161854</v>
      </c>
      <c r="L304" s="31" t="n">
        <v>21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67.73</v>
      </c>
      <c r="P304" s="32" t="n">
        <v>20.14</v>
      </c>
      <c r="Q304" s="32" t="n">
        <v>161.78</v>
      </c>
      <c r="R304" s="31" t="inlineStr">
        <is>
          <t>Earnings / Momentum Support</t>
        </is>
      </c>
      <c r="S304" s="31" t="inlineStr">
        <is>
          <t>Nifty Energy</t>
        </is>
      </c>
      <c r="T304" s="32" t="n">
        <v>7.88</v>
      </c>
      <c r="U304" s="32" t="n">
        <v>-17.55</v>
      </c>
      <c r="V304" s="32" t="n">
        <v>-23.57</v>
      </c>
      <c r="W304" s="32" t="n">
        <v>5.3</v>
      </c>
      <c r="X304" s="31" t="inlineStr">
        <is>
          <t>Cyclical in an Upturn</t>
        </is>
      </c>
      <c r="Y304" s="31">
        <f>IF(X304="Growing Industry",10,IF(X304="Cyclical in an Upturn",5,0))</f>
        <v/>
      </c>
      <c r="Z304" s="31" t="inlineStr">
        <is>
          <t>Oligopoly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Yes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Cyclical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Volatile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IF(B305=0,"",RANK(B305,$B$2:$B$326,0))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RKFORGE</t>
        </is>
      </c>
      <c r="D305" s="31" t="inlineStr">
        <is>
          <t>Ramkrishna Forgings Limited</t>
        </is>
      </c>
      <c r="E305" s="31" t="inlineStr">
        <is>
          <t>industrials</t>
        </is>
      </c>
      <c r="F305" s="31" t="inlineStr">
        <is>
          <t>castings &amp; forgings</t>
        </is>
      </c>
      <c r="G305" s="31" t="inlineStr">
        <is>
          <t>midcap</t>
        </is>
      </c>
      <c r="H305" s="32" t="n">
        <v>13728.33</v>
      </c>
      <c r="I305" s="32" t="n">
        <v>726.1</v>
      </c>
      <c r="J305" s="32" t="n">
        <v>-3.65</v>
      </c>
      <c r="K305" s="32" t="n">
        <v>604068</v>
      </c>
      <c r="L305" s="31" t="n">
        <v>46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68.17</v>
      </c>
      <c r="P305" s="32" t="n">
        <v>20.26</v>
      </c>
      <c r="Q305" s="32" t="n">
        <v>615.27</v>
      </c>
      <c r="R305" s="31" t="inlineStr">
        <is>
          <t>Near 52W High Breakout</t>
        </is>
      </c>
      <c r="S305" s="31" t="inlineStr">
        <is>
          <t>Nifty 50</t>
        </is>
      </c>
      <c r="T305" s="32" t="n">
        <v>-3.34</v>
      </c>
      <c r="U305" s="32" t="n">
        <v>27.49</v>
      </c>
      <c r="V305" s="32" t="n">
        <v>31.9</v>
      </c>
      <c r="W305" s="32" t="n">
        <v>11.93</v>
      </c>
      <c r="X305" s="31" t="inlineStr">
        <is>
          <t>Cyclical in an Upturn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Yes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Negative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Between 0.7 to 1.2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IF(B306=0,"",RANK(B306,$B$2:$B$326,0))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AGARWALEYE</t>
        </is>
      </c>
      <c r="D306" s="33" t="inlineStr">
        <is>
          <t>Dr Agarwals Health Care Ltd</t>
        </is>
      </c>
      <c r="E306" s="31" t="inlineStr">
        <is>
          <t>healthcare</t>
        </is>
      </c>
      <c r="F306" s="31" t="inlineStr">
        <is>
          <t>healthcare</t>
        </is>
      </c>
      <c r="G306" s="31" t="inlineStr">
        <is>
          <t>midcap</t>
        </is>
      </c>
      <c r="H306" s="32" t="n">
        <v>16124.93</v>
      </c>
      <c r="I306" s="32" t="n">
        <v>514.25</v>
      </c>
      <c r="J306" s="32" t="n">
        <v>1.09</v>
      </c>
      <c r="K306" s="32" t="n">
        <v>640862</v>
      </c>
      <c r="L306" s="31" t="n">
        <v>27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58.89</v>
      </c>
      <c r="P306" s="32" t="n">
        <v>31.47</v>
      </c>
      <c r="Q306" s="32" t="n">
        <v>445.66</v>
      </c>
      <c r="R306" s="31" t="inlineStr">
        <is>
          <t>Earnings / Momentum Support</t>
        </is>
      </c>
      <c r="S306" s="31" t="inlineStr">
        <is>
          <t>Nifty Pharma</t>
        </is>
      </c>
      <c r="T306" s="32" t="n">
        <v>22.15</v>
      </c>
      <c r="U306" s="32" t="n">
        <v>20.86</v>
      </c>
      <c r="V306" s="32" t="n">
        <v>-1.06</v>
      </c>
      <c r="W306" s="32" t="n">
        <v>6.78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Yes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Annuity, Lower One Time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20 to 40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Negative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IF(B307=0,"",RANK(B307,$B$2:$B$326,0))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3" t="inlineStr">
        <is>
          <t>MAITHANALL</t>
        </is>
      </c>
      <c r="D307" s="33" t="inlineStr">
        <is>
          <t>Maithan Alloys Limited</t>
        </is>
      </c>
      <c r="E307" s="31" t="inlineStr">
        <is>
          <t>metals &amp; mining</t>
        </is>
      </c>
      <c r="F307" s="31" t="inlineStr">
        <is>
          <t>mining / minerals / metals</t>
        </is>
      </c>
      <c r="G307" s="31" t="inlineStr">
        <is>
          <t>smallcap</t>
        </is>
      </c>
      <c r="H307" s="32" t="n">
        <v>2831.83</v>
      </c>
      <c r="I307" s="32" t="n">
        <v>1019.35</v>
      </c>
      <c r="J307" s="32" t="n">
        <v>4.79</v>
      </c>
      <c r="K307" s="32" t="n">
        <v>435952</v>
      </c>
      <c r="L307" s="31" t="n">
        <v>2</v>
      </c>
      <c r="M307" s="31" t="inlineStr">
        <is>
          <t>Underperforming</t>
        </is>
      </c>
      <c r="N307" s="32">
        <f>IF(M307="Underperforming",-5,IF(L307&gt;=95,15,IF(L307&gt;=90,10,IF(L307&gt;=80,5,0))))</f>
        <v/>
      </c>
      <c r="O307" s="32" t="n">
        <v>53.02</v>
      </c>
      <c r="P307" s="32" t="n">
        <v>23.96</v>
      </c>
      <c r="Q307" s="32" t="n">
        <v>902.58</v>
      </c>
      <c r="R307" s="31" t="inlineStr">
        <is>
          <t>Volume Spike / Accumulation</t>
        </is>
      </c>
      <c r="S307" s="31" t="inlineStr">
        <is>
          <t>Nifty Metal</t>
        </is>
      </c>
      <c r="T307" s="32" t="n">
        <v>39.6</v>
      </c>
      <c r="U307" s="32" t="n">
        <v>-9.050000000000001</v>
      </c>
      <c r="V307" s="32" t="n">
        <v>-34.85</v>
      </c>
      <c r="W307" s="32" t="n">
        <v>-1.1</v>
      </c>
      <c r="X307" s="31" t="inlineStr">
        <is>
          <t>Cyclical in an Upturn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Cyclical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Volatile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Yes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1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IF(B308=0,"",RANK(B308,$B$2:$B$326,0))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MRPL</t>
        </is>
      </c>
      <c r="D308" s="31" t="inlineStr">
        <is>
          <t>Mangalore Refinery And Petrochemicals Limited</t>
        </is>
      </c>
      <c r="E308" s="31" t="inlineStr">
        <is>
          <t>energy</t>
        </is>
      </c>
      <c r="F308" s="31" t="inlineStr">
        <is>
          <t>refineries</t>
        </is>
      </c>
      <c r="G308" s="31" t="inlineStr">
        <is>
          <t>largecap</t>
        </is>
      </c>
      <c r="H308" s="32" t="n">
        <v>30043.05</v>
      </c>
      <c r="I308" s="32" t="n">
        <v>175.22</v>
      </c>
      <c r="J308" s="32" t="n">
        <v>2.22</v>
      </c>
      <c r="K308" s="32" t="n">
        <v>9772096</v>
      </c>
      <c r="L308" s="31" t="n">
        <v>17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55.33</v>
      </c>
      <c r="P308" s="32" t="n">
        <v>20.27</v>
      </c>
      <c r="Q308" s="32" t="n">
        <v>129.85</v>
      </c>
      <c r="R308" s="31" t="inlineStr">
        <is>
          <t>Earnings / Momentum Support</t>
        </is>
      </c>
      <c r="S308" s="31" t="inlineStr">
        <is>
          <t>Nifty Energy</t>
        </is>
      </c>
      <c r="T308" s="32" t="n">
        <v>7.88</v>
      </c>
      <c r="U308" s="32" t="n">
        <v>27.05</v>
      </c>
      <c r="V308" s="32" t="n">
        <v>17.77</v>
      </c>
      <c r="W308" s="32" t="n">
        <v>4.12</v>
      </c>
      <c r="X308" s="31" t="inlineStr">
        <is>
          <t>Cyclical in an Upturn</t>
        </is>
      </c>
      <c r="Y308" s="31">
        <f>IF(X308="Growing Industry",10,IF(X308="Cyclical in an Upturn",5,0))</f>
        <v/>
      </c>
      <c r="Z308" s="31" t="inlineStr">
        <is>
          <t>Oligopoly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Yes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Cyclical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Volatile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20 to 40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Between 0.7 to 1.2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IF(B309=0,"",RANK(B309,$B$2:$B$326,0))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ELECTCAST</t>
        </is>
      </c>
      <c r="D309" s="33" t="inlineStr">
        <is>
          <t>Electrosteel Castings Limited</t>
        </is>
      </c>
      <c r="E309" s="31" t="inlineStr">
        <is>
          <t>industrials</t>
        </is>
      </c>
      <c r="F309" s="31" t="inlineStr">
        <is>
          <t>castings &amp; forgings</t>
        </is>
      </c>
      <c r="G309" s="31" t="inlineStr">
        <is>
          <t>midcap</t>
        </is>
      </c>
      <c r="H309" s="32" t="n">
        <v>5182.24</v>
      </c>
      <c r="I309" s="32" t="n">
        <v>85.28</v>
      </c>
      <c r="J309" s="32" t="n">
        <v>1.73</v>
      </c>
      <c r="K309" s="32" t="n">
        <v>3654988</v>
      </c>
      <c r="L309" s="31" t="n">
        <v>11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59.67</v>
      </c>
      <c r="P309" s="32" t="n">
        <v>15.41</v>
      </c>
      <c r="Q309" s="32" t="n">
        <v>64.63</v>
      </c>
      <c r="R309" s="31" t="inlineStr">
        <is>
          <t>Volume Spike / Accumulation</t>
        </is>
      </c>
      <c r="S309" s="31" t="inlineStr">
        <is>
          <t>Nifty 50</t>
        </is>
      </c>
      <c r="T309" s="32" t="n">
        <v>-3.34</v>
      </c>
      <c r="U309" s="32" t="n">
        <v>-11.87</v>
      </c>
      <c r="V309" s="32" t="n">
        <v>-8.83</v>
      </c>
      <c r="W309" s="32" t="n">
        <v>2.48</v>
      </c>
      <c r="X309" s="31" t="inlineStr">
        <is>
          <t>Cyclical in an Upturn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Yes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1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Yes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IF(B310=0,"",RANK(B310,$B$2:$B$326,0))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JAYNECOIND</t>
        </is>
      </c>
      <c r="D310" s="31" t="inlineStr">
        <is>
          <t>Jayaswal Neco Industries Limited</t>
        </is>
      </c>
      <c r="E310" s="31" t="inlineStr">
        <is>
          <t>metals &amp; mining</t>
        </is>
      </c>
      <c r="F310" s="31" t="inlineStr">
        <is>
          <t>steel - large</t>
        </is>
      </c>
      <c r="G310" s="31" t="inlineStr">
        <is>
          <t>midcap</t>
        </is>
      </c>
      <c r="H310" s="32" t="n">
        <v>9407.030000000001</v>
      </c>
      <c r="I310" s="32" t="n">
        <v>98.19</v>
      </c>
      <c r="J310" s="32" t="n">
        <v>1.35</v>
      </c>
      <c r="K310" s="32" t="n">
        <v>2257984</v>
      </c>
      <c r="L310" s="31" t="n">
        <v>78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57.92</v>
      </c>
      <c r="P310" s="32" t="n">
        <v>7.34</v>
      </c>
      <c r="Q310" s="32" t="n">
        <v>75.14</v>
      </c>
      <c r="R310" s="31" t="inlineStr">
        <is>
          <t>Earnings / Momentum Support</t>
        </is>
      </c>
      <c r="S310" s="31" t="inlineStr">
        <is>
          <t>Nifty Metal</t>
        </is>
      </c>
      <c r="T310" s="32" t="n">
        <v>39.6</v>
      </c>
      <c r="U310" s="32" t="n">
        <v>133.45</v>
      </c>
      <c r="V310" s="32" t="n">
        <v>67.23</v>
      </c>
      <c r="W310" s="32" t="n">
        <v>23.4</v>
      </c>
      <c r="X310" s="31" t="inlineStr">
        <is>
          <t>Cyclical in an Upturn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Cyclical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Volatile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Between 0.7 to 1.2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IF(B311=0,"",RANK(B311,$B$2:$B$326,0))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STYLEBAAZA</t>
        </is>
      </c>
      <c r="D311" s="31" t="inlineStr">
        <is>
          <t>Baazar Style Retail Ltd</t>
        </is>
      </c>
      <c r="E311" s="31" t="inlineStr">
        <is>
          <t>consumer discretionary</t>
        </is>
      </c>
      <c r="F311" s="31" t="inlineStr">
        <is>
          <t>trading</t>
        </is>
      </c>
      <c r="G311" s="31" t="inlineStr">
        <is>
          <t>smallcap</t>
        </is>
      </c>
      <c r="H311" s="32" t="n">
        <v>3030.61</v>
      </c>
      <c r="I311" s="32" t="n">
        <v>395.45</v>
      </c>
      <c r="J311" s="32" t="n">
        <v>-0.68</v>
      </c>
      <c r="K311" s="32" t="n">
        <v>1012868</v>
      </c>
      <c r="L311" s="31" t="n">
        <v>28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59.16</v>
      </c>
      <c r="P311" s="32" t="n">
        <v>15.33</v>
      </c>
      <c r="Q311" s="32" t="n">
        <v>288.43</v>
      </c>
      <c r="R311" s="31" t="inlineStr">
        <is>
          <t>Earnings / Momentum Support</t>
        </is>
      </c>
      <c r="S311" s="31" t="inlineStr">
        <is>
          <t>Nifty 50</t>
        </is>
      </c>
      <c r="T311" s="32" t="n">
        <v>-3.34</v>
      </c>
      <c r="U311" s="32" t="n">
        <v>14.13</v>
      </c>
      <c r="V311" s="32" t="n">
        <v>18.07</v>
      </c>
      <c r="W311" s="32" t="n">
        <v>7.16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More than 1.2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IF(B312=0,"",RANK(B312,$B$2:$B$326,0))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KIRLFER</t>
        </is>
      </c>
      <c r="D312" s="33" t="inlineStr">
        <is>
          <t>Kirloskar Ferrous Industries Ltd</t>
        </is>
      </c>
      <c r="E312" s="31" t="inlineStr">
        <is>
          <t>metals &amp; mining</t>
        </is>
      </c>
      <c r="F312" s="31" t="inlineStr">
        <is>
          <t>steel - large</t>
        </is>
      </c>
      <c r="G312" s="31" t="inlineStr">
        <is>
          <t>midcap</t>
        </is>
      </c>
      <c r="H312" s="32" t="n">
        <v>7421.36</v>
      </c>
      <c r="I312" s="32" t="n">
        <v>460</v>
      </c>
      <c r="J312" s="32" t="n">
        <v>2.27</v>
      </c>
      <c r="K312" s="32" t="n">
        <v>126379</v>
      </c>
      <c r="L312" s="31" t="n">
        <v>1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53.54</v>
      </c>
      <c r="P312" s="32" t="n">
        <v>11.81</v>
      </c>
      <c r="Q312" s="32" t="n">
        <v>387.64</v>
      </c>
      <c r="R312" s="31" t="inlineStr">
        <is>
          <t>Earnings / Momentum Support</t>
        </is>
      </c>
      <c r="S312" s="31" t="inlineStr">
        <is>
          <t>Nifty Metal</t>
        </is>
      </c>
      <c r="T312" s="32" t="n">
        <v>39.6</v>
      </c>
      <c r="U312" s="32" t="n">
        <v>-18.08</v>
      </c>
      <c r="V312" s="32" t="n">
        <v>-41.31</v>
      </c>
      <c r="W312" s="32" t="n">
        <v>-2.06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Cyclical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Volatile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1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Less than 1.5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IF(B313=0,"",RANK(B313,$B$2:$B$326,0))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3" t="inlineStr">
        <is>
          <t>20MICRONS</t>
        </is>
      </c>
      <c r="D313" s="33" t="inlineStr">
        <is>
          <t>20 Microns Limited</t>
        </is>
      </c>
      <c r="E313" s="31" t="inlineStr">
        <is>
          <t>metals &amp; mining</t>
        </is>
      </c>
      <c r="F313" s="31" t="inlineStr">
        <is>
          <t>mining / minerals / metals</t>
        </is>
      </c>
      <c r="G313" s="31" t="inlineStr">
        <is>
          <t>smallcap</t>
        </is>
      </c>
      <c r="H313" s="32" t="n">
        <v>751.6</v>
      </c>
      <c r="I313" s="32" t="n">
        <v>211.36</v>
      </c>
      <c r="J313" s="32" t="n">
        <v>-0.77</v>
      </c>
      <c r="K313" s="32" t="n">
        <v>90223</v>
      </c>
      <c r="L313" s="31" t="n">
        <v>5</v>
      </c>
      <c r="M313" s="31" t="inlineStr">
        <is>
          <t>Underperforming</t>
        </is>
      </c>
      <c r="N313" s="32">
        <f>IF(M313="Underperforming",-5,IF(L313&gt;=95,15,IF(L313&gt;=90,10,IF(L313&gt;=80,5,0))))</f>
        <v/>
      </c>
      <c r="O313" s="32" t="n">
        <v>58.44</v>
      </c>
      <c r="P313" s="32" t="n">
        <v>17.15</v>
      </c>
      <c r="Q313" s="32" t="n">
        <v>165.43</v>
      </c>
      <c r="R313" s="31" t="inlineStr">
        <is>
          <t>Earnings / Momentum Support</t>
        </is>
      </c>
      <c r="S313" s="31" t="inlineStr">
        <is>
          <t>Nifty Metal</t>
        </is>
      </c>
      <c r="T313" s="32" t="n">
        <v>39.6</v>
      </c>
      <c r="U313" s="32" t="n">
        <v>-20.82</v>
      </c>
      <c r="V313" s="32" t="n">
        <v>-43.28</v>
      </c>
      <c r="W313" s="32" t="n">
        <v>0.74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Cyclical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Less than 12%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IF(B314=0,"",RANK(B314,$B$2:$B$326,0))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3" t="inlineStr">
        <is>
          <t>JINDALSTEL</t>
        </is>
      </c>
      <c r="D314" s="33" t="inlineStr">
        <is>
          <t>Jindal Steel Ltd</t>
        </is>
      </c>
      <c r="E314" s="31" t="inlineStr">
        <is>
          <t>metals &amp; mining</t>
        </is>
      </c>
      <c r="F314" s="31" t="inlineStr">
        <is>
          <t>steel - large</t>
        </is>
      </c>
      <c r="G314" s="31" t="inlineStr">
        <is>
          <t>largecap</t>
        </is>
      </c>
      <c r="H314" s="32" t="n">
        <v>118330.22</v>
      </c>
      <c r="I314" s="32" t="n">
        <v>1159.4</v>
      </c>
      <c r="J314" s="32" t="n">
        <v>-0.05</v>
      </c>
      <c r="K314" s="32" t="n">
        <v>706262</v>
      </c>
      <c r="L314" s="31" t="n">
        <v>10</v>
      </c>
      <c r="M314" s="31" t="inlineStr">
        <is>
          <t>Underperforming</t>
        </is>
      </c>
      <c r="N314" s="32">
        <f>IF(M314="Underperforming",-5,IF(L314&gt;=95,15,IF(L314&gt;=90,10,IF(L314&gt;=80,5,0))))</f>
        <v/>
      </c>
      <c r="O314" s="32" t="n">
        <v>54.84</v>
      </c>
      <c r="P314" s="32" t="n">
        <v>14.64</v>
      </c>
      <c r="Q314" s="32" t="n">
        <v>995.9400000000001</v>
      </c>
      <c r="R314" s="31" t="inlineStr">
        <is>
          <t>Earnings / Momentum Support</t>
        </is>
      </c>
      <c r="S314" s="31" t="inlineStr">
        <is>
          <t>Nifty Metal</t>
        </is>
      </c>
      <c r="T314" s="32" t="n">
        <v>39.6</v>
      </c>
      <c r="U314" s="32" t="n">
        <v>16.36</v>
      </c>
      <c r="V314" s="32" t="n">
        <v>-16.65</v>
      </c>
      <c r="W314" s="32" t="n">
        <v>1.91</v>
      </c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Cyclical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Volatile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IF(B315=0,"",RANK(B315,$B$2:$B$326,0))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SMLMAH</t>
        </is>
      </c>
      <c r="D315" s="31" t="inlineStr">
        <is>
          <t>SML Mahindra Ltd</t>
        </is>
      </c>
      <c r="E315" s="31" t="inlineStr">
        <is>
          <t>auto</t>
        </is>
      </c>
      <c r="F315" s="31" t="inlineStr">
        <is>
          <t>automobiles - lcvs / hcvs</t>
        </is>
      </c>
      <c r="G315" s="31" t="inlineStr">
        <is>
          <t>midcap</t>
        </is>
      </c>
      <c r="H315" s="32" t="n">
        <v>7832.78</v>
      </c>
      <c r="I315" s="32" t="n">
        <v>5318.5</v>
      </c>
      <c r="J315" s="32" t="n">
        <v>-1.74</v>
      </c>
      <c r="K315" s="32" t="n">
        <v>157903</v>
      </c>
      <c r="L315" s="31" t="n">
        <v>60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62.9</v>
      </c>
      <c r="P315" s="32" t="n">
        <v>18.98</v>
      </c>
      <c r="Q315" s="32" t="n">
        <v>4133.84</v>
      </c>
      <c r="R315" s="31" t="inlineStr">
        <is>
          <t>Earnings / Momentum Support</t>
        </is>
      </c>
      <c r="S315" s="31" t="inlineStr">
        <is>
          <t>Nifty Auto</t>
        </is>
      </c>
      <c r="T315" s="32" t="n">
        <v>17.66</v>
      </c>
      <c r="U315" s="32" t="n">
        <v>40.81</v>
      </c>
      <c r="V315" s="32" t="n">
        <v>19.67</v>
      </c>
      <c r="W315" s="32" t="n">
        <v>16.89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Negative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Less than 12%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IF(B316=0,"",RANK(B316,$B$2:$B$326,0))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ARFIN</t>
        </is>
      </c>
      <c r="D316" s="31" t="inlineStr">
        <is>
          <t>Arfin India Ltd</t>
        </is>
      </c>
      <c r="E316" s="31" t="inlineStr">
        <is>
          <t>metals &amp; mining</t>
        </is>
      </c>
      <c r="F316" s="31" t="inlineStr">
        <is>
          <t>aluminium and aluminium products</t>
        </is>
      </c>
      <c r="G316" s="31" t="inlineStr">
        <is>
          <t>smallcap</t>
        </is>
      </c>
      <c r="H316" s="32" t="n">
        <v>1442.58</v>
      </c>
      <c r="I316" s="32" t="n">
        <v>87.87</v>
      </c>
      <c r="J316" s="32" t="n">
        <v>2.77</v>
      </c>
      <c r="K316" s="32" t="n">
        <v>1010679</v>
      </c>
      <c r="L316" s="31" t="n">
        <v>75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54.2</v>
      </c>
      <c r="P316" s="32" t="n">
        <v>23.85</v>
      </c>
      <c r="Q316" s="32" t="n">
        <v>76.18000000000001</v>
      </c>
      <c r="R316" s="31" t="inlineStr">
        <is>
          <t>Earnings / Momentum Support</t>
        </is>
      </c>
      <c r="S316" s="31" t="inlineStr">
        <is>
          <t>Nifty Metal</t>
        </is>
      </c>
      <c r="T316" s="32" t="n">
        <v>39.6</v>
      </c>
      <c r="U316" s="32" t="n">
        <v>162.33</v>
      </c>
      <c r="V316" s="32" t="n">
        <v>87.91</v>
      </c>
      <c r="W316" s="32" t="n">
        <v>22.43</v>
      </c>
      <c r="X316" s="31" t="inlineStr">
        <is>
          <t>Cyclical in an Upturn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Cyclical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Volatile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20 to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Negative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Yes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Between 0.7 to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IF(B317=0,"",RANK(B317,$B$2:$B$326,0))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3" t="inlineStr">
        <is>
          <t>HINDOILEXP</t>
        </is>
      </c>
      <c r="D317" s="33" t="inlineStr">
        <is>
          <t>Hindustan Oil Exploration Company Limited</t>
        </is>
      </c>
      <c r="E317" s="31" t="inlineStr">
        <is>
          <t>energy</t>
        </is>
      </c>
      <c r="F317" s="31" t="inlineStr">
        <is>
          <t>oil drilling / allied services</t>
        </is>
      </c>
      <c r="G317" s="31" t="inlineStr">
        <is>
          <t>smallcap</t>
        </is>
      </c>
      <c r="H317" s="32" t="n">
        <v>2234.91</v>
      </c>
      <c r="I317" s="32" t="n">
        <v>166.18</v>
      </c>
      <c r="J317" s="32" t="n">
        <v>-1.67</v>
      </c>
      <c r="K317" s="32" t="n">
        <v>551626</v>
      </c>
      <c r="L317" s="31" t="n">
        <v>13</v>
      </c>
      <c r="M317" s="31" t="inlineStr">
        <is>
          <t>Underperforming</t>
        </is>
      </c>
      <c r="N317" s="32">
        <f>IF(M317="Underperforming",-5,IF(L317&gt;=95,15,IF(L317&gt;=90,10,IF(L317&gt;=80,5,0))))</f>
        <v/>
      </c>
      <c r="O317" s="32" t="n">
        <v>55.74</v>
      </c>
      <c r="P317" s="32" t="n">
        <v>38.38</v>
      </c>
      <c r="Q317" s="32" t="n">
        <v>134.16</v>
      </c>
      <c r="R317" s="31" t="inlineStr">
        <is>
          <t>Earnings / Momentum Support</t>
        </is>
      </c>
      <c r="S317" s="31" t="inlineStr">
        <is>
          <t>Nifty Energy</t>
        </is>
      </c>
      <c r="T317" s="32" t="n">
        <v>7.88</v>
      </c>
      <c r="U317" s="32" t="n">
        <v>2.63</v>
      </c>
      <c r="V317" s="32" t="n">
        <v>-4.87</v>
      </c>
      <c r="W317" s="32" t="n">
        <v>2.98</v>
      </c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Oligopoly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Yes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Cyclical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Volatile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1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IF(B318=0,"",RANK(B318,$B$2:$B$326,0))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3" t="inlineStr">
        <is>
          <t>JSL</t>
        </is>
      </c>
      <c r="D318" s="33" t="inlineStr">
        <is>
          <t>Jindal Stainless Limited</t>
        </is>
      </c>
      <c r="E318" s="31" t="inlineStr">
        <is>
          <t>metals &amp; mining</t>
        </is>
      </c>
      <c r="F318" s="31" t="inlineStr">
        <is>
          <t>steel - large</t>
        </is>
      </c>
      <c r="G318" s="31" t="inlineStr">
        <is>
          <t>largecap</t>
        </is>
      </c>
      <c r="H318" s="32" t="n">
        <v>60512.4</v>
      </c>
      <c r="I318" s="32" t="n">
        <v>734.9</v>
      </c>
      <c r="J318" s="32" t="n">
        <v>0.12</v>
      </c>
      <c r="K318" s="32" t="n">
        <v>485040</v>
      </c>
      <c r="L318" s="31" t="n">
        <v>11</v>
      </c>
      <c r="M318" s="31" t="inlineStr">
        <is>
          <t>Underperforming</t>
        </is>
      </c>
      <c r="N318" s="32">
        <f>IF(M318="Underperforming",-5,IF(L318&gt;=95,15,IF(L318&gt;=90,10,IF(L318&gt;=80,5,0))))</f>
        <v/>
      </c>
      <c r="O318" s="32" t="n">
        <v>52.11</v>
      </c>
      <c r="P318" s="32" t="n">
        <v>11</v>
      </c>
      <c r="Q318" s="32" t="n">
        <v>608.7</v>
      </c>
      <c r="R318" s="31" t="inlineStr">
        <is>
          <t>Earnings / Momentum Support</t>
        </is>
      </c>
      <c r="S318" s="31" t="inlineStr">
        <is>
          <t>Nifty Metal</t>
        </is>
      </c>
      <c r="T318" s="32" t="n">
        <v>39.6</v>
      </c>
      <c r="U318" s="32" t="n">
        <v>12.92</v>
      </c>
      <c r="V318" s="32" t="n">
        <v>-19.11</v>
      </c>
      <c r="W318" s="32" t="n">
        <v>2.21</v>
      </c>
      <c r="X318" s="31" t="inlineStr">
        <is>
          <t>Cyclical in an Upturn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Cyclical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Volatile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1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IF(B319=0,"",RANK(B319,$B$2:$B$326,0))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BALAMINES</t>
        </is>
      </c>
      <c r="D319" s="31" t="inlineStr">
        <is>
          <t>Balaji Amines Limited</t>
        </is>
      </c>
      <c r="E319" s="31" t="inlineStr">
        <is>
          <t>chemicals</t>
        </is>
      </c>
      <c r="F319" s="31" t="inlineStr">
        <is>
          <t>chemicals</t>
        </is>
      </c>
      <c r="G319" s="31" t="inlineStr">
        <is>
          <t>midcap</t>
        </is>
      </c>
      <c r="H319" s="32" t="n">
        <v>7807.67</v>
      </c>
      <c r="I319" s="32" t="n">
        <v>2390.1</v>
      </c>
      <c r="J319" s="32" t="n">
        <v>-0.8100000000000001</v>
      </c>
      <c r="K319" s="32" t="n">
        <v>455466</v>
      </c>
      <c r="L319" s="31" t="n">
        <v>70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68.72</v>
      </c>
      <c r="P319" s="32" t="n">
        <v>58.4</v>
      </c>
      <c r="Q319" s="32" t="n">
        <v>1749.74</v>
      </c>
      <c r="R319" s="31" t="inlineStr">
        <is>
          <t>Near 52W High Breakout</t>
        </is>
      </c>
      <c r="S319" s="31" t="inlineStr">
        <is>
          <t>Nifty 50</t>
        </is>
      </c>
      <c r="T319" s="32" t="n">
        <v>-3.34</v>
      </c>
      <c r="U319" s="32" t="n">
        <v>61.5</v>
      </c>
      <c r="V319" s="32" t="n">
        <v>67.08</v>
      </c>
      <c r="W319" s="32" t="n">
        <v>19.84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Duopoly That Cooperate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Shallow Cyclical (2 to 3 Years Growth)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4</t>
        </is>
      </c>
      <c r="BC319" s="31">
        <f>IF(BB319="Stage 2",20,IF(BB319="Stage 1",0,IF(BB319="Stage 3",5,IF(BB319="Stage 4",-5,0))))</f>
        <v/>
      </c>
      <c r="BD319" s="31" t="inlineStr">
        <is>
          <t>Negative Trend</t>
        </is>
      </c>
      <c r="BE319" s="31">
        <f>IF(BD319="Positive Trend",20,IF(BD319="Negative Trend",-10,0))</f>
        <v/>
      </c>
      <c r="BF319" s="31" t="inlineStr">
        <is>
          <t>Downtrend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Overhead supply in last 2 years in last 2 years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No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Less than 1.5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IF(B320=0,"",RANK(B320,$B$2:$B$326,0))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GIPCL</t>
        </is>
      </c>
      <c r="D320" s="31" t="inlineStr">
        <is>
          <t>Gujarat Industries Power Company Limited</t>
        </is>
      </c>
      <c r="E320" s="31" t="inlineStr">
        <is>
          <t>power &amp; utilities</t>
        </is>
      </c>
      <c r="F320" s="31" t="inlineStr">
        <is>
          <t>power generation and supply</t>
        </is>
      </c>
      <c r="G320" s="31" t="inlineStr">
        <is>
          <t>smallcap</t>
        </is>
      </c>
      <c r="H320" s="32" t="n">
        <v>3085.69</v>
      </c>
      <c r="I320" s="32" t="n">
        <v>205.94</v>
      </c>
      <c r="J320" s="32" t="n">
        <v>3.59</v>
      </c>
      <c r="K320" s="32" t="n">
        <v>1526007</v>
      </c>
      <c r="L320" s="31" t="n">
        <v>29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72.37</v>
      </c>
      <c r="P320" s="32" t="n">
        <v>19.12</v>
      </c>
      <c r="Q320" s="32" t="n">
        <v>166.99</v>
      </c>
      <c r="R320" s="31" t="inlineStr">
        <is>
          <t>Near 52W High Breakout</t>
        </is>
      </c>
      <c r="S320" s="31" t="inlineStr">
        <is>
          <t>Nifty IT</t>
        </is>
      </c>
      <c r="T320" s="32" t="n">
        <v>-10.2</v>
      </c>
      <c r="U320" s="32" t="n">
        <v>8.19</v>
      </c>
      <c r="V320" s="32" t="n">
        <v>20.47</v>
      </c>
      <c r="W320" s="32" t="n">
        <v>7.32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Oligopoly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Shallow Cyclical (2 to 3 Years Growth)</t>
        </is>
      </c>
      <c r="AG320" s="31">
        <f>IF(AF320="Structural (10 Years Consistency)",10,IF(AF320="Shallow Cyclical (2 to 3 years growth)",5,0))</f>
        <v/>
      </c>
      <c r="AH320" s="31" t="inlineStr">
        <is>
          <t>Yes due to Product Mix change or Operating Leverage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Volatile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Allocated capital in Non-core Areas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Above 40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3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Sideways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Overhead supply in last 2 years in last 2 years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Less than 1.5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More than 15%</t>
        </is>
      </c>
      <c r="CC320" s="31">
        <f>IF(CB320="More than 15%",-10,IF(CB320="Less than 15%",10,0))</f>
        <v/>
      </c>
      <c r="CD320" s="31" t="inlineStr">
        <is>
          <t>Yes Upto 10%</t>
        </is>
      </c>
      <c r="CE320" s="31">
        <f>IF(CD320="Yes, more than 10%",-10,IF(CD320="No",10,0))</f>
        <v/>
      </c>
    </row>
    <row r="321">
      <c r="A321" s="31">
        <f>IF(B321=0,"",RANK(B321,$B$2:$B$326,0))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GUJALKALI</t>
        </is>
      </c>
      <c r="D321" s="31" t="inlineStr">
        <is>
          <t>Gujarat Alkalies And Chemicals Limited</t>
        </is>
      </c>
      <c r="E321" s="31" t="inlineStr">
        <is>
          <t>chemicals</t>
        </is>
      </c>
      <c r="F321" s="31" t="inlineStr">
        <is>
          <t>chemicals</t>
        </is>
      </c>
      <c r="G321" s="31" t="inlineStr">
        <is>
          <t>midcap</t>
        </is>
      </c>
      <c r="H321" s="32" t="n">
        <v>5238.26</v>
      </c>
      <c r="I321" s="32" t="n">
        <v>714.8</v>
      </c>
      <c r="J321" s="32" t="n">
        <v>0.21</v>
      </c>
      <c r="K321" s="32" t="n">
        <v>107798</v>
      </c>
      <c r="L321" s="31" t="n">
        <v>33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62.37</v>
      </c>
      <c r="P321" s="32" t="n">
        <v>28.4</v>
      </c>
      <c r="Q321" s="32" t="n">
        <v>542.66</v>
      </c>
      <c r="R321" s="31" t="inlineStr">
        <is>
          <t>Earnings / Momentum Support</t>
        </is>
      </c>
      <c r="S321" s="31" t="inlineStr">
        <is>
          <t>Nifty 50</t>
        </is>
      </c>
      <c r="T321" s="32" t="n">
        <v>-3.34</v>
      </c>
      <c r="U321" s="32" t="n">
        <v>24.81</v>
      </c>
      <c r="V321" s="32" t="n">
        <v>29.13</v>
      </c>
      <c r="W321" s="32" t="n">
        <v>8.279999999999999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Oligopoly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Shallow Cyclical (2 to 3 Years Growth)</t>
        </is>
      </c>
      <c r="AG321" s="31">
        <f>IF(AF321="Structural (10 Years Consistency)",10,IF(AF321="Shallow Cyclical (2 to 3 years growth)",5,0))</f>
        <v/>
      </c>
      <c r="AH321" s="31" t="inlineStr">
        <is>
          <t>Yes due to Product Mix change or Operating Leverage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Volatile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Allocated capital in Non-core Areas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Above 40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3</t>
        </is>
      </c>
      <c r="BC321" s="31">
        <f>IF(BB321="Stage 2",20,IF(BB321="Stage 1",0,IF(BB321="Stage 3",5,IF(BB321="Stage 4",-5,0))))</f>
        <v/>
      </c>
      <c r="BD321" s="31" t="inlineStr">
        <is>
          <t>Negative Trend</t>
        </is>
      </c>
      <c r="BE321" s="31">
        <f>IF(BD321="Positive Trend",20,IF(BD321="Negative Trend",-10,0))</f>
        <v/>
      </c>
      <c r="BF321" s="31" t="inlineStr">
        <is>
          <t>Sideways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Overhead supply in last 2 years in last 2 years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Less than 1.5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More than 15%</t>
        </is>
      </c>
      <c r="CC321" s="31">
        <f>IF(CB321="More than 15%",-10,IF(CB321="Less than 15%",10,0))</f>
        <v/>
      </c>
      <c r="CD321" s="31" t="inlineStr">
        <is>
          <t>Yes Upto 10%</t>
        </is>
      </c>
      <c r="CE321" s="31">
        <f>IF(CD321="Yes, more than 10%",-10,IF(CD321="No",10,0))</f>
        <v/>
      </c>
    </row>
    <row r="322">
      <c r="A322" s="31">
        <f>IF(B322=0,"",RANK(B322,$B$2:$B$326,0))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GNFC</t>
        </is>
      </c>
      <c r="D322" s="31" t="inlineStr">
        <is>
          <t>Gujarat Narmada Valley Fertilizers And Chemicals Limited</t>
        </is>
      </c>
      <c r="E322" s="31" t="inlineStr">
        <is>
          <t>chemicals</t>
        </is>
      </c>
      <c r="F322" s="31" t="inlineStr">
        <is>
          <t>chemicals</t>
        </is>
      </c>
      <c r="G322" s="31" t="inlineStr">
        <is>
          <t>midcap</t>
        </is>
      </c>
      <c r="H322" s="32" t="n">
        <v>8463.780000000001</v>
      </c>
      <c r="I322" s="32" t="n">
        <v>576.95</v>
      </c>
      <c r="J322" s="32" t="n">
        <v>0.16</v>
      </c>
      <c r="K322" s="32" t="n">
        <v>610680</v>
      </c>
      <c r="L322" s="31" t="n">
        <v>25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65.45</v>
      </c>
      <c r="P322" s="32" t="n">
        <v>36.64</v>
      </c>
      <c r="Q322" s="32" t="n">
        <v>476.85</v>
      </c>
      <c r="R322" s="31" t="inlineStr">
        <is>
          <t>Near 52W High Breakout</t>
        </is>
      </c>
      <c r="S322" s="31" t="inlineStr">
        <is>
          <t>Nifty 50</t>
        </is>
      </c>
      <c r="T322" s="32" t="n">
        <v>-3.34</v>
      </c>
      <c r="U322" s="32" t="n">
        <v>14.37</v>
      </c>
      <c r="V322" s="32" t="n">
        <v>18.33</v>
      </c>
      <c r="W322" s="32" t="n">
        <v>6.44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Oligopoly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Shallow Cyclical (2 to 3 Years Growth)</t>
        </is>
      </c>
      <c r="AG322" s="31">
        <f>IF(AF322="Structural (10 Years Consistency)",10,IF(AF322="Shallow Cyclical (2 to 3 years growth)",5,0))</f>
        <v/>
      </c>
      <c r="AH322" s="31" t="inlineStr">
        <is>
          <t>Yes due to Product Mix change or Operating Leverage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Volatile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Allocated capital in Non-core Areas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Above 40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3</t>
        </is>
      </c>
      <c r="BC322" s="31">
        <f>IF(BB322="Stage 2",20,IF(BB322="Stage 1",0,IF(BB322="Stage 3",5,IF(BB322="Stage 4",-5,0))))</f>
        <v/>
      </c>
      <c r="BD322" s="31" t="inlineStr">
        <is>
          <t>Negative Trend</t>
        </is>
      </c>
      <c r="BE322" s="31">
        <f>IF(BD322="Positive Trend",20,IF(BD322="Negative Trend",-10,0))</f>
        <v/>
      </c>
      <c r="BF322" s="31" t="inlineStr">
        <is>
          <t>Sideways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Overhead supply in last 2 years in last 2 years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Less than 1.5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More than 15%</t>
        </is>
      </c>
      <c r="CC322" s="31">
        <f>IF(CB322="More than 15%",-10,IF(CB322="Less than 15%",10,0))</f>
        <v/>
      </c>
      <c r="CD322" s="31" t="inlineStr">
        <is>
          <t>Yes Upto 10%</t>
        </is>
      </c>
      <c r="CE322" s="31">
        <f>IF(CD322="Yes, more than 10%",-10,IF(CD322="No",10,0))</f>
        <v/>
      </c>
    </row>
    <row r="323">
      <c r="A323" s="31">
        <f>IF(B323=0,"",RANK(B323,$B$2:$B$326,0))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FLUOROCHEM</t>
        </is>
      </c>
      <c r="D323" s="31" t="inlineStr">
        <is>
          <t>Gujarat Fluorochemicals Ltd</t>
        </is>
      </c>
      <c r="E323" s="31" t="inlineStr">
        <is>
          <t>chemicals</t>
        </is>
      </c>
      <c r="F323" s="31" t="inlineStr">
        <is>
          <t>chemicals</t>
        </is>
      </c>
      <c r="G323" s="31" t="inlineStr">
        <is>
          <t>largecap</t>
        </is>
      </c>
      <c r="H323" s="32" t="n">
        <v>52070</v>
      </c>
      <c r="I323" s="32" t="n">
        <v>4727.7</v>
      </c>
      <c r="J323" s="32" t="n">
        <v>-0.26</v>
      </c>
      <c r="K323" s="32" t="n">
        <v>116596</v>
      </c>
      <c r="L323" s="31" t="n">
        <v>52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69.03</v>
      </c>
      <c r="P323" s="32" t="n">
        <v>38.58</v>
      </c>
      <c r="Q323" s="32" t="n">
        <v>3960.29</v>
      </c>
      <c r="R323" s="31" t="inlineStr">
        <is>
          <t>Near 52W High Breakout</t>
        </is>
      </c>
      <c r="S323" s="31" t="inlineStr">
        <is>
          <t>Nifty 50</t>
        </is>
      </c>
      <c r="T323" s="32" t="n">
        <v>-3.34</v>
      </c>
      <c r="U323" s="32" t="n">
        <v>41.08</v>
      </c>
      <c r="V323" s="32" t="n">
        <v>45.96</v>
      </c>
      <c r="W323" s="32" t="n">
        <v>14.45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Oligopoly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Shallow Cyclical (2 to 3 Years Growth)</t>
        </is>
      </c>
      <c r="AG323" s="31">
        <f>IF(AF323="Structural (10 Years Consistency)",10,IF(AF323="Shallow Cyclical (2 to 3 years growth)",5,0))</f>
        <v/>
      </c>
      <c r="AH323" s="31" t="inlineStr">
        <is>
          <t>Yes due to Product Mix change or Operating Leverage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Volatile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Yes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Allocated capital in Non-core Areas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Above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3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Sideways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Overhead supply in last 2 years in last 2 years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Less than 1.5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More than 15%</t>
        </is>
      </c>
      <c r="CC323" s="31">
        <f>IF(CB323="More than 15%",-10,IF(CB323="Less than 15%",10,0))</f>
        <v/>
      </c>
      <c r="CD323" s="31" t="inlineStr">
        <is>
          <t>Yes Upto 10%</t>
        </is>
      </c>
      <c r="CE323" s="31">
        <f>IF(CD323="Yes, more than 10%",-10,IF(CD323="No",10,0))</f>
        <v/>
      </c>
    </row>
    <row r="324">
      <c r="A324" s="31">
        <f>IF(B324=0,"",RANK(B324,$B$2:$B$326,0))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GPPL</t>
        </is>
      </c>
      <c r="D324" s="31" t="inlineStr">
        <is>
          <t>Gujarat Pipavav Port Limited</t>
        </is>
      </c>
      <c r="E324" s="31" t="inlineStr">
        <is>
          <t>transportation</t>
        </is>
      </c>
      <c r="F324" s="31" t="inlineStr">
        <is>
          <t>miscellaneous</t>
        </is>
      </c>
      <c r="G324" s="31" t="inlineStr">
        <is>
          <t>midcap</t>
        </is>
      </c>
      <c r="H324" s="32" t="n">
        <v>8171.1</v>
      </c>
      <c r="I324" s="32" t="n">
        <v>164.44</v>
      </c>
      <c r="J324" s="32" t="n">
        <v>-2.71</v>
      </c>
      <c r="K324" s="32" t="n">
        <v>2172344</v>
      </c>
      <c r="L324" s="31" t="n">
        <v>21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62.37</v>
      </c>
      <c r="P324" s="32" t="n">
        <v>9.74</v>
      </c>
      <c r="Q324" s="32" t="n">
        <v>138.91</v>
      </c>
      <c r="R324" s="31" t="inlineStr">
        <is>
          <t>Earnings / Momentum Support</t>
        </is>
      </c>
      <c r="S324" s="31" t="inlineStr">
        <is>
          <t>Nifty 50</t>
        </is>
      </c>
      <c r="T324" s="32" t="n">
        <v>-3.34</v>
      </c>
      <c r="U324" s="32" t="n">
        <v>15.74</v>
      </c>
      <c r="V324" s="32" t="n">
        <v>19.74</v>
      </c>
      <c r="W324" s="32" t="n">
        <v>5.4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Oligopoly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Shallow Cyclical (2 to 3 Years Growth)</t>
        </is>
      </c>
      <c r="AG324" s="31">
        <f>IF(AF324="Structural (10 Years Consistency)",10,IF(AF324="Shallow Cyclical (2 to 3 years growth)",5,0))</f>
        <v/>
      </c>
      <c r="AH324" s="31" t="inlineStr">
        <is>
          <t>Yes due to Product Mix change or Operating Leverage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Volatile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Yes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Allocated capital in Non-core Areas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Above 40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3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Sideways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Overhead supply in last 2 years in last 2 years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Less than 1.5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More than 15%</t>
        </is>
      </c>
      <c r="CC324" s="31">
        <f>IF(CB324="More than 15%",-10,IF(CB324="Less than 15%",10,0))</f>
        <v/>
      </c>
      <c r="CD324" s="31" t="inlineStr">
        <is>
          <t>Yes Upto 10%</t>
        </is>
      </c>
      <c r="CE324" s="31">
        <f>IF(CD324="Yes, more than 10%",-10,IF(CD324="No",10,0))</f>
        <v/>
      </c>
    </row>
    <row r="325">
      <c r="A325" s="31">
        <f>IF(B325=0,"",RANK(B325,$B$2:$B$326,0))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POLICYBZR</t>
        </is>
      </c>
      <c r="D325" s="31" t="inlineStr">
        <is>
          <t>PB Fintech Ltd</t>
        </is>
      </c>
      <c r="E325" s="31" t="inlineStr">
        <is>
          <t>i.t</t>
        </is>
      </c>
      <c r="F325" s="31" t="inlineStr">
        <is>
          <t>miscellaneous</t>
        </is>
      </c>
      <c r="G325" s="31" t="inlineStr">
        <is>
          <t>largecap</t>
        </is>
      </c>
      <c r="H325" s="32" t="n">
        <v>84636.14999999999</v>
      </c>
      <c r="I325" s="32" t="n">
        <v>1851.9</v>
      </c>
      <c r="J325" s="32" t="n">
        <v>1.24</v>
      </c>
      <c r="K325" s="32" t="n">
        <v>610594</v>
      </c>
      <c r="L325" s="31" t="n">
        <v>21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64.48</v>
      </c>
      <c r="P325" s="32" t="n">
        <v>10.4</v>
      </c>
      <c r="Q325" s="32" t="n">
        <v>1520.6</v>
      </c>
      <c r="R325" s="31" t="inlineStr">
        <is>
          <t>Near 52W High Breakout</t>
        </is>
      </c>
      <c r="S325" s="31" t="inlineStr">
        <is>
          <t>Nifty IT</t>
        </is>
      </c>
      <c r="T325" s="32" t="n">
        <v>-10.2</v>
      </c>
      <c r="U325" s="32" t="n">
        <v>1.61</v>
      </c>
      <c r="V325" s="32" t="n">
        <v>13.16</v>
      </c>
      <c r="W325" s="32" t="n">
        <v>5.63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Monopoly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Yes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Volatile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B2C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Fully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Allocated capital in Non-core Areas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20 to 40</t>
        </is>
      </c>
      <c r="AY325" s="31">
        <f>IF(AX325="Above 40",20,IF(AX325="20 to 40",10,IF(AX325="0 to 20",-5,0)))</f>
        <v/>
      </c>
      <c r="AZ325" s="31" t="inlineStr">
        <is>
          <t>Below 45</t>
        </is>
      </c>
      <c r="BA325" s="31">
        <f>IF(AZ325="Between 50 to 75",10,IF(AZ325="Above 75",0,0))</f>
        <v/>
      </c>
      <c r="BB325" s="31" t="inlineStr">
        <is>
          <t>Stage 1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Downtrend</t>
        </is>
      </c>
      <c r="BG325" s="31">
        <f>IF(BF325="Uptrend",10,IF(BF325="Sideways",5,0))</f>
        <v/>
      </c>
      <c r="BH325" s="31" t="inlineStr">
        <is>
          <t>Downtrend</t>
        </is>
      </c>
      <c r="BI325" s="31">
        <f>IF(BH325="Uptrend",10,IF(BH325="Sideways",5,0))</f>
        <v/>
      </c>
      <c r="BJ325" s="31" t="inlineStr">
        <is>
          <t>Overhead supply in last 2 years in last 2 years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Yes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IF(B326=0,"",RANK(B326,$B$2:$B$326,0))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GUJTHEM</t>
        </is>
      </c>
      <c r="D326" s="33" t="inlineStr">
        <is>
          <t>Gujarat Themis Biosyn Ltd</t>
        </is>
      </c>
      <c r="E326" s="31" t="inlineStr">
        <is>
          <t>healthcare</t>
        </is>
      </c>
      <c r="F326" s="31" t="inlineStr">
        <is>
          <t>pharmaceuticals - indian - bulk drugs</t>
        </is>
      </c>
      <c r="G326" s="31" t="inlineStr">
        <is>
          <t>smallcap</t>
        </is>
      </c>
      <c r="H326" s="32" t="n">
        <v>4576</v>
      </c>
      <c r="I326" s="32" t="n">
        <v>413.05</v>
      </c>
      <c r="J326" s="32" t="n">
        <v>-1.64</v>
      </c>
      <c r="K326" s="32" t="n">
        <v>1719974</v>
      </c>
      <c r="L326" s="31" t="n">
        <v>13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61.43</v>
      </c>
      <c r="P326" s="32" t="n">
        <v>23.84</v>
      </c>
      <c r="Q326" s="32" t="n">
        <v>301.42</v>
      </c>
      <c r="R326" s="31" t="inlineStr">
        <is>
          <t>Volume Spike / Accumulation</t>
        </is>
      </c>
      <c r="S326" s="31" t="inlineStr">
        <is>
          <t>Nifty Pharma</t>
        </is>
      </c>
      <c r="T326" s="32" t="n">
        <v>22.15</v>
      </c>
      <c r="U326" s="32" t="n">
        <v>7.48</v>
      </c>
      <c r="V326" s="32" t="n">
        <v>-12.01</v>
      </c>
      <c r="W326" s="32" t="n">
        <v>3.15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Oligopoly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Shallow Cyclical (2 to 3 Years Growth)</t>
        </is>
      </c>
      <c r="AG326" s="31">
        <f>IF(AF326="Structural (10 Years Consistency)",10,IF(AF326="Shallow Cyclical (2 to 3 years growth)",5,0))</f>
        <v/>
      </c>
      <c r="AH326" s="31" t="inlineStr">
        <is>
          <t>Yes due to Product Mix change or Operating Leverage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Volatile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Allocated capital in Non-core Areas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Above 40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3</t>
        </is>
      </c>
      <c r="BC326" s="31">
        <f>IF(BB326="Stage 2",20,IF(BB326="Stage 1",0,IF(BB326="Stage 3",5,IF(BB326="Stage 4",-5,0))))</f>
        <v/>
      </c>
      <c r="BD326" s="31" t="inlineStr">
        <is>
          <t>Negative Trend</t>
        </is>
      </c>
      <c r="BE326" s="31">
        <f>IF(BD326="Positive Trend",20,IF(BD326="Negative Trend",-10,0))</f>
        <v/>
      </c>
      <c r="BF326" s="31" t="inlineStr">
        <is>
          <t>Sideways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Overhead supply in last 2 years in last 2 years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Less than 1.5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More than 15%</t>
        </is>
      </c>
      <c r="CC326" s="31">
        <f>IF(CB326="More than 15%",-10,IF(CB326="Less than 15%",10,0))</f>
        <v/>
      </c>
      <c r="CD326" s="31" t="inlineStr">
        <is>
          <t>Yes Upto 10%</t>
        </is>
      </c>
      <c r="CE326" s="31">
        <f>IF(CD326="Yes, more than 10%",-10,IF(CD326="No",10,0))</f>
        <v/>
      </c>
    </row>
  </sheetData>
  <autoFilter ref="A1:CE326"/>
  <conditionalFormatting sqref="B2:B32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2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2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2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2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2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2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2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2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2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2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2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2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2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2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2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2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2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2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26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26">
    <cfRule type="cellIs" priority="36" operator="equal" dxfId="3" stopIfTrue="1">
      <formula>"Underperforming"</formula>
    </cfRule>
  </conditionalFormatting>
  <conditionalFormatting sqref="N2:N326">
    <cfRule type="cellIs" priority="37" operator="equal" dxfId="3" stopIfTrue="1">
      <formula>-5</formula>
    </cfRule>
  </conditionalFormatting>
  <conditionalFormatting sqref="Q2:Q326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26" showDropDown="0" showInputMessage="0" showErrorMessage="0" allowBlank="1" type="list">
      <formula1>"Growing Industry,Stagnant Industry,Cyclical in an Upturn"</formula1>
    </dataValidation>
    <dataValidation sqref="Z2:Z32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26" showDropDown="0" showInputMessage="0" showErrorMessage="0" allowBlank="1" type="list">
      <formula1>"Yes,No"</formula1>
    </dataValidation>
    <dataValidation sqref="AD2:AD326" showDropDown="0" showInputMessage="0" showErrorMessage="0" allowBlank="1" type="list">
      <formula1>"Tailwind,Headwind"</formula1>
    </dataValidation>
    <dataValidation sqref="AF2:AF326" showDropDown="0" showInputMessage="0" showErrorMessage="0" allowBlank="1" type="list">
      <formula1>"Structural (10 Years Consistency),Shallow Cyclical (2 to 3 Years Growth),Cyclical"</formula1>
    </dataValidation>
    <dataValidation sqref="AH2:AH326" showDropDown="0" showInputMessage="0" showErrorMessage="0" allowBlank="1" type="list">
      <formula1>"Yes due to Product Mix change or Operating Leverage,Yes, these are peak margins,No"</formula1>
    </dataValidation>
    <dataValidation sqref="AJ2:AJ326" showDropDown="0" showInputMessage="0" showErrorMessage="0" allowBlank="1" type="list">
      <formula1>"Stable,Volatile"</formula1>
    </dataValidation>
    <dataValidation sqref="AL2:AL326" showDropDown="0" showInputMessage="0" showErrorMessage="0" allowBlank="1" type="list">
      <formula1>"Yes,No"</formula1>
    </dataValidation>
    <dataValidation sqref="AN2:AN326" showDropDown="0" showInputMessage="0" showErrorMessage="0" allowBlank="1" type="list">
      <formula1>"B2C,B2B,B2G"</formula1>
    </dataValidation>
    <dataValidation sqref="AP2:AP326" showDropDown="0" showInputMessage="0" showErrorMessage="0" allowBlank="1" type="list">
      <formula1>"Yes,No"</formula1>
    </dataValidation>
    <dataValidation sqref="AR2:AR326" showDropDown="0" showInputMessage="0" showErrorMessage="0" allowBlank="1" type="list">
      <formula1>"Fully Annuity,Higher Annuity, Lower One time,Higher One Time, Lower Annuity,Fully One Time"</formula1>
    </dataValidation>
    <dataValidation sqref="AT2:AT326" showDropDown="0" showInputMessage="0" showErrorMessage="0" allowBlank="1" type="list">
      <formula1>"Good,Allocated capital in Non-core Areas"</formula1>
    </dataValidation>
    <dataValidation sqref="AV2:AV326" showDropDown="0" showInputMessage="0" showErrorMessage="0" allowBlank="1" type="list">
      <formula1>"Yes for more than 2 years,Yes only for next 1 to 2 years,No"</formula1>
    </dataValidation>
    <dataValidation sqref="AX2:AX326" showDropDown="0" showInputMessage="0" showErrorMessage="0" allowBlank="1" type="list">
      <formula1>"Above 40,20 to 40,0 to 20"</formula1>
    </dataValidation>
    <dataValidation sqref="AZ2:AZ326" showDropDown="0" showInputMessage="0" showErrorMessage="0" allowBlank="1" type="list">
      <formula1>"Between 50 to 75,Above 75,Below 45"</formula1>
    </dataValidation>
    <dataValidation sqref="BB2:BB326" showDropDown="0" showInputMessage="0" showErrorMessage="0" allowBlank="1" type="list">
      <formula1>"Stage 1,Stage 2,Stage 3,Stage 4"</formula1>
    </dataValidation>
    <dataValidation sqref="BD2:BD326" showDropDown="0" showInputMessage="0" showErrorMessage="0" allowBlank="1" type="list">
      <formula1>"Positive Trend,Negative Trend"</formula1>
    </dataValidation>
    <dataValidation sqref="BF2:BF326" showDropDown="0" showInputMessage="0" showErrorMessage="0" allowBlank="1" type="list">
      <formula1>"Uptrend,Sideways,Downtrend"</formula1>
    </dataValidation>
    <dataValidation sqref="BH2:BH326" showDropDown="0" showInputMessage="0" showErrorMessage="0" allowBlank="1" type="list">
      <formula1>"Uptrend,Sideways,Downtrend"</formula1>
    </dataValidation>
    <dataValidation sqref="BJ2:BJ32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26" showDropDown="0" showInputMessage="0" showErrorMessage="0" allowBlank="1" type="list">
      <formula1>"Yes,No"</formula1>
    </dataValidation>
    <dataValidation sqref="BN2:BN326" showDropDown="0" showInputMessage="0" showErrorMessage="0" allowBlank="1" type="list">
      <formula1>"More than 20%,Between 12 to 20%,Less than 12%"</formula1>
    </dataValidation>
    <dataValidation sqref="BP2:BP326" showDropDown="0" showInputMessage="0" showErrorMessage="0" allowBlank="1" type="list">
      <formula1>"Yes,No"</formula1>
    </dataValidation>
    <dataValidation sqref="BR2:BR326" showDropDown="0" showInputMessage="0" showErrorMessage="0" allowBlank="1" type="list">
      <formula1>"Yes,No"</formula1>
    </dataValidation>
    <dataValidation sqref="BT2:BT326" showDropDown="0" showInputMessage="0" showErrorMessage="0" allowBlank="1" type="list">
      <formula1>"Above 2,Between 1.5 to 2,Less than 1.5"</formula1>
    </dataValidation>
    <dataValidation sqref="BV2:BV326" showDropDown="0" showInputMessage="0" showErrorMessage="0" allowBlank="1" type="list">
      <formula1>"Above 70%,Between 50% to 70%,Less than 50%,Less than 50% and Borrowings are increasing,Negative"</formula1>
    </dataValidation>
    <dataValidation sqref="BX2:BX326" showDropDown="0" showInputMessage="0" showErrorMessage="0" allowBlank="1" type="list">
      <formula1>"More than 1.2,Between 0.7 to 1.2,Less than 0.7"</formula1>
    </dataValidation>
    <dataValidation sqref="BZ2:BZ326" showDropDown="0" showInputMessage="0" showErrorMessage="0" allowBlank="1" type="list">
      <formula1>"Yes,No"</formula1>
    </dataValidation>
    <dataValidation sqref="CB2:CB326" showDropDown="0" showInputMessage="0" showErrorMessage="0" allowBlank="1" type="list">
      <formula1>"More than 15%,Less than 15%"</formula1>
    </dataValidation>
    <dataValidation sqref="CD2:CD32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IF(B2=0,"",RANK(B2,$B$2:$B$32,0))</f>
        <v/>
      </c>
      <c r="B2" s="32">
        <f>SUM(N2,Y2,AA2,AC2,AE2,AG2,AI2,AK2,AM2,AO2,AQ2,AS2,AU2,AW2,AY2,BA2,BC2,BE2,BG2,BI2,BK2,BM2,BO2,BQ2,BS2,BU2,BW2,BY2,CA2)</f>
        <v/>
      </c>
      <c r="C2" s="31" t="inlineStr">
        <is>
          <t>TMB</t>
        </is>
      </c>
      <c r="D2" s="31" t="inlineStr">
        <is>
          <t>Tamilnad Mercantile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14379.9</v>
      </c>
      <c r="I2" s="32" t="n">
        <v>906.6</v>
      </c>
      <c r="J2" s="32" t="n">
        <v>-0.17</v>
      </c>
      <c r="K2" s="32" t="n">
        <v>123515</v>
      </c>
      <c r="L2" s="31" t="n">
        <v>74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73.01000000000001</v>
      </c>
      <c r="P2" s="32" t="n">
        <v>42.59</v>
      </c>
      <c r="Q2" s="32" t="n">
        <v>736.09</v>
      </c>
      <c r="R2" s="31" t="inlineStr">
        <is>
          <t>Near 52W High Breakout</t>
        </is>
      </c>
      <c r="S2" s="31" t="inlineStr">
        <is>
          <t>Nifty Bank</t>
        </is>
      </c>
      <c r="T2" s="32" t="n">
        <v>5.65</v>
      </c>
      <c r="U2" s="32" t="n">
        <v>117.44</v>
      </c>
      <c r="V2" s="32" t="n">
        <v>105.81</v>
      </c>
      <c r="W2" s="32" t="n">
        <v>21.9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IF(B3=0,"",RANK(B3,$B$2:$B$32,0))</f>
        <v/>
      </c>
      <c r="B3" s="32">
        <f>SUM(N3,Y3,AA3,AC3,AE3,AG3,AI3,AK3,AM3,AO3,AQ3,AS3,AU3,AW3,AY3,BA3,BC3,BE3,BG3,BI3,BK3,BM3,BO3,BQ3,BS3,BU3,BW3,BY3,CA3)</f>
        <v/>
      </c>
      <c r="C3" s="31" t="inlineStr">
        <is>
          <t>RBLBANK</t>
        </is>
      </c>
      <c r="D3" s="31" t="inlineStr">
        <is>
          <t>Rbl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largecap</t>
        </is>
      </c>
      <c r="H3" s="32" t="n">
        <v>58922.63</v>
      </c>
      <c r="I3" s="32" t="n">
        <v>389.4</v>
      </c>
      <c r="J3" s="32" t="n">
        <v>2.34</v>
      </c>
      <c r="K3" s="32" t="n">
        <v>4297189</v>
      </c>
      <c r="L3" s="31" t="n">
        <v>39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62.9</v>
      </c>
      <c r="P3" s="32" t="n">
        <v>34.4</v>
      </c>
      <c r="Q3" s="32" t="n">
        <v>334.08</v>
      </c>
      <c r="R3" s="31" t="inlineStr">
        <is>
          <t>Near 52W High Breakout</t>
        </is>
      </c>
      <c r="S3" s="31" t="inlineStr">
        <is>
          <t>Nifty Bank</t>
        </is>
      </c>
      <c r="T3" s="32" t="n">
        <v>5.65</v>
      </c>
      <c r="U3" s="32" t="n">
        <v>41.97</v>
      </c>
      <c r="V3" s="32" t="n">
        <v>34.37</v>
      </c>
      <c r="W3" s="32" t="n">
        <v>9.69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IF(B4=0,"",RANK(B4,$B$2:$B$32,0))</f>
        <v/>
      </c>
      <c r="B4" s="32">
        <f>SUM(N4,Y4,AA4,AC4,AE4,AG4,AI4,AK4,AM4,AO4,AQ4,AS4,AU4,AW4,AY4,BA4,BC4,BE4,BG4,BI4,BK4,BM4,BO4,BQ4,BS4,BU4,BW4,BY4,CA4)</f>
        <v/>
      </c>
      <c r="C4" s="31" t="inlineStr">
        <is>
          <t>FEDFINA</t>
        </is>
      </c>
      <c r="D4" s="31" t="inlineStr">
        <is>
          <t>Fedbank Financial Services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midcap</t>
        </is>
      </c>
      <c r="H4" s="32" t="n">
        <v>5856.41</v>
      </c>
      <c r="I4" s="32" t="n">
        <v>157.57</v>
      </c>
      <c r="J4" s="32" t="n">
        <v>0.87</v>
      </c>
      <c r="K4" s="32" t="n">
        <v>704394</v>
      </c>
      <c r="L4" s="31" t="n">
        <v>14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56.57</v>
      </c>
      <c r="P4" s="32" t="n">
        <v>27.37</v>
      </c>
      <c r="Q4" s="32" t="n">
        <v>126.39</v>
      </c>
      <c r="R4" s="31" t="inlineStr">
        <is>
          <t>Near 52W High Breakout</t>
        </is>
      </c>
      <c r="S4" s="31" t="inlineStr">
        <is>
          <t>Nifty Bank</t>
        </is>
      </c>
      <c r="T4" s="32" t="n">
        <v>5.65</v>
      </c>
      <c r="U4" s="32" t="n">
        <v>15.53</v>
      </c>
      <c r="V4" s="32" t="n">
        <v>9.35</v>
      </c>
      <c r="W4" s="32" t="n">
        <v>3.33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IF(B5=0,"",RANK(B5,$B$2:$B$32,0))</f>
        <v/>
      </c>
      <c r="B5" s="32">
        <f>SUM(N5,Y5,AA5,AC5,AE5,AG5,AI5,AK5,AM5,AO5,AQ5,AS5,AU5,AW5,AY5,BA5,BC5,BE5,BG5,BI5,BK5,BM5,BO5,BQ5,BS5,BU5,BW5,BY5,CA5)</f>
        <v/>
      </c>
      <c r="C5" s="31" t="inlineStr">
        <is>
          <t>KTKBANK</t>
        </is>
      </c>
      <c r="D5" s="31" t="inlineStr">
        <is>
          <t>The Karnataka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12514.75</v>
      </c>
      <c r="I5" s="32" t="n">
        <v>330.35</v>
      </c>
      <c r="J5" s="32" t="n">
        <v>-0.17</v>
      </c>
      <c r="K5" s="32" t="n">
        <v>2245525</v>
      </c>
      <c r="L5" s="31" t="n">
        <v>70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78.58</v>
      </c>
      <c r="P5" s="32" t="n">
        <v>48.69</v>
      </c>
      <c r="Q5" s="32" t="n">
        <v>272.29</v>
      </c>
      <c r="R5" s="31" t="inlineStr">
        <is>
          <t>Near 52W High Breakout</t>
        </is>
      </c>
      <c r="S5" s="31" t="inlineStr">
        <is>
          <t>Nifty Bank</t>
        </is>
      </c>
      <c r="T5" s="32" t="n">
        <v>5.65</v>
      </c>
      <c r="U5" s="32" t="n">
        <v>95.06</v>
      </c>
      <c r="V5" s="32" t="n">
        <v>84.63</v>
      </c>
      <c r="W5" s="32" t="n">
        <v>20.1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IF(B6=0,"",RANK(B6,$B$2:$B$32,0))</f>
        <v/>
      </c>
      <c r="B6" s="32">
        <f>SUM(N6,Y6,AA6,AC6,AE6,AG6,AI6,AK6,AM6,AO6,AQ6,AS6,AU6,AW6,AY6,BA6,BC6,BE6,BG6,BI6,BK6,BM6,BO6,BQ6,BS6,BU6,BW6,BY6,CA6)</f>
        <v/>
      </c>
      <c r="C6" s="31" t="inlineStr">
        <is>
          <t>KARURVYSYA</t>
        </is>
      </c>
      <c r="D6" s="31" t="inlineStr">
        <is>
          <t>Karur Vysya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33601.41</v>
      </c>
      <c r="I6" s="32" t="n">
        <v>346.6</v>
      </c>
      <c r="J6" s="32" t="n">
        <v>-0.29</v>
      </c>
      <c r="K6" s="32" t="n">
        <v>1317009</v>
      </c>
      <c r="L6" s="31" t="n">
        <v>61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68.86</v>
      </c>
      <c r="P6" s="32" t="n">
        <v>26.57</v>
      </c>
      <c r="Q6" s="32" t="n">
        <v>290.37</v>
      </c>
      <c r="R6" s="31" t="inlineStr">
        <is>
          <t>Near 52W High Breakout</t>
        </is>
      </c>
      <c r="S6" s="31" t="inlineStr">
        <is>
          <t>Nifty Bank</t>
        </is>
      </c>
      <c r="T6" s="32" t="n">
        <v>5.65</v>
      </c>
      <c r="U6" s="32" t="n">
        <v>69.48</v>
      </c>
      <c r="V6" s="32" t="n">
        <v>60.42</v>
      </c>
      <c r="W6" s="32" t="n">
        <v>17.16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IF(B7=0,"",RANK(B7,$B$2:$B$32,0))</f>
        <v/>
      </c>
      <c r="B7" s="32">
        <f>SUM(N7,Y7,AA7,AC7,AE7,AG7,AI7,AK7,AM7,AO7,AQ7,AS7,AU7,AW7,AY7,BA7,BC7,BE7,BG7,BI7,BK7,BM7,BO7,BQ7,BS7,BU7,BW7,BY7,CA7)</f>
        <v/>
      </c>
      <c r="C7" s="31" t="inlineStr">
        <is>
          <t>DCBBANK</t>
        </is>
      </c>
      <c r="D7" s="31" t="inlineStr">
        <is>
          <t>Dcb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midcap</t>
        </is>
      </c>
      <c r="H7" s="32" t="n">
        <v>7227.1</v>
      </c>
      <c r="I7" s="32" t="n">
        <v>222.34</v>
      </c>
      <c r="J7" s="32" t="n">
        <v>-0.91</v>
      </c>
      <c r="K7" s="32" t="n">
        <v>2487065</v>
      </c>
      <c r="L7" s="31" t="n">
        <v>67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71.98</v>
      </c>
      <c r="P7" s="32" t="n">
        <v>28.98</v>
      </c>
      <c r="Q7" s="32" t="n">
        <v>180.52</v>
      </c>
      <c r="R7" s="31" t="inlineStr">
        <is>
          <t>Near 52W High Breakout</t>
        </is>
      </c>
      <c r="S7" s="31" t="inlineStr">
        <is>
          <t>Nifty Bank</t>
        </is>
      </c>
      <c r="T7" s="32" t="n">
        <v>5.65</v>
      </c>
      <c r="U7" s="32" t="n">
        <v>79.70999999999999</v>
      </c>
      <c r="V7" s="32" t="n">
        <v>70.09999999999999</v>
      </c>
      <c r="W7" s="32" t="n">
        <v>19.15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IF(B8=0,"",RANK(B8,$B$2:$B$32,0))</f>
        <v/>
      </c>
      <c r="B8" s="32">
        <f>SUM(N8,Y8,AA8,AC8,AE8,AG8,AI8,AK8,AM8,AO8,AQ8,AS8,AU8,AW8,AY8,BA8,BC8,BE8,BG8,BI8,BK8,BM8,BO8,BQ8,BS8,BU8,BW8,BY8,CA8)</f>
        <v/>
      </c>
      <c r="C8" s="31" t="inlineStr">
        <is>
          <t>CUB</t>
        </is>
      </c>
      <c r="D8" s="31" t="inlineStr">
        <is>
          <t>City Union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largecap</t>
        </is>
      </c>
      <c r="H8" s="32" t="n">
        <v>23282.51</v>
      </c>
      <c r="I8" s="32" t="n">
        <v>230.61</v>
      </c>
      <c r="J8" s="32" t="n">
        <v>-1.86</v>
      </c>
      <c r="K8" s="32" t="n">
        <v>2227407</v>
      </c>
      <c r="L8" s="31" t="n">
        <v>56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63.47</v>
      </c>
      <c r="P8" s="32" t="n">
        <v>35.92</v>
      </c>
      <c r="Q8" s="32" t="n">
        <v>179.01</v>
      </c>
      <c r="R8" s="31" t="inlineStr">
        <is>
          <t>Near 52W High Breakout</t>
        </is>
      </c>
      <c r="S8" s="31" t="inlineStr">
        <is>
          <t>Nifty Bank</t>
        </is>
      </c>
      <c r="T8" s="32" t="n">
        <v>5.65</v>
      </c>
      <c r="U8" s="32" t="n">
        <v>55.13</v>
      </c>
      <c r="V8" s="32" t="n">
        <v>46.83</v>
      </c>
      <c r="W8" s="32" t="n">
        <v>15.84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IF(B9=0,"",RANK(B9,$B$2:$B$32,0))</f>
        <v/>
      </c>
      <c r="B9" s="32">
        <f>SUM(N9,Y9,AA9,AC9,AE9,AG9,AI9,AK9,AM9,AO9,AQ9,AS9,AU9,AW9,AY9,BA9,BC9,BE9,BG9,BI9,BK9,BM9,BO9,BQ9,BS9,BU9,BW9,BY9,CA9)</f>
        <v/>
      </c>
      <c r="C9" s="31" t="inlineStr">
        <is>
          <t>WELINV</t>
        </is>
      </c>
      <c r="D9" s="31" t="inlineStr">
        <is>
          <t>Welspun Investments And Commercials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793.0599999999999</v>
      </c>
      <c r="I9" s="32" t="n">
        <v>2145.1</v>
      </c>
      <c r="J9" s="32" t="n">
        <v>-1.15</v>
      </c>
      <c r="K9" s="32" t="n">
        <v>459</v>
      </c>
      <c r="L9" s="31" t="n">
        <v>72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73</v>
      </c>
      <c r="P9" s="32" t="n">
        <v>55.63</v>
      </c>
      <c r="Q9" s="32" t="n">
        <v>1733.61</v>
      </c>
      <c r="R9" s="31" t="inlineStr">
        <is>
          <t>Earnings / Momentum Support</t>
        </is>
      </c>
      <c r="S9" s="31" t="inlineStr">
        <is>
          <t>Nifty Bank</t>
        </is>
      </c>
      <c r="T9" s="32" t="n">
        <v>5.65</v>
      </c>
      <c r="U9" s="32" t="n">
        <v>104.3</v>
      </c>
      <c r="V9" s="32" t="n">
        <v>93.37</v>
      </c>
      <c r="W9" s="32" t="n">
        <v>20.54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Above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IF(B10=0,"",RANK(B10,$B$2:$B$32,0))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CGCL</t>
        </is>
      </c>
      <c r="D10" s="31" t="inlineStr">
        <is>
          <t>Capri Global Capital Limited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largecap</t>
        </is>
      </c>
      <c r="H10" s="32" t="n">
        <v>24140.44</v>
      </c>
      <c r="I10" s="32" t="n">
        <v>256.6</v>
      </c>
      <c r="J10" s="32" t="n">
        <v>2.27</v>
      </c>
      <c r="K10" s="32" t="n">
        <v>3713359</v>
      </c>
      <c r="L10" s="31" t="n">
        <v>50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68.42</v>
      </c>
      <c r="P10" s="32" t="n">
        <v>38.91</v>
      </c>
      <c r="Q10" s="32" t="n">
        <v>203.54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5.65</v>
      </c>
      <c r="U10" s="32" t="n">
        <v>39.24</v>
      </c>
      <c r="V10" s="32" t="n">
        <v>31.8</v>
      </c>
      <c r="W10" s="32" t="n">
        <v>13.34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IF(B11=0,"",RANK(B11,$B$2:$B$32,0))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IFCI</t>
        </is>
      </c>
      <c r="D11" s="31" t="inlineStr">
        <is>
          <t>Ifci Limited</t>
        </is>
      </c>
      <c r="E11" s="31" t="inlineStr">
        <is>
          <t>financials</t>
        </is>
      </c>
      <c r="F11" s="31" t="inlineStr">
        <is>
          <t>finance - term-lending institutions</t>
        </is>
      </c>
      <c r="G11" s="31" t="inlineStr">
        <is>
          <t>largecap</t>
        </is>
      </c>
      <c r="H11" s="32" t="n">
        <v>23510.59</v>
      </c>
      <c r="I11" s="32" t="n">
        <v>98.31999999999999</v>
      </c>
      <c r="J11" s="32" t="n">
        <v>12.67</v>
      </c>
      <c r="K11" s="32" t="n">
        <v>428062214</v>
      </c>
      <c r="L11" s="31" t="n">
        <v>68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72.22</v>
      </c>
      <c r="P11" s="32" t="n">
        <v>46.91</v>
      </c>
      <c r="Q11" s="32" t="n">
        <v>74.09999999999999</v>
      </c>
      <c r="R11" s="31" t="inlineStr">
        <is>
          <t>Volume Spike &amp; Near 52W High Breakout</t>
        </is>
      </c>
      <c r="S11" s="31" t="inlineStr">
        <is>
          <t>Nifty Bank</t>
        </is>
      </c>
      <c r="T11" s="32" t="n">
        <v>5.65</v>
      </c>
      <c r="U11" s="32" t="n">
        <v>87.53</v>
      </c>
      <c r="V11" s="32" t="n">
        <v>77.5</v>
      </c>
      <c r="W11" s="32" t="n">
        <v>19.52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IF(B12=0,"",RANK(B12,$B$2:$B$32,0))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TFCILTD</t>
        </is>
      </c>
      <c r="D12" s="31" t="inlineStr">
        <is>
          <t>Tourism Finance Corporation Of India Limited</t>
        </is>
      </c>
      <c r="E12" s="31" t="inlineStr">
        <is>
          <t>financials</t>
        </is>
      </c>
      <c r="F12" s="31" t="inlineStr">
        <is>
          <t>finance - term-lending institutions</t>
        </is>
      </c>
      <c r="G12" s="31" t="inlineStr">
        <is>
          <t>midcap</t>
        </is>
      </c>
      <c r="H12" s="32" t="n">
        <v>6531.22</v>
      </c>
      <c r="I12" s="32" t="n">
        <v>146.14</v>
      </c>
      <c r="J12" s="32" t="n">
        <v>3.59</v>
      </c>
      <c r="K12" s="32" t="n">
        <v>14852059</v>
      </c>
      <c r="L12" s="31" t="n">
        <v>92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86.55</v>
      </c>
      <c r="P12" s="32" t="n">
        <v>62.45</v>
      </c>
      <c r="Q12" s="32" t="n">
        <v>116.96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5.65</v>
      </c>
      <c r="U12" s="32" t="n">
        <v>112.26</v>
      </c>
      <c r="V12" s="32" t="n">
        <v>100.91</v>
      </c>
      <c r="W12" s="32" t="n">
        <v>39.96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above 5x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Above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IF(B13=0,"",RANK(B13,$B$2:$B$32,0))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ESAFSFB</t>
        </is>
      </c>
      <c r="D13" s="31" t="inlineStr">
        <is>
          <t>ESAF Small Finance Bank Ltd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smallcap</t>
        </is>
      </c>
      <c r="H13" s="32" t="n">
        <v>2140.17</v>
      </c>
      <c r="I13" s="32" t="n">
        <v>42.36</v>
      </c>
      <c r="J13" s="32" t="n">
        <v>2.12</v>
      </c>
      <c r="K13" s="32" t="n">
        <v>366036</v>
      </c>
      <c r="L13" s="31" t="n">
        <v>71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65.22</v>
      </c>
      <c r="P13" s="32" t="n">
        <v>37.73</v>
      </c>
      <c r="Q13" s="32" t="n">
        <v>33.42</v>
      </c>
      <c r="R13" s="31" t="inlineStr">
        <is>
          <t>Earnings / Momentum Support</t>
        </is>
      </c>
      <c r="S13" s="31" t="inlineStr">
        <is>
          <t>Nifty Bank</t>
        </is>
      </c>
      <c r="T13" s="32" t="n">
        <v>5.65</v>
      </c>
      <c r="U13" s="32" t="n">
        <v>45.57</v>
      </c>
      <c r="V13" s="32" t="n">
        <v>37.78</v>
      </c>
      <c r="W13" s="32" t="n">
        <v>20.29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IF(B14=0,"",RANK(B14,$B$2:$B$32,0))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UNIONBANK</t>
        </is>
      </c>
      <c r="D14" s="31" t="inlineStr">
        <is>
          <t>Union Bank Of India Ltd</t>
        </is>
      </c>
      <c r="E14" s="31" t="inlineStr">
        <is>
          <t>bank</t>
        </is>
      </c>
      <c r="F14" s="31" t="inlineStr">
        <is>
          <t>banks - public sector</t>
        </is>
      </c>
      <c r="G14" s="31" t="inlineStr">
        <is>
          <t>largecap</t>
        </is>
      </c>
      <c r="H14" s="32" t="n">
        <v>141145.37</v>
      </c>
      <c r="I14" s="32" t="n">
        <v>186.86</v>
      </c>
      <c r="J14" s="32" t="n">
        <v>1.06</v>
      </c>
      <c r="K14" s="32" t="n">
        <v>9420048</v>
      </c>
      <c r="L14" s="31" t="n">
        <v>48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63.55</v>
      </c>
      <c r="P14" s="32" t="n">
        <v>22.06</v>
      </c>
      <c r="Q14" s="32" t="n">
        <v>155.93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5.65</v>
      </c>
      <c r="U14" s="32" t="n">
        <v>51.07</v>
      </c>
      <c r="V14" s="32" t="n">
        <v>42.99</v>
      </c>
      <c r="W14" s="32" t="n">
        <v>12.47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IF(B15=0,"",RANK(B15,$B$2:$B$32,0))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ANANDRATHI</t>
        </is>
      </c>
      <c r="D15" s="31" t="inlineStr">
        <is>
          <t>Anand Rathi Wealth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largecap</t>
        </is>
      </c>
      <c r="H15" s="32" t="n">
        <v>36479.27</v>
      </c>
      <c r="I15" s="32" t="n">
        <v>2198.3</v>
      </c>
      <c r="J15" s="32" t="n">
        <v>0.06</v>
      </c>
      <c r="K15" s="32" t="n">
        <v>183620</v>
      </c>
      <c r="L15" s="31" t="n">
        <v>51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74.67</v>
      </c>
      <c r="P15" s="32" t="n">
        <v>56.89</v>
      </c>
      <c r="Q15" s="32" t="n">
        <v>1918.29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5.65</v>
      </c>
      <c r="U15" s="32" t="n">
        <v>50.03</v>
      </c>
      <c r="V15" s="32" t="n">
        <v>42.01</v>
      </c>
      <c r="W15" s="32" t="n">
        <v>13.94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Above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IF(B16=0,"",RANK(B16,$B$2:$B$32,0))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KOTAKBANK</t>
        </is>
      </c>
      <c r="D16" s="31" t="inlineStr">
        <is>
          <t>Kotak Mahindra Bank Limited</t>
        </is>
      </c>
      <c r="E16" s="31" t="inlineStr">
        <is>
          <t>bank</t>
        </is>
      </c>
      <c r="F16" s="31" t="inlineStr">
        <is>
          <t>banks - private sector</t>
        </is>
      </c>
      <c r="G16" s="31" t="inlineStr">
        <is>
          <t>largecap</t>
        </is>
      </c>
      <c r="H16" s="32" t="n">
        <v>422735.14</v>
      </c>
      <c r="I16" s="32" t="n">
        <v>423.5</v>
      </c>
      <c r="J16" s="32" t="n">
        <v>-0.35</v>
      </c>
      <c r="K16" s="32" t="n">
        <v>10022695</v>
      </c>
      <c r="L16" s="31" t="n">
        <v>19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61.85</v>
      </c>
      <c r="P16" s="32" t="n">
        <v>11.5</v>
      </c>
      <c r="Q16" s="32" t="n">
        <v>371.76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5.65</v>
      </c>
      <c r="U16" s="32" t="n">
        <v>9.029999999999999</v>
      </c>
      <c r="V16" s="32" t="n">
        <v>3.2</v>
      </c>
      <c r="W16" s="32" t="n">
        <v>4.55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IF(B17=0,"",RANK(B17,$B$2:$B$32,0))</f>
        <v/>
      </c>
      <c r="B17" s="32">
        <f>SUM(N17,Y17,AA17,AC17,AE17,AG17,AI17,AK17,AM17,AO17,AQ17,AS17,AU17,AW17,AY17,BA17,BC17,BE17,BG17,BI17,BK17,BM17,BO17,BQ17,BS17,BU17,BW17,BY17,CA17)</f>
        <v/>
      </c>
      <c r="C17" s="33" t="inlineStr">
        <is>
          <t>AFSL</t>
        </is>
      </c>
      <c r="D17" s="33" t="inlineStr">
        <is>
          <t>Abans Financial Services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1056.09</v>
      </c>
      <c r="I17" s="32" t="n">
        <v>210.47</v>
      </c>
      <c r="J17" s="32" t="n">
        <v>1.32</v>
      </c>
      <c r="K17" s="32" t="n">
        <v>6924</v>
      </c>
      <c r="L17" s="31" t="n">
        <v>4</v>
      </c>
      <c r="M17" s="31" t="inlineStr">
        <is>
          <t>Underperforming</t>
        </is>
      </c>
      <c r="N17" s="32">
        <f>IF(M17="Underperforming",-5,IF(L17&gt;=95,15,IF(L17&gt;=90,10,IF(L17&gt;=80,5,0))))</f>
        <v/>
      </c>
      <c r="O17" s="32" t="n">
        <v>61.27</v>
      </c>
      <c r="P17" s="32" t="n">
        <v>69.90000000000001</v>
      </c>
      <c r="Q17" s="32" t="n">
        <v>190.35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5.65</v>
      </c>
      <c r="U17" s="32" t="n">
        <v>-4.03</v>
      </c>
      <c r="V17" s="32" t="n">
        <v>-9.16</v>
      </c>
      <c r="W17" s="32" t="n">
        <v>0.21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Above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1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IF(B18=0,"",RANK(B18,$B$2:$B$32,0))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OFSS</t>
        </is>
      </c>
      <c r="D18" s="31" t="inlineStr">
        <is>
          <t>Oracle Financial Services Software Limited</t>
        </is>
      </c>
      <c r="E18" s="31" t="inlineStr">
        <is>
          <t>i.t</t>
        </is>
      </c>
      <c r="F18" s="31" t="inlineStr">
        <is>
          <t>computers - software - large</t>
        </is>
      </c>
      <c r="G18" s="31" t="inlineStr">
        <is>
          <t>largecap</t>
        </is>
      </c>
      <c r="H18" s="32" t="n">
        <v>106114.82</v>
      </c>
      <c r="I18" s="32" t="n">
        <v>12158</v>
      </c>
      <c r="J18" s="32" t="n">
        <v>-0.24</v>
      </c>
      <c r="K18" s="32" t="n">
        <v>238698</v>
      </c>
      <c r="L18" s="31" t="n">
        <v>56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70.18000000000001</v>
      </c>
      <c r="P18" s="32" t="n">
        <v>29.33</v>
      </c>
      <c r="Q18" s="32" t="n">
        <v>9860.469999999999</v>
      </c>
      <c r="R18" s="31" t="inlineStr">
        <is>
          <t>Near 52W High Breakout</t>
        </is>
      </c>
      <c r="S18" s="31" t="inlineStr">
        <is>
          <t>Nifty IT</t>
        </is>
      </c>
      <c r="T18" s="32" t="n">
        <v>-10.2</v>
      </c>
      <c r="U18" s="32" t="n">
        <v>53.38</v>
      </c>
      <c r="V18" s="32" t="n">
        <v>70.81</v>
      </c>
      <c r="W18" s="32" t="n">
        <v>15.88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above 5x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IF(B19=0,"",RANK(B19,$B$2:$B$32,0))</f>
        <v/>
      </c>
      <c r="B19" s="32">
        <f>SUM(N19,Y19,AA19,AC19,AE19,AG19,AI19,AK19,AM19,AO19,AQ19,AS19,AU19,AW19,AY19,BA19,BC19,BE19,BG19,BI19,BK19,BM19,BO19,BQ19,BS19,BU19,BW19,BY19,CA19)</f>
        <v/>
      </c>
      <c r="C19" s="33" t="inlineStr">
        <is>
          <t>NIACL</t>
        </is>
      </c>
      <c r="D19" s="33" t="inlineStr">
        <is>
          <t>New India Assurance Company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30614.9</v>
      </c>
      <c r="I19" s="32" t="n">
        <v>199.11</v>
      </c>
      <c r="J19" s="32" t="n">
        <v>7.18</v>
      </c>
      <c r="K19" s="32" t="n">
        <v>24334669</v>
      </c>
      <c r="L19" s="31" t="n">
        <v>34</v>
      </c>
      <c r="M19" s="31" t="inlineStr">
        <is>
          <t>Underperforming</t>
        </is>
      </c>
      <c r="N19" s="32">
        <f>IF(M19="Underperforming",-5,IF(L19&gt;=95,15,IF(L19&gt;=90,10,IF(L19&gt;=80,5,0))))</f>
        <v/>
      </c>
      <c r="O19" s="32" t="n">
        <v>65.88</v>
      </c>
      <c r="P19" s="32" t="n">
        <v>28.43</v>
      </c>
      <c r="Q19" s="32" t="n">
        <v>155.62</v>
      </c>
      <c r="R19" s="31" t="inlineStr">
        <is>
          <t>Volume Spike &amp; Near 52W High Breakout</t>
        </is>
      </c>
      <c r="S19" s="31" t="inlineStr">
        <is>
          <t>Nifty Bank</t>
        </is>
      </c>
      <c r="T19" s="32" t="n">
        <v>5.65</v>
      </c>
      <c r="U19" s="32" t="n">
        <v>3.06</v>
      </c>
      <c r="V19" s="32" t="n">
        <v>-2.45</v>
      </c>
      <c r="W19" s="32" t="n">
        <v>8.619999999999999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IF(B20=0,"",RANK(B20,$B$2:$B$32,0))</f>
        <v/>
      </c>
      <c r="B20" s="32">
        <f>SUM(N20,Y20,AA20,AC20,AE20,AG20,AI20,AK20,AM20,AO20,AQ20,AS20,AU20,AW20,AY20,BA20,BC20,BE20,BG20,BI20,BK20,BM20,BO20,BQ20,BS20,BU20,BW20,BY20,CA20)</f>
        <v/>
      </c>
      <c r="C20" s="33" t="inlineStr">
        <is>
          <t>INDOSTAR</t>
        </is>
      </c>
      <c r="D20" s="33" t="inlineStr">
        <is>
          <t>Indostar Capital Finance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4073.23</v>
      </c>
      <c r="I20" s="32" t="n">
        <v>261.07</v>
      </c>
      <c r="J20" s="32" t="n">
        <v>3.57</v>
      </c>
      <c r="K20" s="32" t="n">
        <v>130359</v>
      </c>
      <c r="L20" s="31" t="n">
        <v>12</v>
      </c>
      <c r="M20" s="31" t="inlineStr">
        <is>
          <t>Underperforming</t>
        </is>
      </c>
      <c r="N20" s="32">
        <f>IF(M20="Underperforming",-5,IF(L20&gt;=95,15,IF(L20&gt;=90,10,IF(L20&gt;=80,5,0))))</f>
        <v/>
      </c>
      <c r="O20" s="32" t="n">
        <v>56.95</v>
      </c>
      <c r="P20" s="32" t="n">
        <v>21.38</v>
      </c>
      <c r="Q20" s="32" t="n">
        <v>197.42</v>
      </c>
      <c r="R20" s="31" t="inlineStr">
        <is>
          <t>Volume Spike &amp; Near 52W High Breakout</t>
        </is>
      </c>
      <c r="S20" s="31" t="inlineStr">
        <is>
          <t>Nifty Bank</t>
        </is>
      </c>
      <c r="T20" s="32" t="n">
        <v>5.65</v>
      </c>
      <c r="U20" s="32" t="n">
        <v>-0.37</v>
      </c>
      <c r="V20" s="32" t="n">
        <v>-5.7</v>
      </c>
      <c r="W20" s="32" t="n">
        <v>2.7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IF(B21=0,"",RANK(B21,$B$2:$B$32,0))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MCX</t>
        </is>
      </c>
      <c r="D21" s="31" t="inlineStr">
        <is>
          <t>Multi Commodity Exchange Of India Limited</t>
        </is>
      </c>
      <c r="E21" s="31" t="inlineStr">
        <is>
          <t>financials</t>
        </is>
      </c>
      <c r="F21" s="31" t="inlineStr">
        <is>
          <t>miscellaneous</t>
        </is>
      </c>
      <c r="G21" s="31" t="inlineStr">
        <is>
          <t>largecap</t>
        </is>
      </c>
      <c r="H21" s="32" t="n">
        <v>84223.81</v>
      </c>
      <c r="I21" s="32" t="n">
        <v>3286</v>
      </c>
      <c r="J21" s="32" t="n">
        <v>-0.51</v>
      </c>
      <c r="K21" s="32" t="n">
        <v>2448588</v>
      </c>
      <c r="L21" s="31" t="n">
        <v>72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67.62</v>
      </c>
      <c r="P21" s="32" t="n">
        <v>21.19</v>
      </c>
      <c r="Q21" s="32" t="n">
        <v>2676.49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5.65</v>
      </c>
      <c r="U21" s="32" t="n">
        <v>116.56</v>
      </c>
      <c r="V21" s="32" t="n">
        <v>104.98</v>
      </c>
      <c r="W21" s="32" t="n">
        <v>20.9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IF(B22=0,"",RANK(B22,$B$2:$B$32,0))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NUVAMA</t>
        </is>
      </c>
      <c r="D22" s="31" t="inlineStr">
        <is>
          <t>Nuvama Wealth Management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32581.39</v>
      </c>
      <c r="I22" s="32" t="n">
        <v>1841</v>
      </c>
      <c r="J22" s="32" t="n">
        <v>3.14</v>
      </c>
      <c r="K22" s="32" t="n">
        <v>1438209</v>
      </c>
      <c r="L22" s="31" t="n">
        <v>47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59.73</v>
      </c>
      <c r="P22" s="32" t="n">
        <v>40.34</v>
      </c>
      <c r="Q22" s="32" t="n">
        <v>1543.93</v>
      </c>
      <c r="R22" s="31" t="inlineStr">
        <is>
          <t>Earnings / Momentum Support</t>
        </is>
      </c>
      <c r="S22" s="31" t="inlineStr">
        <is>
          <t>Nifty Bank</t>
        </is>
      </c>
      <c r="T22" s="32" t="n">
        <v>5.65</v>
      </c>
      <c r="U22" s="32" t="n">
        <v>44.11</v>
      </c>
      <c r="V22" s="32" t="n">
        <v>36.4</v>
      </c>
      <c r="W22" s="32" t="n">
        <v>12.05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above 5x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Above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IF(B23=0,"",RANK(B23,$B$2:$B$32,0))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EDELWEISS</t>
        </is>
      </c>
      <c r="D23" s="31" t="inlineStr">
        <is>
          <t>Edelweiss Financial Services Limited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midcap</t>
        </is>
      </c>
      <c r="H23" s="32" t="n">
        <v>12204.58</v>
      </c>
      <c r="I23" s="32" t="n">
        <v>126.18</v>
      </c>
      <c r="J23" s="32" t="n">
        <v>-2.14</v>
      </c>
      <c r="K23" s="32" t="n">
        <v>5705746</v>
      </c>
      <c r="L23" s="31" t="n">
        <v>17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57.95</v>
      </c>
      <c r="P23" s="32" t="n">
        <v>14.01</v>
      </c>
      <c r="Q23" s="32" t="n">
        <v>98.26000000000001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5.65</v>
      </c>
      <c r="U23" s="32" t="n">
        <v>9.949999999999999</v>
      </c>
      <c r="V23" s="32" t="n">
        <v>4.07</v>
      </c>
      <c r="W23" s="32" t="n">
        <v>4.11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IF(B24=0,"",RANK(B24,$B$2:$B$32,0))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GEOJITFSL</t>
        </is>
      </c>
      <c r="D24" s="31" t="inlineStr">
        <is>
          <t>Geojit Financial Services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2322.85</v>
      </c>
      <c r="I24" s="32" t="n">
        <v>82.76000000000001</v>
      </c>
      <c r="J24" s="32" t="n">
        <v>-0.55</v>
      </c>
      <c r="K24" s="32" t="n">
        <v>225428</v>
      </c>
      <c r="L24" s="31" t="n">
        <v>20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64.18000000000001</v>
      </c>
      <c r="P24" s="32" t="n">
        <v>13.61</v>
      </c>
      <c r="Q24" s="32" t="n">
        <v>67.02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5.65</v>
      </c>
      <c r="U24" s="32" t="n">
        <v>10.84</v>
      </c>
      <c r="V24" s="32" t="n">
        <v>4.91</v>
      </c>
      <c r="W24" s="32" t="n">
        <v>4.99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IF(B25=0,"",RANK(B25,$B$2:$B$32,0))</f>
        <v/>
      </c>
      <c r="B25" s="32">
        <f>SUM(N25,Y25,AA25,AC25,AE25,AG25,AI25,AK25,AM25,AO25,AQ25,AS25,AU25,AW25,AY25,BA25,BC25,BE25,BG25,BI25,BK25,BM25,BO25,BQ25,BS25,BU25,BW25,BY25,CA25)</f>
        <v/>
      </c>
      <c r="C25" s="33" t="inlineStr">
        <is>
          <t>SBFC</t>
        </is>
      </c>
      <c r="D25" s="33" t="inlineStr">
        <is>
          <t>SBFC Finance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midcap</t>
        </is>
      </c>
      <c r="H25" s="32" t="n">
        <v>11067.53</v>
      </c>
      <c r="I25" s="32" t="n">
        <v>99.23</v>
      </c>
      <c r="J25" s="32" t="n">
        <v>-0.72</v>
      </c>
      <c r="K25" s="32" t="n">
        <v>1753870</v>
      </c>
      <c r="L25" s="31" t="n">
        <v>3</v>
      </c>
      <c r="M25" s="31" t="inlineStr">
        <is>
          <t>Underperforming</t>
        </is>
      </c>
      <c r="N25" s="32">
        <f>IF(M25="Underperforming",-5,IF(L25&gt;=95,15,IF(L25&gt;=90,10,IF(L25&gt;=80,5,0))))</f>
        <v/>
      </c>
      <c r="O25" s="32" t="n">
        <v>56.5</v>
      </c>
      <c r="P25" s="32" t="n">
        <v>12.77</v>
      </c>
      <c r="Q25" s="32" t="n">
        <v>80.65000000000001</v>
      </c>
      <c r="R25" s="31" t="inlineStr">
        <is>
          <t>Volume Spike / Accumulation</t>
        </is>
      </c>
      <c r="S25" s="31" t="inlineStr">
        <is>
          <t>Nifty Bank</t>
        </is>
      </c>
      <c r="T25" s="32" t="n">
        <v>5.65</v>
      </c>
      <c r="U25" s="32" t="n">
        <v>-7.11</v>
      </c>
      <c r="V25" s="32" t="n">
        <v>-12.07</v>
      </c>
      <c r="W25" s="32" t="n">
        <v>0.07000000000000001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IF(B26=0,"",RANK(B26,$B$2:$B$32,0))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MOTILALOFS</t>
        </is>
      </c>
      <c r="D26" s="31" t="inlineStr">
        <is>
          <t>Motilal Oswal Financial Services Limited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61178.11</v>
      </c>
      <c r="I26" s="32" t="n">
        <v>1017.6</v>
      </c>
      <c r="J26" s="32" t="n">
        <v>0.16</v>
      </c>
      <c r="K26" s="32" t="n">
        <v>1044243</v>
      </c>
      <c r="L26" s="31" t="n">
        <v>31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63.06</v>
      </c>
      <c r="P26" s="32" t="n">
        <v>17.27</v>
      </c>
      <c r="Q26" s="32" t="n">
        <v>845.62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5.65</v>
      </c>
      <c r="U26" s="32" t="n">
        <v>17.5</v>
      </c>
      <c r="V26" s="32" t="n">
        <v>11.21</v>
      </c>
      <c r="W26" s="32" t="n">
        <v>8.07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IF(B27=0,"",RANK(B27,$B$2:$B$32,0))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PNB</t>
        </is>
      </c>
      <c r="D27" s="31" t="inlineStr">
        <is>
          <t>Punjab National Bank Ltd</t>
        </is>
      </c>
      <c r="E27" s="31" t="inlineStr">
        <is>
          <t>bank</t>
        </is>
      </c>
      <c r="F27" s="31" t="inlineStr">
        <is>
          <t>banks - public sector</t>
        </is>
      </c>
      <c r="G27" s="31" t="inlineStr">
        <is>
          <t>largecap</t>
        </is>
      </c>
      <c r="H27" s="32" t="n">
        <v>132421.69</v>
      </c>
      <c r="I27" s="32" t="n">
        <v>117</v>
      </c>
      <c r="J27" s="32" t="n">
        <v>1.54</v>
      </c>
      <c r="K27" s="32" t="n">
        <v>21100041</v>
      </c>
      <c r="L27" s="31" t="n">
        <v>22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59.3</v>
      </c>
      <c r="P27" s="32" t="n">
        <v>9.31</v>
      </c>
      <c r="Q27" s="32" t="n">
        <v>102.11</v>
      </c>
      <c r="R27" s="31" t="inlineStr">
        <is>
          <t>Earnings / Momentum Support</t>
        </is>
      </c>
      <c r="S27" s="31" t="inlineStr">
        <is>
          <t>Nifty Bank</t>
        </is>
      </c>
      <c r="T27" s="32" t="n">
        <v>5.65</v>
      </c>
      <c r="U27" s="32" t="n">
        <v>16.05</v>
      </c>
      <c r="V27" s="32" t="n">
        <v>9.84</v>
      </c>
      <c r="W27" s="32" t="n">
        <v>6.05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IF(B28=0,"",RANK(B28,$B$2:$B$32,0))</f>
        <v/>
      </c>
      <c r="B28" s="32">
        <f>SUM(N28,Y28,AA28,AC28,AE28,AG28,AI28,AK28,AM28,AO28,AQ28,AS28,AU28,AW28,AY28,BA28,BC28,BE28,BG28,BI28,BK28,BM28,BO28,BQ28,BS28,BU28,BW28,BY28,CA28)</f>
        <v/>
      </c>
      <c r="C28" s="33" t="inlineStr">
        <is>
          <t>CRISIL</t>
        </is>
      </c>
      <c r="D28" s="33" t="inlineStr">
        <is>
          <t>Crisil Limited</t>
        </is>
      </c>
      <c r="E28" s="31" t="inlineStr">
        <is>
          <t>financials</t>
        </is>
      </c>
      <c r="F28" s="31" t="inlineStr">
        <is>
          <t>miscellaneous</t>
        </is>
      </c>
      <c r="G28" s="31" t="inlineStr">
        <is>
          <t>largecap</t>
        </is>
      </c>
      <c r="H28" s="32" t="n">
        <v>35318.14</v>
      </c>
      <c r="I28" s="32" t="n">
        <v>4701.7</v>
      </c>
      <c r="J28" s="32" t="n">
        <v>-2.65</v>
      </c>
      <c r="K28" s="32" t="n">
        <v>40753</v>
      </c>
      <c r="L28" s="31" t="n">
        <v>17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62.13</v>
      </c>
      <c r="P28" s="32" t="n">
        <v>14.91</v>
      </c>
      <c r="Q28" s="32" t="n">
        <v>3961.62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5.65</v>
      </c>
      <c r="U28" s="32" t="n">
        <v>-4.7</v>
      </c>
      <c r="V28" s="32" t="n">
        <v>-9.789999999999999</v>
      </c>
      <c r="W28" s="32" t="n">
        <v>3.96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above 5x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IF(B29=0,"",RANK(B29,$B$2:$B$32,0))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IIFLCAPS</t>
        </is>
      </c>
      <c r="D29" s="31" t="inlineStr">
        <is>
          <t>IIFL Capital Services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midcap</t>
        </is>
      </c>
      <c r="H29" s="32" t="n">
        <v>10662.02</v>
      </c>
      <c r="I29" s="32" t="n">
        <v>338.3</v>
      </c>
      <c r="J29" s="32" t="n">
        <v>-0.54</v>
      </c>
      <c r="K29" s="32" t="n">
        <v>375285</v>
      </c>
      <c r="L29" s="31" t="n">
        <v>12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54.59</v>
      </c>
      <c r="P29" s="32" t="n">
        <v>16.67</v>
      </c>
      <c r="Q29" s="32" t="n">
        <v>297.81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5.65</v>
      </c>
      <c r="U29" s="32" t="n">
        <v>14.22</v>
      </c>
      <c r="V29" s="32" t="n">
        <v>8.109999999999999</v>
      </c>
      <c r="W29" s="32" t="n">
        <v>2.56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IF(B30=0,"",RANK(B30,$B$2:$B$32,0))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RELIGARE</t>
        </is>
      </c>
      <c r="D30" s="33" t="inlineStr">
        <is>
          <t>Religare Enterprises Limited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midcap</t>
        </is>
      </c>
      <c r="H30" s="32" t="n">
        <v>8523.34</v>
      </c>
      <c r="I30" s="32" t="n">
        <v>248.06</v>
      </c>
      <c r="J30" s="32" t="n">
        <v>-0.6899999999999999</v>
      </c>
      <c r="K30" s="32" t="n">
        <v>576451</v>
      </c>
      <c r="L30" s="31" t="n">
        <v>9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53.29</v>
      </c>
      <c r="P30" s="32" t="n">
        <v>17.09</v>
      </c>
      <c r="Q30" s="32" t="n">
        <v>221.17</v>
      </c>
      <c r="R30" s="31" t="inlineStr">
        <is>
          <t>Volume Spike / Accumulation</t>
        </is>
      </c>
      <c r="S30" s="31" t="inlineStr">
        <is>
          <t>Nifty Bank</t>
        </is>
      </c>
      <c r="T30" s="32" t="n">
        <v>5.65</v>
      </c>
      <c r="U30" s="32" t="n">
        <v>-2.01</v>
      </c>
      <c r="V30" s="32" t="n">
        <v>-7.25</v>
      </c>
      <c r="W30" s="32" t="n">
        <v>1.71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1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IF(B31=0,"",RANK(B31,$B$2:$B$32,0))</f>
        <v/>
      </c>
      <c r="B31" s="32">
        <f>SUM(N31,Y31,AA31,AC31,AE31,AG31,AI31,AK31,AM31,AO31,AQ31,AS31,AU31,AW31,AY31,BA31,BC31,BE31,BG31,BI31,BK31,BM31,BO31,BQ31,BS31,BU31,BW31,BY31,CA31)</f>
        <v/>
      </c>
      <c r="C31" s="33" t="inlineStr">
        <is>
          <t>LICHSGFIN</t>
        </is>
      </c>
      <c r="D31" s="33" t="inlineStr">
        <is>
          <t>Lic Housing Finance Limited</t>
        </is>
      </c>
      <c r="E31" s="31" t="inlineStr">
        <is>
          <t>financials</t>
        </is>
      </c>
      <c r="F31" s="31" t="inlineStr">
        <is>
          <t>finance - housing</t>
        </is>
      </c>
      <c r="G31" s="31" t="inlineStr">
        <is>
          <t>largecap</t>
        </is>
      </c>
      <c r="H31" s="32" t="n">
        <v>29422.87</v>
      </c>
      <c r="I31" s="32" t="n">
        <v>541.25</v>
      </c>
      <c r="J31" s="32" t="n">
        <v>1.19</v>
      </c>
      <c r="K31" s="32" t="n">
        <v>2788144</v>
      </c>
      <c r="L31" s="31" t="n">
        <v>4</v>
      </c>
      <c r="M31" s="31" t="inlineStr">
        <is>
          <t>Underperforming</t>
        </is>
      </c>
      <c r="N31" s="32">
        <f>IF(M31="Underperforming",-5,IF(L31&gt;=95,15,IF(L31&gt;=90,10,IF(L31&gt;=80,5,0))))</f>
        <v/>
      </c>
      <c r="O31" s="32" t="n">
        <v>55.12</v>
      </c>
      <c r="P31" s="32" t="n">
        <v>11.77</v>
      </c>
      <c r="Q31" s="32" t="n">
        <v>465.34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5.65</v>
      </c>
      <c r="U31" s="32" t="n">
        <v>-0.38</v>
      </c>
      <c r="V31" s="32" t="n">
        <v>-5.7</v>
      </c>
      <c r="W31" s="32" t="n">
        <v>0.1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1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IF(B32=0,"",RANK(B32,$B$2:$B$32,0))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VHL</t>
        </is>
      </c>
      <c r="D32" s="33" t="inlineStr">
        <is>
          <t>Vardhman Holdings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smallcap</t>
        </is>
      </c>
      <c r="H32" s="32" t="n">
        <v>1138.87</v>
      </c>
      <c r="I32" s="32" t="n">
        <v>3570.4</v>
      </c>
      <c r="J32" s="32" t="n">
        <v>0.06</v>
      </c>
      <c r="K32" s="32" t="n">
        <v>748</v>
      </c>
      <c r="L32" s="31" t="n">
        <v>2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54.37</v>
      </c>
      <c r="P32" s="32" t="n">
        <v>7.71</v>
      </c>
      <c r="Q32" s="32" t="n">
        <v>3035.05</v>
      </c>
      <c r="R32" s="31" t="inlineStr">
        <is>
          <t>Earnings / Momentum Support</t>
        </is>
      </c>
      <c r="S32" s="31" t="inlineStr">
        <is>
          <t>Nifty Bank</t>
        </is>
      </c>
      <c r="T32" s="32" t="n">
        <v>5.65</v>
      </c>
      <c r="U32" s="32" t="n">
        <v>-11.07</v>
      </c>
      <c r="V32" s="32" t="n">
        <v>-15.83</v>
      </c>
      <c r="W32" s="32" t="n">
        <v>-0.96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1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</sheetData>
  <autoFilter ref="A1:CA32"/>
  <conditionalFormatting sqref="B2:B3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2">
    <cfRule type="cellIs" priority="34" operator="equal" dxfId="3" stopIfTrue="1">
      <formula>"Underperforming"</formula>
    </cfRule>
  </conditionalFormatting>
  <conditionalFormatting sqref="N2:N32">
    <cfRule type="cellIs" priority="35" operator="equal" dxfId="3" stopIfTrue="1">
      <formula>-5</formula>
    </cfRule>
  </conditionalFormatting>
  <conditionalFormatting sqref="Q2:Q32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2" showDropDown="0" showInputMessage="0" showErrorMessage="0" allowBlank="1" type="list">
      <formula1>"Growing Industry,Stagnant Industry,Cyclical in an Upturn"</formula1>
    </dataValidation>
    <dataValidation sqref="Z2:Z32" showDropDown="0" showInputMessage="0" showErrorMessage="0" allowBlank="1" type="list">
      <formula1>"Fragmented with Low ROE,Fragmented with High ROE,Highly Cyclical"</formula1>
    </dataValidation>
    <dataValidation sqref="AB2:AB32" showDropDown="0" showInputMessage="0" showErrorMessage="0" allowBlank="1" type="list">
      <formula1>"Yes,No"</formula1>
    </dataValidation>
    <dataValidation sqref="AD2:AD32" showDropDown="0" showInputMessage="0" showErrorMessage="0" allowBlank="1" type="list">
      <formula1>"Tailwind,Headwind"</formula1>
    </dataValidation>
    <dataValidation sqref="AF2:AF3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2" showDropDown="0" showInputMessage="0" showErrorMessage="0" allowBlank="1" type="list">
      <formula1>"Yes,No"</formula1>
    </dataValidation>
    <dataValidation sqref="AJ2:AJ32" showDropDown="0" showInputMessage="0" showErrorMessage="0" allowBlank="1" type="list">
      <formula1>"Yes,No,Not Applicable"</formula1>
    </dataValidation>
    <dataValidation sqref="AL2:AL32" showDropDown="0" showInputMessage="0" showErrorMessage="0" allowBlank="1" type="list">
      <formula1>"Yes,No"</formula1>
    </dataValidation>
    <dataValidation sqref="AN2:AN32" showDropDown="0" showInputMessage="0" showErrorMessage="0" allowBlank="1" type="list">
      <formula1>"Yes,No"</formula1>
    </dataValidation>
    <dataValidation sqref="AP2:AP32" showDropDown="0" showInputMessage="0" showErrorMessage="0" allowBlank="1" type="list">
      <formula1>"Yes,No"</formula1>
    </dataValidation>
    <dataValidation sqref="AR2:AR32" showDropDown="0" showInputMessage="0" showErrorMessage="0" allowBlank="1" type="list">
      <formula1>"Yes,No"</formula1>
    </dataValidation>
    <dataValidation sqref="AT2:AT32" showDropDown="0" showInputMessage="0" showErrorMessage="0" allowBlank="1" type="list">
      <formula1>"No,Yes"</formula1>
    </dataValidation>
    <dataValidation sqref="AV2:AV32" showDropDown="0" showInputMessage="0" showErrorMessage="0" allowBlank="1" type="list">
      <formula1>"No,Yes"</formula1>
    </dataValidation>
    <dataValidation sqref="AX2:AX32" showDropDown="0" showInputMessage="0" showErrorMessage="0" allowBlank="1" type="list">
      <formula1>"No,Yes CEO Resignation,Yes CEO Retirement"</formula1>
    </dataValidation>
    <dataValidation sqref="AZ2:AZ32" showDropDown="0" showInputMessage="0" showErrorMessage="0" allowBlank="1" type="list">
      <formula1>"No,Yes"</formula1>
    </dataValidation>
    <dataValidation sqref="BB2:BB32" showDropDown="0" showInputMessage="0" showErrorMessage="0" allowBlank="1" type="list">
      <formula1>"No,Yes"</formula1>
    </dataValidation>
    <dataValidation sqref="BD2:BD32" showDropDown="0" showInputMessage="0" showErrorMessage="0" allowBlank="1" type="list">
      <formula1>"Yes,No"</formula1>
    </dataValidation>
    <dataValidation sqref="BF2:BF32" showDropDown="0" showInputMessage="0" showErrorMessage="0" allowBlank="1" type="list">
      <formula1>"Yes,No"</formula1>
    </dataValidation>
    <dataValidation sqref="BH2:BH32" showDropDown="0" showInputMessage="0" showErrorMessage="0" allowBlank="1" type="list">
      <formula1>"Yes,No"</formula1>
    </dataValidation>
    <dataValidation sqref="BJ2:BJ3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2" showDropDown="0" showInputMessage="0" showErrorMessage="0" allowBlank="1" type="list">
      <formula1>"Above 40,20 to 40,0 to 20"</formula1>
    </dataValidation>
    <dataValidation sqref="BN2:BN32" showDropDown="0" showInputMessage="0" showErrorMessage="0" allowBlank="1" type="list">
      <formula1>"Between 50 to 75,Above 75,Below 45"</formula1>
    </dataValidation>
    <dataValidation sqref="BP2:BP32" showDropDown="0" showInputMessage="0" showErrorMessage="0" allowBlank="1" type="list">
      <formula1>"Stage 1,Stage 2,Stage 3,Stage 4"</formula1>
    </dataValidation>
    <dataValidation sqref="BR2:BR32" showDropDown="0" showInputMessage="0" showErrorMessage="0" allowBlank="1" type="list">
      <formula1>"Positive Trend,Negative Trend"</formula1>
    </dataValidation>
    <dataValidation sqref="BT2:BT32" showDropDown="0" showInputMessage="0" showErrorMessage="0" allowBlank="1" type="list">
      <formula1>"Uptrend,Sideways,Downtrend"</formula1>
    </dataValidation>
    <dataValidation sqref="BV2:BV32" showDropDown="0" showInputMessage="0" showErrorMessage="0" allowBlank="1" type="list">
      <formula1>"Uptrend,Sideways,Downtrend"</formula1>
    </dataValidation>
    <dataValidation sqref="BX2:BX3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IF(B2=0,"",RANK(B2,$B$2:$B$21,0))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139.5</v>
      </c>
      <c r="E2" s="32" t="inlineStr">
        <is>
          <t>5%</t>
        </is>
      </c>
      <c r="F2" s="32" t="n">
        <v>50000</v>
      </c>
      <c r="G2" s="32" t="n">
        <v>18</v>
      </c>
      <c r="H2" s="31" t="inlineStr">
        <is>
          <t>VINDHYATEL</t>
        </is>
      </c>
      <c r="I2" s="31" t="inlineStr">
        <is>
          <t>Vindhya Telelinks Limited</t>
        </is>
      </c>
      <c r="J2" s="31" t="inlineStr">
        <is>
          <t>realty</t>
        </is>
      </c>
      <c r="K2" s="31" t="inlineStr">
        <is>
          <t>construction</t>
        </is>
      </c>
      <c r="L2" s="31" t="inlineStr">
        <is>
          <t>smallcap</t>
        </is>
      </c>
      <c r="M2" s="32" t="n">
        <v>3053.61</v>
      </c>
      <c r="N2" s="32" t="n">
        <v>2737.1</v>
      </c>
      <c r="O2" s="32" t="n">
        <v>6.23</v>
      </c>
      <c r="P2" s="32" t="n">
        <v>192191</v>
      </c>
      <c r="Q2" s="31" t="n">
        <v>93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71.44</v>
      </c>
      <c r="U2" s="32" t="n">
        <v>52.25</v>
      </c>
      <c r="V2" s="32" t="n">
        <v>1984.96</v>
      </c>
      <c r="W2" s="31" t="inlineStr">
        <is>
          <t>Near 52W High Breakout</t>
        </is>
      </c>
      <c r="X2" s="31" t="inlineStr">
        <is>
          <t>Nifty Realty</t>
        </is>
      </c>
      <c r="Y2" s="32" t="n">
        <v>-6.04</v>
      </c>
      <c r="Z2" s="32" t="n">
        <v>74.26000000000001</v>
      </c>
      <c r="AA2" s="32" t="n">
        <v>85.47</v>
      </c>
      <c r="AB2" s="32" t="n">
        <v>43.2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IF(B3=0,"",RANK(B3,$B$2:$B$21,0))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146</v>
      </c>
      <c r="H3" s="31" t="inlineStr">
        <is>
          <t>BIRLACABLE</t>
        </is>
      </c>
      <c r="I3" s="31" t="inlineStr">
        <is>
          <t>Birla Cable Limited</t>
        </is>
      </c>
      <c r="J3" s="31" t="inlineStr">
        <is>
          <t>industrials</t>
        </is>
      </c>
      <c r="K3" s="31" t="inlineStr">
        <is>
          <t>cables - telephone</t>
        </is>
      </c>
      <c r="L3" s="31" t="inlineStr">
        <is>
          <t>smallcap</t>
        </is>
      </c>
      <c r="M3" s="32" t="n">
        <v>976.05</v>
      </c>
      <c r="N3" s="32" t="n">
        <v>341.6</v>
      </c>
      <c r="O3" s="32" t="n">
        <v>4.99</v>
      </c>
      <c r="P3" s="32" t="n">
        <v>324909</v>
      </c>
      <c r="Q3" s="31" t="n">
        <v>95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76.84</v>
      </c>
      <c r="U3" s="32" t="n">
        <v>50.01</v>
      </c>
      <c r="V3" s="32" t="n">
        <v>254.1</v>
      </c>
      <c r="W3" s="31" t="inlineStr">
        <is>
          <t>Volume Spike &amp; Near 52W High Breakout</t>
        </is>
      </c>
      <c r="X3" s="31" t="inlineStr">
        <is>
          <t>Nifty Infra</t>
        </is>
      </c>
      <c r="Y3" s="32" t="n">
        <v>1.61</v>
      </c>
      <c r="Z3" s="32" t="n">
        <v>100.78</v>
      </c>
      <c r="AA3" s="32" t="n">
        <v>97.61</v>
      </c>
      <c r="AB3" s="32" t="n">
        <v>47.14</v>
      </c>
      <c r="AC3" s="31" t="inlineStr">
        <is>
          <t>Cyclical in an Upturn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IF(B4=0,"",RANK(B4,$B$2:$B$21,0))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</v>
      </c>
      <c r="E4" s="32" t="inlineStr">
        <is>
          <t>5%</t>
        </is>
      </c>
      <c r="F4" s="32" t="n">
        <v>50000</v>
      </c>
      <c r="G4" s="32" t="n">
        <v>28</v>
      </c>
      <c r="H4" s="31" t="inlineStr">
        <is>
          <t>RPEL</t>
        </is>
      </c>
      <c r="I4" s="31" t="inlineStr">
        <is>
          <t>Raghav Productivity Enhancers Ltd</t>
        </is>
      </c>
      <c r="J4" s="31" t="inlineStr">
        <is>
          <t>building materials</t>
        </is>
      </c>
      <c r="K4" s="31" t="inlineStr">
        <is>
          <t>refractories / intermediates</t>
        </is>
      </c>
      <c r="L4" s="31" t="inlineStr">
        <is>
          <t>midcap</t>
        </is>
      </c>
      <c r="M4" s="32" t="n">
        <v>7931.18</v>
      </c>
      <c r="N4" s="32" t="n">
        <v>1774.6</v>
      </c>
      <c r="O4" s="32" t="n">
        <v>2.75</v>
      </c>
      <c r="P4" s="32" t="n">
        <v>49856</v>
      </c>
      <c r="Q4" s="31" t="n">
        <v>98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84.11</v>
      </c>
      <c r="U4" s="32" t="n">
        <v>62.19</v>
      </c>
      <c r="V4" s="32" t="n">
        <v>1395.35</v>
      </c>
      <c r="W4" s="31" t="inlineStr">
        <is>
          <t>Near 52W High Breakout</t>
        </is>
      </c>
      <c r="X4" s="31" t="inlineStr">
        <is>
          <t>Nifty Infra</t>
        </is>
      </c>
      <c r="Y4" s="32" t="n">
        <v>1.61</v>
      </c>
      <c r="Z4" s="32" t="n">
        <v>168.76</v>
      </c>
      <c r="AA4" s="32" t="n">
        <v>164.51</v>
      </c>
      <c r="AB4" s="32" t="n">
        <v>65.16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Between 1.5 to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IF(B5=0,"",RANK(B5,$B$2:$B$21,0))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137.3</v>
      </c>
      <c r="E5" s="32" t="inlineStr">
        <is>
          <t>5%</t>
        </is>
      </c>
      <c r="F5" s="32" t="n">
        <v>50000</v>
      </c>
      <c r="G5" s="32" t="n">
        <v>119</v>
      </c>
      <c r="H5" s="31" t="inlineStr">
        <is>
          <t>TBZ</t>
        </is>
      </c>
      <c r="I5" s="31" t="inlineStr">
        <is>
          <t>Tribhovandas Bhimji Zaveri Limited</t>
        </is>
      </c>
      <c r="J5" s="31" t="inlineStr">
        <is>
          <t>consumer discretionary</t>
        </is>
      </c>
      <c r="K5" s="31" t="inlineStr">
        <is>
          <t>diamond cutting / jewellery</t>
        </is>
      </c>
      <c r="L5" s="31" t="inlineStr">
        <is>
          <t>smallcap</t>
        </is>
      </c>
      <c r="M5" s="32" t="n">
        <v>2447.68</v>
      </c>
      <c r="N5" s="32" t="n">
        <v>418.25</v>
      </c>
      <c r="O5" s="32" t="n">
        <v>14.03</v>
      </c>
      <c r="P5" s="32" t="n">
        <v>27976693</v>
      </c>
      <c r="Q5" s="31" t="n">
        <v>97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86.06999999999999</v>
      </c>
      <c r="U5" s="32" t="n">
        <v>48.76</v>
      </c>
      <c r="V5" s="32" t="n">
        <v>309.55</v>
      </c>
      <c r="W5" s="31" t="inlineStr">
        <is>
          <t>Volume Spike &amp; Near 52W High Breakout</t>
        </is>
      </c>
      <c r="X5" s="31" t="inlineStr">
        <is>
          <t>Nifty 50</t>
        </is>
      </c>
      <c r="Y5" s="32" t="n">
        <v>-3.34</v>
      </c>
      <c r="Z5" s="32" t="n">
        <v>129.46</v>
      </c>
      <c r="AA5" s="32" t="n">
        <v>137.39</v>
      </c>
      <c r="AB5" s="32" t="n">
        <v>59.73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Between 0.7 to 1.2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IF(B6=0,"",RANK(B6,$B$2:$B$21,0))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</v>
      </c>
      <c r="E6" s="32" t="inlineStr">
        <is>
          <t>5%</t>
        </is>
      </c>
      <c r="F6" s="32" t="n">
        <v>50000</v>
      </c>
      <c r="G6" s="32" t="n">
        <v>28</v>
      </c>
      <c r="H6" s="31" t="inlineStr">
        <is>
          <t>ADOR</t>
        </is>
      </c>
      <c r="I6" s="31" t="inlineStr">
        <is>
          <t>Ador Welding Ltd</t>
        </is>
      </c>
      <c r="J6" s="31" t="inlineStr">
        <is>
          <t>industrials</t>
        </is>
      </c>
      <c r="K6" s="31" t="inlineStr">
        <is>
          <t>electrodes - welding equipment</t>
        </is>
      </c>
      <c r="L6" s="31" t="inlineStr">
        <is>
          <t>smallcap</t>
        </is>
      </c>
      <c r="M6" s="32" t="n">
        <v>2959.87</v>
      </c>
      <c r="N6" s="32" t="n">
        <v>1730.3</v>
      </c>
      <c r="O6" s="32" t="n">
        <v>1.73</v>
      </c>
      <c r="P6" s="32" t="n">
        <v>71667</v>
      </c>
      <c r="Q6" s="31" t="n">
        <v>82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84.5</v>
      </c>
      <c r="U6" s="32" t="n">
        <v>63.5</v>
      </c>
      <c r="V6" s="32" t="n">
        <v>1405.53</v>
      </c>
      <c r="W6" s="31" t="inlineStr">
        <is>
          <t>Near 52W High Breakout</t>
        </is>
      </c>
      <c r="X6" s="31" t="inlineStr">
        <is>
          <t>Nifty 50</t>
        </is>
      </c>
      <c r="Y6" s="32" t="n">
        <v>-3.34</v>
      </c>
      <c r="Z6" s="32" t="n">
        <v>84.22</v>
      </c>
      <c r="AA6" s="32" t="n">
        <v>90.58</v>
      </c>
      <c r="AB6" s="32" t="n">
        <v>25.85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IF(B7=0,"",RANK(B7,$B$2:$B$21,0))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138.9</v>
      </c>
      <c r="E7" s="32" t="inlineStr">
        <is>
          <t>5%</t>
        </is>
      </c>
      <c r="F7" s="32" t="n">
        <v>50000</v>
      </c>
      <c r="G7" s="32" t="n">
        <v>18</v>
      </c>
      <c r="H7" s="31" t="inlineStr">
        <is>
          <t>CAPLIPOINT</t>
        </is>
      </c>
      <c r="I7" s="31" t="inlineStr">
        <is>
          <t>Caplin Point Laboratories Limited</t>
        </is>
      </c>
      <c r="J7" s="31" t="inlineStr">
        <is>
          <t>healthcare</t>
        </is>
      </c>
      <c r="K7" s="31" t="inlineStr">
        <is>
          <t>pharmaceuticals - indian - formulations</t>
        </is>
      </c>
      <c r="L7" s="31" t="inlineStr">
        <is>
          <t>largecap</t>
        </is>
      </c>
      <c r="M7" s="32" t="n">
        <v>20608.29</v>
      </c>
      <c r="N7" s="32" t="n">
        <v>2720.5</v>
      </c>
      <c r="O7" s="32" t="n">
        <v>0.34</v>
      </c>
      <c r="P7" s="32" t="n">
        <v>373618</v>
      </c>
      <c r="Q7" s="31" t="n">
        <v>50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71.59999999999999</v>
      </c>
      <c r="U7" s="32" t="n">
        <v>40.61</v>
      </c>
      <c r="V7" s="32" t="n">
        <v>2201.73</v>
      </c>
      <c r="W7" s="31" t="inlineStr">
        <is>
          <t>Volume Spike &amp; Near 52W High Breakout</t>
        </is>
      </c>
      <c r="X7" s="31" t="inlineStr">
        <is>
          <t>Nifty Pharma</t>
        </is>
      </c>
      <c r="Y7" s="32" t="n">
        <v>22.15</v>
      </c>
      <c r="Z7" s="32" t="n">
        <v>27.64</v>
      </c>
      <c r="AA7" s="32" t="n">
        <v>4.5</v>
      </c>
      <c r="AB7" s="32" t="n">
        <v>13.34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Between 12 to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Between 1.5 to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IF(B8=0,"",RANK(B8,$B$2:$B$21,0))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138.2</v>
      </c>
      <c r="E8" s="32" t="inlineStr">
        <is>
          <t>5%</t>
        </is>
      </c>
      <c r="F8" s="32" t="n">
        <v>50000</v>
      </c>
      <c r="G8" s="32" t="n">
        <v>446</v>
      </c>
      <c r="H8" s="31" t="inlineStr">
        <is>
          <t>MOREPENLAB</t>
        </is>
      </c>
      <c r="I8" s="31" t="inlineStr">
        <is>
          <t>Morepen Laboratories Limited</t>
        </is>
      </c>
      <c r="J8" s="31" t="inlineStr">
        <is>
          <t>healthcare</t>
        </is>
      </c>
      <c r="K8" s="31" t="inlineStr">
        <is>
          <t>pharmaceuticals - indian - bulk drugs &amp; formln</t>
        </is>
      </c>
      <c r="L8" s="31" t="inlineStr">
        <is>
          <t>midcap</t>
        </is>
      </c>
      <c r="M8" s="32" t="n">
        <v>5679.54</v>
      </c>
      <c r="N8" s="32" t="n">
        <v>111.97</v>
      </c>
      <c r="O8" s="32" t="n">
        <v>8.029999999999999</v>
      </c>
      <c r="P8" s="32" t="n">
        <v>36392769</v>
      </c>
      <c r="Q8" s="31" t="n">
        <v>97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87.02</v>
      </c>
      <c r="U8" s="32" t="n">
        <v>48.35</v>
      </c>
      <c r="V8" s="32" t="n">
        <v>85.91</v>
      </c>
      <c r="W8" s="31" t="inlineStr">
        <is>
          <t>Near 52W High Breakout</t>
        </is>
      </c>
      <c r="X8" s="31" t="inlineStr">
        <is>
          <t>Nifty Pharma</t>
        </is>
      </c>
      <c r="Y8" s="32" t="n">
        <v>22.15</v>
      </c>
      <c r="Z8" s="32" t="n">
        <v>127.07</v>
      </c>
      <c r="AA8" s="32" t="n">
        <v>85.90000000000001</v>
      </c>
      <c r="AB8" s="32" t="n">
        <v>60.33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Yes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IF(B9=0,"",RANK(B9,$B$2:$B$21,0))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138.4</v>
      </c>
      <c r="E9" s="32" t="inlineStr">
        <is>
          <t>5%</t>
        </is>
      </c>
      <c r="F9" s="32" t="n">
        <v>50000</v>
      </c>
      <c r="G9" s="32" t="n">
        <v>77</v>
      </c>
      <c r="H9" s="31" t="inlineStr">
        <is>
          <t>BLISSGVS</t>
        </is>
      </c>
      <c r="I9" s="31" t="inlineStr">
        <is>
          <t>Bliss Gvs Pharma Limited</t>
        </is>
      </c>
      <c r="J9" s="31" t="inlineStr">
        <is>
          <t>healthcare</t>
        </is>
      </c>
      <c r="K9" s="31" t="inlineStr">
        <is>
          <t>pharmaceuticals - indian - formulations</t>
        </is>
      </c>
      <c r="L9" s="31" t="inlineStr">
        <is>
          <t>midcap</t>
        </is>
      </c>
      <c r="M9" s="32" t="n">
        <v>6685.78</v>
      </c>
      <c r="N9" s="32" t="n">
        <v>648.65</v>
      </c>
      <c r="O9" s="32" t="n">
        <v>2.9</v>
      </c>
      <c r="P9" s="32" t="n">
        <v>541997</v>
      </c>
      <c r="Q9" s="31" t="n">
        <v>95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85.91</v>
      </c>
      <c r="U9" s="32" t="n">
        <v>74.84</v>
      </c>
      <c r="V9" s="32" t="n">
        <v>498.62</v>
      </c>
      <c r="W9" s="31" t="inlineStr">
        <is>
          <t>Near 52W High Breakout</t>
        </is>
      </c>
      <c r="X9" s="31" t="inlineStr">
        <is>
          <t>Nifty Pharma</t>
        </is>
      </c>
      <c r="Y9" s="32" t="n">
        <v>22.15</v>
      </c>
      <c r="Z9" s="32" t="n">
        <v>317.79</v>
      </c>
      <c r="AA9" s="32" t="n">
        <v>242.03</v>
      </c>
      <c r="AB9" s="32" t="n">
        <v>47.3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Between 12 to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IF(B10=0,"",RANK(B10,$B$2:$B$21,0))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137.8</v>
      </c>
      <c r="E10" s="32" t="inlineStr">
        <is>
          <t>5%</t>
        </is>
      </c>
      <c r="F10" s="32" t="n">
        <v>50000</v>
      </c>
      <c r="G10" s="32" t="n">
        <v>373</v>
      </c>
      <c r="H10" s="31" t="inlineStr">
        <is>
          <t>ZIMLAB</t>
        </is>
      </c>
      <c r="I10" s="31" t="inlineStr">
        <is>
          <t>Zim Laboratories Ltd</t>
        </is>
      </c>
      <c r="J10" s="31" t="inlineStr">
        <is>
          <t>healthcare</t>
        </is>
      </c>
      <c r="K10" s="31" t="inlineStr">
        <is>
          <t>pharmaceuticals - indian - bulk drugs &amp; formln</t>
        </is>
      </c>
      <c r="L10" s="31" t="inlineStr">
        <is>
          <t>smallcap</t>
        </is>
      </c>
      <c r="M10" s="32" t="n">
        <v>631.5599999999999</v>
      </c>
      <c r="N10" s="32" t="n">
        <v>133.95</v>
      </c>
      <c r="O10" s="32" t="n">
        <v>13.57</v>
      </c>
      <c r="P10" s="32" t="n">
        <v>680389</v>
      </c>
      <c r="Q10" s="31" t="n">
        <v>72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70.44</v>
      </c>
      <c r="U10" s="32" t="n">
        <v>60.94</v>
      </c>
      <c r="V10" s="32" t="n">
        <v>97.70999999999999</v>
      </c>
      <c r="W10" s="31" t="inlineStr">
        <is>
          <t>Volume Spike &amp; Near 52W High Breakout</t>
        </is>
      </c>
      <c r="X10" s="31" t="inlineStr">
        <is>
          <t>Nifty Pharma</t>
        </is>
      </c>
      <c r="Y10" s="32" t="n">
        <v>22.15</v>
      </c>
      <c r="Z10" s="32" t="n">
        <v>81.59999999999999</v>
      </c>
      <c r="AA10" s="32" t="n">
        <v>48.67</v>
      </c>
      <c r="AB10" s="32" t="n">
        <v>20.54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IF(B11=0,"",RANK(B11,$B$2:$B$21,0))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138</v>
      </c>
      <c r="E11" s="32" t="inlineStr">
        <is>
          <t>5%</t>
        </is>
      </c>
      <c r="F11" s="32" t="n">
        <v>50000</v>
      </c>
      <c r="G11" s="32" t="n">
        <v>180</v>
      </c>
      <c r="H11" s="31" t="inlineStr">
        <is>
          <t>BHAGERIA</t>
        </is>
      </c>
      <c r="I11" s="31" t="inlineStr">
        <is>
          <t>Bhageria Industries Limited</t>
        </is>
      </c>
      <c r="J11" s="31" t="inlineStr">
        <is>
          <t>chemicals</t>
        </is>
      </c>
      <c r="K11" s="31" t="inlineStr">
        <is>
          <t>dyes and pigments</t>
        </is>
      </c>
      <c r="L11" s="31" t="inlineStr">
        <is>
          <t>smallcap</t>
        </is>
      </c>
      <c r="M11" s="32" t="n">
        <v>1148.71</v>
      </c>
      <c r="N11" s="32" t="n">
        <v>276.35</v>
      </c>
      <c r="O11" s="32" t="n">
        <v>5</v>
      </c>
      <c r="P11" s="32" t="n">
        <v>613964</v>
      </c>
      <c r="Q11" s="31" t="n">
        <v>57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71.52</v>
      </c>
      <c r="U11" s="32" t="n">
        <v>34.33</v>
      </c>
      <c r="V11" s="32" t="n">
        <v>209.68</v>
      </c>
      <c r="W11" s="31" t="inlineStr">
        <is>
          <t>Volume Spike &amp; Near 52W High Breakout</t>
        </is>
      </c>
      <c r="X11" s="31" t="inlineStr">
        <is>
          <t>Nifty 50</t>
        </is>
      </c>
      <c r="Y11" s="32" t="n">
        <v>-3.34</v>
      </c>
      <c r="Z11" s="32" t="n">
        <v>40.46</v>
      </c>
      <c r="AA11" s="32" t="n">
        <v>45.31</v>
      </c>
      <c r="AB11" s="32" t="n">
        <v>15.91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IF(B12=0,"",RANK(B12,$B$2:$B$21,0))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139.3</v>
      </c>
      <c r="E12" s="32" t="inlineStr">
        <is>
          <t>5%</t>
        </is>
      </c>
      <c r="F12" s="32" t="n">
        <v>50000</v>
      </c>
      <c r="G12" s="32" t="n">
        <v>249</v>
      </c>
      <c r="H12" s="31" t="inlineStr">
        <is>
          <t>WELSPUNLIV</t>
        </is>
      </c>
      <c r="I12" s="31" t="inlineStr">
        <is>
          <t>Welspun Living Ltd</t>
        </is>
      </c>
      <c r="J12" s="31" t="inlineStr">
        <is>
          <t>textiles</t>
        </is>
      </c>
      <c r="K12" s="31" t="inlineStr">
        <is>
          <t>textiles - products</t>
        </is>
      </c>
      <c r="L12" s="31" t="inlineStr">
        <is>
          <t>midcap</t>
        </is>
      </c>
      <c r="M12" s="32" t="n">
        <v>18744.83</v>
      </c>
      <c r="N12" s="32" t="n">
        <v>200.01</v>
      </c>
      <c r="O12" s="32" t="n">
        <v>0.8100000000000001</v>
      </c>
      <c r="P12" s="32" t="n">
        <v>3448721</v>
      </c>
      <c r="Q12" s="31" t="n">
        <v>73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76.8</v>
      </c>
      <c r="U12" s="32" t="n">
        <v>38.08</v>
      </c>
      <c r="V12" s="32" t="n">
        <v>159.66</v>
      </c>
      <c r="W12" s="31" t="inlineStr">
        <is>
          <t>Near 52W High Breakout</t>
        </is>
      </c>
      <c r="X12" s="31" t="inlineStr">
        <is>
          <t>Nifty 50</t>
        </is>
      </c>
      <c r="Y12" s="32" t="n">
        <v>-3.34</v>
      </c>
      <c r="Z12" s="32" t="n">
        <v>75.52</v>
      </c>
      <c r="AA12" s="32" t="n">
        <v>81.59</v>
      </c>
      <c r="AB12" s="32" t="n">
        <v>21.21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IF(B13=0,"",RANK(B13,$B$2:$B$21,0))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139.5</v>
      </c>
      <c r="E13" s="32" t="inlineStr">
        <is>
          <t>5%</t>
        </is>
      </c>
      <c r="F13" s="32" t="n">
        <v>50000</v>
      </c>
      <c r="G13" s="32" t="n">
        <v>31</v>
      </c>
      <c r="H13" s="31" t="inlineStr">
        <is>
          <t>SAILIFE</t>
        </is>
      </c>
      <c r="I13" s="31" t="inlineStr">
        <is>
          <t>Sai Life Sciences Ltd</t>
        </is>
      </c>
      <c r="J13" s="31" t="inlineStr">
        <is>
          <t>healthcare</t>
        </is>
      </c>
      <c r="K13" s="31" t="inlineStr">
        <is>
          <t>pharmaceuticals - indian - bulk drugs &amp; formln</t>
        </is>
      </c>
      <c r="L13" s="31" t="inlineStr">
        <is>
          <t>largecap</t>
        </is>
      </c>
      <c r="M13" s="32" t="n">
        <v>32227.14</v>
      </c>
      <c r="N13" s="32" t="n">
        <v>1587</v>
      </c>
      <c r="O13" s="32" t="n">
        <v>4.54</v>
      </c>
      <c r="P13" s="32" t="n">
        <v>2747154</v>
      </c>
      <c r="Q13" s="31" t="n">
        <v>71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85.05</v>
      </c>
      <c r="U13" s="32" t="n">
        <v>40.82</v>
      </c>
      <c r="V13" s="32" t="n">
        <v>1321.72</v>
      </c>
      <c r="W13" s="31" t="inlineStr">
        <is>
          <t>Volume Spike &amp; Near 52W High Breakout</t>
        </is>
      </c>
      <c r="X13" s="31" t="inlineStr">
        <is>
          <t>Nifty Pharma</t>
        </is>
      </c>
      <c r="Y13" s="32" t="n">
        <v>22.15</v>
      </c>
      <c r="Z13" s="32" t="n">
        <v>84.48</v>
      </c>
      <c r="AA13" s="32" t="n">
        <v>51.03</v>
      </c>
      <c r="AB13" s="32" t="n">
        <v>20.43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IF(B14=0,"",RANK(B14,$B$2:$B$21,0))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139.1</v>
      </c>
      <c r="E14" s="32" t="inlineStr">
        <is>
          <t>5%</t>
        </is>
      </c>
      <c r="F14" s="32" t="n">
        <v>50000</v>
      </c>
      <c r="G14" s="32" t="n">
        <v>67</v>
      </c>
      <c r="H14" s="31" t="inlineStr">
        <is>
          <t>RISHABH</t>
        </is>
      </c>
      <c r="I14" s="31" t="inlineStr">
        <is>
          <t>Rishabh Instruments Ltd</t>
        </is>
      </c>
      <c r="J14" s="31" t="inlineStr">
        <is>
          <t>industrials</t>
        </is>
      </c>
      <c r="K14" s="31" t="inlineStr">
        <is>
          <t>electric equipment</t>
        </is>
      </c>
      <c r="L14" s="31" t="inlineStr">
        <is>
          <t>smallcap</t>
        </is>
      </c>
      <c r="M14" s="32" t="n">
        <v>2681.65</v>
      </c>
      <c r="N14" s="32" t="n">
        <v>746</v>
      </c>
      <c r="O14" s="32" t="n">
        <v>7.23</v>
      </c>
      <c r="P14" s="32" t="n">
        <v>1177885</v>
      </c>
      <c r="Q14" s="31" t="n">
        <v>89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75.59</v>
      </c>
      <c r="U14" s="32" t="n">
        <v>45.57</v>
      </c>
      <c r="V14" s="32" t="n">
        <v>559.64</v>
      </c>
      <c r="W14" s="31" t="inlineStr">
        <is>
          <t>Near 52W High Breakout</t>
        </is>
      </c>
      <c r="X14" s="31" t="inlineStr">
        <is>
          <t>Nifty Infra</t>
        </is>
      </c>
      <c r="Y14" s="32" t="n">
        <v>1.61</v>
      </c>
      <c r="Z14" s="32" t="n">
        <v>162.63</v>
      </c>
      <c r="AA14" s="32" t="n">
        <v>158.48</v>
      </c>
      <c r="AB14" s="32" t="n">
        <v>34.79</v>
      </c>
      <c r="AC14" s="31" t="inlineStr">
        <is>
          <t>Cyclical in an Upturn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IF(B15=0,"",RANK(B15,$B$2:$B$21,0))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138.1</v>
      </c>
      <c r="E15" s="32" t="inlineStr">
        <is>
          <t>5%</t>
        </is>
      </c>
      <c r="F15" s="32" t="n">
        <v>50000</v>
      </c>
      <c r="G15" s="32" t="n">
        <v>53</v>
      </c>
      <c r="H15" s="33" t="inlineStr">
        <is>
          <t>ANTHEM</t>
        </is>
      </c>
      <c r="I15" s="33" t="inlineStr">
        <is>
          <t>Anthem Biosciences Ltd</t>
        </is>
      </c>
      <c r="J15" s="31" t="inlineStr">
        <is>
          <t>healthcare</t>
        </is>
      </c>
      <c r="K15" s="31" t="inlineStr">
        <is>
          <t>pharmaceuticals - indian - bulk drugs &amp; formln</t>
        </is>
      </c>
      <c r="L15" s="31" t="inlineStr">
        <is>
          <t>largecap</t>
        </is>
      </c>
      <c r="M15" s="32" t="n">
        <v>52084.92</v>
      </c>
      <c r="N15" s="32" t="n">
        <v>934.5</v>
      </c>
      <c r="O15" s="32" t="n">
        <v>1.08</v>
      </c>
      <c r="P15" s="32" t="n">
        <v>1484697</v>
      </c>
      <c r="Q15" s="31" t="n">
        <v>32</v>
      </c>
      <c r="R15" s="31" t="inlineStr">
        <is>
          <t>Underperforming</t>
        </is>
      </c>
      <c r="S15" s="32">
        <f>IF(R15="Underperforming",-5,IF(Q15&gt;=95,15,IF(Q15&gt;=90,10,IF(Q15&gt;=80,5,0))))</f>
        <v/>
      </c>
      <c r="T15" s="32" t="n">
        <v>72.56</v>
      </c>
      <c r="U15" s="32" t="n">
        <v>42.58</v>
      </c>
      <c r="V15" s="32" t="n">
        <v>783.9</v>
      </c>
      <c r="W15" s="31" t="inlineStr">
        <is>
          <t>Near 52W High Breakout</t>
        </is>
      </c>
      <c r="X15" s="31" t="inlineStr">
        <is>
          <t>Nifty Pharma</t>
        </is>
      </c>
      <c r="Y15" s="32" t="n">
        <v>22.15</v>
      </c>
      <c r="Z15" s="32" t="n">
        <v>12.91</v>
      </c>
      <c r="AA15" s="32" t="n">
        <v>-7.56</v>
      </c>
      <c r="AB15" s="32" t="n">
        <v>8.220000000000001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Yes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IF(B16=0,"",RANK(B16,$B$2:$B$21,0))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138.6</v>
      </c>
      <c r="E16" s="32" t="inlineStr">
        <is>
          <t>5%</t>
        </is>
      </c>
      <c r="F16" s="32" t="n">
        <v>50000</v>
      </c>
      <c r="G16" s="32" t="n">
        <v>10</v>
      </c>
      <c r="H16" s="31" t="inlineStr">
        <is>
          <t>INGERRAND</t>
        </is>
      </c>
      <c r="I16" s="31" t="inlineStr">
        <is>
          <t>Ingersoll Rand (india) Limited</t>
        </is>
      </c>
      <c r="J16" s="31" t="inlineStr">
        <is>
          <t>industrials</t>
        </is>
      </c>
      <c r="K16" s="31" t="inlineStr">
        <is>
          <t>compressors / drilling equipment</t>
        </is>
      </c>
      <c r="L16" s="31" t="inlineStr">
        <is>
          <t>midcap</t>
        </is>
      </c>
      <c r="M16" s="32" t="n">
        <v>15133.7</v>
      </c>
      <c r="N16" s="32" t="n">
        <v>4883.5</v>
      </c>
      <c r="O16" s="32" t="n">
        <v>1.87</v>
      </c>
      <c r="P16" s="32" t="n">
        <v>78135</v>
      </c>
      <c r="Q16" s="31" t="n">
        <v>41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65.09</v>
      </c>
      <c r="U16" s="32" t="n">
        <v>23.36</v>
      </c>
      <c r="V16" s="32" t="n">
        <v>3967.24</v>
      </c>
      <c r="W16" s="31" t="inlineStr">
        <is>
          <t>Near 52W High Breakout</t>
        </is>
      </c>
      <c r="X16" s="31" t="inlineStr">
        <is>
          <t>Nifty 50</t>
        </is>
      </c>
      <c r="Y16" s="32" t="n">
        <v>-3.34</v>
      </c>
      <c r="Z16" s="32" t="n">
        <v>30.73</v>
      </c>
      <c r="AA16" s="32" t="n">
        <v>35.25</v>
      </c>
      <c r="AB16" s="32" t="n">
        <v>10.68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Between 12 to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IF(B17=0,"",RANK(B17,$B$2:$B$21,0))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139.6</v>
      </c>
      <c r="E17" s="32" t="inlineStr">
        <is>
          <t>5%</t>
        </is>
      </c>
      <c r="F17" s="32" t="n">
        <v>50000</v>
      </c>
      <c r="G17" s="32" t="n">
        <v>67</v>
      </c>
      <c r="H17" s="31" t="inlineStr">
        <is>
          <t>WELENT</t>
        </is>
      </c>
      <c r="I17" s="31" t="inlineStr">
        <is>
          <t>Welspun Enterprises Limited</t>
        </is>
      </c>
      <c r="J17" s="31" t="inlineStr">
        <is>
          <t>realty</t>
        </is>
      </c>
      <c r="K17" s="31" t="inlineStr">
        <is>
          <t>construction</t>
        </is>
      </c>
      <c r="L17" s="31" t="inlineStr">
        <is>
          <t>midcap</t>
        </is>
      </c>
      <c r="M17" s="32" t="n">
        <v>9765.790000000001</v>
      </c>
      <c r="N17" s="32" t="n">
        <v>741.7</v>
      </c>
      <c r="O17" s="32" t="n">
        <v>5.12</v>
      </c>
      <c r="P17" s="32" t="n">
        <v>1021703</v>
      </c>
      <c r="Q17" s="31" t="n">
        <v>69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76.78</v>
      </c>
      <c r="U17" s="32" t="n">
        <v>26.89</v>
      </c>
      <c r="V17" s="32" t="n">
        <v>595.0599999999999</v>
      </c>
      <c r="W17" s="31" t="inlineStr">
        <is>
          <t>Near 52W High Breakout</t>
        </is>
      </c>
      <c r="X17" s="31" t="inlineStr">
        <is>
          <t>Nifty Realty</t>
        </is>
      </c>
      <c r="Y17" s="32" t="n">
        <v>-6.04</v>
      </c>
      <c r="Z17" s="32" t="n">
        <v>49.74</v>
      </c>
      <c r="AA17" s="32" t="n">
        <v>59.38</v>
      </c>
      <c r="AB17" s="32" t="n">
        <v>19.68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IF(B18=0,"",RANK(B18,$B$2:$B$21,0))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138.1</v>
      </c>
      <c r="E18" s="32" t="inlineStr">
        <is>
          <t>5%</t>
        </is>
      </c>
      <c r="F18" s="32" t="n">
        <v>50000</v>
      </c>
      <c r="G18" s="32" t="n">
        <v>45</v>
      </c>
      <c r="H18" s="31" t="inlineStr">
        <is>
          <t>MANGLMCEM</t>
        </is>
      </c>
      <c r="I18" s="31" t="inlineStr">
        <is>
          <t>Mangalam Cement Limited</t>
        </is>
      </c>
      <c r="J18" s="31" t="inlineStr">
        <is>
          <t>building materials</t>
        </is>
      </c>
      <c r="K18" s="31" t="inlineStr">
        <is>
          <t>cement - north india</t>
        </is>
      </c>
      <c r="L18" s="31" t="inlineStr">
        <is>
          <t>smallcap</t>
        </is>
      </c>
      <c r="M18" s="32" t="n">
        <v>2980.71</v>
      </c>
      <c r="N18" s="32" t="n">
        <v>1092.9</v>
      </c>
      <c r="O18" s="32" t="n">
        <v>0.82</v>
      </c>
      <c r="P18" s="32" t="n">
        <v>304145</v>
      </c>
      <c r="Q18" s="31" t="n">
        <v>50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69.88</v>
      </c>
      <c r="U18" s="32" t="n">
        <v>26.83</v>
      </c>
      <c r="V18" s="32" t="n">
        <v>894.34</v>
      </c>
      <c r="W18" s="31" t="inlineStr">
        <is>
          <t>Near 52W High Breakout</t>
        </is>
      </c>
      <c r="X18" s="31" t="inlineStr">
        <is>
          <t>Nifty Infra</t>
        </is>
      </c>
      <c r="Y18" s="32" t="n">
        <v>1.61</v>
      </c>
      <c r="Z18" s="32" t="n">
        <v>51.54</v>
      </c>
      <c r="AA18" s="32" t="n">
        <v>49.15</v>
      </c>
      <c r="AB18" s="32" t="n">
        <v>13.13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No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Between 0.7 to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IF(B19=0,"",RANK(B19,$B$2:$B$21,0))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140</v>
      </c>
      <c r="E19" s="32" t="inlineStr">
        <is>
          <t>5%</t>
        </is>
      </c>
      <c r="F19" s="32" t="n">
        <v>50000</v>
      </c>
      <c r="G19" s="32" t="n">
        <v>457</v>
      </c>
      <c r="H19" s="31" t="inlineStr">
        <is>
          <t>MANAKSTEEL</t>
        </is>
      </c>
      <c r="I19" s="31" t="inlineStr">
        <is>
          <t>Manaksia Steels Limited</t>
        </is>
      </c>
      <c r="J19" s="31" t="inlineStr">
        <is>
          <t>metals &amp; mining</t>
        </is>
      </c>
      <c r="K19" s="31" t="inlineStr">
        <is>
          <t>steel - medium / small</t>
        </is>
      </c>
      <c r="L19" s="31" t="inlineStr">
        <is>
          <t>smallcap</t>
        </is>
      </c>
      <c r="M19" s="32" t="n">
        <v>682.21</v>
      </c>
      <c r="N19" s="32" t="n">
        <v>109.3</v>
      </c>
      <c r="O19" s="32" t="n">
        <v>5</v>
      </c>
      <c r="P19" s="32" t="n">
        <v>509467</v>
      </c>
      <c r="Q19" s="31" t="n">
        <v>76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77.62</v>
      </c>
      <c r="U19" s="32" t="n">
        <v>41.97</v>
      </c>
      <c r="V19" s="32" t="n">
        <v>82.66</v>
      </c>
      <c r="W19" s="31" t="inlineStr">
        <is>
          <t>Volume Spike &amp; Near 52W High Breakout</t>
        </is>
      </c>
      <c r="X19" s="31" t="inlineStr">
        <is>
          <t>Nifty Metal</t>
        </is>
      </c>
      <c r="Y19" s="32" t="n">
        <v>39.6</v>
      </c>
      <c r="Z19" s="32" t="n">
        <v>77.15000000000001</v>
      </c>
      <c r="AA19" s="32" t="n">
        <v>26.9</v>
      </c>
      <c r="AB19" s="32" t="n">
        <v>22.59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Volatile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IF(B20=0,"",RANK(B20,$B$2:$B$21,0))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139.2</v>
      </c>
      <c r="E20" s="32" t="inlineStr">
        <is>
          <t>5%</t>
        </is>
      </c>
      <c r="F20" s="32" t="n">
        <v>50000</v>
      </c>
      <c r="G20" s="32" t="n">
        <v>28</v>
      </c>
      <c r="H20" s="31" t="inlineStr">
        <is>
          <t>SEAMECLTD</t>
        </is>
      </c>
      <c r="I20" s="31" t="inlineStr">
        <is>
          <t>Seamec Limited</t>
        </is>
      </c>
      <c r="J20" s="31" t="inlineStr">
        <is>
          <t>miscellaneous</t>
        </is>
      </c>
      <c r="K20" s="31" t="inlineStr">
        <is>
          <t>miscellaneous</t>
        </is>
      </c>
      <c r="L20" s="31" t="inlineStr">
        <is>
          <t>smallcap</t>
        </is>
      </c>
      <c r="M20" s="32" t="n">
        <v>4268.35</v>
      </c>
      <c r="N20" s="32" t="n">
        <v>1735.7</v>
      </c>
      <c r="O20" s="32" t="n">
        <v>3.39</v>
      </c>
      <c r="P20" s="32" t="n">
        <v>168329</v>
      </c>
      <c r="Q20" s="31" t="n">
        <v>56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69.3</v>
      </c>
      <c r="U20" s="32" t="n">
        <v>18.92</v>
      </c>
      <c r="V20" s="32" t="n">
        <v>1360.9</v>
      </c>
      <c r="W20" s="31" t="inlineStr">
        <is>
          <t>Near 52W High Breakout</t>
        </is>
      </c>
      <c r="X20" s="31" t="inlineStr">
        <is>
          <t>Nifty 50</t>
        </is>
      </c>
      <c r="Y20" s="32" t="n">
        <v>-3.34</v>
      </c>
      <c r="Z20" s="32" t="n">
        <v>87.59999999999999</v>
      </c>
      <c r="AA20" s="32" t="n">
        <v>94.08</v>
      </c>
      <c r="AB20" s="32" t="n">
        <v>15.85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IF(B21=0,"",RANK(B21,$B$2:$B$21,0))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EMA Crossover</t>
        </is>
      </c>
      <c r="D21" s="32" t="n">
        <v>142</v>
      </c>
      <c r="E21" s="32" t="inlineStr">
        <is>
          <t>7%</t>
        </is>
      </c>
      <c r="F21" s="32" t="n">
        <v>70000</v>
      </c>
      <c r="G21" s="32" t="n">
        <v>68</v>
      </c>
      <c r="H21" s="33" t="inlineStr">
        <is>
          <t>MAITHANALL</t>
        </is>
      </c>
      <c r="I21" s="33" t="inlineStr">
        <is>
          <t>Maithan Alloys Limited</t>
        </is>
      </c>
      <c r="J21" s="31" t="inlineStr">
        <is>
          <t>metals &amp; mining</t>
        </is>
      </c>
      <c r="K21" s="31" t="inlineStr">
        <is>
          <t>mining / minerals / metals</t>
        </is>
      </c>
      <c r="L21" s="31" t="inlineStr">
        <is>
          <t>smallcap</t>
        </is>
      </c>
      <c r="M21" s="32" t="n">
        <v>2831.83</v>
      </c>
      <c r="N21" s="32" t="n">
        <v>1019.35</v>
      </c>
      <c r="O21" s="32" t="n">
        <v>4.79</v>
      </c>
      <c r="P21" s="32" t="n">
        <v>435952</v>
      </c>
      <c r="Q21" s="31" t="n">
        <v>2</v>
      </c>
      <c r="R21" s="31" t="inlineStr">
        <is>
          <t>Underperforming</t>
        </is>
      </c>
      <c r="S21" s="32">
        <f>IF(R21="Underperforming",-5,IF(Q21&gt;=95,15,IF(Q21&gt;=90,10,IF(Q21&gt;=80,5,0))))</f>
        <v/>
      </c>
      <c r="T21" s="32" t="n">
        <v>53.02</v>
      </c>
      <c r="U21" s="32" t="n">
        <v>23.96</v>
      </c>
      <c r="V21" s="32" t="n">
        <v>902.58</v>
      </c>
      <c r="W21" s="31" t="inlineStr">
        <is>
          <t>Volume Spike / Accumulation</t>
        </is>
      </c>
      <c r="X21" s="31" t="inlineStr">
        <is>
          <t>Nifty Metal</t>
        </is>
      </c>
      <c r="Y21" s="32" t="n">
        <v>39.6</v>
      </c>
      <c r="Z21" s="32" t="n">
        <v>-9.050000000000001</v>
      </c>
      <c r="AA21" s="32" t="n">
        <v>-34.85</v>
      </c>
      <c r="AB21" s="32" t="n">
        <v>-1.1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1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Close to 52 week high or retracement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IF(B2=0,"",RANK(B2,$B$2:$B$3,0))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</v>
      </c>
      <c r="E2" s="32" t="inlineStr">
        <is>
          <t>5%</t>
        </is>
      </c>
      <c r="F2" s="32" t="n">
        <v>50000</v>
      </c>
      <c r="G2" s="32" t="n">
        <v>342</v>
      </c>
      <c r="H2" s="31" t="inlineStr">
        <is>
          <t>TFCILTD</t>
        </is>
      </c>
      <c r="I2" s="31" t="inlineStr">
        <is>
          <t>Tourism Finance Corporation Of India Limited</t>
        </is>
      </c>
      <c r="J2" s="31" t="inlineStr">
        <is>
          <t>financials</t>
        </is>
      </c>
      <c r="K2" s="31" t="inlineStr">
        <is>
          <t>finance - term-lending institutions</t>
        </is>
      </c>
      <c r="L2" s="31" t="inlineStr">
        <is>
          <t>midcap</t>
        </is>
      </c>
      <c r="M2" s="32" t="n">
        <v>6531.22</v>
      </c>
      <c r="N2" s="32" t="n">
        <v>146.14</v>
      </c>
      <c r="O2" s="32" t="n">
        <v>3.59</v>
      </c>
      <c r="P2" s="32" t="n">
        <v>14852059</v>
      </c>
      <c r="Q2" s="31" t="n">
        <v>92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86.55</v>
      </c>
      <c r="U2" s="32" t="n">
        <v>62.45</v>
      </c>
      <c r="V2" s="32" t="n">
        <v>116.96</v>
      </c>
      <c r="W2" s="31" t="inlineStr">
        <is>
          <t>Near 52W High Breakout</t>
        </is>
      </c>
      <c r="X2" s="31" t="inlineStr">
        <is>
          <t>Nifty Bank</t>
        </is>
      </c>
      <c r="Y2" s="32" t="n">
        <v>5.65</v>
      </c>
      <c r="Z2" s="32" t="n">
        <v>112.26</v>
      </c>
      <c r="AA2" s="32" t="n">
        <v>100.91</v>
      </c>
      <c r="AB2" s="32" t="n">
        <v>39.96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above 5x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IF(B3=0,"",RANK(B3,$B$2:$B$3,0))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138.8</v>
      </c>
      <c r="E3" s="32" t="inlineStr">
        <is>
          <t>5%</t>
        </is>
      </c>
      <c r="F3" s="32" t="n">
        <v>50000</v>
      </c>
      <c r="G3" s="32" t="n">
        <v>508</v>
      </c>
      <c r="H3" s="31" t="inlineStr">
        <is>
          <t>IFCI</t>
        </is>
      </c>
      <c r="I3" s="31" t="inlineStr">
        <is>
          <t>Ifci Limited</t>
        </is>
      </c>
      <c r="J3" s="31" t="inlineStr">
        <is>
          <t>financials</t>
        </is>
      </c>
      <c r="K3" s="31" t="inlineStr">
        <is>
          <t>finance - term-lending institutions</t>
        </is>
      </c>
      <c r="L3" s="31" t="inlineStr">
        <is>
          <t>largecap</t>
        </is>
      </c>
      <c r="M3" s="32" t="n">
        <v>23510.59</v>
      </c>
      <c r="N3" s="32" t="n">
        <v>98.31999999999999</v>
      </c>
      <c r="O3" s="32" t="n">
        <v>12.67</v>
      </c>
      <c r="P3" s="32" t="n">
        <v>428062214</v>
      </c>
      <c r="Q3" s="31" t="n">
        <v>68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72.22</v>
      </c>
      <c r="U3" s="32" t="n">
        <v>46.91</v>
      </c>
      <c r="V3" s="32" t="n">
        <v>74.09999999999999</v>
      </c>
      <c r="W3" s="31" t="inlineStr">
        <is>
          <t>Volume Spike &amp; Near 52W High Breakout</t>
        </is>
      </c>
      <c r="X3" s="31" t="inlineStr">
        <is>
          <t>Nifty Bank</t>
        </is>
      </c>
      <c r="Y3" s="32" t="n">
        <v>5.65</v>
      </c>
      <c r="Z3" s="32" t="n">
        <v>87.53</v>
      </c>
      <c r="AA3" s="32" t="n">
        <v>77.5</v>
      </c>
      <c r="AB3" s="32" t="n">
        <v>19.52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between 2.5x to 5x and Growth less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Above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2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IF(B2=0,"",RANK(B2,$B$2:$B$95,0))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MENONBE</t>
        </is>
      </c>
      <c r="D2" s="31" t="inlineStr">
        <is>
          <t>Menon Bearings Ltd</t>
        </is>
      </c>
      <c r="E2" s="31" t="inlineStr">
        <is>
          <t>auto</t>
        </is>
      </c>
      <c r="F2" s="31" t="inlineStr">
        <is>
          <t>Auto Ancillaries - Bearings</t>
        </is>
      </c>
      <c r="G2" s="31" t="inlineStr">
        <is>
          <t>smallcap</t>
        </is>
      </c>
      <c r="H2" s="32" t="n">
        <v>1641.97</v>
      </c>
      <c r="I2" s="32" t="n">
        <v>293</v>
      </c>
      <c r="J2" s="32" t="n">
        <v>-2.79</v>
      </c>
      <c r="K2" s="32" t="n">
        <v>0</v>
      </c>
      <c r="L2" s="31" t="n">
        <v>97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83.59999999999999</v>
      </c>
      <c r="P2" s="32" t="n">
        <v>60.19</v>
      </c>
      <c r="Q2" s="32" t="n">
        <v>222.18</v>
      </c>
      <c r="R2" s="31" t="inlineStr">
        <is>
          <t>Near 52W High Breakout</t>
        </is>
      </c>
      <c r="S2" s="31" t="inlineStr">
        <is>
          <t>Nifty Auto</t>
        </is>
      </c>
      <c r="T2" s="32" t="n">
        <v>17.66</v>
      </c>
      <c r="U2" s="32" t="n">
        <v>131.25</v>
      </c>
      <c r="V2" s="32" t="n">
        <v>96.54000000000001</v>
      </c>
      <c r="W2" s="32" t="n">
        <v>58.4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IF(B3=0,"",RANK(B3,$B$2:$B$95,0))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IOLCP</t>
        </is>
      </c>
      <c r="D3" s="31" t="inlineStr">
        <is>
          <t>IOL Chemicals &amp; Pharmaceuticals Ltd</t>
        </is>
      </c>
      <c r="E3" s="31" t="inlineStr">
        <is>
          <t>healthcare</t>
        </is>
      </c>
      <c r="F3" s="31" t="inlineStr">
        <is>
          <t>Pharma - API &amp; CRAMS</t>
        </is>
      </c>
      <c r="G3" s="31" t="inlineStr">
        <is>
          <t>midcap</t>
        </is>
      </c>
      <c r="H3" s="32" t="n">
        <v>5532.99</v>
      </c>
      <c r="I3" s="32" t="n">
        <v>188.5</v>
      </c>
      <c r="J3" s="32" t="n">
        <v>-1.04</v>
      </c>
      <c r="K3" s="32" t="n">
        <v>0</v>
      </c>
      <c r="L3" s="31" t="n">
        <v>85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73.98</v>
      </c>
      <c r="P3" s="32" t="n">
        <v>80.54000000000001</v>
      </c>
      <c r="Q3" s="32" t="n">
        <v>144.2</v>
      </c>
      <c r="R3" s="31" t="inlineStr">
        <is>
          <t>Near 52W High Breakout</t>
        </is>
      </c>
      <c r="S3" s="31" t="inlineStr">
        <is>
          <t>Nifty Pharma</t>
        </is>
      </c>
      <c r="T3" s="32" t="n">
        <v>22.15</v>
      </c>
      <c r="U3" s="32" t="n">
        <v>97.02</v>
      </c>
      <c r="V3" s="32" t="n">
        <v>61.3</v>
      </c>
      <c r="W3" s="32" t="n">
        <v>28.01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23</t>
        </is>
      </c>
      <c r="CG3" s="31">
        <f>IF(CF3&gt;20,10,IF(CF3&gt;=10,5,2))</f>
        <v/>
      </c>
    </row>
    <row r="4">
      <c r="A4" s="31">
        <f>IF(B4=0,"",RANK(B4,$B$2:$B$95,0))</f>
        <v/>
      </c>
      <c r="B4" s="32">
        <f>SUM(N4,Y4,AA4,AC4,AE4,AG4,AI4,AK4,AM4,AO4,AQ4,AS4,AU4,AW4,AY4,BA4,BC4,BE4,BG4,BI4,BK4,BM4,BO4,BQ4,BS4,BU4,BW4,BY4,CA4,CC4,CE4,CG4)</f>
        <v/>
      </c>
      <c r="C4" s="34" t="inlineStr">
        <is>
          <t>REDINGTON</t>
        </is>
      </c>
      <c r="D4" s="34" t="inlineStr">
        <is>
          <t>Redington Ltd</t>
        </is>
      </c>
      <c r="E4" s="31" t="inlineStr">
        <is>
          <t>services</t>
        </is>
      </c>
      <c r="F4" s="31" t="inlineStr">
        <is>
          <t>Computer - Hardware</t>
        </is>
      </c>
      <c r="G4" s="31" t="inlineStr">
        <is>
          <t>largecap</t>
        </is>
      </c>
      <c r="H4" s="32" t="n">
        <v>28347.14</v>
      </c>
      <c r="I4" s="32" t="n">
        <v>362.6</v>
      </c>
      <c r="J4" s="32" t="n">
        <v>3.72</v>
      </c>
      <c r="K4" s="32" t="n">
        <v>0</v>
      </c>
      <c r="L4" s="31" t="n">
        <v>76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69.79000000000001</v>
      </c>
      <c r="P4" s="32" t="n">
        <v>42.2</v>
      </c>
      <c r="Q4" s="32" t="n">
        <v>283.05</v>
      </c>
      <c r="R4" s="31" t="inlineStr">
        <is>
          <t>Near 52W High Breakout</t>
        </is>
      </c>
      <c r="S4" s="31" t="inlineStr">
        <is>
          <t>Nifty 50</t>
        </is>
      </c>
      <c r="T4" s="32" t="n">
        <v>-3.34</v>
      </c>
      <c r="U4" s="32" t="n">
        <v>56.74</v>
      </c>
      <c r="V4" s="32" t="n">
        <v>62.16</v>
      </c>
      <c r="W4" s="32" t="n">
        <v>22.55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20</t>
        </is>
      </c>
      <c r="CG4" s="31">
        <f>IF(CF4&gt;20,10,IF(CF4&gt;=10,5,2))</f>
        <v/>
      </c>
    </row>
    <row r="5">
      <c r="A5" s="31">
        <f>IF(B5=0,"",RANK(B5,$B$2:$B$95,0))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VINCOFE</t>
        </is>
      </c>
      <c r="D5" s="31" t="inlineStr">
        <is>
          <t>Vintage Coffee &amp; Beverages Ltd</t>
        </is>
      </c>
      <c r="E5" s="31" t="inlineStr">
        <is>
          <t>consumer discretionary</t>
        </is>
      </c>
      <c r="F5" s="31" t="inlineStr">
        <is>
          <t>FMCG - Coffee</t>
        </is>
      </c>
      <c r="G5" s="31" t="inlineStr">
        <is>
          <t>smallcap</t>
        </is>
      </c>
      <c r="H5" s="32" t="n">
        <v>2572.86</v>
      </c>
      <c r="I5" s="32" t="n">
        <v>176.6</v>
      </c>
      <c r="J5" s="32" t="n">
        <v>-0.2</v>
      </c>
      <c r="K5" s="32" t="n">
        <v>0</v>
      </c>
      <c r="L5" s="31" t="n">
        <v>33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65.04000000000001</v>
      </c>
      <c r="P5" s="32" t="n">
        <v>27.66</v>
      </c>
      <c r="Q5" s="32" t="n">
        <v>133.44</v>
      </c>
      <c r="R5" s="31" t="inlineStr">
        <is>
          <t>Near 52W High Breakout</t>
        </is>
      </c>
      <c r="S5" s="31" t="inlineStr">
        <is>
          <t>Nifty 50</t>
        </is>
      </c>
      <c r="T5" s="32" t="n">
        <v>-3.34</v>
      </c>
      <c r="U5" s="32" t="n">
        <v>20.35</v>
      </c>
      <c r="V5" s="32" t="n">
        <v>24.51</v>
      </c>
      <c r="W5" s="32" t="n">
        <v>8.35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26</t>
        </is>
      </c>
      <c r="CG5" s="31">
        <f>IF(CF5&gt;20,10,IF(CF5&gt;=10,5,2))</f>
        <v/>
      </c>
    </row>
    <row r="6">
      <c r="A6" s="31">
        <f>IF(B6=0,"",RANK(B6,$B$2:$B$95,0))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AVTNPL</t>
        </is>
      </c>
      <c r="D6" s="31" t="inlineStr">
        <is>
          <t>AVT Natural Products Ltd</t>
        </is>
      </c>
      <c r="E6" s="31" t="inlineStr">
        <is>
          <t>fmcg</t>
        </is>
      </c>
      <c r="F6" s="31" t="inlineStr">
        <is>
          <t>Agricultural Processing - Maize</t>
        </is>
      </c>
      <c r="G6" s="31" t="inlineStr">
        <is>
          <t>smallcap</t>
        </is>
      </c>
      <c r="H6" s="32" t="n">
        <v>1335.53</v>
      </c>
      <c r="I6" s="32" t="n">
        <v>87.7</v>
      </c>
      <c r="J6" s="32" t="n">
        <v>-0.8</v>
      </c>
      <c r="K6" s="32" t="n">
        <v>0</v>
      </c>
      <c r="L6" s="31" t="n">
        <v>39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73.08</v>
      </c>
      <c r="P6" s="32" t="n">
        <v>40.64</v>
      </c>
      <c r="Q6" s="32" t="n">
        <v>69.31</v>
      </c>
      <c r="R6" s="31" t="inlineStr">
        <is>
          <t>Near 52W High Breakout</t>
        </is>
      </c>
      <c r="S6" s="31" t="inlineStr">
        <is>
          <t>Nifty FMCG</t>
        </is>
      </c>
      <c r="T6" s="32" t="n">
        <v>-15.28</v>
      </c>
      <c r="U6" s="32" t="n">
        <v>15.99</v>
      </c>
      <c r="V6" s="32" t="n">
        <v>36.91</v>
      </c>
      <c r="W6" s="32" t="n">
        <v>10.06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23</t>
        </is>
      </c>
      <c r="CG6" s="31">
        <f>IF(CF6&gt;20,10,IF(CF6&gt;=10,5,2))</f>
        <v/>
      </c>
    </row>
    <row r="7">
      <c r="A7" s="31">
        <f>IF(B7=0,"",RANK(B7,$B$2:$B$95,0))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CUPID</t>
        </is>
      </c>
      <c r="D7" s="31" t="inlineStr">
        <is>
          <t>Cupid Ltd</t>
        </is>
      </c>
      <c r="E7" s="31" t="inlineStr">
        <is>
          <t>fmcg</t>
        </is>
      </c>
      <c r="F7" s="31" t="inlineStr">
        <is>
          <t>Contraceptives/Protectives</t>
        </is>
      </c>
      <c r="G7" s="31" t="inlineStr">
        <is>
          <t>largecap</t>
        </is>
      </c>
      <c r="H7" s="32" t="n">
        <v>37784.97</v>
      </c>
      <c r="I7" s="32" t="n">
        <v>281</v>
      </c>
      <c r="J7" s="32" t="n">
        <v>2.16</v>
      </c>
      <c r="K7" s="32" t="n">
        <v>0</v>
      </c>
      <c r="L7" s="31" t="n">
        <v>99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85.76000000000001</v>
      </c>
      <c r="P7" s="32" t="n">
        <v>73.11</v>
      </c>
      <c r="Q7" s="32" t="n">
        <v>228.23</v>
      </c>
      <c r="R7" s="31" t="inlineStr">
        <is>
          <t>Near 52W High Breakout</t>
        </is>
      </c>
      <c r="S7" s="31" t="inlineStr">
        <is>
          <t>Nifty FMCG</t>
        </is>
      </c>
      <c r="T7" s="32" t="n">
        <v>-15.28</v>
      </c>
      <c r="U7" s="32" t="n">
        <v>848.89</v>
      </c>
      <c r="V7" s="32" t="n">
        <v>1020.02</v>
      </c>
      <c r="W7" s="32" t="n">
        <v>93.34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21</t>
        </is>
      </c>
      <c r="CG7" s="31">
        <f>IF(CF7&gt;20,10,IF(CF7&gt;=10,5,2))</f>
        <v/>
      </c>
    </row>
    <row r="8">
      <c r="A8" s="31">
        <f>IF(B8=0,"",RANK(B8,$B$2:$B$95,0))</f>
        <v/>
      </c>
      <c r="B8" s="32">
        <f>SUM(N8,Y8,AA8,AC8,AE8,AG8,AI8,AK8,AM8,AO8,AQ8,AS8,AU8,AW8,AY8,BA8,BC8,BE8,BG8,BI8,BK8,BM8,BO8,BQ8,BS8,BU8,BW8,BY8,CA8,CC8,CE8,CG8)</f>
        <v/>
      </c>
      <c r="C8" s="34" t="inlineStr">
        <is>
          <t>BIRLACABLE</t>
        </is>
      </c>
      <c r="D8" s="34" t="inlineStr">
        <is>
          <t>Birla Cable Ltd</t>
        </is>
      </c>
      <c r="E8" s="31" t="inlineStr">
        <is>
          <t>industrials</t>
        </is>
      </c>
      <c r="F8" s="31" t="inlineStr">
        <is>
          <t>Cables - Telecom</t>
        </is>
      </c>
      <c r="G8" s="31" t="inlineStr">
        <is>
          <t>smallcap</t>
        </is>
      </c>
      <c r="H8" s="32" t="n">
        <v>1024.8</v>
      </c>
      <c r="I8" s="32" t="n">
        <v>341.6</v>
      </c>
      <c r="J8" s="32" t="n">
        <v>4.99</v>
      </c>
      <c r="K8" s="32" t="n">
        <v>0</v>
      </c>
      <c r="L8" s="31" t="n">
        <v>95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76.84</v>
      </c>
      <c r="P8" s="32" t="n">
        <v>50.01</v>
      </c>
      <c r="Q8" s="32" t="n">
        <v>254.1</v>
      </c>
      <c r="R8" s="31" t="inlineStr">
        <is>
          <t>Volume Spike &amp; Near 52W High Breakout</t>
        </is>
      </c>
      <c r="S8" s="31" t="inlineStr">
        <is>
          <t>Nifty Infra</t>
        </is>
      </c>
      <c r="T8" s="32" t="n">
        <v>1.61</v>
      </c>
      <c r="U8" s="32" t="n">
        <v>100.78</v>
      </c>
      <c r="V8" s="32" t="n">
        <v>97.61</v>
      </c>
      <c r="W8" s="32" t="n">
        <v>47.14</v>
      </c>
      <c r="X8" s="31" t="inlineStr">
        <is>
          <t>Cyclical in an Upturn</t>
        </is>
      </c>
      <c r="Y8" s="31">
        <f>IF(X8="Growing Industry",10,IF(X8="Cyclical in an Upturn",5,0))</f>
        <v/>
      </c>
      <c r="Z8" s="31" t="inlineStr">
        <is>
          <t>Oligopoly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28</t>
        </is>
      </c>
      <c r="CG8" s="31">
        <f>IF(CF8&gt;20,10,IF(CF8&gt;=10,5,2))</f>
        <v/>
      </c>
    </row>
    <row r="9">
      <c r="A9" s="31">
        <f>IF(B9=0,"",RANK(B9,$B$2:$B$95,0))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TBZ</t>
        </is>
      </c>
      <c r="D9" s="31" t="inlineStr">
        <is>
          <t>Tribhovandas Bhimji Zaveri Ltd</t>
        </is>
      </c>
      <c r="E9" s="31" t="inlineStr">
        <is>
          <t>consumer discretionary</t>
        </is>
      </c>
      <c r="F9" s="31" t="inlineStr">
        <is>
          <t>Diamond, Gems &amp; Jewellery</t>
        </is>
      </c>
      <c r="G9" s="31" t="inlineStr">
        <is>
          <t>smallcap</t>
        </is>
      </c>
      <c r="H9" s="32" t="n">
        <v>2762.65</v>
      </c>
      <c r="I9" s="32" t="n">
        <v>414</v>
      </c>
      <c r="J9" s="32" t="n">
        <v>12.87</v>
      </c>
      <c r="K9" s="32" t="n">
        <v>0</v>
      </c>
      <c r="L9" s="31" t="n">
        <v>97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86.06999999999999</v>
      </c>
      <c r="P9" s="32" t="n">
        <v>48.76</v>
      </c>
      <c r="Q9" s="32" t="n">
        <v>309.55</v>
      </c>
      <c r="R9" s="31" t="inlineStr">
        <is>
          <t>Volume Spike &amp; Near 52W High Breakout</t>
        </is>
      </c>
      <c r="S9" s="31" t="inlineStr">
        <is>
          <t>Nifty 50</t>
        </is>
      </c>
      <c r="T9" s="32" t="n">
        <v>-3.34</v>
      </c>
      <c r="U9" s="32" t="n">
        <v>129.46</v>
      </c>
      <c r="V9" s="32" t="n">
        <v>137.39</v>
      </c>
      <c r="W9" s="32" t="n">
        <v>59.73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Between 0.7 to 1.2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28</t>
        </is>
      </c>
      <c r="CG9" s="31">
        <f>IF(CF9&gt;20,10,IF(CF9&gt;=10,5,2))</f>
        <v/>
      </c>
    </row>
    <row r="10">
      <c r="A10" s="31">
        <f>IF(B10=0,"",RANK(B10,$B$2:$B$95,0))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INDOBORAX</t>
        </is>
      </c>
      <c r="D10" s="31" t="inlineStr">
        <is>
          <t>Indo Borax &amp; Chemicals Ltd</t>
        </is>
      </c>
      <c r="E10" s="31" t="inlineStr">
        <is>
          <t>chemicals</t>
        </is>
      </c>
      <c r="F10" s="31" t="inlineStr">
        <is>
          <t>Chemicals - Inorganic</t>
        </is>
      </c>
      <c r="G10" s="31" t="inlineStr">
        <is>
          <t>smallcap</t>
        </is>
      </c>
      <c r="H10" s="32" t="n">
        <v>1626.96</v>
      </c>
      <c r="I10" s="32" t="n">
        <v>507</v>
      </c>
      <c r="J10" s="32" t="n">
        <v>-1.75</v>
      </c>
      <c r="K10" s="32" t="n">
        <v>0</v>
      </c>
      <c r="L10" s="31" t="n">
        <v>87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77.45</v>
      </c>
      <c r="P10" s="32" t="n">
        <v>75.41</v>
      </c>
      <c r="Q10" s="32" t="n">
        <v>370.83</v>
      </c>
      <c r="R10" s="31" t="inlineStr">
        <is>
          <t>Near 52W High Breakout</t>
        </is>
      </c>
      <c r="S10" s="31" t="inlineStr">
        <is>
          <t>Nifty 50</t>
        </is>
      </c>
      <c r="T10" s="32" t="n">
        <v>-3.34</v>
      </c>
      <c r="U10" s="32" t="n">
        <v>130.96</v>
      </c>
      <c r="V10" s="32" t="n">
        <v>138.94</v>
      </c>
      <c r="W10" s="32" t="n">
        <v>30.59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22</t>
        </is>
      </c>
      <c r="CG10" s="31">
        <f>IF(CF10&gt;20,10,IF(CF10&gt;=10,5,2))</f>
        <v/>
      </c>
    </row>
    <row r="11">
      <c r="A11" s="31">
        <f>IF(B11=0,"",RANK(B11,$B$2:$B$95,0))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RPEL</t>
        </is>
      </c>
      <c r="D11" s="31" t="inlineStr">
        <is>
          <t>Raghav Productivity Enhancers Ltd</t>
        </is>
      </c>
      <c r="E11" s="31" t="inlineStr">
        <is>
          <t>building materials</t>
        </is>
      </c>
      <c r="F11" s="31" t="inlineStr">
        <is>
          <t>Steel Products</t>
        </is>
      </c>
      <c r="G11" s="31" t="inlineStr">
        <is>
          <t>midcap</t>
        </is>
      </c>
      <c r="H11" s="32" t="n">
        <v>8148.39</v>
      </c>
      <c r="I11" s="32" t="n">
        <v>1774.4</v>
      </c>
      <c r="J11" s="32" t="n">
        <v>2.74</v>
      </c>
      <c r="K11" s="32" t="n">
        <v>0</v>
      </c>
      <c r="L11" s="31" t="n">
        <v>98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84.11</v>
      </c>
      <c r="P11" s="32" t="n">
        <v>62.19</v>
      </c>
      <c r="Q11" s="32" t="n">
        <v>1395.35</v>
      </c>
      <c r="R11" s="31" t="inlineStr">
        <is>
          <t>Near 52W High Breakout</t>
        </is>
      </c>
      <c r="S11" s="31" t="inlineStr">
        <is>
          <t>Nifty Infra</t>
        </is>
      </c>
      <c r="T11" s="32" t="n">
        <v>1.61</v>
      </c>
      <c r="U11" s="32" t="n">
        <v>168.76</v>
      </c>
      <c r="V11" s="32" t="n">
        <v>164.51</v>
      </c>
      <c r="W11" s="32" t="n">
        <v>65.16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Between 1.5 to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21</t>
        </is>
      </c>
      <c r="CG11" s="31">
        <f>IF(CF11&gt;20,10,IF(CF11&gt;=10,5,2))</f>
        <v/>
      </c>
    </row>
    <row r="12">
      <c r="A12" s="31">
        <f>IF(B12=0,"",RANK(B12,$B$2:$B$95,0))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UNIVCABLES</t>
        </is>
      </c>
      <c r="D12" s="31" t="inlineStr">
        <is>
          <t>Universal Cables Ltd</t>
        </is>
      </c>
      <c r="E12" s="31" t="inlineStr">
        <is>
          <t>industrials</t>
        </is>
      </c>
      <c r="F12" s="31" t="inlineStr">
        <is>
          <t>Cables - Power</t>
        </is>
      </c>
      <c r="G12" s="31" t="inlineStr">
        <is>
          <t>midcap</t>
        </is>
      </c>
      <c r="H12" s="32" t="n">
        <v>5669.23</v>
      </c>
      <c r="I12" s="32" t="n">
        <v>1634</v>
      </c>
      <c r="J12" s="32" t="n">
        <v>-0.64</v>
      </c>
      <c r="K12" s="32" t="n">
        <v>0</v>
      </c>
      <c r="L12" s="31" t="n">
        <v>93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71.08</v>
      </c>
      <c r="P12" s="32" t="n">
        <v>60.72</v>
      </c>
      <c r="Q12" s="32" t="n">
        <v>1223.6</v>
      </c>
      <c r="R12" s="31" t="inlineStr">
        <is>
          <t>Near 52W High Breakout</t>
        </is>
      </c>
      <c r="S12" s="31" t="inlineStr">
        <is>
          <t>Nifty Energy</t>
        </is>
      </c>
      <c r="T12" s="32" t="n">
        <v>7.88</v>
      </c>
      <c r="U12" s="32" t="n">
        <v>120.34</v>
      </c>
      <c r="V12" s="32" t="n">
        <v>104.24</v>
      </c>
      <c r="W12" s="32" t="n">
        <v>42.27</v>
      </c>
      <c r="X12" s="31" t="inlineStr">
        <is>
          <t>Cyclical in an Upturn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20</t>
        </is>
      </c>
      <c r="CG12" s="31">
        <f>IF(CF12&gt;20,10,IF(CF12&gt;=10,5,2))</f>
        <v/>
      </c>
    </row>
    <row r="13">
      <c r="A13" s="31">
        <f>IF(B13=0,"",RANK(B13,$B$2:$B$95,0))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KDDL</t>
        </is>
      </c>
      <c r="D13" s="31" t="inlineStr">
        <is>
          <t>KDDL Ltd</t>
        </is>
      </c>
      <c r="E13" s="31" t="inlineStr">
        <is>
          <t>consumer discretionary</t>
        </is>
      </c>
      <c r="F13" s="31" t="inlineStr">
        <is>
          <t>Watches</t>
        </is>
      </c>
      <c r="G13" s="31" t="inlineStr">
        <is>
          <t>smallcap</t>
        </is>
      </c>
      <c r="H13" s="32" t="n">
        <v>4762.28</v>
      </c>
      <c r="I13" s="32" t="n">
        <v>3872</v>
      </c>
      <c r="J13" s="32" t="n">
        <v>-0.14</v>
      </c>
      <c r="K13" s="32" t="n">
        <v>0</v>
      </c>
      <c r="L13" s="31" t="n">
        <v>61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71.92</v>
      </c>
      <c r="P13" s="32" t="n">
        <v>45.39</v>
      </c>
      <c r="Q13" s="32" t="n">
        <v>3075.76</v>
      </c>
      <c r="R13" s="31" t="inlineStr">
        <is>
          <t>Near 52W High Breakout</t>
        </is>
      </c>
      <c r="S13" s="31" t="inlineStr">
        <is>
          <t>Nifty 50</t>
        </is>
      </c>
      <c r="T13" s="32" t="n">
        <v>-3.34</v>
      </c>
      <c r="U13" s="32" t="n">
        <v>62.68</v>
      </c>
      <c r="V13" s="32" t="n">
        <v>68.3</v>
      </c>
      <c r="W13" s="32" t="n">
        <v>17.5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20</t>
        </is>
      </c>
      <c r="CG13" s="31">
        <f>IF(CF13&gt;20,10,IF(CF13&gt;=10,5,2))</f>
        <v/>
      </c>
    </row>
    <row r="14">
      <c r="A14" s="31">
        <f>IF(B14=0,"",RANK(B14,$B$2:$B$95,0))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DIFFNKG</t>
        </is>
      </c>
      <c r="D14" s="31" t="inlineStr">
        <is>
          <t>Diffusion Engineers Ltd</t>
        </is>
      </c>
      <c r="E14" s="31" t="inlineStr">
        <is>
          <t>industrials</t>
        </is>
      </c>
      <c r="F14" s="31" t="inlineStr">
        <is>
          <t>Welding Equipments</t>
        </is>
      </c>
      <c r="G14" s="31" t="inlineStr">
        <is>
          <t>smallcap</t>
        </is>
      </c>
      <c r="H14" s="32" t="n">
        <v>1792.72</v>
      </c>
      <c r="I14" s="32" t="n">
        <v>479</v>
      </c>
      <c r="J14" s="32" t="n">
        <v>0.31</v>
      </c>
      <c r="K14" s="32" t="n">
        <v>0</v>
      </c>
      <c r="L14" s="31" t="n">
        <v>76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69.09</v>
      </c>
      <c r="P14" s="32" t="n">
        <v>42.72</v>
      </c>
      <c r="Q14" s="32" t="n">
        <v>349.29</v>
      </c>
      <c r="R14" s="31" t="inlineStr">
        <is>
          <t>Volume Spike &amp; Near 52W High Breakout</t>
        </is>
      </c>
      <c r="S14" s="31" t="inlineStr">
        <is>
          <t>Nifty Infra</t>
        </is>
      </c>
      <c r="T14" s="32" t="n">
        <v>1.61</v>
      </c>
      <c r="U14" s="32" t="n">
        <v>41.76</v>
      </c>
      <c r="V14" s="32" t="n">
        <v>39.52</v>
      </c>
      <c r="W14" s="32" t="n">
        <v>22.55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20</t>
        </is>
      </c>
      <c r="CG14" s="31">
        <f>IF(CF14&gt;20,10,IF(CF14&gt;=10,5,2))</f>
        <v/>
      </c>
    </row>
    <row r="15">
      <c r="A15" s="31">
        <f>IF(B15=0,"",RANK(B15,$B$2:$B$95,0))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PCCL</t>
        </is>
      </c>
      <c r="D15" s="31" t="inlineStr">
        <is>
          <t>Petro Carbon &amp; Chemicals Ltd</t>
        </is>
      </c>
      <c r="E15" s="31" t="inlineStr">
        <is>
          <t>unknown</t>
        </is>
      </c>
      <c r="F15" s="31" t="inlineStr">
        <is>
          <t>Chemicals - Others</t>
        </is>
      </c>
      <c r="G15" s="31" t="inlineStr">
        <is>
          <t>smallcap</t>
        </is>
      </c>
      <c r="H15" s="32" t="n">
        <v>1037.4</v>
      </c>
      <c r="I15" s="32" t="n">
        <v>420</v>
      </c>
      <c r="J15" s="32" t="n">
        <v>3.49</v>
      </c>
      <c r="K15" s="32" t="n">
        <v>0</v>
      </c>
      <c r="L15" s="31" t="n">
        <v>82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79.44</v>
      </c>
      <c r="P15" s="32" t="n">
        <v>41.04</v>
      </c>
      <c r="Q15" s="32" t="n">
        <v>316.87</v>
      </c>
      <c r="R15" s="31" t="inlineStr">
        <is>
          <t>Near 52W High Breakout</t>
        </is>
      </c>
      <c r="S15" s="31" t="inlineStr">
        <is>
          <t>Nifty 50</t>
        </is>
      </c>
      <c r="T15" s="32" t="n">
        <v>-3.34</v>
      </c>
      <c r="U15" s="32" t="n">
        <v>114.17</v>
      </c>
      <c r="V15" s="32" t="n">
        <v>121.57</v>
      </c>
      <c r="W15" s="32" t="n">
        <v>25.04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19</t>
        </is>
      </c>
      <c r="CG15" s="31">
        <f>IF(CF15&gt;20,10,IF(CF15&gt;=10,5,2))</f>
        <v/>
      </c>
    </row>
    <row r="16">
      <c r="A16" s="31">
        <f>IF(B16=0,"",RANK(B16,$B$2:$B$95,0))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ATHERENERG</t>
        </is>
      </c>
      <c r="D16" s="31" t="inlineStr">
        <is>
          <t>Ather Energy Ltd</t>
        </is>
      </c>
      <c r="E16" s="31" t="inlineStr">
        <is>
          <t>auto</t>
        </is>
      </c>
      <c r="F16" s="31" t="inlineStr">
        <is>
          <t>Auto - 2 &amp; 3 Wheelers</t>
        </is>
      </c>
      <c r="G16" s="31" t="inlineStr">
        <is>
          <t>largecap</t>
        </is>
      </c>
      <c r="H16" s="32" t="n">
        <v>66789.66</v>
      </c>
      <c r="I16" s="32" t="n">
        <v>1686.1</v>
      </c>
      <c r="J16" s="32" t="n">
        <v>-2.29</v>
      </c>
      <c r="K16" s="32" t="n">
        <v>0</v>
      </c>
      <c r="L16" s="31" t="n">
        <v>98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81.47</v>
      </c>
      <c r="P16" s="32" t="n">
        <v>65.8</v>
      </c>
      <c r="Q16" s="32" t="n">
        <v>1325.27</v>
      </c>
      <c r="R16" s="31" t="inlineStr">
        <is>
          <t>Near 52W High Breakout</t>
        </is>
      </c>
      <c r="S16" s="31" t="inlineStr">
        <is>
          <t>Nifty Auto</t>
        </is>
      </c>
      <c r="T16" s="32" t="n">
        <v>17.66</v>
      </c>
      <c r="U16" s="32" t="n">
        <v>404.37</v>
      </c>
      <c r="V16" s="32" t="n">
        <v>328.66</v>
      </c>
      <c r="W16" s="32" t="n">
        <v>64.66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19</t>
        </is>
      </c>
      <c r="CG16" s="31">
        <f>IF(CF16&gt;20,10,IF(CF16&gt;=10,5,2))</f>
        <v/>
      </c>
    </row>
    <row r="17">
      <c r="A17" s="31">
        <f>IF(B17=0,"",RANK(B17,$B$2:$B$95,0))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MODISONLTD</t>
        </is>
      </c>
      <c r="D17" s="31" t="inlineStr">
        <is>
          <t>Modison Ltd</t>
        </is>
      </c>
      <c r="E17" s="31" t="inlineStr">
        <is>
          <t>industrials</t>
        </is>
      </c>
      <c r="F17" s="31" t="inlineStr">
        <is>
          <t>Capital Goods - Electric General</t>
        </is>
      </c>
      <c r="G17" s="31" t="inlineStr">
        <is>
          <t>smallcap</t>
        </is>
      </c>
      <c r="H17" s="32" t="n">
        <v>1690.65</v>
      </c>
      <c r="I17" s="32" t="n">
        <v>521</v>
      </c>
      <c r="J17" s="32" t="n">
        <v>4.31</v>
      </c>
      <c r="K17" s="32" t="n">
        <v>0</v>
      </c>
      <c r="L17" s="31" t="n">
        <v>96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83.13</v>
      </c>
      <c r="P17" s="32" t="n">
        <v>59.72</v>
      </c>
      <c r="Q17" s="32" t="n">
        <v>391.18</v>
      </c>
      <c r="R17" s="31" t="inlineStr">
        <is>
          <t>Volume Spike &amp; Near 52W High Breakout</t>
        </is>
      </c>
      <c r="S17" s="31" t="inlineStr">
        <is>
          <t>Nifty 50</t>
        </is>
      </c>
      <c r="T17" s="32" t="n">
        <v>-3.34</v>
      </c>
      <c r="U17" s="32" t="n">
        <v>228.69</v>
      </c>
      <c r="V17" s="32" t="n">
        <v>240.05</v>
      </c>
      <c r="W17" s="32" t="n">
        <v>49.69</v>
      </c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29</t>
        </is>
      </c>
      <c r="CG17" s="31">
        <f>IF(CF17&gt;20,10,IF(CF17&gt;=10,5,2))</f>
        <v/>
      </c>
    </row>
    <row r="18">
      <c r="A18" s="31">
        <f>IF(B18=0,"",RANK(B18,$B$2:$B$95,0))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UNIPARTS</t>
        </is>
      </c>
      <c r="D18" s="31" t="inlineStr">
        <is>
          <t>Uniparts India Ltd</t>
        </is>
      </c>
      <c r="E18" s="31" t="inlineStr">
        <is>
          <t>industrials</t>
        </is>
      </c>
      <c r="F18" s="31" t="inlineStr">
        <is>
          <t>Castings, Forgings &amp; Fastners</t>
        </is>
      </c>
      <c r="G18" s="31" t="inlineStr">
        <is>
          <t>smallcap</t>
        </is>
      </c>
      <c r="H18" s="32" t="n">
        <v>4019.33</v>
      </c>
      <c r="I18" s="32" t="n">
        <v>890</v>
      </c>
      <c r="J18" s="32" t="n">
        <v>-1.24</v>
      </c>
      <c r="K18" s="32" t="n">
        <v>0</v>
      </c>
      <c r="L18" s="31" t="n">
        <v>84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83.05</v>
      </c>
      <c r="P18" s="32" t="n">
        <v>68.06</v>
      </c>
      <c r="Q18" s="32" t="n">
        <v>720.16</v>
      </c>
      <c r="R18" s="31" t="inlineStr">
        <is>
          <t>Near 52W High Breakout</t>
        </is>
      </c>
      <c r="S18" s="31" t="inlineStr">
        <is>
          <t>Nifty 50</t>
        </is>
      </c>
      <c r="T18" s="32" t="n">
        <v>-3.34</v>
      </c>
      <c r="U18" s="32" t="n">
        <v>130.49</v>
      </c>
      <c r="V18" s="32" t="n">
        <v>138.46</v>
      </c>
      <c r="W18" s="32" t="n">
        <v>27.9</v>
      </c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23</t>
        </is>
      </c>
      <c r="CG18" s="31">
        <f>IF(CF18&gt;20,10,IF(CF18&gt;=10,5,2))</f>
        <v/>
      </c>
    </row>
    <row r="19">
      <c r="A19" s="31">
        <f>IF(B19=0,"",RANK(B19,$B$2:$B$95,0))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ADOR</t>
        </is>
      </c>
      <c r="D19" s="31" t="inlineStr">
        <is>
          <t>Ador Welding Ltd</t>
        </is>
      </c>
      <c r="E19" s="31" t="inlineStr">
        <is>
          <t>industrials</t>
        </is>
      </c>
      <c r="F19" s="31" t="inlineStr">
        <is>
          <t>Welding Equipments</t>
        </is>
      </c>
      <c r="G19" s="31" t="inlineStr">
        <is>
          <t>smallcap</t>
        </is>
      </c>
      <c r="H19" s="32" t="n">
        <v>3028.09</v>
      </c>
      <c r="I19" s="32" t="n">
        <v>1740</v>
      </c>
      <c r="J19" s="32" t="n">
        <v>2.3</v>
      </c>
      <c r="K19" s="32" t="n">
        <v>0</v>
      </c>
      <c r="L19" s="31" t="n">
        <v>82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84.5</v>
      </c>
      <c r="P19" s="32" t="n">
        <v>63.5</v>
      </c>
      <c r="Q19" s="32" t="n">
        <v>1405.53</v>
      </c>
      <c r="R19" s="31" t="inlineStr">
        <is>
          <t>Near 52W High Breakout</t>
        </is>
      </c>
      <c r="S19" s="31" t="inlineStr">
        <is>
          <t>Nifty 50</t>
        </is>
      </c>
      <c r="T19" s="32" t="n">
        <v>-3.34</v>
      </c>
      <c r="U19" s="32" t="n">
        <v>84.22</v>
      </c>
      <c r="V19" s="32" t="n">
        <v>90.58</v>
      </c>
      <c r="W19" s="32" t="n">
        <v>25.85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22</t>
        </is>
      </c>
      <c r="CG19" s="31">
        <f>IF(CF19&gt;20,10,IF(CF19&gt;=10,5,2))</f>
        <v/>
      </c>
    </row>
    <row r="20">
      <c r="A20" s="31">
        <f>IF(B20=0,"",RANK(B20,$B$2:$B$95,0))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AFCOM</t>
        </is>
      </c>
      <c r="D20" s="34" t="inlineStr">
        <is>
          <t>Afcom Holdings Ltd</t>
        </is>
      </c>
      <c r="E20" s="31" t="inlineStr">
        <is>
          <t>Industrials</t>
        </is>
      </c>
      <c r="F20" s="31" t="inlineStr">
        <is>
          <t>Air Transport Service</t>
        </is>
      </c>
      <c r="G20" s="31" t="inlineStr">
        <is>
          <t>smallcap</t>
        </is>
      </c>
      <c r="H20" s="32" t="n">
        <v>4773.64</v>
      </c>
      <c r="I20" s="32" t="n">
        <v>1651</v>
      </c>
      <c r="J20" s="32" t="n">
        <v>8.09</v>
      </c>
      <c r="K20" s="32" t="n">
        <v>0</v>
      </c>
      <c r="L20" s="31" t="n">
        <v>88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74.76000000000001</v>
      </c>
      <c r="P20" s="32" t="n">
        <v>46</v>
      </c>
      <c r="Q20" s="32" t="n">
        <v>1213.21</v>
      </c>
      <c r="R20" s="31" t="inlineStr">
        <is>
          <t>Near 52W High Breakout</t>
        </is>
      </c>
      <c r="S20" s="31" t="inlineStr">
        <is>
          <t>Nifty 50</t>
        </is>
      </c>
      <c r="T20" s="32" t="n">
        <v>-3.34</v>
      </c>
      <c r="U20" s="32" t="n">
        <v>75.56999999999999</v>
      </c>
      <c r="V20" s="32" t="n">
        <v>81.64</v>
      </c>
      <c r="W20" s="32" t="n">
        <v>31.76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Less than 50%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22</t>
        </is>
      </c>
      <c r="CG20" s="31">
        <f>IF(CF20&gt;20,10,IF(CF20&gt;=10,5,2))</f>
        <v/>
      </c>
    </row>
    <row r="21">
      <c r="A21" s="31">
        <f>IF(B21=0,"",RANK(B21,$B$2:$B$95,0))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4" t="inlineStr">
        <is>
          <t>WELCORP</t>
        </is>
      </c>
      <c r="D21" s="34" t="inlineStr">
        <is>
          <t>Welspun Corp Ltd</t>
        </is>
      </c>
      <c r="E21" s="31" t="inlineStr">
        <is>
          <t>industrials</t>
        </is>
      </c>
      <c r="F21" s="31" t="inlineStr">
        <is>
          <t>DI Pipes/Saw Pipes</t>
        </is>
      </c>
      <c r="G21" s="31" t="inlineStr">
        <is>
          <t>largecap</t>
        </is>
      </c>
      <c r="H21" s="32" t="n">
        <v>66580.75999999999</v>
      </c>
      <c r="I21" s="32" t="n">
        <v>2524</v>
      </c>
      <c r="J21" s="32" t="n">
        <v>-1.16</v>
      </c>
      <c r="K21" s="32" t="n">
        <v>0</v>
      </c>
      <c r="L21" s="31" t="n">
        <v>96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94.39</v>
      </c>
      <c r="P21" s="32" t="n">
        <v>75.38</v>
      </c>
      <c r="Q21" s="32" t="n">
        <v>2074.89</v>
      </c>
      <c r="R21" s="31" t="inlineStr">
        <is>
          <t>Near 52W High Breakout</t>
        </is>
      </c>
      <c r="S21" s="31" t="inlineStr">
        <is>
          <t>Nifty Metal</t>
        </is>
      </c>
      <c r="T21" s="32" t="n">
        <v>39.6</v>
      </c>
      <c r="U21" s="32" t="n">
        <v>185.48</v>
      </c>
      <c r="V21" s="32" t="n">
        <v>104.5</v>
      </c>
      <c r="W21" s="32" t="n">
        <v>53.26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IF(B22=0,"",RANK(B22,$B$2:$B$95,0))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SPORTKING</t>
        </is>
      </c>
      <c r="D22" s="34" t="inlineStr">
        <is>
          <t>Sportking India Ltd</t>
        </is>
      </c>
      <c r="E22" s="31" t="inlineStr">
        <is>
          <t>textiles</t>
        </is>
      </c>
      <c r="F22" s="31" t="inlineStr">
        <is>
          <t>Textiles - Spinning</t>
        </is>
      </c>
      <c r="G22" s="31" t="inlineStr">
        <is>
          <t>smallcap</t>
        </is>
      </c>
      <c r="H22" s="32" t="n">
        <v>2871.19</v>
      </c>
      <c r="I22" s="32" t="n">
        <v>225.95</v>
      </c>
      <c r="J22" s="32" t="n">
        <v>-1.72</v>
      </c>
      <c r="K22" s="32" t="n">
        <v>0</v>
      </c>
      <c r="L22" s="31" t="n">
        <v>79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74.02</v>
      </c>
      <c r="P22" s="32" t="n">
        <v>73.11</v>
      </c>
      <c r="Q22" s="32" t="n">
        <v>165.51</v>
      </c>
      <c r="R22" s="31" t="inlineStr">
        <is>
          <t>Near 52W High Breakout</t>
        </is>
      </c>
      <c r="S22" s="31" t="inlineStr">
        <is>
          <t>Nifty 50</t>
        </is>
      </c>
      <c r="T22" s="32" t="n">
        <v>-3.34</v>
      </c>
      <c r="U22" s="32" t="n">
        <v>107.63</v>
      </c>
      <c r="V22" s="32" t="n">
        <v>114.81</v>
      </c>
      <c r="W22" s="32" t="n">
        <v>23.86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IF(B23=0,"",RANK(B23,$B$2:$B$95,0))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KINGFA</t>
        </is>
      </c>
      <c r="D23" s="31" t="inlineStr">
        <is>
          <t>Kingfa Science &amp; Technology (India) Ltd</t>
        </is>
      </c>
      <c r="E23" s="31" t="inlineStr">
        <is>
          <t>plastic products</t>
        </is>
      </c>
      <c r="F23" s="31" t="inlineStr">
        <is>
          <t>Plastics - Plastic &amp; Plastic Products</t>
        </is>
      </c>
      <c r="G23" s="31" t="inlineStr">
        <is>
          <t>midcap</t>
        </is>
      </c>
      <c r="H23" s="32" t="n">
        <v>8036.65</v>
      </c>
      <c r="I23" s="32" t="n">
        <v>5930.5</v>
      </c>
      <c r="J23" s="32" t="n">
        <v>-1.65</v>
      </c>
      <c r="K23" s="32" t="n">
        <v>0</v>
      </c>
      <c r="L23" s="31" t="n">
        <v>38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69.27</v>
      </c>
      <c r="P23" s="32" t="n">
        <v>35.1</v>
      </c>
      <c r="Q23" s="32" t="n">
        <v>4754.85</v>
      </c>
      <c r="R23" s="31" t="inlineStr">
        <is>
          <t>Near 52W High Breakout</t>
        </is>
      </c>
      <c r="S23" s="31" t="inlineStr">
        <is>
          <t>Nifty 50</t>
        </is>
      </c>
      <c r="T23" s="32" t="n">
        <v>-3.34</v>
      </c>
      <c r="U23" s="32" t="n">
        <v>39.2</v>
      </c>
      <c r="V23" s="32" t="n">
        <v>44.01</v>
      </c>
      <c r="W23" s="32" t="n">
        <v>9.609999999999999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19</t>
        </is>
      </c>
      <c r="CG23" s="31">
        <f>IF(CF23&gt;20,10,IF(CF23&gt;=10,5,2))</f>
        <v/>
      </c>
    </row>
    <row r="24">
      <c r="A24" s="31">
        <f>IF(B24=0,"",RANK(B24,$B$2:$B$95,0))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MOREPENLAB</t>
        </is>
      </c>
      <c r="D24" s="31" t="inlineStr">
        <is>
          <t>Morepen Laboratories Ltd</t>
        </is>
      </c>
      <c r="E24" s="31" t="inlineStr">
        <is>
          <t>healthcare</t>
        </is>
      </c>
      <c r="F24" s="31" t="inlineStr">
        <is>
          <t>Pharma - API &amp; CRAMS</t>
        </is>
      </c>
      <c r="G24" s="31" t="inlineStr">
        <is>
          <t>midcap</t>
        </is>
      </c>
      <c r="H24" s="32" t="n">
        <v>6125.57</v>
      </c>
      <c r="I24" s="32" t="n">
        <v>111.79</v>
      </c>
      <c r="J24" s="32" t="n">
        <v>7.85</v>
      </c>
      <c r="K24" s="32" t="n">
        <v>0</v>
      </c>
      <c r="L24" s="31" t="n">
        <v>97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87.02</v>
      </c>
      <c r="P24" s="32" t="n">
        <v>48.35</v>
      </c>
      <c r="Q24" s="32" t="n">
        <v>85.91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22.15</v>
      </c>
      <c r="U24" s="32" t="n">
        <v>127.07</v>
      </c>
      <c r="V24" s="32" t="n">
        <v>85.90000000000001</v>
      </c>
      <c r="W24" s="32" t="n">
        <v>60.33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25</t>
        </is>
      </c>
      <c r="CG24" s="31">
        <f>IF(CF24&gt;20,10,IF(CF24&gt;=10,5,2))</f>
        <v/>
      </c>
    </row>
    <row r="25">
      <c r="A25" s="31">
        <f>IF(B25=0,"",RANK(B25,$B$2:$B$95,0))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SAKAR</t>
        </is>
      </c>
      <c r="D25" s="34" t="inlineStr">
        <is>
          <t>Sakar Healthcare Ltd</t>
        </is>
      </c>
      <c r="E25" s="31" t="inlineStr">
        <is>
          <t>healthcare</t>
        </is>
      </c>
      <c r="F25" s="31" t="inlineStr">
        <is>
          <t>Hospitals</t>
        </is>
      </c>
      <c r="G25" s="31" t="inlineStr">
        <is>
          <t>smallcap</t>
        </is>
      </c>
      <c r="H25" s="32" t="n">
        <v>2202.74</v>
      </c>
      <c r="I25" s="32" t="n">
        <v>990</v>
      </c>
      <c r="J25" s="32" t="n">
        <v>2.51</v>
      </c>
      <c r="K25" s="32" t="n">
        <v>0</v>
      </c>
      <c r="L25" s="31" t="n">
        <v>88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69.62</v>
      </c>
      <c r="P25" s="32" t="n">
        <v>52.04</v>
      </c>
      <c r="Q25" s="32" t="n">
        <v>702.01</v>
      </c>
      <c r="R25" s="31" t="inlineStr">
        <is>
          <t>Volume Spike &amp; Near 52W High Breakout</t>
        </is>
      </c>
      <c r="S25" s="31" t="inlineStr">
        <is>
          <t>Nifty Pharma</t>
        </is>
      </c>
      <c r="T25" s="32" t="n">
        <v>22.15</v>
      </c>
      <c r="U25" s="32" t="n">
        <v>196.62</v>
      </c>
      <c r="V25" s="32" t="n">
        <v>142.83</v>
      </c>
      <c r="W25" s="32" t="n">
        <v>31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22</t>
        </is>
      </c>
      <c r="CG25" s="31">
        <f>IF(CF25&gt;20,10,IF(CF25&gt;=10,5,2))</f>
        <v/>
      </c>
    </row>
    <row r="26">
      <c r="A26" s="31">
        <f>IF(B26=0,"",RANK(B26,$B$2:$B$95,0))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LENSKART</t>
        </is>
      </c>
      <c r="D26" s="31" t="inlineStr">
        <is>
          <t>Lenskart Solutions Ltd</t>
        </is>
      </c>
      <c r="E26" s="31" t="inlineStr">
        <is>
          <t>Healthcare</t>
        </is>
      </c>
      <c r="F26" s="31" t="inlineStr">
        <is>
          <t>New age - Platform - E-Retail</t>
        </is>
      </c>
      <c r="G26" s="31" t="inlineStr">
        <is>
          <t>largecap</t>
        </is>
      </c>
      <c r="H26" s="32" t="n">
        <v>116403.07</v>
      </c>
      <c r="I26" s="32" t="n">
        <v>669.25</v>
      </c>
      <c r="J26" s="32" t="n">
        <v>0.83</v>
      </c>
      <c r="K26" s="32" t="n">
        <v>0</v>
      </c>
      <c r="L26" s="31" t="n">
        <v>64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72.65000000000001</v>
      </c>
      <c r="P26" s="32" t="n">
        <v>44.62</v>
      </c>
      <c r="Q26" s="32" t="n">
        <v>543.1799999999999</v>
      </c>
      <c r="R26" s="31" t="inlineStr">
        <is>
          <t>Volume Spike &amp; Near 52W High Breakout</t>
        </is>
      </c>
      <c r="S26" s="31" t="inlineStr">
        <is>
          <t>Nifty Pharma</t>
        </is>
      </c>
      <c r="T26" s="32" t="n">
        <v>17.35</v>
      </c>
      <c r="U26" s="32" t="n">
        <v>63.53</v>
      </c>
      <c r="V26" s="32" t="n">
        <v>39.35</v>
      </c>
      <c r="W26" s="32" t="n">
        <v>18.13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20</t>
        </is>
      </c>
      <c r="CG26" s="31">
        <f>IF(CF26&gt;20,10,IF(CF26&gt;=10,5,2))</f>
        <v/>
      </c>
    </row>
    <row r="27">
      <c r="A27" s="31">
        <f>IF(B27=0,"",RANK(B27,$B$2:$B$95,0))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INDSWFTLAB</t>
        </is>
      </c>
      <c r="D27" s="31" t="inlineStr">
        <is>
          <t>Ind-Swift Laboratories Ltd</t>
        </is>
      </c>
      <c r="E27" s="31" t="inlineStr">
        <is>
          <t>healthcare</t>
        </is>
      </c>
      <c r="F27" s="31" t="inlineStr">
        <is>
          <t>Pharma - API</t>
        </is>
      </c>
      <c r="G27" s="31" t="inlineStr">
        <is>
          <t>smallcap</t>
        </is>
      </c>
      <c r="H27" s="32" t="n">
        <v>3182.79</v>
      </c>
      <c r="I27" s="32" t="n">
        <v>366</v>
      </c>
      <c r="J27" s="32" t="n">
        <v>-0.58</v>
      </c>
      <c r="K27" s="32" t="n">
        <v>0</v>
      </c>
      <c r="L27" s="31" t="n">
        <v>97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89.45999999999999</v>
      </c>
      <c r="P27" s="32" t="n">
        <v>71.8</v>
      </c>
      <c r="Q27" s="32" t="n">
        <v>278.97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22.15</v>
      </c>
      <c r="U27" s="32" t="n">
        <v>259.48</v>
      </c>
      <c r="V27" s="32" t="n">
        <v>194.3</v>
      </c>
      <c r="W27" s="32" t="n">
        <v>63.3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19</t>
        </is>
      </c>
      <c r="CG27" s="31">
        <f>IF(CF27&gt;20,10,IF(CF27&gt;=10,5,2))</f>
        <v/>
      </c>
    </row>
    <row r="28">
      <c r="A28" s="31">
        <f>IF(B28=0,"",RANK(B28,$B$2:$B$95,0))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CNL</t>
        </is>
      </c>
      <c r="D28" s="31" t="inlineStr">
        <is>
          <t>Creative Newtech Ltd</t>
        </is>
      </c>
      <c r="E28" s="31" t="inlineStr">
        <is>
          <t>Technology</t>
        </is>
      </c>
      <c r="F28" s="31" t="inlineStr">
        <is>
          <t>E-Commerce - Platform - Utility</t>
        </is>
      </c>
      <c r="G28" s="31" t="inlineStr">
        <is>
          <t>smallcap</t>
        </is>
      </c>
      <c r="H28" s="32" t="n">
        <v>1907.12</v>
      </c>
      <c r="I28" s="32" t="n">
        <v>1270</v>
      </c>
      <c r="J28" s="32" t="n">
        <v>1.97</v>
      </c>
      <c r="K28" s="32" t="n">
        <v>0</v>
      </c>
      <c r="L28" s="31" t="n">
        <v>92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88.26000000000001</v>
      </c>
      <c r="P28" s="32" t="n">
        <v>61.59</v>
      </c>
      <c r="Q28" s="32" t="n">
        <v>979.76</v>
      </c>
      <c r="R28" s="31" t="inlineStr">
        <is>
          <t>Near 52W High Breakout</t>
        </is>
      </c>
      <c r="S28" s="31" t="inlineStr">
        <is>
          <t>Nifty 50</t>
        </is>
      </c>
      <c r="T28" s="32" t="n">
        <v>-3.34</v>
      </c>
      <c r="U28" s="32" t="n">
        <v>97.79000000000001</v>
      </c>
      <c r="V28" s="32" t="n">
        <v>104.63</v>
      </c>
      <c r="W28" s="32" t="n">
        <v>39.86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Oligopoly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Between 0.7 to 1.2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19</t>
        </is>
      </c>
      <c r="CG28" s="31">
        <f>IF(CF28&gt;20,10,IF(CF28&gt;=10,5,2))</f>
        <v/>
      </c>
    </row>
    <row r="29">
      <c r="A29" s="31">
        <f>IF(B29=0,"",RANK(B29,$B$2:$B$95,0))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CAPLIPOINT</t>
        </is>
      </c>
      <c r="D29" s="31" t="inlineStr">
        <is>
          <t>Caplin Point Laboratories Ltd</t>
        </is>
      </c>
      <c r="E29" s="31" t="inlineStr">
        <is>
          <t>healthcare</t>
        </is>
      </c>
      <c r="F29" s="31" t="inlineStr">
        <is>
          <t>Pharma - Formulators</t>
        </is>
      </c>
      <c r="G29" s="31" t="inlineStr">
        <is>
          <t>largecap</t>
        </is>
      </c>
      <c r="H29" s="32" t="n">
        <v>20735.99</v>
      </c>
      <c r="I29" s="32" t="n">
        <v>2728</v>
      </c>
      <c r="J29" s="32" t="n">
        <v>0.62</v>
      </c>
      <c r="K29" s="32" t="n">
        <v>0</v>
      </c>
      <c r="L29" s="31" t="n">
        <v>50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71.59999999999999</v>
      </c>
      <c r="P29" s="32" t="n">
        <v>40.61</v>
      </c>
      <c r="Q29" s="32" t="n">
        <v>2201.73</v>
      </c>
      <c r="R29" s="31" t="inlineStr">
        <is>
          <t>Volume Spike &amp; Near 52W High Breakout</t>
        </is>
      </c>
      <c r="S29" s="31" t="inlineStr">
        <is>
          <t>Nifty Pharma</t>
        </is>
      </c>
      <c r="T29" s="32" t="n">
        <v>22.15</v>
      </c>
      <c r="U29" s="32" t="n">
        <v>27.64</v>
      </c>
      <c r="V29" s="32" t="n">
        <v>4.5</v>
      </c>
      <c r="W29" s="32" t="n">
        <v>13.34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Between 12 to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Between 1.5 to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18</t>
        </is>
      </c>
      <c r="CG29" s="31">
        <f>IF(CF29&gt;20,10,IF(CF29&gt;=10,5,2))</f>
        <v/>
      </c>
    </row>
    <row r="30">
      <c r="A30" s="31">
        <f>IF(B30=0,"",RANK(B30,$B$2:$B$95,0))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KMEW</t>
        </is>
      </c>
      <c r="D30" s="31" t="inlineStr">
        <is>
          <t>Knowledge Marine &amp; Engineering Works Ltd</t>
        </is>
      </c>
      <c r="E30" s="31" t="inlineStr">
        <is>
          <t>transportation</t>
        </is>
      </c>
      <c r="F30" s="31" t="inlineStr">
        <is>
          <t>Shipping</t>
        </is>
      </c>
      <c r="G30" s="31" t="inlineStr">
        <is>
          <t>midcap</t>
        </is>
      </c>
      <c r="H30" s="32" t="n">
        <v>7482.47</v>
      </c>
      <c r="I30" s="32" t="n">
        <v>2950</v>
      </c>
      <c r="J30" s="32" t="n">
        <v>0.51</v>
      </c>
      <c r="K30" s="32" t="n">
        <v>0</v>
      </c>
      <c r="L30" s="31" t="n">
        <v>93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76.44</v>
      </c>
      <c r="P30" s="32" t="n">
        <v>54.17</v>
      </c>
      <c r="Q30" s="32" t="n">
        <v>2268.37</v>
      </c>
      <c r="R30" s="31" t="inlineStr">
        <is>
          <t>Near 52W High Breakout</t>
        </is>
      </c>
      <c r="S30" s="31" t="inlineStr">
        <is>
          <t>Nifty 50</t>
        </is>
      </c>
      <c r="T30" s="32" t="n">
        <v>-3.34</v>
      </c>
      <c r="U30" s="32" t="n">
        <v>237.33</v>
      </c>
      <c r="V30" s="32" t="n">
        <v>248.98</v>
      </c>
      <c r="W30" s="32" t="n">
        <v>42.88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23</t>
        </is>
      </c>
      <c r="CG30" s="31">
        <f>IF(CF30&gt;20,10,IF(CF30&gt;=10,5,2))</f>
        <v/>
      </c>
    </row>
    <row r="31">
      <c r="A31" s="31">
        <f>IF(B31=0,"",RANK(B31,$B$2:$B$95,0))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CENTENKA</t>
        </is>
      </c>
      <c r="D31" s="34" t="inlineStr">
        <is>
          <t>Century Enka Ltd</t>
        </is>
      </c>
      <c r="E31" s="31" t="inlineStr">
        <is>
          <t>textiles</t>
        </is>
      </c>
      <c r="F31" s="31" t="inlineStr">
        <is>
          <t>Textiles - Manmade Fibre - PFY/PSF</t>
        </is>
      </c>
      <c r="G31" s="31" t="inlineStr">
        <is>
          <t>smallcap</t>
        </is>
      </c>
      <c r="H31" s="32" t="n">
        <v>1352.55</v>
      </c>
      <c r="I31" s="32" t="n">
        <v>619</v>
      </c>
      <c r="J31" s="32" t="n">
        <v>13.77</v>
      </c>
      <c r="K31" s="32" t="n">
        <v>0</v>
      </c>
      <c r="L31" s="31" t="n">
        <v>34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65.87</v>
      </c>
      <c r="P31" s="32" t="n">
        <v>64.02</v>
      </c>
      <c r="Q31" s="32" t="n">
        <v>460.41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-3.34</v>
      </c>
      <c r="U31" s="32" t="n">
        <v>20.99</v>
      </c>
      <c r="V31" s="32" t="n">
        <v>25.17</v>
      </c>
      <c r="W31" s="32" t="n">
        <v>8.49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22</t>
        </is>
      </c>
      <c r="CG31" s="31">
        <f>IF(CF31&gt;20,10,IF(CF31&gt;=10,5,2))</f>
        <v/>
      </c>
    </row>
    <row r="32">
      <c r="A32" s="31">
        <f>IF(B32=0,"",RANK(B32,$B$2:$B$95,0))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FCL</t>
        </is>
      </c>
      <c r="D32" s="31" t="inlineStr">
        <is>
          <t>Fineotex Chemical Ltd</t>
        </is>
      </c>
      <c r="E32" s="31" t="inlineStr">
        <is>
          <t>chemicals</t>
        </is>
      </c>
      <c r="F32" s="31" t="inlineStr">
        <is>
          <t>Speciality Chemicals</t>
        </is>
      </c>
      <c r="G32" s="31" t="inlineStr">
        <is>
          <t>midcap</t>
        </is>
      </c>
      <c r="H32" s="32" t="n">
        <v>5764.28</v>
      </c>
      <c r="I32" s="32" t="n">
        <v>49.5</v>
      </c>
      <c r="J32" s="32" t="n">
        <v>1.37</v>
      </c>
      <c r="K32" s="32" t="n">
        <v>0</v>
      </c>
      <c r="L32" s="31" t="n">
        <v>79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73.47</v>
      </c>
      <c r="P32" s="32" t="n">
        <v>49.11</v>
      </c>
      <c r="Q32" s="32" t="n">
        <v>37.07</v>
      </c>
      <c r="R32" s="31" t="inlineStr">
        <is>
          <t>Near 52W High Breakout</t>
        </is>
      </c>
      <c r="S32" s="31" t="inlineStr">
        <is>
          <t>Nifty IT</t>
        </is>
      </c>
      <c r="T32" s="32" t="n">
        <v>-10.2</v>
      </c>
      <c r="U32" s="32" t="n">
        <v>108.7</v>
      </c>
      <c r="V32" s="32" t="n">
        <v>132.4</v>
      </c>
      <c r="W32" s="32" t="n">
        <v>24.29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21</t>
        </is>
      </c>
      <c r="CG32" s="31">
        <f>IF(CF32&gt;20,10,IF(CF32&gt;=10,5,2))</f>
        <v/>
      </c>
    </row>
    <row r="33">
      <c r="A33" s="31">
        <f>IF(B33=0,"",RANK(B33,$B$2:$B$95,0))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IRISDOREME</t>
        </is>
      </c>
      <c r="D33" s="31" t="inlineStr">
        <is>
          <t>Iris Clothings Ltd</t>
        </is>
      </c>
      <c r="E33" s="31" t="inlineStr">
        <is>
          <t>consumer discretionary</t>
        </is>
      </c>
      <c r="F33" s="31" t="inlineStr">
        <is>
          <t>Textiles - Readymade Apparel</t>
        </is>
      </c>
      <c r="G33" s="31" t="inlineStr">
        <is>
          <t>smallcap</t>
        </is>
      </c>
      <c r="H33" s="32" t="n">
        <v>1117.25</v>
      </c>
      <c r="I33" s="32" t="n">
        <v>58.7</v>
      </c>
      <c r="J33" s="32" t="n">
        <v>1.47</v>
      </c>
      <c r="K33" s="32" t="n">
        <v>0</v>
      </c>
      <c r="L33" s="31" t="n">
        <v>83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81.66</v>
      </c>
      <c r="P33" s="32" t="n">
        <v>48.73</v>
      </c>
      <c r="Q33" s="32" t="n">
        <v>46.49</v>
      </c>
      <c r="R33" s="31" t="inlineStr">
        <is>
          <t>Near 52W High Breakout</t>
        </is>
      </c>
      <c r="S33" s="31" t="inlineStr">
        <is>
          <t>Nifty 50</t>
        </is>
      </c>
      <c r="T33" s="32" t="n">
        <v>-3.34</v>
      </c>
      <c r="U33" s="32" t="n">
        <v>82.41</v>
      </c>
      <c r="V33" s="32" t="n">
        <v>88.72</v>
      </c>
      <c r="W33" s="32" t="n">
        <v>26.66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21</t>
        </is>
      </c>
      <c r="CG33" s="31">
        <f>IF(CF33&gt;20,10,IF(CF33&gt;=10,5,2))</f>
        <v/>
      </c>
    </row>
    <row r="34">
      <c r="A34" s="31">
        <f>IF(B34=0,"",RANK(B34,$B$2:$B$95,0))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4" t="inlineStr">
        <is>
          <t>SSWL</t>
        </is>
      </c>
      <c r="D34" s="34" t="inlineStr">
        <is>
          <t>Steel Strips Wheels Ltd</t>
        </is>
      </c>
      <c r="E34" s="31" t="inlineStr">
        <is>
          <t>auto</t>
        </is>
      </c>
      <c r="F34" s="31" t="inlineStr">
        <is>
          <t>Auto Ancillaries - Wheels</t>
        </is>
      </c>
      <c r="G34" s="31" t="inlineStr">
        <is>
          <t>midcap</t>
        </is>
      </c>
      <c r="H34" s="32" t="n">
        <v>5535.73</v>
      </c>
      <c r="I34" s="32" t="n">
        <v>352</v>
      </c>
      <c r="J34" s="32" t="n">
        <v>-1.47</v>
      </c>
      <c r="K34" s="32" t="n">
        <v>0</v>
      </c>
      <c r="L34" s="31" t="n">
        <v>82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76.86</v>
      </c>
      <c r="P34" s="32" t="n">
        <v>37.89</v>
      </c>
      <c r="Q34" s="32" t="n">
        <v>274.58</v>
      </c>
      <c r="R34" s="31" t="inlineStr">
        <is>
          <t>Volume Spike &amp; Near 52W High Breakout</t>
        </is>
      </c>
      <c r="S34" s="31" t="inlineStr">
        <is>
          <t>Nifty Auto</t>
        </is>
      </c>
      <c r="T34" s="32" t="n">
        <v>17.66</v>
      </c>
      <c r="U34" s="32" t="n">
        <v>46.01</v>
      </c>
      <c r="V34" s="32" t="n">
        <v>24.09</v>
      </c>
      <c r="W34" s="32" t="n">
        <v>25.13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21</t>
        </is>
      </c>
      <c r="CG34" s="31">
        <f>IF(CF34&gt;20,10,IF(CF34&gt;=10,5,2))</f>
        <v/>
      </c>
    </row>
    <row r="35">
      <c r="A35" s="31">
        <f>IF(B35=0,"",RANK(B35,$B$2:$B$95,0))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MARINE</t>
        </is>
      </c>
      <c r="D35" s="34" t="inlineStr">
        <is>
          <t>Marine Electricals (India) Ltd</t>
        </is>
      </c>
      <c r="E35" s="31" t="inlineStr">
        <is>
          <t>industrials</t>
        </is>
      </c>
      <c r="F35" s="31" t="inlineStr">
        <is>
          <t>Shipping - Proxy</t>
        </is>
      </c>
      <c r="G35" s="31" t="inlineStr">
        <is>
          <t>midcap</t>
        </is>
      </c>
      <c r="H35" s="32" t="n">
        <v>6063.79</v>
      </c>
      <c r="I35" s="32" t="n">
        <v>433.3</v>
      </c>
      <c r="J35" s="32" t="n">
        <v>0.16</v>
      </c>
      <c r="K35" s="32" t="n">
        <v>0</v>
      </c>
      <c r="L35" s="31" t="n">
        <v>90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80.94</v>
      </c>
      <c r="P35" s="32" t="n">
        <v>43.49</v>
      </c>
      <c r="Q35" s="32" t="n">
        <v>327.64</v>
      </c>
      <c r="R35" s="31" t="inlineStr">
        <is>
          <t>Near 52W High Breakout</t>
        </is>
      </c>
      <c r="S35" s="31" t="inlineStr">
        <is>
          <t>Nifty 50</t>
        </is>
      </c>
      <c r="T35" s="32" t="n">
        <v>-3.34</v>
      </c>
      <c r="U35" s="32" t="n">
        <v>147.24</v>
      </c>
      <c r="V35" s="32" t="n">
        <v>155.79</v>
      </c>
      <c r="W35" s="32" t="n">
        <v>37.57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Between 1.5 to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IF(B36=0,"",RANK(B36,$B$2:$B$95,0))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IGPL</t>
        </is>
      </c>
      <c r="D36" s="31" t="inlineStr">
        <is>
          <t>I G Petrochemicals Ltd</t>
        </is>
      </c>
      <c r="E36" s="31" t="inlineStr">
        <is>
          <t>chemicals</t>
        </is>
      </c>
      <c r="F36" s="31" t="inlineStr">
        <is>
          <t>Chemicals - Organic - Maleic Anhydride</t>
        </is>
      </c>
      <c r="G36" s="31" t="inlineStr">
        <is>
          <t>smallcap</t>
        </is>
      </c>
      <c r="H36" s="32" t="n">
        <v>1686.94</v>
      </c>
      <c r="I36" s="32" t="n">
        <v>547.8</v>
      </c>
      <c r="J36" s="32" t="n">
        <v>-0.1</v>
      </c>
      <c r="K36" s="32" t="n">
        <v>0</v>
      </c>
      <c r="L36" s="31" t="n">
        <v>45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69.31</v>
      </c>
      <c r="P36" s="32" t="n">
        <v>26.21</v>
      </c>
      <c r="Q36" s="32" t="n">
        <v>430.87</v>
      </c>
      <c r="R36" s="31" t="inlineStr">
        <is>
          <t>Near 52W High Breakout</t>
        </is>
      </c>
      <c r="S36" s="31" t="inlineStr">
        <is>
          <t>Nifty 50</t>
        </is>
      </c>
      <c r="T36" s="32" t="n">
        <v>-3.34</v>
      </c>
      <c r="U36" s="32" t="n">
        <v>25.51</v>
      </c>
      <c r="V36" s="32" t="n">
        <v>29.85</v>
      </c>
      <c r="W36" s="32" t="n">
        <v>11.33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IF(B37=0,"",RANK(B37,$B$2:$B$95,0))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MARKSANS</t>
        </is>
      </c>
      <c r="D37" s="31" t="inlineStr">
        <is>
          <t>Marksans Pharma Ltd</t>
        </is>
      </c>
      <c r="E37" s="31" t="inlineStr">
        <is>
          <t>healthcare</t>
        </is>
      </c>
      <c r="F37" s="31" t="inlineStr">
        <is>
          <t>Pharma - Formulators</t>
        </is>
      </c>
      <c r="G37" s="31" t="inlineStr">
        <is>
          <t>midcap</t>
        </is>
      </c>
      <c r="H37" s="32" t="n">
        <v>15090.35</v>
      </c>
      <c r="I37" s="32" t="n">
        <v>333</v>
      </c>
      <c r="J37" s="32" t="n">
        <v>3.29</v>
      </c>
      <c r="K37" s="32" t="n">
        <v>0</v>
      </c>
      <c r="L37" s="31" t="n">
        <v>81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75.04000000000001</v>
      </c>
      <c r="P37" s="32" t="n">
        <v>58.94</v>
      </c>
      <c r="Q37" s="32" t="n">
        <v>259.63</v>
      </c>
      <c r="R37" s="31" t="inlineStr">
        <is>
          <t>Near 52W High Breakout</t>
        </is>
      </c>
      <c r="S37" s="31" t="inlineStr">
        <is>
          <t>Nifty Pharma</t>
        </is>
      </c>
      <c r="T37" s="32" t="n">
        <v>22.15</v>
      </c>
      <c r="U37" s="32" t="n">
        <v>97.39</v>
      </c>
      <c r="V37" s="32" t="n">
        <v>61.6</v>
      </c>
      <c r="W37" s="32" t="n">
        <v>24.84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25</t>
        </is>
      </c>
      <c r="CG37" s="31">
        <f>IF(CF37&gt;20,10,IF(CF37&gt;=10,5,2))</f>
        <v/>
      </c>
    </row>
    <row r="38">
      <c r="A38" s="31">
        <f>IF(B38=0,"",RANK(B38,$B$2:$B$95,0))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KPL</t>
        </is>
      </c>
      <c r="D38" s="31" t="inlineStr">
        <is>
          <t>Kwality Pharmaceuticals Ltd</t>
        </is>
      </c>
      <c r="E38" s="31" t="inlineStr">
        <is>
          <t>Healthcare</t>
        </is>
      </c>
      <c r="F38" s="31" t="inlineStr">
        <is>
          <t>Pharma - Formulators</t>
        </is>
      </c>
      <c r="G38" s="31" t="inlineStr">
        <is>
          <t>smallcap</t>
        </is>
      </c>
      <c r="H38" s="32" t="n">
        <v>3503</v>
      </c>
      <c r="I38" s="32" t="n">
        <v>3376</v>
      </c>
      <c r="J38" s="32" t="n">
        <v>-0.34</v>
      </c>
      <c r="K38" s="32" t="n">
        <v>0</v>
      </c>
      <c r="L38" s="31" t="n">
        <v>92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76.34</v>
      </c>
      <c r="P38" s="32" t="n">
        <v>70.23</v>
      </c>
      <c r="Q38" s="32" t="n">
        <v>2561.8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22.15</v>
      </c>
      <c r="U38" s="32" t="n">
        <v>261.53</v>
      </c>
      <c r="V38" s="32" t="n">
        <v>195.98</v>
      </c>
      <c r="W38" s="32" t="n">
        <v>41.41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24</t>
        </is>
      </c>
      <c r="CG38" s="31">
        <f>IF(CF38&gt;20,10,IF(CF38&gt;=10,5,2))</f>
        <v/>
      </c>
    </row>
    <row r="39">
      <c r="A39" s="31">
        <f>IF(B39=0,"",RANK(B39,$B$2:$B$95,0))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SHILPAMED</t>
        </is>
      </c>
      <c r="D39" s="31" t="inlineStr">
        <is>
          <t>Shilpa Medicare Ltd</t>
        </is>
      </c>
      <c r="E39" s="31" t="inlineStr">
        <is>
          <t>healthcare</t>
        </is>
      </c>
      <c r="F39" s="31" t="inlineStr">
        <is>
          <t>Pharma - API &amp; CRAMS</t>
        </is>
      </c>
      <c r="G39" s="31" t="inlineStr">
        <is>
          <t>midcap</t>
        </is>
      </c>
      <c r="H39" s="32" t="n">
        <v>18189.11</v>
      </c>
      <c r="I39" s="32" t="n">
        <v>930</v>
      </c>
      <c r="J39" s="32" t="n">
        <v>4.53</v>
      </c>
      <c r="K39" s="32" t="n">
        <v>0</v>
      </c>
      <c r="L39" s="31" t="n">
        <v>90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90.77</v>
      </c>
      <c r="P39" s="32" t="n">
        <v>77.77</v>
      </c>
      <c r="Q39" s="32" t="n">
        <v>756.8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22.15</v>
      </c>
      <c r="U39" s="32" t="n">
        <v>120.12</v>
      </c>
      <c r="V39" s="32" t="n">
        <v>80.20999999999999</v>
      </c>
      <c r="W39" s="32" t="n">
        <v>37.15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23</t>
        </is>
      </c>
      <c r="CG39" s="31">
        <f>IF(CF39&gt;20,10,IF(CF39&gt;=10,5,2))</f>
        <v/>
      </c>
    </row>
    <row r="40">
      <c r="A40" s="31">
        <f>IF(B40=0,"",RANK(B40,$B$2:$B$95,0))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NEULANDLAB</t>
        </is>
      </c>
      <c r="D40" s="31" t="inlineStr">
        <is>
          <t>Neuland Laboratories Ltd</t>
        </is>
      </c>
      <c r="E40" s="31" t="inlineStr">
        <is>
          <t>healthcare</t>
        </is>
      </c>
      <c r="F40" s="31" t="inlineStr">
        <is>
          <t>Pharma - API &amp; CRAMS</t>
        </is>
      </c>
      <c r="G40" s="31" t="inlineStr">
        <is>
          <t>largecap</t>
        </is>
      </c>
      <c r="H40" s="32" t="n">
        <v>29438.18</v>
      </c>
      <c r="I40" s="32" t="n">
        <v>22945</v>
      </c>
      <c r="J40" s="32" t="n">
        <v>-0.35</v>
      </c>
      <c r="K40" s="32" t="n">
        <v>0</v>
      </c>
      <c r="L40" s="31" t="n">
        <v>68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74.70999999999999</v>
      </c>
      <c r="P40" s="32" t="n">
        <v>57.23</v>
      </c>
      <c r="Q40" s="32" t="n">
        <v>19095.47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22.15</v>
      </c>
      <c r="U40" s="32" t="n">
        <v>59.09</v>
      </c>
      <c r="V40" s="32" t="n">
        <v>30.24</v>
      </c>
      <c r="W40" s="32" t="n">
        <v>19.32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20</t>
        </is>
      </c>
      <c r="CG40" s="31">
        <f>IF(CF40&gt;20,10,IF(CF40&gt;=10,5,2))</f>
        <v/>
      </c>
    </row>
    <row r="41">
      <c r="A41" s="31">
        <f>IF(B41=0,"",RANK(B41,$B$2:$B$95,0))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VENKEYS</t>
        </is>
      </c>
      <c r="D41" s="31" t="inlineStr">
        <is>
          <t>Venkys (India) Ltd</t>
        </is>
      </c>
      <c r="E41" s="31" t="inlineStr">
        <is>
          <t>fmcg</t>
        </is>
      </c>
      <c r="F41" s="31" t="inlineStr">
        <is>
          <t>FMCG - Animal/Polutry</t>
        </is>
      </c>
      <c r="G41" s="31" t="inlineStr">
        <is>
          <t>smallcap</t>
        </is>
      </c>
      <c r="H41" s="32" t="n">
        <v>2341.32</v>
      </c>
      <c r="I41" s="32" t="n">
        <v>1662</v>
      </c>
      <c r="J41" s="32" t="n">
        <v>0.79</v>
      </c>
      <c r="K41" s="32" t="n">
        <v>0</v>
      </c>
      <c r="L41" s="31" t="n">
        <v>14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62.07</v>
      </c>
      <c r="P41" s="32" t="n">
        <v>38.74</v>
      </c>
      <c r="Q41" s="32" t="n">
        <v>1306.79</v>
      </c>
      <c r="R41" s="31" t="inlineStr">
        <is>
          <t>Volume Spike &amp; Near 52W High Breakout</t>
        </is>
      </c>
      <c r="S41" s="31" t="inlineStr">
        <is>
          <t>Nifty FMCG</t>
        </is>
      </c>
      <c r="T41" s="32" t="n">
        <v>-15.28</v>
      </c>
      <c r="U41" s="32" t="n">
        <v>8.08</v>
      </c>
      <c r="V41" s="32" t="n">
        <v>27.57</v>
      </c>
      <c r="W41" s="32" t="n">
        <v>3.51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B2C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IF(B42=0,"",RANK(B42,$B$2:$B$95,0))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BHAGERIA</t>
        </is>
      </c>
      <c r="D42" s="31" t="inlineStr">
        <is>
          <t>Bhageria Industries Ltd</t>
        </is>
      </c>
      <c r="E42" s="31" t="inlineStr">
        <is>
          <t>chemicals</t>
        </is>
      </c>
      <c r="F42" s="31" t="inlineStr">
        <is>
          <t>Dyes &amp; Pigments</t>
        </is>
      </c>
      <c r="G42" s="31" t="inlineStr">
        <is>
          <t>smallcap</t>
        </is>
      </c>
      <c r="H42" s="32" t="n">
        <v>1206.11</v>
      </c>
      <c r="I42" s="32" t="n">
        <v>276.35</v>
      </c>
      <c r="J42" s="32" t="n">
        <v>5</v>
      </c>
      <c r="K42" s="32" t="n">
        <v>0</v>
      </c>
      <c r="L42" s="31" t="n">
        <v>57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71.52</v>
      </c>
      <c r="P42" s="32" t="n">
        <v>34.33</v>
      </c>
      <c r="Q42" s="32" t="n">
        <v>209.68</v>
      </c>
      <c r="R42" s="31" t="inlineStr">
        <is>
          <t>Volume Spike &amp; Near 52W High Breakout</t>
        </is>
      </c>
      <c r="S42" s="31" t="inlineStr">
        <is>
          <t>Nifty 50</t>
        </is>
      </c>
      <c r="T42" s="32" t="n">
        <v>-3.34</v>
      </c>
      <c r="U42" s="32" t="n">
        <v>40.46</v>
      </c>
      <c r="V42" s="32" t="n">
        <v>45.31</v>
      </c>
      <c r="W42" s="32" t="n">
        <v>15.91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27</t>
        </is>
      </c>
      <c r="CG42" s="31">
        <f>IF(CF42&gt;20,10,IF(CF42&gt;=10,5,2))</f>
        <v/>
      </c>
    </row>
    <row r="43">
      <c r="A43" s="31">
        <f>IF(B43=0,"",RANK(B43,$B$2:$B$95,0))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OMAXE</t>
        </is>
      </c>
      <c r="D43" s="31" t="inlineStr">
        <is>
          <t>Omaxe Ltd</t>
        </is>
      </c>
      <c r="E43" s="31" t="inlineStr">
        <is>
          <t>realty</t>
        </is>
      </c>
      <c r="F43" s="31" t="inlineStr">
        <is>
          <t>Realty - Construction &amp; Contracting</t>
        </is>
      </c>
      <c r="G43" s="31" t="inlineStr">
        <is>
          <t>smallcap</t>
        </is>
      </c>
      <c r="H43" s="32" t="n">
        <v>2443.55</v>
      </c>
      <c r="I43" s="32" t="n">
        <v>133.6</v>
      </c>
      <c r="J43" s="32" t="n">
        <v>5.39</v>
      </c>
      <c r="K43" s="32" t="n">
        <v>0</v>
      </c>
      <c r="L43" s="31" t="n">
        <v>74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80.28</v>
      </c>
      <c r="P43" s="32" t="n">
        <v>35.52</v>
      </c>
      <c r="Q43" s="32" t="n">
        <v>93.75</v>
      </c>
      <c r="R43" s="31" t="inlineStr">
        <is>
          <t>Volume Spike &amp; Near 52W High Breakout</t>
        </is>
      </c>
      <c r="S43" s="31" t="inlineStr">
        <is>
          <t>Nifty Realty</t>
        </is>
      </c>
      <c r="T43" s="32" t="n">
        <v>-6.04</v>
      </c>
      <c r="U43" s="32" t="n">
        <v>40.88</v>
      </c>
      <c r="V43" s="32" t="n">
        <v>49.95</v>
      </c>
      <c r="W43" s="32" t="n">
        <v>21.72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23</t>
        </is>
      </c>
      <c r="CG43" s="31">
        <f>IF(CF43&gt;20,10,IF(CF43&gt;=10,5,2))</f>
        <v/>
      </c>
    </row>
    <row r="44">
      <c r="A44" s="31">
        <f>IF(B44=0,"",RANK(B44,$B$2:$B$95,0))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GHCLTEXTIL</t>
        </is>
      </c>
      <c r="D44" s="31" t="inlineStr">
        <is>
          <t>GHCL Textiles Ltd</t>
        </is>
      </c>
      <c r="E44" s="31" t="inlineStr">
        <is>
          <t>textiles</t>
        </is>
      </c>
      <c r="F44" s="31" t="inlineStr">
        <is>
          <t>Textiles - General</t>
        </is>
      </c>
      <c r="G44" s="31" t="inlineStr">
        <is>
          <t>smallcap</t>
        </is>
      </c>
      <c r="H44" s="32" t="n">
        <v>1337.63</v>
      </c>
      <c r="I44" s="32" t="n">
        <v>139.94</v>
      </c>
      <c r="J44" s="32" t="n">
        <v>-0.36</v>
      </c>
      <c r="K44" s="32" t="n">
        <v>0</v>
      </c>
      <c r="L44" s="31" t="n">
        <v>77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78.09999999999999</v>
      </c>
      <c r="P44" s="32" t="n">
        <v>42.9</v>
      </c>
      <c r="Q44" s="32" t="n">
        <v>109.21</v>
      </c>
      <c r="R44" s="31" t="inlineStr">
        <is>
          <t>Near 52W High Breakout</t>
        </is>
      </c>
      <c r="S44" s="31" t="inlineStr">
        <is>
          <t>Nifty 50</t>
        </is>
      </c>
      <c r="T44" s="32" t="n">
        <v>-3.34</v>
      </c>
      <c r="U44" s="32" t="n">
        <v>83.17</v>
      </c>
      <c r="V44" s="32" t="n">
        <v>89.5</v>
      </c>
      <c r="W44" s="32" t="n">
        <v>22.99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22</t>
        </is>
      </c>
      <c r="CG44" s="31">
        <f>IF(CF44&gt;20,10,IF(CF44&gt;=10,5,2))</f>
        <v/>
      </c>
    </row>
    <row r="45">
      <c r="A45" s="31">
        <f>IF(B45=0,"",RANK(B45,$B$2:$B$95,0))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AVALON</t>
        </is>
      </c>
      <c r="D45" s="31" t="inlineStr">
        <is>
          <t>Avalon Technologies Ltd</t>
        </is>
      </c>
      <c r="E45" s="31" t="inlineStr">
        <is>
          <t>consumer discretionary</t>
        </is>
      </c>
      <c r="F45" s="31" t="inlineStr">
        <is>
          <t>Consumer Electronics - EMS</t>
        </is>
      </c>
      <c r="G45" s="31" t="inlineStr">
        <is>
          <t>midcap</t>
        </is>
      </c>
      <c r="H45" s="32" t="n">
        <v>14618.41</v>
      </c>
      <c r="I45" s="32" t="n">
        <v>2188</v>
      </c>
      <c r="J45" s="32" t="n">
        <v>-5.63</v>
      </c>
      <c r="K45" s="32" t="n">
        <v>0</v>
      </c>
      <c r="L45" s="31" t="n">
        <v>86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79.98999999999999</v>
      </c>
      <c r="P45" s="32" t="n">
        <v>59.79</v>
      </c>
      <c r="Q45" s="32" t="n">
        <v>1691.08</v>
      </c>
      <c r="R45" s="31" t="inlineStr">
        <is>
          <t>Near 52W High Breakout</t>
        </is>
      </c>
      <c r="S45" s="31" t="inlineStr">
        <is>
          <t>Nifty 50</t>
        </is>
      </c>
      <c r="T45" s="32" t="n">
        <v>-3.34</v>
      </c>
      <c r="U45" s="32" t="n">
        <v>137.24</v>
      </c>
      <c r="V45" s="32" t="n">
        <v>145.44</v>
      </c>
      <c r="W45" s="32" t="n">
        <v>29.3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21</t>
        </is>
      </c>
      <c r="CG45" s="31">
        <f>IF(CF45&gt;20,10,IF(CF45&gt;=10,5,2))</f>
        <v/>
      </c>
    </row>
    <row r="46">
      <c r="A46" s="31">
        <f>IF(B46=0,"",RANK(B46,$B$2:$B$95,0))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STLTECH</t>
        </is>
      </c>
      <c r="D46" s="31" t="inlineStr">
        <is>
          <t>Sterlite Technologies Ltd</t>
        </is>
      </c>
      <c r="E46" s="31" t="inlineStr">
        <is>
          <t>industrials</t>
        </is>
      </c>
      <c r="F46" s="31" t="inlineStr">
        <is>
          <t>Cables - Telecom</t>
        </is>
      </c>
      <c r="G46" s="31" t="inlineStr">
        <is>
          <t>largecap</t>
        </is>
      </c>
      <c r="H46" s="32" t="n">
        <v>36742.08</v>
      </c>
      <c r="I46" s="32" t="n">
        <v>714.95</v>
      </c>
      <c r="J46" s="32" t="n">
        <v>3.06</v>
      </c>
      <c r="K46" s="32" t="n">
        <v>0</v>
      </c>
      <c r="L46" s="31" t="n">
        <v>99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74.86</v>
      </c>
      <c r="P46" s="32" t="n">
        <v>75.63</v>
      </c>
      <c r="Q46" s="32" t="n">
        <v>509.35</v>
      </c>
      <c r="R46" s="31" t="inlineStr">
        <is>
          <t>Near 52W High Breakout</t>
        </is>
      </c>
      <c r="S46" s="31" t="inlineStr">
        <is>
          <t>Nifty Infra</t>
        </is>
      </c>
      <c r="T46" s="32" t="n">
        <v>1.61</v>
      </c>
      <c r="U46" s="32" t="n">
        <v>509.05</v>
      </c>
      <c r="V46" s="32" t="n">
        <v>499.42</v>
      </c>
      <c r="W46" s="32" t="n">
        <v>102.73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Oligopoly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Between 0.7 to 1.2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20</t>
        </is>
      </c>
      <c r="CG46" s="31">
        <f>IF(CF46&gt;20,10,IF(CF46&gt;=10,5,2))</f>
        <v/>
      </c>
    </row>
    <row r="47">
      <c r="A47" s="31">
        <f>IF(B47=0,"",RANK(B47,$B$2:$B$95,0))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4" t="inlineStr">
        <is>
          <t>FOSECOC</t>
        </is>
      </c>
      <c r="D47" s="34" t="inlineStr">
        <is>
          <t>Foseco Crucible (India) Ltd</t>
        </is>
      </c>
      <c r="E47" s="31" t="inlineStr">
        <is>
          <t>Industrials</t>
        </is>
      </c>
      <c r="F47" s="31" t="inlineStr">
        <is>
          <t>Refractories</t>
        </is>
      </c>
      <c r="G47" s="31" t="inlineStr">
        <is>
          <t>smallcap</t>
        </is>
      </c>
      <c r="H47" s="32" t="n">
        <v>1024.8</v>
      </c>
      <c r="I47" s="32" t="n">
        <v>1830</v>
      </c>
      <c r="J47" s="32" t="n">
        <v>-1.42</v>
      </c>
      <c r="K47" s="32" t="n">
        <v>0</v>
      </c>
      <c r="L47" s="31" t="n">
        <v>54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70.14</v>
      </c>
      <c r="P47" s="32" t="n">
        <v>21.3</v>
      </c>
      <c r="Q47" s="32" t="n">
        <v>1438.67</v>
      </c>
      <c r="R47" s="31" t="inlineStr">
        <is>
          <t>Volume Spike &amp; Near 52W High Breakout</t>
        </is>
      </c>
      <c r="S47" s="31" t="inlineStr">
        <is>
          <t>Nifty 50</t>
        </is>
      </c>
      <c r="T47" s="32" t="n">
        <v>-3.34</v>
      </c>
      <c r="U47" s="32" t="n">
        <v>9.869999999999999</v>
      </c>
      <c r="V47" s="32" t="n">
        <v>13.67</v>
      </c>
      <c r="W47" s="32" t="n">
        <v>15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19</t>
        </is>
      </c>
      <c r="CG47" s="31">
        <f>IF(CF47&gt;20,10,IF(CF47&gt;=10,5,2))</f>
        <v/>
      </c>
    </row>
    <row r="48">
      <c r="A48" s="31">
        <f>IF(B48=0,"",RANK(B48,$B$2:$B$95,0))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HFCL</t>
        </is>
      </c>
      <c r="D48" s="31" t="inlineStr">
        <is>
          <t>HFCL Ltd</t>
        </is>
      </c>
      <c r="E48" s="31" t="inlineStr">
        <is>
          <t>Technology</t>
        </is>
      </c>
      <c r="F48" s="31" t="inlineStr">
        <is>
          <t>Telecom Services</t>
        </is>
      </c>
      <c r="G48" s="31" t="inlineStr">
        <is>
          <t>largecap</t>
        </is>
      </c>
      <c r="H48" s="32" t="n">
        <v>34587.02</v>
      </c>
      <c r="I48" s="32" t="n">
        <v>225.97</v>
      </c>
      <c r="J48" s="32" t="n">
        <v>-4.51</v>
      </c>
      <c r="K48" s="32" t="n">
        <v>0</v>
      </c>
      <c r="L48" s="31" t="n">
        <v>93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68.05</v>
      </c>
      <c r="P48" s="32" t="n">
        <v>61.79</v>
      </c>
      <c r="Q48" s="32" t="n">
        <v>189.26</v>
      </c>
      <c r="R48" s="31" t="inlineStr">
        <is>
          <t>Earnings / Momentum Support</t>
        </is>
      </c>
      <c r="S48" s="31" t="inlineStr">
        <is>
          <t>Nifty 50</t>
        </is>
      </c>
      <c r="T48" s="32" t="n">
        <v>-3.34</v>
      </c>
      <c r="U48" s="32" t="n">
        <v>224.45</v>
      </c>
      <c r="V48" s="32" t="n">
        <v>235.66</v>
      </c>
      <c r="W48" s="32" t="n">
        <v>42.08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Oligopoly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20</t>
        </is>
      </c>
      <c r="CG48" s="31">
        <f>IF(CF48&gt;20,10,IF(CF48&gt;=10,5,2))</f>
        <v/>
      </c>
    </row>
    <row r="49">
      <c r="A49" s="31">
        <f>IF(B49=0,"",RANK(B49,$B$2:$B$95,0))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DYCL</t>
        </is>
      </c>
      <c r="D49" s="31" t="inlineStr">
        <is>
          <t>Dynamic Cables Ltd</t>
        </is>
      </c>
      <c r="E49" s="31" t="inlineStr">
        <is>
          <t>industrials</t>
        </is>
      </c>
      <c r="F49" s="31" t="inlineStr">
        <is>
          <t>Cables - Power</t>
        </is>
      </c>
      <c r="G49" s="31" t="inlineStr">
        <is>
          <t>smallcap</t>
        </is>
      </c>
      <c r="H49" s="32" t="n">
        <v>2597.38</v>
      </c>
      <c r="I49" s="32" t="n">
        <v>536</v>
      </c>
      <c r="J49" s="32" t="n">
        <v>-1.18</v>
      </c>
      <c r="K49" s="32" t="n">
        <v>0</v>
      </c>
      <c r="L49" s="31" t="n">
        <v>68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75.51000000000001</v>
      </c>
      <c r="P49" s="32" t="n">
        <v>32.63</v>
      </c>
      <c r="Q49" s="32" t="n">
        <v>392.8</v>
      </c>
      <c r="R49" s="31" t="inlineStr">
        <is>
          <t>Volume Spike &amp; Near 52W High Breakout</t>
        </is>
      </c>
      <c r="S49" s="31" t="inlineStr">
        <is>
          <t>Nifty Energy</t>
        </is>
      </c>
      <c r="T49" s="32" t="n">
        <v>7.88</v>
      </c>
      <c r="U49" s="32" t="n">
        <v>31.17</v>
      </c>
      <c r="V49" s="32" t="n">
        <v>21.59</v>
      </c>
      <c r="W49" s="32" t="n">
        <v>19.28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29</t>
        </is>
      </c>
      <c r="CG49" s="31">
        <f>IF(CF49&gt;20,10,IF(CF49&gt;=10,5,2))</f>
        <v/>
      </c>
    </row>
    <row r="50">
      <c r="A50" s="31">
        <f>IF(B50=0,"",RANK(B50,$B$2:$B$95,0))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KENNAMET</t>
        </is>
      </c>
      <c r="D50" s="31" t="inlineStr">
        <is>
          <t>Kennametal India Ltd</t>
        </is>
      </c>
      <c r="E50" s="31" t="inlineStr">
        <is>
          <t>industrials</t>
        </is>
      </c>
      <c r="F50" s="31" t="inlineStr">
        <is>
          <t>Castings, Forgings &amp; Fastners</t>
        </is>
      </c>
      <c r="G50" s="31" t="inlineStr">
        <is>
          <t>midcap</t>
        </is>
      </c>
      <c r="H50" s="32" t="n">
        <v>10191.31</v>
      </c>
      <c r="I50" s="32" t="n">
        <v>4637</v>
      </c>
      <c r="J50" s="32" t="n">
        <v>1.73</v>
      </c>
      <c r="K50" s="32" t="n">
        <v>0</v>
      </c>
      <c r="L50" s="31" t="n">
        <v>88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85.06</v>
      </c>
      <c r="P50" s="32" t="n">
        <v>47.04</v>
      </c>
      <c r="Q50" s="32" t="n">
        <v>3660.58</v>
      </c>
      <c r="R50" s="31" t="inlineStr">
        <is>
          <t>Near 52W High Breakout</t>
        </is>
      </c>
      <c r="S50" s="31" t="inlineStr">
        <is>
          <t>Nifty 50</t>
        </is>
      </c>
      <c r="T50" s="32" t="n">
        <v>-3.34</v>
      </c>
      <c r="U50" s="32" t="n">
        <v>116.68</v>
      </c>
      <c r="V50" s="32" t="n">
        <v>124.17</v>
      </c>
      <c r="W50" s="32" t="n">
        <v>31.31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26</t>
        </is>
      </c>
      <c r="CG50" s="31">
        <f>IF(CF50&gt;20,10,IF(CF50&gt;=10,5,2))</f>
        <v/>
      </c>
    </row>
    <row r="51">
      <c r="A51" s="31">
        <f>IF(B51=0,"",RANK(B51,$B$2:$B$95,0))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SKYGOLD</t>
        </is>
      </c>
      <c r="D51" s="31" t="inlineStr">
        <is>
          <t>Sky Gold &amp; Diamonds Ltd</t>
        </is>
      </c>
      <c r="E51" s="31" t="inlineStr">
        <is>
          <t>Consumer Cyclical</t>
        </is>
      </c>
      <c r="F51" s="31" t="inlineStr">
        <is>
          <t>Diamond, Gems &amp; Jewellery</t>
        </is>
      </c>
      <c r="G51" s="31" t="inlineStr">
        <is>
          <t>midcap</t>
        </is>
      </c>
      <c r="H51" s="32" t="n">
        <v>11631.03</v>
      </c>
      <c r="I51" s="32" t="n">
        <v>751</v>
      </c>
      <c r="J51" s="32" t="n">
        <v>-3.5</v>
      </c>
      <c r="K51" s="32" t="n">
        <v>0</v>
      </c>
      <c r="L51" s="31" t="n">
        <v>89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71.28</v>
      </c>
      <c r="P51" s="32" t="n">
        <v>66.44</v>
      </c>
      <c r="Q51" s="32" t="n">
        <v>617.04</v>
      </c>
      <c r="R51" s="31" t="inlineStr">
        <is>
          <t>Earnings / Momentum Support</t>
        </is>
      </c>
      <c r="S51" s="31" t="inlineStr">
        <is>
          <t>Nifty 50</t>
        </is>
      </c>
      <c r="T51" s="32" t="n">
        <v>-3.34</v>
      </c>
      <c r="U51" s="32" t="n">
        <v>169.98</v>
      </c>
      <c r="V51" s="32" t="n">
        <v>179.31</v>
      </c>
      <c r="W51" s="32" t="n">
        <v>32.46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B2C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25</t>
        </is>
      </c>
      <c r="CG51" s="31">
        <f>IF(CF51&gt;20,10,IF(CF51&gt;=10,5,2))</f>
        <v/>
      </c>
    </row>
    <row r="52">
      <c r="A52" s="31">
        <f>IF(B52=0,"",RANK(B52,$B$2:$B$95,0))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THELEELA</t>
        </is>
      </c>
      <c r="D52" s="31" t="inlineStr">
        <is>
          <t>Leela Palaces Hotels &amp; Resorts Ltd</t>
        </is>
      </c>
      <c r="E52" s="31" t="inlineStr">
        <is>
          <t>services</t>
        </is>
      </c>
      <c r="F52" s="31" t="inlineStr">
        <is>
          <t>Hotels</t>
        </is>
      </c>
      <c r="G52" s="31" t="inlineStr">
        <is>
          <t>midcap</t>
        </is>
      </c>
      <c r="H52" s="32" t="n">
        <v>19030.59</v>
      </c>
      <c r="I52" s="32" t="n">
        <v>569.85</v>
      </c>
      <c r="J52" s="32" t="n">
        <v>-0.96</v>
      </c>
      <c r="K52" s="32" t="n">
        <v>0</v>
      </c>
      <c r="L52" s="31" t="n">
        <v>53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70.87</v>
      </c>
      <c r="P52" s="32" t="n">
        <v>37.61</v>
      </c>
      <c r="Q52" s="32" t="n">
        <v>466.61</v>
      </c>
      <c r="R52" s="31" t="inlineStr">
        <is>
          <t>Near 52W High Breakout</t>
        </is>
      </c>
      <c r="S52" s="31" t="inlineStr">
        <is>
          <t>Nifty 50</t>
        </is>
      </c>
      <c r="T52" s="32" t="n">
        <v>-3.34</v>
      </c>
      <c r="U52" s="32" t="n">
        <v>38.73</v>
      </c>
      <c r="V52" s="32" t="n">
        <v>43.52</v>
      </c>
      <c r="W52" s="32" t="n">
        <v>14.87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24</t>
        </is>
      </c>
      <c r="CG52" s="31">
        <f>IF(CF52&gt;20,10,IF(CF52&gt;=10,5,2))</f>
        <v/>
      </c>
    </row>
    <row r="53">
      <c r="A53" s="31">
        <f>IF(B53=0,"",RANK(B53,$B$2:$B$95,0))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CHENNPETRO</t>
        </is>
      </c>
      <c r="D53" s="31" t="inlineStr">
        <is>
          <t>Chennai Petroleum Corporation Ltd</t>
        </is>
      </c>
      <c r="E53" s="31" t="inlineStr">
        <is>
          <t>energy</t>
        </is>
      </c>
      <c r="F53" s="31" t="inlineStr">
        <is>
          <t>Refineries</t>
        </is>
      </c>
      <c r="G53" s="31" t="inlineStr">
        <is>
          <t>largecap</t>
        </is>
      </c>
      <c r="H53" s="32" t="n">
        <v>21038.2</v>
      </c>
      <c r="I53" s="32" t="n">
        <v>1412.8</v>
      </c>
      <c r="J53" s="32" t="n">
        <v>1.86</v>
      </c>
      <c r="K53" s="32" t="n">
        <v>0</v>
      </c>
      <c r="L53" s="31" t="n">
        <v>83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72.69</v>
      </c>
      <c r="P53" s="32" t="n">
        <v>56.38</v>
      </c>
      <c r="Q53" s="32" t="n">
        <v>1052.88</v>
      </c>
      <c r="R53" s="31" t="inlineStr">
        <is>
          <t>Near 52W High Breakout</t>
        </is>
      </c>
      <c r="S53" s="31" t="inlineStr">
        <is>
          <t>Nifty Energy</t>
        </is>
      </c>
      <c r="T53" s="32" t="n">
        <v>7.88</v>
      </c>
      <c r="U53" s="32" t="n">
        <v>117.91</v>
      </c>
      <c r="V53" s="32" t="n">
        <v>101.99</v>
      </c>
      <c r="W53" s="32" t="n">
        <v>26.24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Cyclical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Volatile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22</t>
        </is>
      </c>
      <c r="CG53" s="31">
        <f>IF(CF53&gt;20,10,IF(CF53&gt;=10,5,2))</f>
        <v/>
      </c>
    </row>
    <row r="54">
      <c r="A54" s="31">
        <f>IF(B54=0,"",RANK(B54,$B$2:$B$95,0))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MACPOWER</t>
        </is>
      </c>
      <c r="D54" s="31" t="inlineStr">
        <is>
          <t>Macpower CNC Machines Ltd</t>
        </is>
      </c>
      <c r="E54" s="31" t="inlineStr">
        <is>
          <t>industrials</t>
        </is>
      </c>
      <c r="F54" s="31" t="inlineStr">
        <is>
          <t>CNC - Machines</t>
        </is>
      </c>
      <c r="G54" s="31" t="inlineStr">
        <is>
          <t>smallcap</t>
        </is>
      </c>
      <c r="H54" s="32" t="n">
        <v>1899.79</v>
      </c>
      <c r="I54" s="32" t="n">
        <v>1899</v>
      </c>
      <c r="J54" s="32" t="n">
        <v>-0.64</v>
      </c>
      <c r="K54" s="32" t="n">
        <v>0</v>
      </c>
      <c r="L54" s="31" t="n">
        <v>91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72.34</v>
      </c>
      <c r="P54" s="32" t="n">
        <v>40.15</v>
      </c>
      <c r="Q54" s="32" t="n">
        <v>1469.18</v>
      </c>
      <c r="R54" s="31" t="inlineStr">
        <is>
          <t>Earnings / Momentum Support</t>
        </is>
      </c>
      <c r="S54" s="31" t="inlineStr">
        <is>
          <t>Nifty 50</t>
        </is>
      </c>
      <c r="T54" s="32" t="n">
        <v>-3.34</v>
      </c>
      <c r="U54" s="32" t="n">
        <v>131.55</v>
      </c>
      <c r="V54" s="32" t="n">
        <v>139.55</v>
      </c>
      <c r="W54" s="32" t="n">
        <v>39.4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22</t>
        </is>
      </c>
      <c r="CG54" s="31">
        <f>IF(CF54&gt;20,10,IF(CF54&gt;=10,5,2))</f>
        <v/>
      </c>
    </row>
    <row r="55">
      <c r="A55" s="31">
        <f>IF(B55=0,"",RANK(B55,$B$2:$B$95,0))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BHEL</t>
        </is>
      </c>
      <c r="D55" s="31" t="inlineStr">
        <is>
          <t>Bharat Heavy Electricals Ltd</t>
        </is>
      </c>
      <c r="E55" s="31" t="inlineStr">
        <is>
          <t>Industrials</t>
        </is>
      </c>
      <c r="F55" s="31" t="inlineStr">
        <is>
          <t>Capital Goods - Engineering Heavy</t>
        </is>
      </c>
      <c r="G55" s="31" t="inlineStr">
        <is>
          <t>largecap</t>
        </is>
      </c>
      <c r="H55" s="32" t="n">
        <v>148858.21</v>
      </c>
      <c r="I55" s="32" t="n">
        <v>427.5</v>
      </c>
      <c r="J55" s="32" t="n">
        <v>0.22</v>
      </c>
      <c r="K55" s="32" t="n">
        <v>0</v>
      </c>
      <c r="L55" s="31" t="n">
        <v>67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64.92</v>
      </c>
      <c r="P55" s="32" t="n">
        <v>37</v>
      </c>
      <c r="Q55" s="32" t="n">
        <v>346.53</v>
      </c>
      <c r="R55" s="31" t="inlineStr">
        <is>
          <t>Near 52W High Breakout</t>
        </is>
      </c>
      <c r="S55" s="31" t="inlineStr">
        <is>
          <t>Nifty 50</t>
        </is>
      </c>
      <c r="T55" s="32" t="n">
        <v>-3.34</v>
      </c>
      <c r="U55" s="32" t="n">
        <v>101.96</v>
      </c>
      <c r="V55" s="32" t="n">
        <v>108.94</v>
      </c>
      <c r="W55" s="32" t="n">
        <v>19.03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21</t>
        </is>
      </c>
      <c r="CG55" s="31">
        <f>IF(CF55&gt;20,10,IF(CF55&gt;=10,5,2))</f>
        <v/>
      </c>
    </row>
    <row r="56">
      <c r="A56" s="31">
        <f>IF(B56=0,"",RANK(B56,$B$2:$B$95,0))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PGIL</t>
        </is>
      </c>
      <c r="D56" s="31" t="inlineStr">
        <is>
          <t>Pearl Global Industries Ltd</t>
        </is>
      </c>
      <c r="E56" s="31" t="inlineStr">
        <is>
          <t>consumer discretionary</t>
        </is>
      </c>
      <c r="F56" s="31" t="inlineStr">
        <is>
          <t>Textiles - Readymade Apparel</t>
        </is>
      </c>
      <c r="G56" s="31" t="inlineStr">
        <is>
          <t>midcap</t>
        </is>
      </c>
      <c r="H56" s="32" t="n">
        <v>10831.68</v>
      </c>
      <c r="I56" s="32" t="n">
        <v>2345</v>
      </c>
      <c r="J56" s="32" t="n">
        <v>-0.13</v>
      </c>
      <c r="K56" s="32" t="n">
        <v>0</v>
      </c>
      <c r="L56" s="31" t="n">
        <v>80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68.18000000000001</v>
      </c>
      <c r="P56" s="32" t="n">
        <v>57.93</v>
      </c>
      <c r="Q56" s="32" t="n">
        <v>1941</v>
      </c>
      <c r="R56" s="31" t="inlineStr">
        <is>
          <t>Near 52W High Breakout</t>
        </is>
      </c>
      <c r="S56" s="31" t="inlineStr">
        <is>
          <t>Nifty 50</t>
        </is>
      </c>
      <c r="T56" s="32" t="n">
        <v>-3.34</v>
      </c>
      <c r="U56" s="32" t="n">
        <v>97.92</v>
      </c>
      <c r="V56" s="32" t="n">
        <v>104.76</v>
      </c>
      <c r="W56" s="32" t="n">
        <v>24.42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21</t>
        </is>
      </c>
      <c r="CG56" s="31">
        <f>IF(CF56&gt;20,10,IF(CF56&gt;=10,5,2))</f>
        <v/>
      </c>
    </row>
    <row r="57">
      <c r="A57" s="31">
        <f>IF(B57=0,"",RANK(B57,$B$2:$B$95,0))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CRAFTSMAN</t>
        </is>
      </c>
      <c r="D57" s="31" t="inlineStr">
        <is>
          <t>Craftsman Automation Ltd</t>
        </is>
      </c>
      <c r="E57" s="31" t="inlineStr">
        <is>
          <t>auto</t>
        </is>
      </c>
      <c r="F57" s="31" t="inlineStr">
        <is>
          <t>Auto &amp; Auto Ancl - CV</t>
        </is>
      </c>
      <c r="G57" s="31" t="inlineStr">
        <is>
          <t>largecap</t>
        </is>
      </c>
      <c r="H57" s="32" t="n">
        <v>28769.88</v>
      </c>
      <c r="I57" s="32" t="n">
        <v>11000</v>
      </c>
      <c r="J57" s="32" t="n">
        <v>-2.25</v>
      </c>
      <c r="K57" s="32" t="n">
        <v>0</v>
      </c>
      <c r="L57" s="31" t="n">
        <v>75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71.06999999999999</v>
      </c>
      <c r="P57" s="32" t="n">
        <v>65.92</v>
      </c>
      <c r="Q57" s="32" t="n">
        <v>9102.33</v>
      </c>
      <c r="R57" s="31" t="inlineStr">
        <is>
          <t>Near 52W High Breakout</t>
        </is>
      </c>
      <c r="S57" s="31" t="inlineStr">
        <is>
          <t>Nifty Auto</t>
        </is>
      </c>
      <c r="T57" s="32" t="n">
        <v>17.66</v>
      </c>
      <c r="U57" s="32" t="n">
        <v>75.45</v>
      </c>
      <c r="V57" s="32" t="n">
        <v>49.12</v>
      </c>
      <c r="W57" s="32" t="n">
        <v>22.08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20</t>
        </is>
      </c>
      <c r="CG57" s="31">
        <f>IF(CF57&gt;20,10,IF(CF57&gt;=10,5,2))</f>
        <v/>
      </c>
    </row>
    <row r="58">
      <c r="A58" s="31">
        <f>IF(B58=0,"",RANK(B58,$B$2:$B$95,0))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PRECWIRE</t>
        </is>
      </c>
      <c r="D58" s="31" t="inlineStr">
        <is>
          <t>Precision Wires India Ltd</t>
        </is>
      </c>
      <c r="E58" s="31" t="inlineStr">
        <is>
          <t>metals &amp; mining</t>
        </is>
      </c>
      <c r="F58" s="31" t="inlineStr">
        <is>
          <t>Copper Wires</t>
        </is>
      </c>
      <c r="G58" s="31" t="inlineStr">
        <is>
          <t>midcap</t>
        </is>
      </c>
      <c r="H58" s="32" t="n">
        <v>8864.360000000001</v>
      </c>
      <c r="I58" s="32" t="n">
        <v>484.9</v>
      </c>
      <c r="J58" s="32" t="n">
        <v>-2.49</v>
      </c>
      <c r="K58" s="32" t="n">
        <v>0</v>
      </c>
      <c r="L58" s="31" t="n">
        <v>87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65.63</v>
      </c>
      <c r="P58" s="32" t="n">
        <v>41.9</v>
      </c>
      <c r="Q58" s="32" t="n">
        <v>372.83</v>
      </c>
      <c r="R58" s="31" t="inlineStr">
        <is>
          <t>Near 52W High Breakout</t>
        </is>
      </c>
      <c r="S58" s="31" t="inlineStr">
        <is>
          <t>Nifty Metal</t>
        </is>
      </c>
      <c r="T58" s="32" t="n">
        <v>39.6</v>
      </c>
      <c r="U58" s="32" t="n">
        <v>166.64</v>
      </c>
      <c r="V58" s="32" t="n">
        <v>91.01000000000001</v>
      </c>
      <c r="W58" s="32" t="n">
        <v>29.48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Cyclical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Volatile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20</t>
        </is>
      </c>
      <c r="CG58" s="31">
        <f>IF(CF58&gt;20,10,IF(CF58&gt;=10,5,2))</f>
        <v/>
      </c>
    </row>
    <row r="59">
      <c r="A59" s="31">
        <f>IF(B59=0,"",RANK(B59,$B$2:$B$95,0))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GANDHAR</t>
        </is>
      </c>
      <c r="D59" s="31" t="inlineStr">
        <is>
          <t>Gandhar Oil Refinery (India) Ltd</t>
        </is>
      </c>
      <c r="E59" s="31" t="inlineStr">
        <is>
          <t>energy</t>
        </is>
      </c>
      <c r="F59" s="31" t="inlineStr">
        <is>
          <t>Refineries</t>
        </is>
      </c>
      <c r="G59" s="31" t="inlineStr">
        <is>
          <t>smallcap</t>
        </is>
      </c>
      <c r="H59" s="32" t="n">
        <v>2599.68</v>
      </c>
      <c r="I59" s="32" t="n">
        <v>265.6</v>
      </c>
      <c r="J59" s="32" t="n">
        <v>1.45</v>
      </c>
      <c r="K59" s="32" t="n">
        <v>0</v>
      </c>
      <c r="L59" s="31" t="n">
        <v>89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69.73</v>
      </c>
      <c r="P59" s="32" t="n">
        <v>70.7</v>
      </c>
      <c r="Q59" s="32" t="n">
        <v>213.87</v>
      </c>
      <c r="R59" s="31" t="inlineStr">
        <is>
          <t>Near 52W High Breakout</t>
        </is>
      </c>
      <c r="S59" s="31" t="inlineStr">
        <is>
          <t>Nifty Energy</t>
        </is>
      </c>
      <c r="T59" s="32" t="n">
        <v>7.88</v>
      </c>
      <c r="U59" s="32" t="n">
        <v>61.61</v>
      </c>
      <c r="V59" s="32" t="n">
        <v>49.81</v>
      </c>
      <c r="W59" s="32" t="n">
        <v>35.4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Oligopoly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Cyclical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Volatile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20</t>
        </is>
      </c>
      <c r="CG59" s="31">
        <f>IF(CF59&gt;20,10,IF(CF59&gt;=10,5,2))</f>
        <v/>
      </c>
    </row>
    <row r="60">
      <c r="A60" s="31">
        <f>IF(B60=0,"",RANK(B60,$B$2:$B$95,0))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ACMESOLAR</t>
        </is>
      </c>
      <c r="D60" s="31" t="inlineStr">
        <is>
          <t>ACME Solar Holdings Ltd</t>
        </is>
      </c>
      <c r="E60" s="31" t="inlineStr">
        <is>
          <t>realty</t>
        </is>
      </c>
      <c r="F60" s="31" t="inlineStr">
        <is>
          <t>Engineering - Turnkey Services</t>
        </is>
      </c>
      <c r="G60" s="31" t="inlineStr">
        <is>
          <t>largecap</t>
        </is>
      </c>
      <c r="H60" s="32" t="n">
        <v>28126.53</v>
      </c>
      <c r="I60" s="32" t="n">
        <v>397.9</v>
      </c>
      <c r="J60" s="32" t="n">
        <v>-1.44</v>
      </c>
      <c r="K60" s="32" t="n">
        <v>0</v>
      </c>
      <c r="L60" s="31" t="n">
        <v>63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68.54000000000001</v>
      </c>
      <c r="P60" s="32" t="n">
        <v>46.52</v>
      </c>
      <c r="Q60" s="32" t="n">
        <v>312.36</v>
      </c>
      <c r="R60" s="31" t="inlineStr">
        <is>
          <t>Near 52W High Breakout</t>
        </is>
      </c>
      <c r="S60" s="31" t="inlineStr">
        <is>
          <t>Nifty Realty</t>
        </is>
      </c>
      <c r="T60" s="32" t="n">
        <v>-6.04</v>
      </c>
      <c r="U60" s="32" t="n">
        <v>47.38</v>
      </c>
      <c r="V60" s="32" t="n">
        <v>56.86</v>
      </c>
      <c r="W60" s="32" t="n">
        <v>17.89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More than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20</t>
        </is>
      </c>
      <c r="CG60" s="31">
        <f>IF(CF60&gt;20,10,IF(CF60&gt;=10,5,2))</f>
        <v/>
      </c>
    </row>
    <row r="61">
      <c r="A61" s="31">
        <f>IF(B61=0,"",RANK(B61,$B$2:$B$95,0))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AEROFLEX</t>
        </is>
      </c>
      <c r="D61" s="31" t="inlineStr">
        <is>
          <t>Aeroflex Industries Ltd</t>
        </is>
      </c>
      <c r="E61" s="31" t="inlineStr">
        <is>
          <t>metals &amp; mining</t>
        </is>
      </c>
      <c r="F61" s="31" t="inlineStr">
        <is>
          <t>Stainless Steel</t>
        </is>
      </c>
      <c r="G61" s="31" t="inlineStr">
        <is>
          <t>midcap</t>
        </is>
      </c>
      <c r="H61" s="32" t="n">
        <v>7162.4</v>
      </c>
      <c r="I61" s="32" t="n">
        <v>541.25</v>
      </c>
      <c r="J61" s="32" t="n">
        <v>-1.96</v>
      </c>
      <c r="K61" s="32" t="n">
        <v>0</v>
      </c>
      <c r="L61" s="31" t="n">
        <v>95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72.06999999999999</v>
      </c>
      <c r="P61" s="32" t="n">
        <v>62.21</v>
      </c>
      <c r="Q61" s="32" t="n">
        <v>389.6</v>
      </c>
      <c r="R61" s="31" t="inlineStr">
        <is>
          <t>Near 52W High Breakout</t>
        </is>
      </c>
      <c r="S61" s="31" t="inlineStr">
        <is>
          <t>Nifty Metal</t>
        </is>
      </c>
      <c r="T61" s="32" t="n">
        <v>39.6</v>
      </c>
      <c r="U61" s="32" t="n">
        <v>163.22</v>
      </c>
      <c r="V61" s="32" t="n">
        <v>88.56</v>
      </c>
      <c r="W61" s="32" t="n">
        <v>48.1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Cyclical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Volatile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20</t>
        </is>
      </c>
      <c r="CG61" s="31">
        <f>IF(CF61&gt;20,10,IF(CF61&gt;=10,5,2))</f>
        <v/>
      </c>
    </row>
    <row r="62">
      <c r="A62" s="31">
        <f>IF(B62=0,"",RANK(B62,$B$2:$B$95,0))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LAURUSLABS</t>
        </is>
      </c>
      <c r="D62" s="31" t="inlineStr">
        <is>
          <t>Laurus Labs Ltd</t>
        </is>
      </c>
      <c r="E62" s="31" t="inlineStr">
        <is>
          <t>healthcare</t>
        </is>
      </c>
      <c r="F62" s="31" t="inlineStr">
        <is>
          <t>Pharma - API &amp; CRAMS</t>
        </is>
      </c>
      <c r="G62" s="31" t="inlineStr">
        <is>
          <t>largecap</t>
        </is>
      </c>
      <c r="H62" s="32" t="n">
        <v>100714.2</v>
      </c>
      <c r="I62" s="32" t="n">
        <v>1864</v>
      </c>
      <c r="J62" s="32" t="n">
        <v>0.13</v>
      </c>
      <c r="K62" s="32" t="n">
        <v>0</v>
      </c>
      <c r="L62" s="31" t="n">
        <v>77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75.8</v>
      </c>
      <c r="P62" s="32" t="n">
        <v>69.89</v>
      </c>
      <c r="Q62" s="32" t="n">
        <v>1656.13</v>
      </c>
      <c r="R62" s="31" t="inlineStr">
        <is>
          <t>Volume Spike &amp; Near 52W High Breakout</t>
        </is>
      </c>
      <c r="S62" s="31" t="inlineStr">
        <is>
          <t>Nifty Pharma</t>
        </is>
      </c>
      <c r="T62" s="32" t="n">
        <v>22.15</v>
      </c>
      <c r="U62" s="32" t="n">
        <v>112.05</v>
      </c>
      <c r="V62" s="32" t="n">
        <v>73.59999999999999</v>
      </c>
      <c r="W62" s="32" t="n">
        <v>23.08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23</t>
        </is>
      </c>
      <c r="CG62" s="31">
        <f>IF(CF62&gt;20,10,IF(CF62&gt;=10,5,2))</f>
        <v/>
      </c>
    </row>
    <row r="63">
      <c r="A63" s="31">
        <f>IF(B63=0,"",RANK(B63,$B$2:$B$95,0))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SYNCOMF</t>
        </is>
      </c>
      <c r="D63" s="31" t="inlineStr">
        <is>
          <t>Syncom Formulations (India) Ltd</t>
        </is>
      </c>
      <c r="E63" s="31" t="inlineStr">
        <is>
          <t>healthcare</t>
        </is>
      </c>
      <c r="F63" s="31" t="inlineStr">
        <is>
          <t>Pharma - Others</t>
        </is>
      </c>
      <c r="G63" s="31" t="inlineStr">
        <is>
          <t>smallcap</t>
        </is>
      </c>
      <c r="H63" s="32" t="n">
        <v>2021</v>
      </c>
      <c r="I63" s="32" t="n">
        <v>21.5</v>
      </c>
      <c r="J63" s="32" t="n">
        <v>7.13</v>
      </c>
      <c r="K63" s="32" t="n">
        <v>0</v>
      </c>
      <c r="L63" s="31" t="n">
        <v>59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78.36</v>
      </c>
      <c r="P63" s="32" t="n">
        <v>23.23</v>
      </c>
      <c r="Q63" s="32" t="n">
        <v>16.5</v>
      </c>
      <c r="R63" s="31" t="inlineStr">
        <is>
          <t>Volume Spike &amp; Near 52W High Breakout</t>
        </is>
      </c>
      <c r="S63" s="31" t="inlineStr">
        <is>
          <t>Nifty Pharma</t>
        </is>
      </c>
      <c r="T63" s="32" t="n">
        <v>22.15</v>
      </c>
      <c r="U63" s="32" t="n">
        <v>24.29</v>
      </c>
      <c r="V63" s="32" t="n">
        <v>1.75</v>
      </c>
      <c r="W63" s="32" t="n">
        <v>16.65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21</t>
        </is>
      </c>
      <c r="CG63" s="31">
        <f>IF(CF63&gt;20,10,IF(CF63&gt;=10,5,2))</f>
        <v/>
      </c>
    </row>
    <row r="64">
      <c r="A64" s="31">
        <f>IF(B64=0,"",RANK(B64,$B$2:$B$95,0))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COFORGE</t>
        </is>
      </c>
      <c r="D64" s="31" t="inlineStr">
        <is>
          <t>Coforge Ltd</t>
        </is>
      </c>
      <c r="E64" s="31" t="inlineStr">
        <is>
          <t>i.t</t>
        </is>
      </c>
      <c r="F64" s="31" t="inlineStr">
        <is>
          <t>IT - Software</t>
        </is>
      </c>
      <c r="G64" s="31" t="inlineStr">
        <is>
          <t>largecap</t>
        </is>
      </c>
      <c r="H64" s="32" t="n">
        <v>87064.88</v>
      </c>
      <c r="I64" s="32" t="n">
        <v>1965.7</v>
      </c>
      <c r="J64" s="32" t="n">
        <v>-1.17</v>
      </c>
      <c r="K64" s="32" t="n">
        <v>0</v>
      </c>
      <c r="L64" s="31" t="n">
        <v>55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70.53</v>
      </c>
      <c r="P64" s="32" t="n">
        <v>19.67</v>
      </c>
      <c r="Q64" s="32" t="n">
        <v>1643.24</v>
      </c>
      <c r="R64" s="31" t="inlineStr">
        <is>
          <t>Near 52W High Breakout</t>
        </is>
      </c>
      <c r="S64" s="31" t="inlineStr">
        <is>
          <t>Nifty IT</t>
        </is>
      </c>
      <c r="T64" s="32" t="n">
        <v>-10.2</v>
      </c>
      <c r="U64" s="32" t="n">
        <v>19.64</v>
      </c>
      <c r="V64" s="32" t="n">
        <v>33.22</v>
      </c>
      <c r="W64" s="32" t="n">
        <v>15.41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0 to 20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20</t>
        </is>
      </c>
      <c r="CG64" s="31">
        <f>IF(CF64&gt;20,10,IF(CF64&gt;=10,5,2))</f>
        <v/>
      </c>
    </row>
    <row r="65">
      <c r="A65" s="31">
        <f>IF(B65=0,"",RANK(B65,$B$2:$B$95,0))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KMCSHIL</t>
        </is>
      </c>
      <c r="D65" s="31" t="inlineStr">
        <is>
          <t>KMC Speciality Hospitals (India) Ltd</t>
        </is>
      </c>
      <c r="E65" s="31" t="inlineStr">
        <is>
          <t>Healthcare</t>
        </is>
      </c>
      <c r="F65" s="31" t="inlineStr">
        <is>
          <t>Hospitals</t>
        </is>
      </c>
      <c r="G65" s="31" t="inlineStr">
        <is>
          <t>smallcap</t>
        </is>
      </c>
      <c r="H65" s="32" t="n">
        <v>2184.52</v>
      </c>
      <c r="I65" s="32" t="n">
        <v>133.95</v>
      </c>
      <c r="J65" s="32" t="n">
        <v>0.49</v>
      </c>
      <c r="K65" s="32" t="n">
        <v>0</v>
      </c>
      <c r="L65" s="31" t="n">
        <v>65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64.84999999999999</v>
      </c>
      <c r="P65" s="32" t="n">
        <v>60.73</v>
      </c>
      <c r="Q65" s="32" t="n">
        <v>110.19</v>
      </c>
      <c r="R65" s="31" t="inlineStr">
        <is>
          <t>Earnings / Momentum Support</t>
        </is>
      </c>
      <c r="S65" s="31" t="inlineStr">
        <is>
          <t>Nifty Pharma</t>
        </is>
      </c>
      <c r="T65" s="32" t="n">
        <v>22.15</v>
      </c>
      <c r="U65" s="32" t="n">
        <v>95.94</v>
      </c>
      <c r="V65" s="32" t="n">
        <v>60.41</v>
      </c>
      <c r="W65" s="32" t="n">
        <v>18.32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20</t>
        </is>
      </c>
      <c r="CG65" s="31">
        <f>IF(CF65&gt;20,10,IF(CF65&gt;=10,5,2))</f>
        <v/>
      </c>
    </row>
    <row r="66">
      <c r="A66" s="31">
        <f>IF(B66=0,"",RANK(B66,$B$2:$B$95,0))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SOTL</t>
        </is>
      </c>
      <c r="D66" s="34" t="inlineStr">
        <is>
          <t>Savita Oil Technologies Ltd</t>
        </is>
      </c>
      <c r="E66" s="31" t="inlineStr">
        <is>
          <t>energy</t>
        </is>
      </c>
      <c r="F66" s="31" t="inlineStr">
        <is>
          <t>Petrochem - Others</t>
        </is>
      </c>
      <c r="G66" s="31" t="inlineStr">
        <is>
          <t>midcap</t>
        </is>
      </c>
      <c r="H66" s="32" t="n">
        <v>5092.67</v>
      </c>
      <c r="I66" s="32" t="n">
        <v>742.8</v>
      </c>
      <c r="J66" s="32" t="n">
        <v>-3.71</v>
      </c>
      <c r="K66" s="32" t="n">
        <v>0</v>
      </c>
      <c r="L66" s="31" t="n">
        <v>92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69.03</v>
      </c>
      <c r="P66" s="32" t="n">
        <v>57.07</v>
      </c>
      <c r="Q66" s="32" t="n">
        <v>540.67</v>
      </c>
      <c r="R66" s="31" t="inlineStr">
        <is>
          <t>Volume Spike &amp; Near 52W High Breakout</t>
        </is>
      </c>
      <c r="S66" s="31" t="inlineStr">
        <is>
          <t>Nifty Energy</t>
        </is>
      </c>
      <c r="T66" s="32" t="n">
        <v>7.88</v>
      </c>
      <c r="U66" s="32" t="n">
        <v>89.51000000000001</v>
      </c>
      <c r="V66" s="32" t="n">
        <v>75.67</v>
      </c>
      <c r="W66" s="32" t="n">
        <v>41.4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Cyclical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Volatile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28</t>
        </is>
      </c>
      <c r="CG66" s="31">
        <f>IF(CF66&gt;20,10,IF(CF66&gt;=10,5,2))</f>
        <v/>
      </c>
    </row>
    <row r="67">
      <c r="A67" s="31">
        <f>IF(B67=0,"",RANK(B67,$B$2:$B$95,0))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BODALCHEM</t>
        </is>
      </c>
      <c r="D67" s="31" t="inlineStr">
        <is>
          <t>Bodal Chemicals Ltd</t>
        </is>
      </c>
      <c r="E67" s="31" t="inlineStr">
        <is>
          <t>chemicals</t>
        </is>
      </c>
      <c r="F67" s="31" t="inlineStr">
        <is>
          <t>Dyes &amp; Pigments</t>
        </is>
      </c>
      <c r="G67" s="31" t="inlineStr">
        <is>
          <t>smallcap</t>
        </is>
      </c>
      <c r="H67" s="32" t="n">
        <v>1807.3</v>
      </c>
      <c r="I67" s="32" t="n">
        <v>143.5</v>
      </c>
      <c r="J67" s="32" t="n">
        <v>13.21</v>
      </c>
      <c r="K67" s="32" t="n">
        <v>0</v>
      </c>
      <c r="L67" s="31" t="n">
        <v>94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85.92</v>
      </c>
      <c r="P67" s="32" t="n">
        <v>36.09</v>
      </c>
      <c r="Q67" s="32" t="n">
        <v>112.44</v>
      </c>
      <c r="R67" s="31" t="inlineStr">
        <is>
          <t>Volume Spike &amp; Near 52W High Breakout</t>
        </is>
      </c>
      <c r="S67" s="31" t="inlineStr">
        <is>
          <t>Nifty 50</t>
        </is>
      </c>
      <c r="T67" s="32" t="n">
        <v>-3.34</v>
      </c>
      <c r="U67" s="32" t="n">
        <v>123.29</v>
      </c>
      <c r="V67" s="32" t="n">
        <v>131.01</v>
      </c>
      <c r="W67" s="32" t="n">
        <v>46.69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27</t>
        </is>
      </c>
      <c r="CG67" s="31">
        <f>IF(CF67&gt;20,10,IF(CF67&gt;=10,5,2))</f>
        <v/>
      </c>
    </row>
    <row r="68">
      <c r="A68" s="31">
        <f>IF(B68=0,"",RANK(B68,$B$2:$B$95,0))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3" t="inlineStr">
        <is>
          <t>AEROENTER</t>
        </is>
      </c>
      <c r="D68" s="33" t="inlineStr">
        <is>
          <t>Aeroflex Enterprises Ltd</t>
        </is>
      </c>
      <c r="E68" s="31" t="inlineStr">
        <is>
          <t>metals &amp; mining</t>
        </is>
      </c>
      <c r="F68" s="31" t="inlineStr">
        <is>
          <t>Miscellaneous</t>
        </is>
      </c>
      <c r="G68" s="31" t="inlineStr">
        <is>
          <t>smallcap</t>
        </is>
      </c>
      <c r="H68" s="32" t="n">
        <v>1591.65</v>
      </c>
      <c r="I68" s="32" t="n">
        <v>140.65</v>
      </c>
      <c r="J68" s="32" t="n">
        <v>-1.91</v>
      </c>
      <c r="K68" s="32" t="n">
        <v>0</v>
      </c>
      <c r="L68" s="31" t="n">
        <v>69</v>
      </c>
      <c r="M68" s="31" t="inlineStr">
        <is>
          <t>Underperforming</t>
        </is>
      </c>
      <c r="N68" s="32">
        <f>IF(M68="Underperforming",-5,IF(L68&gt;=95,15,IF(L68&gt;=90,10,IF(L68&gt;=80,5,0))))</f>
        <v/>
      </c>
      <c r="O68" s="32" t="n">
        <v>65.18000000000001</v>
      </c>
      <c r="P68" s="32" t="n">
        <v>53.16</v>
      </c>
      <c r="Q68" s="32" t="n">
        <v>106.19</v>
      </c>
      <c r="R68" s="31" t="inlineStr">
        <is>
          <t>Near 52W High Breakout</t>
        </is>
      </c>
      <c r="S68" s="31" t="inlineStr">
        <is>
          <t>Nifty Metal</t>
        </is>
      </c>
      <c r="T68" s="32" t="n">
        <v>39.6</v>
      </c>
      <c r="U68" s="32" t="n">
        <v>37.24</v>
      </c>
      <c r="V68" s="32" t="n">
        <v>-1.69</v>
      </c>
      <c r="W68" s="32" t="n">
        <v>19.55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23</t>
        </is>
      </c>
      <c r="CG68" s="31">
        <f>IF(CF68&gt;20,10,IF(CF68&gt;=10,5,2))</f>
        <v/>
      </c>
    </row>
    <row r="69">
      <c r="A69" s="31">
        <f>IF(B69=0,"",RANK(B69,$B$2:$B$95,0))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BOSCH-HCIL</t>
        </is>
      </c>
      <c r="D69" s="31" t="inlineStr">
        <is>
          <t>Bosch Home Comfort India Ltd</t>
        </is>
      </c>
      <c r="E69" s="31" t="inlineStr">
        <is>
          <t>consumer discretionary</t>
        </is>
      </c>
      <c r="F69" s="31" t="inlineStr">
        <is>
          <t>Consumer Electronics</t>
        </is>
      </c>
      <c r="G69" s="31" t="inlineStr">
        <is>
          <t>smallcap</t>
        </is>
      </c>
      <c r="H69" s="32" t="n">
        <v>4731.21</v>
      </c>
      <c r="I69" s="32" t="n">
        <v>1740</v>
      </c>
      <c r="J69" s="32" t="n">
        <v>-0.32</v>
      </c>
      <c r="K69" s="32" t="n">
        <v>0</v>
      </c>
      <c r="L69" s="31" t="n">
        <v>23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68.42</v>
      </c>
      <c r="P69" s="32" t="n">
        <v>24.07</v>
      </c>
      <c r="Q69" s="32" t="n">
        <v>1400.21</v>
      </c>
      <c r="R69" s="31" t="inlineStr">
        <is>
          <t>Near 52W High Breakout</t>
        </is>
      </c>
      <c r="S69" s="31" t="inlineStr">
        <is>
          <t>Nifty 50</t>
        </is>
      </c>
      <c r="T69" s="32" t="n">
        <v>-3.34</v>
      </c>
      <c r="U69" s="32" t="n">
        <v>0.26</v>
      </c>
      <c r="V69" s="32" t="n">
        <v>3.73</v>
      </c>
      <c r="W69" s="32" t="n">
        <v>6.24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19</t>
        </is>
      </c>
      <c r="CG69" s="31">
        <f>IF(CF69&gt;20,10,IF(CF69&gt;=10,5,2))</f>
        <v/>
      </c>
    </row>
    <row r="70">
      <c r="A70" s="31">
        <f>IF(B70=0,"",RANK(B70,$B$2:$B$95,0))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KRN</t>
        </is>
      </c>
      <c r="D70" s="31" t="inlineStr">
        <is>
          <t>KRN Heat Exchanger and Refrigeration Ltd</t>
        </is>
      </c>
      <c r="E70" s="31" t="inlineStr">
        <is>
          <t>industrials</t>
        </is>
      </c>
      <c r="F70" s="31" t="inlineStr">
        <is>
          <t>Engineering - General</t>
        </is>
      </c>
      <c r="G70" s="31" t="inlineStr">
        <is>
          <t>midcap</t>
        </is>
      </c>
      <c r="H70" s="32" t="n">
        <v>10052.46</v>
      </c>
      <c r="I70" s="32" t="n">
        <v>1535.7</v>
      </c>
      <c r="J70" s="32" t="n">
        <v>0.54</v>
      </c>
      <c r="K70" s="32" t="n">
        <v>0</v>
      </c>
      <c r="L70" s="31" t="n">
        <v>64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69.01000000000001</v>
      </c>
      <c r="P70" s="32" t="n">
        <v>35.18</v>
      </c>
      <c r="Q70" s="32" t="n">
        <v>1200.53</v>
      </c>
      <c r="R70" s="31" t="inlineStr">
        <is>
          <t>Near 52W High Breakout</t>
        </is>
      </c>
      <c r="S70" s="31" t="inlineStr">
        <is>
          <t>Nifty 50</t>
        </is>
      </c>
      <c r="T70" s="32" t="n">
        <v>-3.34</v>
      </c>
      <c r="U70" s="32" t="n">
        <v>75.58</v>
      </c>
      <c r="V70" s="32" t="n">
        <v>81.64</v>
      </c>
      <c r="W70" s="32" t="n">
        <v>18.3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18</t>
        </is>
      </c>
      <c r="CG70" s="31">
        <f>IF(CF70&gt;20,10,IF(CF70&gt;=10,5,2))</f>
        <v/>
      </c>
    </row>
    <row r="71">
      <c r="A71" s="31">
        <f>IF(B71=0,"",RANK(B71,$B$2:$B$95,0))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ENTERO</t>
        </is>
      </c>
      <c r="D71" s="31" t="inlineStr">
        <is>
          <t>Entero Healthcare Solutions Ltd</t>
        </is>
      </c>
      <c r="E71" s="31" t="inlineStr">
        <is>
          <t>healthcare</t>
        </is>
      </c>
      <c r="F71" s="31" t="inlineStr">
        <is>
          <t>Pharmacy Distribution</t>
        </is>
      </c>
      <c r="G71" s="31" t="inlineStr">
        <is>
          <t>midcap</t>
        </is>
      </c>
      <c r="H71" s="32" t="n">
        <v>7834.15</v>
      </c>
      <c r="I71" s="32" t="n">
        <v>1800</v>
      </c>
      <c r="J71" s="32" t="n">
        <v>-0.28</v>
      </c>
      <c r="K71" s="32" t="n">
        <v>0</v>
      </c>
      <c r="L71" s="31" t="n">
        <v>78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77.03</v>
      </c>
      <c r="P71" s="32" t="n">
        <v>33.21</v>
      </c>
      <c r="Q71" s="32" t="n">
        <v>1427.14</v>
      </c>
      <c r="R71" s="31" t="inlineStr">
        <is>
          <t>Near 52W High Breakout</t>
        </is>
      </c>
      <c r="S71" s="31" t="inlineStr">
        <is>
          <t>Nifty Pharma</t>
        </is>
      </c>
      <c r="T71" s="32" t="n">
        <v>22.15</v>
      </c>
      <c r="U71" s="32" t="n">
        <v>49.37</v>
      </c>
      <c r="V71" s="32" t="n">
        <v>22.29</v>
      </c>
      <c r="W71" s="32" t="n">
        <v>23.27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Between 1.5 to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29</t>
        </is>
      </c>
      <c r="CG71" s="31">
        <f>IF(CF71&gt;20,10,IF(CF71&gt;=10,5,2))</f>
        <v/>
      </c>
    </row>
    <row r="72">
      <c r="A72" s="31">
        <f>IF(B72=0,"",RANK(B72,$B$2:$B$95,0))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TVSSRICHAK</t>
        </is>
      </c>
      <c r="D72" s="31" t="inlineStr">
        <is>
          <t>TVS Srichakra Ltd</t>
        </is>
      </c>
      <c r="E72" s="31" t="inlineStr">
        <is>
          <t>auto</t>
        </is>
      </c>
      <c r="F72" s="31" t="inlineStr">
        <is>
          <t>Tyres &amp; Tubes</t>
        </is>
      </c>
      <c r="G72" s="31" t="inlineStr">
        <is>
          <t>smallcap</t>
        </is>
      </c>
      <c r="H72" s="32" t="n">
        <v>4165.44</v>
      </c>
      <c r="I72" s="32" t="n">
        <v>5440</v>
      </c>
      <c r="J72" s="32" t="n">
        <v>-1.55</v>
      </c>
      <c r="K72" s="32" t="n">
        <v>0</v>
      </c>
      <c r="L72" s="31" t="n">
        <v>77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76.28</v>
      </c>
      <c r="P72" s="32" t="n">
        <v>29.36</v>
      </c>
      <c r="Q72" s="32" t="n">
        <v>4291.31</v>
      </c>
      <c r="R72" s="31" t="inlineStr">
        <is>
          <t>Near 52W High Breakout</t>
        </is>
      </c>
      <c r="S72" s="31" t="inlineStr">
        <is>
          <t>Nifty Auto</t>
        </is>
      </c>
      <c r="T72" s="32" t="n">
        <v>17.66</v>
      </c>
      <c r="U72" s="32" t="n">
        <v>82.09</v>
      </c>
      <c r="V72" s="32" t="n">
        <v>54.76</v>
      </c>
      <c r="W72" s="32" t="n">
        <v>22.98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23</t>
        </is>
      </c>
      <c r="CG72" s="31">
        <f>IF(CF72&gt;20,10,IF(CF72&gt;=10,5,2))</f>
        <v/>
      </c>
    </row>
    <row r="73">
      <c r="A73" s="31">
        <f>IF(B73=0,"",RANK(B73,$B$2:$B$95,0))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MANINDS</t>
        </is>
      </c>
      <c r="D73" s="31" t="inlineStr">
        <is>
          <t>Man Industries (India) Ltd</t>
        </is>
      </c>
      <c r="E73" s="31" t="inlineStr">
        <is>
          <t>metals &amp; mining</t>
        </is>
      </c>
      <c r="F73" s="31" t="inlineStr">
        <is>
          <t>Steel - Tubes/Pipes</t>
        </is>
      </c>
      <c r="G73" s="31" t="inlineStr">
        <is>
          <t>midcap</t>
        </is>
      </c>
      <c r="H73" s="32" t="n">
        <v>5573.21</v>
      </c>
      <c r="I73" s="32" t="n">
        <v>743</v>
      </c>
      <c r="J73" s="32" t="n">
        <v>-2.59</v>
      </c>
      <c r="K73" s="32" t="n">
        <v>0</v>
      </c>
      <c r="L73" s="31" t="n">
        <v>78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71.43000000000001</v>
      </c>
      <c r="P73" s="32" t="n">
        <v>32.28</v>
      </c>
      <c r="Q73" s="32" t="n">
        <v>587.5</v>
      </c>
      <c r="R73" s="31" t="inlineStr">
        <is>
          <t>Near 52W High Breakout</t>
        </is>
      </c>
      <c r="S73" s="31" t="inlineStr">
        <is>
          <t>Nifty Metal</t>
        </is>
      </c>
      <c r="T73" s="32" t="n">
        <v>39.6</v>
      </c>
      <c r="U73" s="32" t="n">
        <v>74.83</v>
      </c>
      <c r="V73" s="32" t="n">
        <v>25.24</v>
      </c>
      <c r="W73" s="32" t="n">
        <v>23.71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22</t>
        </is>
      </c>
      <c r="CG73" s="31">
        <f>IF(CF73&gt;20,10,IF(CF73&gt;=10,5,2))</f>
        <v/>
      </c>
    </row>
    <row r="74">
      <c r="A74" s="31">
        <f>IF(B74=0,"",RANK(B74,$B$2:$B$95,0))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ENGINERSIN</t>
        </is>
      </c>
      <c r="D74" s="34" t="inlineStr">
        <is>
          <t>Engineers India Ltd</t>
        </is>
      </c>
      <c r="E74" s="31" t="inlineStr">
        <is>
          <t>realty</t>
        </is>
      </c>
      <c r="F74" s="31" t="inlineStr">
        <is>
          <t>Infra - Engineering - General</t>
        </is>
      </c>
      <c r="G74" s="31" t="inlineStr">
        <is>
          <t>midcap</t>
        </is>
      </c>
      <c r="H74" s="32" t="n">
        <v>15546.09</v>
      </c>
      <c r="I74" s="32" t="n">
        <v>276.6</v>
      </c>
      <c r="J74" s="32" t="n">
        <v>-1.23</v>
      </c>
      <c r="K74" s="32" t="n">
        <v>0</v>
      </c>
      <c r="L74" s="31" t="n">
        <v>36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67.45</v>
      </c>
      <c r="P74" s="32" t="n">
        <v>13.63</v>
      </c>
      <c r="Q74" s="32" t="n">
        <v>218.38</v>
      </c>
      <c r="R74" s="31" t="inlineStr">
        <is>
          <t>Volume Spike &amp; Near 52W High Breakout</t>
        </is>
      </c>
      <c r="S74" s="31" t="inlineStr">
        <is>
          <t>Nifty Realty</t>
        </is>
      </c>
      <c r="T74" s="32" t="n">
        <v>-6.04</v>
      </c>
      <c r="U74" s="32" t="n">
        <v>23.32</v>
      </c>
      <c r="V74" s="32" t="n">
        <v>31.25</v>
      </c>
      <c r="W74" s="32" t="n">
        <v>9.24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21</t>
        </is>
      </c>
      <c r="CG74" s="31">
        <f>IF(CF74&gt;20,10,IF(CF74&gt;=10,5,2))</f>
        <v/>
      </c>
    </row>
    <row r="75">
      <c r="A75" s="31">
        <f>IF(B75=0,"",RANK(B75,$B$2:$B$95,0))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ANTELOPUS</t>
        </is>
      </c>
      <c r="D75" s="34" t="inlineStr">
        <is>
          <t>Antelopus Selan Energy Ltd</t>
        </is>
      </c>
      <c r="E75" s="31" t="inlineStr">
        <is>
          <t>energy</t>
        </is>
      </c>
      <c r="F75" s="31" t="inlineStr">
        <is>
          <t>Oil Drilling &amp; Exploration</t>
        </is>
      </c>
      <c r="G75" s="31" t="inlineStr">
        <is>
          <t>smallcap</t>
        </is>
      </c>
      <c r="H75" s="32" t="n">
        <v>3344.47</v>
      </c>
      <c r="I75" s="32" t="n">
        <v>951.15</v>
      </c>
      <c r="J75" s="32" t="n">
        <v>20</v>
      </c>
      <c r="K75" s="32" t="n">
        <v>0</v>
      </c>
      <c r="L75" s="31" t="n">
        <v>75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66.44</v>
      </c>
      <c r="P75" s="32" t="n">
        <v>44.87</v>
      </c>
      <c r="Q75" s="32" t="n">
        <v>675.13</v>
      </c>
      <c r="R75" s="31" t="inlineStr">
        <is>
          <t>Volume Spike &amp; Near 52W High Breakout</t>
        </is>
      </c>
      <c r="S75" s="31" t="inlineStr">
        <is>
          <t>Nifty Energy</t>
        </is>
      </c>
      <c r="T75" s="32" t="n">
        <v>7.88</v>
      </c>
      <c r="U75" s="32" t="n">
        <v>52.56</v>
      </c>
      <c r="V75" s="32" t="n">
        <v>41.42</v>
      </c>
      <c r="W75" s="32" t="n">
        <v>22.08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Oligopoly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30</t>
        </is>
      </c>
      <c r="CG75" s="31">
        <f>IF(CF75&gt;20,10,IF(CF75&gt;=10,5,2))</f>
        <v/>
      </c>
    </row>
    <row r="76">
      <c r="A76" s="31">
        <f>IF(B76=0,"",RANK(B76,$B$2:$B$95,0))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PTCIL</t>
        </is>
      </c>
      <c r="D76" s="31" t="inlineStr">
        <is>
          <t>PTC Industries Ltd</t>
        </is>
      </c>
      <c r="E76" s="31" t="inlineStr">
        <is>
          <t>industrials</t>
        </is>
      </c>
      <c r="F76" s="31" t="inlineStr">
        <is>
          <t>Castings - Steel/Alloy</t>
        </is>
      </c>
      <c r="G76" s="31" t="inlineStr">
        <is>
          <t>largecap</t>
        </is>
      </c>
      <c r="H76" s="32" t="n">
        <v>34280.46</v>
      </c>
      <c r="I76" s="32" t="n">
        <v>22865</v>
      </c>
      <c r="J76" s="32" t="n">
        <v>0.48</v>
      </c>
      <c r="K76" s="32" t="n">
        <v>0</v>
      </c>
      <c r="L76" s="31" t="n">
        <v>58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75.69</v>
      </c>
      <c r="P76" s="32" t="n">
        <v>30.18</v>
      </c>
      <c r="Q76" s="32" t="n">
        <v>18738.54</v>
      </c>
      <c r="R76" s="31" t="inlineStr">
        <is>
          <t>Near 52W High Breakout</t>
        </is>
      </c>
      <c r="S76" s="31" t="inlineStr">
        <is>
          <t>Nifty 50</t>
        </is>
      </c>
      <c r="T76" s="32" t="n">
        <v>-3.34</v>
      </c>
      <c r="U76" s="32" t="n">
        <v>67.23</v>
      </c>
      <c r="V76" s="32" t="n">
        <v>73.01000000000001</v>
      </c>
      <c r="W76" s="32" t="n">
        <v>16.52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23</t>
        </is>
      </c>
      <c r="CG76" s="31">
        <f>IF(CF76&gt;20,10,IF(CF76&gt;=10,5,2))</f>
        <v/>
      </c>
    </row>
    <row r="77">
      <c r="A77" s="31">
        <f>IF(B77=0,"",RANK(B77,$B$2:$B$95,0))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PVP</t>
        </is>
      </c>
      <c r="D77" s="31" t="inlineStr">
        <is>
          <t>PVP Ventures Ltd</t>
        </is>
      </c>
      <c r="E77" s="31" t="inlineStr">
        <is>
          <t>realty</t>
        </is>
      </c>
      <c r="F77" s="31" t="inlineStr">
        <is>
          <t>Realty - Construction &amp; Contracting</t>
        </is>
      </c>
      <c r="G77" s="31" t="inlineStr">
        <is>
          <t>smallcap</t>
        </is>
      </c>
      <c r="H77" s="32" t="n">
        <v>1609.56</v>
      </c>
      <c r="I77" s="32" t="n">
        <v>61.81</v>
      </c>
      <c r="J77" s="32" t="n">
        <v>-5</v>
      </c>
      <c r="K77" s="32" t="n">
        <v>0</v>
      </c>
      <c r="L77" s="31" t="n">
        <v>94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77.03</v>
      </c>
      <c r="P77" s="32" t="n">
        <v>24.82</v>
      </c>
      <c r="Q77" s="32" t="n">
        <v>47.55</v>
      </c>
      <c r="R77" s="31" t="inlineStr">
        <is>
          <t>Earnings / Momentum Support</t>
        </is>
      </c>
      <c r="S77" s="31" t="inlineStr">
        <is>
          <t>Nifty Realty</t>
        </is>
      </c>
      <c r="T77" s="32" t="n">
        <v>-6.04</v>
      </c>
      <c r="U77" s="32" t="n">
        <v>192.66</v>
      </c>
      <c r="V77" s="32" t="n">
        <v>211.49</v>
      </c>
      <c r="W77" s="32" t="n">
        <v>46.09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20</t>
        </is>
      </c>
      <c r="CG77" s="31">
        <f>IF(CF77&gt;20,10,IF(CF77&gt;=10,5,2))</f>
        <v/>
      </c>
    </row>
    <row r="78">
      <c r="A78" s="31">
        <f>IF(B78=0,"",RANK(B78,$B$2:$B$95,0))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GENUSPOWER</t>
        </is>
      </c>
      <c r="D78" s="34" t="inlineStr">
        <is>
          <t>Genus Power Infrastructures Ltd</t>
        </is>
      </c>
      <c r="E78" s="31" t="inlineStr">
        <is>
          <t>consumer discretionary</t>
        </is>
      </c>
      <c r="F78" s="31" t="inlineStr">
        <is>
          <t>Electronics - Equipment/Components</t>
        </is>
      </c>
      <c r="G78" s="31" t="inlineStr">
        <is>
          <t>midcap</t>
        </is>
      </c>
      <c r="H78" s="32" t="n">
        <v>10313.82</v>
      </c>
      <c r="I78" s="32" t="n">
        <v>339</v>
      </c>
      <c r="J78" s="32" t="n">
        <v>3.39</v>
      </c>
      <c r="K78" s="32" t="n">
        <v>0</v>
      </c>
      <c r="L78" s="31" t="n">
        <v>13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59.13</v>
      </c>
      <c r="P78" s="32" t="n">
        <v>9.65</v>
      </c>
      <c r="Q78" s="32" t="n">
        <v>267.96</v>
      </c>
      <c r="R78" s="31" t="inlineStr">
        <is>
          <t>Near 52W High Breakout</t>
        </is>
      </c>
      <c r="S78" s="31" t="inlineStr">
        <is>
          <t>Nifty 50</t>
        </is>
      </c>
      <c r="T78" s="32" t="n">
        <v>-3.34</v>
      </c>
      <c r="U78" s="32" t="n">
        <v>2.94</v>
      </c>
      <c r="V78" s="32" t="n">
        <v>6.5</v>
      </c>
      <c r="W78" s="32" t="n">
        <v>3.12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Between 0.7 to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19</t>
        </is>
      </c>
      <c r="CG78" s="31">
        <f>IF(CF78&gt;20,10,IF(CF78&gt;=10,5,2))</f>
        <v/>
      </c>
    </row>
    <row r="79">
      <c r="A79" s="31">
        <f>IF(B79=0,"",RANK(B79,$B$2:$B$95,0))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3" t="inlineStr">
        <is>
          <t>GLENMARK</t>
        </is>
      </c>
      <c r="D79" s="33" t="inlineStr">
        <is>
          <t>Glenmark Pharmaceuticals Ltd</t>
        </is>
      </c>
      <c r="E79" s="31" t="inlineStr">
        <is>
          <t>healthcare</t>
        </is>
      </c>
      <c r="F79" s="31" t="inlineStr">
        <is>
          <t>Pharma - Formulators</t>
        </is>
      </c>
      <c r="G79" s="31" t="inlineStr">
        <is>
          <t>largecap</t>
        </is>
      </c>
      <c r="H79" s="32" t="n">
        <v>69427.27</v>
      </c>
      <c r="I79" s="32" t="n">
        <v>2460</v>
      </c>
      <c r="J79" s="32" t="n">
        <v>-0.42</v>
      </c>
      <c r="K79" s="32" t="n">
        <v>0</v>
      </c>
      <c r="L79" s="31" t="n">
        <v>26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65.06</v>
      </c>
      <c r="P79" s="32" t="n">
        <v>17.77</v>
      </c>
      <c r="Q79" s="32" t="n">
        <v>2120.58</v>
      </c>
      <c r="R79" s="31" t="inlineStr">
        <is>
          <t>Near 52W High Breakout</t>
        </is>
      </c>
      <c r="S79" s="31" t="inlineStr">
        <is>
          <t>Nifty Pharma</t>
        </is>
      </c>
      <c r="T79" s="32" t="n">
        <v>22.15</v>
      </c>
      <c r="U79" s="32" t="n">
        <v>20.3</v>
      </c>
      <c r="V79" s="32" t="n">
        <v>-1.51</v>
      </c>
      <c r="W79" s="32" t="n">
        <v>6.68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19</t>
        </is>
      </c>
      <c r="CG79" s="31">
        <f>IF(CF79&gt;20,10,IF(CF79&gt;=10,5,2))</f>
        <v/>
      </c>
    </row>
    <row r="80">
      <c r="A80" s="31">
        <f>IF(B80=0,"",RANK(B80,$B$2:$B$95,0))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UFLEX</t>
        </is>
      </c>
      <c r="D80" s="31" t="inlineStr">
        <is>
          <t>Uflex Ltd</t>
        </is>
      </c>
      <c r="E80" s="31" t="inlineStr">
        <is>
          <t>industrials</t>
        </is>
      </c>
      <c r="F80" s="31" t="inlineStr">
        <is>
          <t>Packaging - BOPP</t>
        </is>
      </c>
      <c r="G80" s="31" t="inlineStr">
        <is>
          <t>midcap</t>
        </is>
      </c>
      <c r="H80" s="32" t="n">
        <v>5030.25</v>
      </c>
      <c r="I80" s="32" t="n">
        <v>696.6</v>
      </c>
      <c r="J80" s="32" t="n">
        <v>7.99</v>
      </c>
      <c r="K80" s="32" t="n">
        <v>0</v>
      </c>
      <c r="L80" s="31" t="n">
        <v>81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81.11</v>
      </c>
      <c r="P80" s="32" t="n">
        <v>26.19</v>
      </c>
      <c r="Q80" s="32" t="n">
        <v>558.79</v>
      </c>
      <c r="R80" s="31" t="inlineStr">
        <is>
          <t>Near 52W High Breakout</t>
        </is>
      </c>
      <c r="S80" s="31" t="inlineStr">
        <is>
          <t>Nifty Infra</t>
        </is>
      </c>
      <c r="T80" s="32" t="n">
        <v>1.61</v>
      </c>
      <c r="U80" s="32" t="n">
        <v>20.21</v>
      </c>
      <c r="V80" s="32" t="n">
        <v>18.31</v>
      </c>
      <c r="W80" s="32" t="n">
        <v>24.78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More than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23</t>
        </is>
      </c>
      <c r="CG80" s="31">
        <f>IF(CF80&gt;20,10,IF(CF80&gt;=10,5,2))</f>
        <v/>
      </c>
    </row>
    <row r="81">
      <c r="A81" s="31">
        <f>IF(B81=0,"",RANK(B81,$B$2:$B$95,0))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3" t="inlineStr">
        <is>
          <t>JGCHEM</t>
        </is>
      </c>
      <c r="D81" s="33" t="inlineStr">
        <is>
          <t>JGChemicals Ltd</t>
        </is>
      </c>
      <c r="E81" s="31" t="inlineStr">
        <is>
          <t>Basic Materials</t>
        </is>
      </c>
      <c r="F81" s="31" t="inlineStr">
        <is>
          <t>Chemicals - Inorganic</t>
        </is>
      </c>
      <c r="G81" s="31" t="inlineStr">
        <is>
          <t>smallcap</t>
        </is>
      </c>
      <c r="H81" s="32" t="n">
        <v>2354.1</v>
      </c>
      <c r="I81" s="32" t="n">
        <v>600.75</v>
      </c>
      <c r="J81" s="32" t="n">
        <v>-4.08</v>
      </c>
      <c r="K81" s="32" t="n">
        <v>0</v>
      </c>
      <c r="L81" s="31" t="n">
        <v>65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69.11</v>
      </c>
      <c r="P81" s="32" t="n">
        <v>40.91</v>
      </c>
      <c r="Q81" s="32" t="n">
        <v>495.63</v>
      </c>
      <c r="R81" s="31" t="inlineStr">
        <is>
          <t>Earnings / Momentum Support</t>
        </is>
      </c>
      <c r="S81" s="31" t="inlineStr">
        <is>
          <t>Nifty Metal</t>
        </is>
      </c>
      <c r="T81" s="32" t="n">
        <v>39.6</v>
      </c>
      <c r="U81" s="32" t="n">
        <v>26.78</v>
      </c>
      <c r="V81" s="32" t="n">
        <v>-9.18</v>
      </c>
      <c r="W81" s="32" t="n">
        <v>18.62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20</t>
        </is>
      </c>
      <c r="CG81" s="31">
        <f>IF(CF81&gt;20,10,IF(CF81&gt;=10,5,2))</f>
        <v/>
      </c>
    </row>
    <row r="82">
      <c r="A82" s="31">
        <f>IF(B82=0,"",RANK(B82,$B$2:$B$95,0))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INOVSYNTH</t>
        </is>
      </c>
      <c r="D82" s="31" t="inlineStr">
        <is>
          <t>Innovassynth Technologies (India) Ltd</t>
        </is>
      </c>
      <c r="E82" s="31" t="inlineStr">
        <is>
          <t>Basic Materials</t>
        </is>
      </c>
      <c r="F82" s="31" t="inlineStr">
        <is>
          <t>Chemicals - Speciality</t>
        </is>
      </c>
      <c r="G82" s="31" t="inlineStr">
        <is>
          <t>smallcap</t>
        </is>
      </c>
      <c r="H82" s="32" t="n">
        <v>1311.66</v>
      </c>
      <c r="I82" s="32" t="n">
        <v>141.25</v>
      </c>
      <c r="J82" s="32" t="n">
        <v/>
      </c>
      <c r="K82" s="32" t="n">
        <v>0</v>
      </c>
      <c r="L82" s="31" t="n">
        <v>70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78.78</v>
      </c>
      <c r="P82" s="32" t="n">
        <v>49.83</v>
      </c>
      <c r="Q82" s="32" t="n">
        <v>120.93</v>
      </c>
      <c r="R82" s="31" t="inlineStr">
        <is>
          <t>Near 52W High Breakout</t>
        </is>
      </c>
      <c r="S82" s="31" t="inlineStr">
        <is>
          <t>Nifty 50</t>
        </is>
      </c>
      <c r="T82" s="32" t="n">
        <v>-3.34</v>
      </c>
      <c r="U82" s="32" t="n">
        <v>46.37</v>
      </c>
      <c r="V82" s="32" t="n">
        <v>51.43</v>
      </c>
      <c r="W82" s="32" t="n">
        <v>20.2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IF(B83=0,"",RANK(B83,$B$2:$B$95,0))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RATNAVEER</t>
        </is>
      </c>
      <c r="D83" s="31" t="inlineStr">
        <is>
          <t>Ratnaveer Precision Engineering Ltd</t>
        </is>
      </c>
      <c r="E83" s="31" t="inlineStr">
        <is>
          <t>metals &amp; mining</t>
        </is>
      </c>
      <c r="F83" s="31" t="inlineStr">
        <is>
          <t>Stainless Steel</t>
        </is>
      </c>
      <c r="G83" s="31" t="inlineStr">
        <is>
          <t>smallcap</t>
        </is>
      </c>
      <c r="H83" s="32" t="n">
        <v>2391.9</v>
      </c>
      <c r="I83" s="32" t="n">
        <v>285</v>
      </c>
      <c r="J83" s="32" t="n">
        <v>-2.18</v>
      </c>
      <c r="K83" s="32" t="n">
        <v>0</v>
      </c>
      <c r="L83" s="31" t="n">
        <v>91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78</v>
      </c>
      <c r="P83" s="32" t="n">
        <v>54.81</v>
      </c>
      <c r="Q83" s="32" t="n">
        <v>216.5</v>
      </c>
      <c r="R83" s="31" t="inlineStr">
        <is>
          <t>Near 52W High Breakout</t>
        </is>
      </c>
      <c r="S83" s="31" t="inlineStr">
        <is>
          <t>Nifty Metal</t>
        </is>
      </c>
      <c r="T83" s="32" t="n">
        <v>39.6</v>
      </c>
      <c r="U83" s="32" t="n">
        <v>84.45</v>
      </c>
      <c r="V83" s="32" t="n">
        <v>32.13</v>
      </c>
      <c r="W83" s="32" t="n">
        <v>37.76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19</t>
        </is>
      </c>
      <c r="CG83" s="31">
        <f>IF(CF83&gt;20,10,IF(CF83&gt;=10,5,2))</f>
        <v/>
      </c>
    </row>
    <row r="84">
      <c r="A84" s="31">
        <f>IF(B84=0,"",RANK(B84,$B$2:$B$95,0))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BIL</t>
        </is>
      </c>
      <c r="D84" s="34" t="inlineStr">
        <is>
          <t>Bhartiya International Ltd</t>
        </is>
      </c>
      <c r="E84" s="31" t="inlineStr">
        <is>
          <t>consumer discretionary</t>
        </is>
      </c>
      <c r="F84" s="31" t="inlineStr">
        <is>
          <t>Textiles</t>
        </is>
      </c>
      <c r="G84" s="31" t="inlineStr">
        <is>
          <t>smallcap</t>
        </is>
      </c>
      <c r="H84" s="32" t="n">
        <v>1196.21</v>
      </c>
      <c r="I84" s="32" t="n">
        <v>892</v>
      </c>
      <c r="J84" s="32" t="n">
        <v>0.74</v>
      </c>
      <c r="K84" s="32" t="n">
        <v>0</v>
      </c>
      <c r="L84" s="31" t="n">
        <v>29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64.01000000000001</v>
      </c>
      <c r="P84" s="32" t="n">
        <v>18.14</v>
      </c>
      <c r="Q84" s="32" t="n">
        <v>651</v>
      </c>
      <c r="R84" s="31" t="inlineStr">
        <is>
          <t>Volume Spike &amp; Near 52W High Breakout</t>
        </is>
      </c>
      <c r="S84" s="31" t="inlineStr">
        <is>
          <t>Nifty 50</t>
        </is>
      </c>
      <c r="T84" s="32" t="n">
        <v>-3.34</v>
      </c>
      <c r="U84" s="32" t="n">
        <v>4.62</v>
      </c>
      <c r="V84" s="32" t="n">
        <v>8.24</v>
      </c>
      <c r="W84" s="32" t="n">
        <v>7.37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22</t>
        </is>
      </c>
      <c r="CG84" s="31">
        <f>IF(CF84&gt;20,10,IF(CF84&gt;=10,5,2))</f>
        <v/>
      </c>
    </row>
    <row r="85">
      <c r="A85" s="31">
        <f>IF(B85=0,"",RANK(B85,$B$2:$B$95,0))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KHAZANCHI</t>
        </is>
      </c>
      <c r="D85" s="31" t="inlineStr">
        <is>
          <t>Khazanchi Jewellers Ltd</t>
        </is>
      </c>
      <c r="E85" s="31" t="inlineStr">
        <is>
          <t>Consumer Cyclical</t>
        </is>
      </c>
      <c r="F85" s="31" t="inlineStr">
        <is>
          <t>Diamond, Gems &amp; Jewellery</t>
        </is>
      </c>
      <c r="G85" s="31" t="inlineStr">
        <is>
          <t>smallcap</t>
        </is>
      </c>
      <c r="H85" s="32" t="n">
        <v>1831.27</v>
      </c>
      <c r="I85" s="32" t="n">
        <v>740</v>
      </c>
      <c r="J85" s="32" t="n">
        <v>-3.68</v>
      </c>
      <c r="K85" s="32" t="n">
        <v>0</v>
      </c>
      <c r="L85" s="31" t="n">
        <v>37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58.54</v>
      </c>
      <c r="P85" s="32" t="n">
        <v>27.08</v>
      </c>
      <c r="Q85" s="32" t="n">
        <v>696.6900000000001</v>
      </c>
      <c r="R85" s="31" t="inlineStr">
        <is>
          <t>Earnings / Momentum Support</t>
        </is>
      </c>
      <c r="S85" s="31" t="inlineStr">
        <is>
          <t>Nifty 50</t>
        </is>
      </c>
      <c r="T85" s="32" t="n">
        <v>-3.34</v>
      </c>
      <c r="U85" s="32" t="n">
        <v>25.83</v>
      </c>
      <c r="V85" s="32" t="n">
        <v>30.18</v>
      </c>
      <c r="W85" s="32" t="n">
        <v>9.369999999999999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B2C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19</t>
        </is>
      </c>
      <c r="CG85" s="31">
        <f>IF(CF85&gt;20,10,IF(CF85&gt;=10,5,2))</f>
        <v/>
      </c>
    </row>
    <row r="86">
      <c r="A86" s="31">
        <f>IF(B86=0,"",RANK(B86,$B$2:$B$95,0))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DEEPINDS</t>
        </is>
      </c>
      <c r="D86" s="31" t="inlineStr">
        <is>
          <t>Deep Industries Ltd</t>
        </is>
      </c>
      <c r="E86" s="31" t="inlineStr">
        <is>
          <t>energy</t>
        </is>
      </c>
      <c r="F86" s="31" t="inlineStr">
        <is>
          <t>Oil Drilling &amp; Exploration</t>
        </is>
      </c>
      <c r="G86" s="31" t="inlineStr">
        <is>
          <t>smallcap</t>
        </is>
      </c>
      <c r="H86" s="32" t="n">
        <v>4461.12</v>
      </c>
      <c r="I86" s="32" t="n">
        <v>697.05</v>
      </c>
      <c r="J86" s="32" t="n">
        <v>4.82</v>
      </c>
      <c r="K86" s="32" t="n">
        <v>0</v>
      </c>
      <c r="L86" s="31" t="n">
        <v>72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75.29000000000001</v>
      </c>
      <c r="P86" s="32" t="n">
        <v>29.44</v>
      </c>
      <c r="Q86" s="32" t="n">
        <v>535.66</v>
      </c>
      <c r="R86" s="31" t="inlineStr">
        <is>
          <t>Near 52W High Breakout</t>
        </is>
      </c>
      <c r="S86" s="31" t="inlineStr">
        <is>
          <t>Nifty Energy</t>
        </is>
      </c>
      <c r="T86" s="32" t="n">
        <v>7.88</v>
      </c>
      <c r="U86" s="32" t="n">
        <v>55.29</v>
      </c>
      <c r="V86" s="32" t="n">
        <v>43.95</v>
      </c>
      <c r="W86" s="32" t="n">
        <v>20.64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Oligopoly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19</t>
        </is>
      </c>
      <c r="CG86" s="31">
        <f>IF(CF86&gt;20,10,IF(CF86&gt;=10,5,2))</f>
        <v/>
      </c>
    </row>
    <row r="87">
      <c r="A87" s="31">
        <f>IF(B87=0,"",RANK(B87,$B$2:$B$95,0))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4" t="inlineStr">
        <is>
          <t>NAVINFLUOR</t>
        </is>
      </c>
      <c r="D87" s="34" t="inlineStr">
        <is>
          <t>Navin Fluorine International Ltd</t>
        </is>
      </c>
      <c r="E87" s="31" t="inlineStr">
        <is>
          <t>chemicals</t>
        </is>
      </c>
      <c r="F87" s="31" t="inlineStr">
        <is>
          <t>Chemicals - Flourine</t>
        </is>
      </c>
      <c r="G87" s="31" t="inlineStr">
        <is>
          <t>largecap</t>
        </is>
      </c>
      <c r="H87" s="32" t="n">
        <v>43886.82</v>
      </c>
      <c r="I87" s="32" t="n">
        <v>8552.5</v>
      </c>
      <c r="J87" s="32" t="n">
        <v>-0.97</v>
      </c>
      <c r="K87" s="32" t="n">
        <v>0</v>
      </c>
      <c r="L87" s="31" t="n">
        <v>62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77.91</v>
      </c>
      <c r="P87" s="32" t="n">
        <v>59.24</v>
      </c>
      <c r="Q87" s="32" t="n">
        <v>7126.33</v>
      </c>
      <c r="R87" s="31" t="inlineStr">
        <is>
          <t>Near 52W High Breakout</t>
        </is>
      </c>
      <c r="S87" s="31" t="inlineStr">
        <is>
          <t>Nifty 50</t>
        </is>
      </c>
      <c r="T87" s="32" t="n">
        <v>-3.34</v>
      </c>
      <c r="U87" s="32" t="n">
        <v>83.59999999999999</v>
      </c>
      <c r="V87" s="32" t="n">
        <v>89.94</v>
      </c>
      <c r="W87" s="32" t="n">
        <v>17.6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Shallow Cyclical (2 to 3 Years Growth)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Between 50% to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19</t>
        </is>
      </c>
      <c r="CG87" s="31">
        <f>IF(CF87&gt;20,10,IF(CF87&gt;=10,5,2))</f>
        <v/>
      </c>
    </row>
    <row r="88">
      <c r="A88" s="31">
        <f>IF(B88=0,"",RANK(B88,$B$2:$B$95,0))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TNPETRO</t>
        </is>
      </c>
      <c r="D88" s="31" t="inlineStr">
        <is>
          <t>Tamil Nadu Petro Products Ltd</t>
        </is>
      </c>
      <c r="E88" s="31" t="inlineStr">
        <is>
          <t>energy</t>
        </is>
      </c>
      <c r="F88" s="31" t="inlineStr">
        <is>
          <t>Petrochem - Others</t>
        </is>
      </c>
      <c r="G88" s="31" t="inlineStr">
        <is>
          <t>smallcap</t>
        </is>
      </c>
      <c r="H88" s="32" t="n">
        <v>1217.22</v>
      </c>
      <c r="I88" s="32" t="n">
        <v>135.29</v>
      </c>
      <c r="J88" s="32" t="n">
        <v>2.22</v>
      </c>
      <c r="K88" s="32" t="n">
        <v>0</v>
      </c>
      <c r="L88" s="31" t="n">
        <v>66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78.48</v>
      </c>
      <c r="P88" s="32" t="n">
        <v>32.28</v>
      </c>
      <c r="Q88" s="32" t="n">
        <v>104.5</v>
      </c>
      <c r="R88" s="31" t="inlineStr">
        <is>
          <t>Volume Spike &amp; Near 52W High Breakout</t>
        </is>
      </c>
      <c r="S88" s="31" t="inlineStr">
        <is>
          <t>Nifty Energy</t>
        </is>
      </c>
      <c r="T88" s="32" t="n">
        <v>7.88</v>
      </c>
      <c r="U88" s="32" t="n">
        <v>32.03</v>
      </c>
      <c r="V88" s="32" t="n">
        <v>22.39</v>
      </c>
      <c r="W88" s="32" t="n">
        <v>18.63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25</t>
        </is>
      </c>
      <c r="CG88" s="31">
        <f>IF(CF88&gt;20,10,IF(CF88&gt;=10,5,2))</f>
        <v/>
      </c>
    </row>
    <row r="89">
      <c r="A89" s="31">
        <f>IF(B89=0,"",RANK(B89,$B$2:$B$95,0))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KRISHANA</t>
        </is>
      </c>
      <c r="D89" s="31" t="inlineStr">
        <is>
          <t>Krishana Phoschem Ltd</t>
        </is>
      </c>
      <c r="E89" s="31" t="inlineStr">
        <is>
          <t>Basic Materials</t>
        </is>
      </c>
      <c r="F89" s="31" t="inlineStr">
        <is>
          <t>Fertilisers</t>
        </is>
      </c>
      <c r="G89" s="31" t="inlineStr">
        <is>
          <t>midcap</t>
        </is>
      </c>
      <c r="H89" s="32" t="n">
        <v>5829.72</v>
      </c>
      <c r="I89" s="32" t="n">
        <v>188.58</v>
      </c>
      <c r="J89" s="32" t="n">
        <v>-1.9</v>
      </c>
      <c r="K89" s="32" t="n">
        <v>0</v>
      </c>
      <c r="L89" s="31" t="n">
        <v>79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71.43000000000001</v>
      </c>
      <c r="P89" s="32" t="n">
        <v>51.97</v>
      </c>
      <c r="Q89" s="32" t="n">
        <v>155.66</v>
      </c>
      <c r="R89" s="31" t="inlineStr">
        <is>
          <t>Earnings / Momentum Support</t>
        </is>
      </c>
      <c r="S89" s="31" t="inlineStr">
        <is>
          <t>Nifty FMCG</t>
        </is>
      </c>
      <c r="T89" s="32" t="n">
        <v>-15.28</v>
      </c>
      <c r="U89" s="32" t="n">
        <v>79.58</v>
      </c>
      <c r="V89" s="32" t="n">
        <v>111.96</v>
      </c>
      <c r="W89" s="32" t="n">
        <v>23.8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More than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21</t>
        </is>
      </c>
      <c r="CG89" s="31">
        <f>IF(CF89&gt;20,10,IF(CF89&gt;=10,5,2))</f>
        <v/>
      </c>
    </row>
    <row r="90">
      <c r="A90" s="31">
        <f>IF(B90=0,"",RANK(B90,$B$2:$B$95,0))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RAMRAT</t>
        </is>
      </c>
      <c r="D90" s="31" t="inlineStr">
        <is>
          <t>Ram Ratna Wires Ltd</t>
        </is>
      </c>
      <c r="E90" s="31" t="inlineStr">
        <is>
          <t>metals &amp; mining</t>
        </is>
      </c>
      <c r="F90" s="31" t="inlineStr">
        <is>
          <t>Copper Wires</t>
        </is>
      </c>
      <c r="G90" s="31" t="inlineStr">
        <is>
          <t>midcap</t>
        </is>
      </c>
      <c r="H90" s="32" t="n">
        <v>5013.78</v>
      </c>
      <c r="I90" s="32" t="n">
        <v>537.1</v>
      </c>
      <c r="J90" s="32" t="n">
        <v>-5.8</v>
      </c>
      <c r="K90" s="32" t="n">
        <v>0</v>
      </c>
      <c r="L90" s="31" t="n">
        <v>66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67.68000000000001</v>
      </c>
      <c r="P90" s="32" t="n">
        <v>44</v>
      </c>
      <c r="Q90" s="32" t="n">
        <v>448.54</v>
      </c>
      <c r="R90" s="31" t="inlineStr">
        <is>
          <t>Earnings / Momentum Support</t>
        </is>
      </c>
      <c r="S90" s="31" t="inlineStr">
        <is>
          <t>Nifty Metal</t>
        </is>
      </c>
      <c r="T90" s="32" t="n">
        <v>39.6</v>
      </c>
      <c r="U90" s="32" t="n">
        <v>53.78</v>
      </c>
      <c r="V90" s="32" t="n">
        <v>10.16</v>
      </c>
      <c r="W90" s="32" t="n">
        <v>18.94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Between 0.7 to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19</t>
        </is>
      </c>
      <c r="CG90" s="31">
        <f>IF(CF90&gt;20,10,IF(CF90&gt;=10,5,2))</f>
        <v/>
      </c>
    </row>
    <row r="91">
      <c r="A91" s="31">
        <f>IF(B91=0,"",RANK(B91,$B$2:$B$95,0))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3" t="inlineStr">
        <is>
          <t>JTLIND</t>
        </is>
      </c>
      <c r="D91" s="33" t="inlineStr">
        <is>
          <t>JTL Industries Ltd</t>
        </is>
      </c>
      <c r="E91" s="31" t="inlineStr">
        <is>
          <t>metals &amp; mining</t>
        </is>
      </c>
      <c r="F91" s="31" t="inlineStr">
        <is>
          <t>Steel - Tubes/Pipes</t>
        </is>
      </c>
      <c r="G91" s="31" t="inlineStr">
        <is>
          <t>smallcap</t>
        </is>
      </c>
      <c r="H91" s="32" t="n">
        <v>3514.78</v>
      </c>
      <c r="I91" s="32" t="n">
        <v>92</v>
      </c>
      <c r="J91" s="32" t="n">
        <v>4.58</v>
      </c>
      <c r="K91" s="32" t="n">
        <v>0</v>
      </c>
      <c r="L91" s="31" t="n">
        <v>28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65.98999999999999</v>
      </c>
      <c r="P91" s="32" t="n">
        <v>12.94</v>
      </c>
      <c r="Q91" s="32" t="n">
        <v>67.59</v>
      </c>
      <c r="R91" s="31" t="inlineStr">
        <is>
          <t>Near 52W High Breakout</t>
        </is>
      </c>
      <c r="S91" s="31" t="inlineStr">
        <is>
          <t>Nifty Metal</t>
        </is>
      </c>
      <c r="T91" s="32" t="n">
        <v>39.6</v>
      </c>
      <c r="U91" s="32" t="n">
        <v>20.24</v>
      </c>
      <c r="V91" s="32" t="n">
        <v>-13.87</v>
      </c>
      <c r="W91" s="32" t="n">
        <v>6.89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24</t>
        </is>
      </c>
      <c r="CG91" s="31">
        <f>IF(CF91&gt;20,10,IF(CF91&gt;=10,5,2))</f>
        <v/>
      </c>
    </row>
    <row r="92">
      <c r="A92" s="31">
        <f>IF(B92=0,"",RANK(B92,$B$2:$B$95,0))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4" t="inlineStr">
        <is>
          <t>BALAMINES</t>
        </is>
      </c>
      <c r="D92" s="34" t="inlineStr">
        <is>
          <t>Balaji Amines Ltd</t>
        </is>
      </c>
      <c r="E92" s="31" t="inlineStr">
        <is>
          <t>chemicals</t>
        </is>
      </c>
      <c r="F92" s="31" t="inlineStr">
        <is>
          <t>Speciality Chemicals</t>
        </is>
      </c>
      <c r="G92" s="31" t="inlineStr">
        <is>
          <t>midcap</t>
        </is>
      </c>
      <c r="H92" s="32" t="n">
        <v>7715.97</v>
      </c>
      <c r="I92" s="32" t="n">
        <v>2381.4</v>
      </c>
      <c r="J92" s="32" t="n">
        <v>-1.17</v>
      </c>
      <c r="K92" s="32" t="n">
        <v>0</v>
      </c>
      <c r="L92" s="31" t="n">
        <v>70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68.72</v>
      </c>
      <c r="P92" s="32" t="n">
        <v>58.4</v>
      </c>
      <c r="Q92" s="32" t="n">
        <v>1749.74</v>
      </c>
      <c r="R92" s="31" t="inlineStr">
        <is>
          <t>Near 52W High Breakout</t>
        </is>
      </c>
      <c r="S92" s="31" t="inlineStr">
        <is>
          <t>Nifty 50</t>
        </is>
      </c>
      <c r="T92" s="32" t="n">
        <v>-3.34</v>
      </c>
      <c r="U92" s="32" t="n">
        <v>61.5</v>
      </c>
      <c r="V92" s="32" t="n">
        <v>67.08</v>
      </c>
      <c r="W92" s="32" t="n">
        <v>19.84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Duopoly That Cooperate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Shallow Cyclical (2 to 3 Years Growth)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4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Downtrend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Overhead supply in last 2 years in last 2 years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No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19</t>
        </is>
      </c>
      <c r="CG92" s="31">
        <f>IF(CF92&gt;20,10,IF(CF92&gt;=10,5,2))</f>
        <v/>
      </c>
    </row>
    <row r="93">
      <c r="A93" s="31">
        <f>IF(B93=0,"",RANK(B93,$B$2:$B$95,0))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GIPCL</t>
        </is>
      </c>
      <c r="D93" s="31" t="inlineStr">
        <is>
          <t>Gujarat Industries Power Co Ltd</t>
        </is>
      </c>
      <c r="E93" s="31" t="inlineStr">
        <is>
          <t>power &amp; utilities</t>
        </is>
      </c>
      <c r="F93" s="31" t="inlineStr">
        <is>
          <t>Power - Generation/Distribution</t>
        </is>
      </c>
      <c r="G93" s="31" t="inlineStr">
        <is>
          <t>smallcap</t>
        </is>
      </c>
      <c r="H93" s="32" t="n">
        <v>3199.93</v>
      </c>
      <c r="I93" s="32" t="n">
        <v>206.16</v>
      </c>
      <c r="J93" s="32" t="n">
        <v>3.7</v>
      </c>
      <c r="K93" s="32" t="n">
        <v>0</v>
      </c>
      <c r="L93" s="31" t="n">
        <v>29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72.37</v>
      </c>
      <c r="P93" s="32" t="n">
        <v>19.12</v>
      </c>
      <c r="Q93" s="32" t="n">
        <v>166.99</v>
      </c>
      <c r="R93" s="31" t="inlineStr">
        <is>
          <t>Near 52W High Breakout</t>
        </is>
      </c>
      <c r="S93" s="31" t="inlineStr">
        <is>
          <t>Nifty IT</t>
        </is>
      </c>
      <c r="T93" s="32" t="n">
        <v>-10.2</v>
      </c>
      <c r="U93" s="32" t="n">
        <v>8.19</v>
      </c>
      <c r="V93" s="32" t="n">
        <v>20.47</v>
      </c>
      <c r="W93" s="32" t="n">
        <v>7.32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Shallow Cyclical (2 to 3 Years Growth)</t>
        </is>
      </c>
      <c r="AG93" s="31">
        <f>IF(AF93="Structural (10 Years Consistency)",10,IF(AF93="Shallow Cyclical (2 to 3 years growth)",5,0))</f>
        <v/>
      </c>
      <c r="AH93" s="31" t="inlineStr">
        <is>
          <t>Yes due to Product Mix change or Operating Leverage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Allocated capital in Non-core Areas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Sideways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Overhead supply in last 2 years in last 2 years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More than 15%</t>
        </is>
      </c>
      <c r="CC93" s="31">
        <f>IF(CB93="More than 15%",-10,IF(CB93="Less than 15%",10,0))</f>
        <v/>
      </c>
      <c r="CD93" s="31" t="inlineStr">
        <is>
          <t>Yes Upto 10%</t>
        </is>
      </c>
      <c r="CE93" s="31">
        <f>IF(CD93="Yes, more than 10%",-10,IF(CD93="No",10,0))</f>
        <v/>
      </c>
      <c r="CF93" s="31" t="inlineStr">
        <is>
          <t>24</t>
        </is>
      </c>
      <c r="CG93" s="31">
        <f>IF(CF93&gt;20,10,IF(CF93&gt;=10,5,2))</f>
        <v/>
      </c>
    </row>
    <row r="94">
      <c r="A94" s="31">
        <f>IF(B94=0,"",RANK(B94,$B$2:$B$95,0))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4" t="inlineStr">
        <is>
          <t>MONOLITH</t>
        </is>
      </c>
      <c r="D94" s="34" t="inlineStr">
        <is>
          <t>Monolithisch India Ltd</t>
        </is>
      </c>
      <c r="E94" s="31" t="inlineStr">
        <is>
          <t>unknown</t>
        </is>
      </c>
      <c r="F94" s="31" t="inlineStr">
        <is>
          <t>Refractories</t>
        </is>
      </c>
      <c r="G94" s="31" t="inlineStr">
        <is>
          <t>smallcap</t>
        </is>
      </c>
      <c r="H94" s="32" t="n">
        <v>2775.69</v>
      </c>
      <c r="I94" s="32" t="n">
        <v>1277</v>
      </c>
      <c r="J94" s="32" t="n">
        <v>11.75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  <row r="95">
      <c r="A95" s="31">
        <f>IF(B95=0,"",RANK(B95,$B$2:$B$95,0))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RRKABEL</t>
        </is>
      </c>
      <c r="D95" s="31" t="inlineStr">
        <is>
          <t>R R Kabel Ltd</t>
        </is>
      </c>
      <c r="E95" s="31" t="inlineStr">
        <is>
          <t>unknown</t>
        </is>
      </c>
      <c r="F95" s="31" t="inlineStr">
        <is>
          <t>Cables - Power</t>
        </is>
      </c>
      <c r="G95" s="31" t="inlineStr">
        <is>
          <t>largecap</t>
        </is>
      </c>
      <c r="H95" s="32" t="n">
        <v>29837.23</v>
      </c>
      <c r="I95" s="32" t="n">
        <v>2638</v>
      </c>
      <c r="J95" s="32" t="n">
        <v>-8.08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9">
      <c r="A99" s="25" t="inlineStr">
        <is>
          <t>❌ REMOVED SCAN MATCH STOCKS (THIS WEEK)</t>
        </is>
      </c>
    </row>
    <row r="100">
      <c r="A100" s="35" t="inlineStr">
        <is>
          <t>Symbol</t>
        </is>
      </c>
      <c r="B100" s="35" t="inlineStr">
        <is>
          <t>Company Name</t>
        </is>
      </c>
      <c r="C100" s="35" t="inlineStr">
        <is>
          <t>Sector</t>
        </is>
      </c>
      <c r="D100" s="35" t="inlineStr">
        <is>
          <t>Date of Removal</t>
        </is>
      </c>
    </row>
    <row r="101">
      <c r="A101" s="36" t="inlineStr">
        <is>
          <t>ACCENTMIC</t>
        </is>
      </c>
      <c r="B101" s="37" t="inlineStr">
        <is>
          <t>ACCENTMIC</t>
        </is>
      </c>
      <c r="C101" s="37" t="inlineStr">
        <is>
          <t>unknown</t>
        </is>
      </c>
      <c r="D101" s="38" t="inlineStr">
        <is>
          <t>2026-09-02</t>
        </is>
      </c>
    </row>
    <row r="102">
      <c r="A102" s="36" t="inlineStr">
        <is>
          <t>AURUM</t>
        </is>
      </c>
      <c r="B102" s="37" t="inlineStr">
        <is>
          <t>AURUM</t>
        </is>
      </c>
      <c r="C102" s="37" t="inlineStr">
        <is>
          <t>unknown</t>
        </is>
      </c>
      <c r="D102" s="38" t="inlineStr">
        <is>
          <t>2026-09-02</t>
        </is>
      </c>
    </row>
    <row r="103">
      <c r="A103" s="36" t="inlineStr">
        <is>
          <t>EMIL</t>
        </is>
      </c>
      <c r="B103" s="37" t="inlineStr">
        <is>
          <t>Electronics Mart India Limited</t>
        </is>
      </c>
      <c r="C103" s="37" t="inlineStr">
        <is>
          <t>Consumer Cyclical</t>
        </is>
      </c>
      <c r="D103" s="38" t="inlineStr">
        <is>
          <t>2026-09-02</t>
        </is>
      </c>
    </row>
    <row r="104">
      <c r="A104" s="36" t="inlineStr">
        <is>
          <t>HONASA</t>
        </is>
      </c>
      <c r="B104" s="37" t="inlineStr">
        <is>
          <t>HONASA</t>
        </is>
      </c>
      <c r="C104" s="37" t="inlineStr">
        <is>
          <t>unknown</t>
        </is>
      </c>
      <c r="D104" s="38" t="inlineStr">
        <is>
          <t>2026-09-01</t>
        </is>
      </c>
    </row>
    <row r="105">
      <c r="A105" s="36" t="inlineStr">
        <is>
          <t>ICIL</t>
        </is>
      </c>
      <c r="B105" s="37" t="inlineStr">
        <is>
          <t>Indo Count Industries Limited</t>
        </is>
      </c>
      <c r="C105" s="37" t="inlineStr">
        <is>
          <t>Consumer Cyclical</t>
        </is>
      </c>
      <c r="D105" s="38" t="inlineStr">
        <is>
          <t>2026-09-01</t>
        </is>
      </c>
    </row>
    <row r="106">
      <c r="A106" s="36" t="inlineStr">
        <is>
          <t>INDOTECH</t>
        </is>
      </c>
      <c r="B106" s="37" t="inlineStr">
        <is>
          <t>INDOTECH</t>
        </is>
      </c>
      <c r="C106" s="37" t="inlineStr">
        <is>
          <t>unknown</t>
        </is>
      </c>
      <c r="D106" s="38" t="inlineStr">
        <is>
          <t>2026-09-02</t>
        </is>
      </c>
    </row>
    <row r="107">
      <c r="A107" s="36" t="inlineStr">
        <is>
          <t>KABRAEXTRU</t>
        </is>
      </c>
      <c r="B107" s="37" t="inlineStr">
        <is>
          <t>Kabra Extrusiontechnik Limited</t>
        </is>
      </c>
      <c r="C107" s="37" t="inlineStr">
        <is>
          <t>Industrials</t>
        </is>
      </c>
      <c r="D107" s="38" t="inlineStr">
        <is>
          <t>2026-09-02</t>
        </is>
      </c>
    </row>
    <row r="108">
      <c r="A108" s="36" t="inlineStr">
        <is>
          <t>KAPSTON</t>
        </is>
      </c>
      <c r="B108" s="37" t="inlineStr">
        <is>
          <t>Kapston Services Limited</t>
        </is>
      </c>
      <c r="C108" s="37" t="inlineStr">
        <is>
          <t>Industrials</t>
        </is>
      </c>
      <c r="D108" s="38" t="inlineStr">
        <is>
          <t>2026-09-01</t>
        </is>
      </c>
    </row>
    <row r="109">
      <c r="A109" s="36" t="inlineStr">
        <is>
          <t>LUMAXTECH</t>
        </is>
      </c>
      <c r="B109" s="37" t="inlineStr">
        <is>
          <t>Lumax Auto Technologies Limited</t>
        </is>
      </c>
      <c r="C109" s="37" t="inlineStr">
        <is>
          <t>Consumer Cyclical</t>
        </is>
      </c>
      <c r="D109" s="38" t="inlineStr">
        <is>
          <t>2026-09-02</t>
        </is>
      </c>
    </row>
    <row r="110">
      <c r="A110" s="36" t="inlineStr">
        <is>
          <t>MANALIPETC</t>
        </is>
      </c>
      <c r="B110" s="37" t="inlineStr">
        <is>
          <t>Manali Petrochemicals Limited</t>
        </is>
      </c>
      <c r="C110" s="37" t="inlineStr">
        <is>
          <t>Basic Materials</t>
        </is>
      </c>
      <c r="D110" s="38" t="inlineStr">
        <is>
          <t>2026-09-02</t>
        </is>
      </c>
    </row>
    <row r="111">
      <c r="A111" s="36" t="inlineStr">
        <is>
          <t>MMP</t>
        </is>
      </c>
      <c r="B111" s="37" t="inlineStr">
        <is>
          <t>MMP Industries Limited</t>
        </is>
      </c>
      <c r="C111" s="37" t="inlineStr">
        <is>
          <t>Basic Materials</t>
        </is>
      </c>
      <c r="D111" s="38" t="inlineStr">
        <is>
          <t>2026-09-01</t>
        </is>
      </c>
    </row>
    <row r="112">
      <c r="A112" s="36" t="inlineStr">
        <is>
          <t>MSTCLTD</t>
        </is>
      </c>
      <c r="B112" s="37" t="inlineStr">
        <is>
          <t>MSTC Limited</t>
        </is>
      </c>
      <c r="C112" s="37" t="inlineStr">
        <is>
          <t>Industrials</t>
        </is>
      </c>
      <c r="D112" s="38" t="inlineStr">
        <is>
          <t>2026-09-01</t>
        </is>
      </c>
    </row>
    <row r="113">
      <c r="A113" s="36" t="inlineStr">
        <is>
          <t>NYKAA</t>
        </is>
      </c>
      <c r="B113" s="37" t="inlineStr">
        <is>
          <t>NYKAA</t>
        </is>
      </c>
      <c r="C113" s="37" t="inlineStr">
        <is>
          <t>unknown</t>
        </is>
      </c>
      <c r="D113" s="38" t="inlineStr">
        <is>
          <t>2026-09-01</t>
        </is>
      </c>
    </row>
    <row r="114">
      <c r="A114" s="36" t="inlineStr">
        <is>
          <t>PARAS</t>
        </is>
      </c>
      <c r="B114" s="37" t="inlineStr">
        <is>
          <t>PARAS</t>
        </is>
      </c>
      <c r="C114" s="37" t="inlineStr">
        <is>
          <t>unknown</t>
        </is>
      </c>
      <c r="D114" s="38" t="inlineStr">
        <is>
          <t>2026-09-01</t>
        </is>
      </c>
    </row>
    <row r="115">
      <c r="A115" s="36" t="inlineStr">
        <is>
          <t>PAYTM</t>
        </is>
      </c>
      <c r="B115" s="37" t="inlineStr">
        <is>
          <t>One97 Communications Limited</t>
        </is>
      </c>
      <c r="C115" s="37" t="inlineStr">
        <is>
          <t>Technology</t>
        </is>
      </c>
      <c r="D115" s="38" t="inlineStr">
        <is>
          <t>2026-09-01</t>
        </is>
      </c>
    </row>
    <row r="116">
      <c r="A116" s="36" t="inlineStr">
        <is>
          <t>PRABHA</t>
        </is>
      </c>
      <c r="B116" s="37" t="inlineStr">
        <is>
          <t>Prabha Energy Limited</t>
        </is>
      </c>
      <c r="C116" s="37" t="inlineStr">
        <is>
          <t>Energy</t>
        </is>
      </c>
      <c r="D116" s="38" t="inlineStr">
        <is>
          <t>2026-09-02</t>
        </is>
      </c>
    </row>
    <row r="117">
      <c r="A117" s="36" t="inlineStr">
        <is>
          <t>PRICOLLTD</t>
        </is>
      </c>
      <c r="B117" s="37" t="inlineStr">
        <is>
          <t>PRICOLLTD</t>
        </is>
      </c>
      <c r="C117" s="37" t="inlineStr">
        <is>
          <t>unknown</t>
        </is>
      </c>
      <c r="D117" s="38" t="inlineStr">
        <is>
          <t>2026-09-02</t>
        </is>
      </c>
    </row>
    <row r="118">
      <c r="A118" s="36" t="inlineStr">
        <is>
          <t>QUESS</t>
        </is>
      </c>
      <c r="B118" s="37" t="inlineStr">
        <is>
          <t>Quess Corp Limited</t>
        </is>
      </c>
      <c r="C118" s="37" t="inlineStr">
        <is>
          <t>Industrials</t>
        </is>
      </c>
      <c r="D118" s="38" t="inlineStr">
        <is>
          <t>2026-09-01</t>
        </is>
      </c>
    </row>
    <row r="119">
      <c r="A119" s="36" t="inlineStr">
        <is>
          <t>RRKABEL</t>
        </is>
      </c>
      <c r="B119" s="37" t="inlineStr">
        <is>
          <t>RRKABEL</t>
        </is>
      </c>
      <c r="C119" s="37" t="inlineStr">
        <is>
          <t>unknown</t>
        </is>
      </c>
      <c r="D119" s="38" t="inlineStr">
        <is>
          <t>2026-09-02</t>
        </is>
      </c>
    </row>
    <row r="120">
      <c r="A120" s="36" t="inlineStr">
        <is>
          <t>SAMBHV</t>
        </is>
      </c>
      <c r="B120" s="37" t="inlineStr">
        <is>
          <t>SAMBHV</t>
        </is>
      </c>
      <c r="C120" s="37" t="inlineStr">
        <is>
          <t>unknown</t>
        </is>
      </c>
      <c r="D120" s="38" t="inlineStr">
        <is>
          <t>2026-09-02</t>
        </is>
      </c>
    </row>
    <row r="121">
      <c r="A121" s="36" t="inlineStr">
        <is>
          <t>SJS</t>
        </is>
      </c>
      <c r="B121" s="37" t="inlineStr">
        <is>
          <t>SJS</t>
        </is>
      </c>
      <c r="C121" s="37" t="inlineStr">
        <is>
          <t>unknown</t>
        </is>
      </c>
      <c r="D121" s="38" t="inlineStr">
        <is>
          <t>2026-09-02</t>
        </is>
      </c>
    </row>
    <row r="122">
      <c r="A122" s="36" t="inlineStr">
        <is>
          <t>TIMEX</t>
        </is>
      </c>
      <c r="B122" s="37" t="inlineStr">
        <is>
          <t>TIMEX</t>
        </is>
      </c>
      <c r="C122" s="37" t="inlineStr">
        <is>
          <t>unknown</t>
        </is>
      </c>
      <c r="D122" s="38" t="inlineStr">
        <is>
          <t>2026-09-02</t>
        </is>
      </c>
    </row>
    <row r="123">
      <c r="A123" s="36" t="inlineStr">
        <is>
          <t>VADILALIND</t>
        </is>
      </c>
      <c r="B123" s="37" t="inlineStr">
        <is>
          <t>Vadilal Industries Limited</t>
        </is>
      </c>
      <c r="C123" s="37" t="inlineStr">
        <is>
          <t>Consumer Defensive</t>
        </is>
      </c>
      <c r="D123" s="38" t="inlineStr">
        <is>
          <t>2026-09-02</t>
        </is>
      </c>
    </row>
    <row r="124">
      <c r="A124" s="36" t="inlineStr">
        <is>
          <t>VOEPL</t>
        </is>
      </c>
      <c r="B124" s="37" t="inlineStr">
        <is>
          <t>VOEPL</t>
        </is>
      </c>
      <c r="C124" s="37" t="inlineStr">
        <is>
          <t>unknown</t>
        </is>
      </c>
      <c r="D124" s="38" t="inlineStr">
        <is>
          <t>2026-09-02</t>
        </is>
      </c>
    </row>
    <row r="125">
      <c r="A125" s="36" t="inlineStr">
        <is>
          <t>WELSPUNLIV</t>
        </is>
      </c>
      <c r="B125" s="37" t="inlineStr">
        <is>
          <t>Welspun Living Limited</t>
        </is>
      </c>
      <c r="C125" s="37" t="inlineStr">
        <is>
          <t>Consumer Cyclical</t>
        </is>
      </c>
      <c r="D125" s="38" t="inlineStr">
        <is>
          <t>2026-09-02</t>
        </is>
      </c>
    </row>
    <row r="126">
      <c r="A126" s="36" t="inlineStr">
        <is>
          <t>YASHO</t>
        </is>
      </c>
      <c r="B126" s="37" t="inlineStr">
        <is>
          <t>YASHO</t>
        </is>
      </c>
      <c r="C126" s="37" t="inlineStr">
        <is>
          <t>unknown</t>
        </is>
      </c>
      <c r="D126" s="38" t="inlineStr">
        <is>
          <t>2026-09-01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IF(B2=0,"",RANK(B2,$B$2:$B$7,0))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CGCL</t>
        </is>
      </c>
      <c r="D2" s="31" t="inlineStr">
        <is>
          <t>Capri Global Capital Ltd</t>
        </is>
      </c>
      <c r="E2" s="31" t="inlineStr">
        <is>
          <t>financials</t>
        </is>
      </c>
      <c r="F2" s="31" t="inlineStr">
        <is>
          <t>Finance &amp; Investments - Gold Loan</t>
        </is>
      </c>
      <c r="G2" s="31" t="inlineStr">
        <is>
          <t>largecap</t>
        </is>
      </c>
      <c r="H2" s="32" t="n">
        <v>24679.25</v>
      </c>
      <c r="I2" s="32" t="n">
        <v>256.5</v>
      </c>
      <c r="J2" s="32" t="n">
        <v>2.23</v>
      </c>
      <c r="K2" s="32" t="n">
        <v>0</v>
      </c>
      <c r="L2" s="31" t="n">
        <v>50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68.42</v>
      </c>
      <c r="P2" s="32" t="n">
        <v>38.91</v>
      </c>
      <c r="Q2" s="32" t="n">
        <v>203.54</v>
      </c>
      <c r="R2" s="31" t="inlineStr">
        <is>
          <t>Near 52W High Breakout</t>
        </is>
      </c>
      <c r="S2" s="31" t="inlineStr">
        <is>
          <t>Nifty Bank</t>
        </is>
      </c>
      <c r="T2" s="32" t="n">
        <v>5.65</v>
      </c>
      <c r="U2" s="32" t="n">
        <v>39.24</v>
      </c>
      <c r="V2" s="32" t="n">
        <v>31.8</v>
      </c>
      <c r="W2" s="32" t="n">
        <v>13.34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25</t>
        </is>
      </c>
      <c r="CC2" s="31">
        <f>IF(CB2&gt;20,10,IF(CB2&gt;=10,5,2))</f>
        <v/>
      </c>
    </row>
    <row r="3">
      <c r="A3" s="31">
        <f>IF(B3=0,"",RANK(B3,$B$2:$B$7,0))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TFCILTD</t>
        </is>
      </c>
      <c r="D3" s="31" t="inlineStr">
        <is>
          <t>Tourism Finance Corporation of India Ltd</t>
        </is>
      </c>
      <c r="E3" s="31" t="inlineStr">
        <is>
          <t>financials</t>
        </is>
      </c>
      <c r="F3" s="31" t="inlineStr">
        <is>
          <t>Finance - PSU Lending</t>
        </is>
      </c>
      <c r="G3" s="31" t="inlineStr">
        <is>
          <t>midcap</t>
        </is>
      </c>
      <c r="H3" s="32" t="n">
        <v>6754.84</v>
      </c>
      <c r="I3" s="32" t="n">
        <v>145.9</v>
      </c>
      <c r="J3" s="32" t="n">
        <v>3.42</v>
      </c>
      <c r="K3" s="32" t="n">
        <v>0</v>
      </c>
      <c r="L3" s="31" t="n">
        <v>92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86.55</v>
      </c>
      <c r="P3" s="32" t="n">
        <v>62.45</v>
      </c>
      <c r="Q3" s="32" t="n">
        <v>116.96</v>
      </c>
      <c r="R3" s="31" t="inlineStr">
        <is>
          <t>Near 52W High Breakout</t>
        </is>
      </c>
      <c r="S3" s="31" t="inlineStr">
        <is>
          <t>Nifty Bank</t>
        </is>
      </c>
      <c r="T3" s="32" t="n">
        <v>5.65</v>
      </c>
      <c r="U3" s="32" t="n">
        <v>112.26</v>
      </c>
      <c r="V3" s="32" t="n">
        <v>100.91</v>
      </c>
      <c r="W3" s="32" t="n">
        <v>39.96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above 5x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22</t>
        </is>
      </c>
      <c r="CC3" s="31">
        <f>IF(CB3&gt;20,10,IF(CB3&gt;=10,5,2))</f>
        <v/>
      </c>
    </row>
    <row r="4">
      <c r="A4" s="31">
        <f>IF(B4=0,"",RANK(B4,$B$2:$B$7,0))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IIFL</t>
        </is>
      </c>
      <c r="D4" s="31" t="inlineStr">
        <is>
          <t>IIFL Finance Ltd</t>
        </is>
      </c>
      <c r="E4" s="31" t="inlineStr">
        <is>
          <t>Financial Services</t>
        </is>
      </c>
      <c r="F4" s="31" t="inlineStr">
        <is>
          <t>Finance &amp; Investments - Gold Loan</t>
        </is>
      </c>
      <c r="G4" s="31" t="inlineStr">
        <is>
          <t>largecap</t>
        </is>
      </c>
      <c r="H4" s="32" t="n">
        <v>27045.73</v>
      </c>
      <c r="I4" s="32" t="n">
        <v>635.8</v>
      </c>
      <c r="J4" s="32" t="n">
        <v>-0.52</v>
      </c>
      <c r="K4" s="32" t="n">
        <v>0</v>
      </c>
      <c r="L4" s="31" t="n">
        <v>50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64.51000000000001</v>
      </c>
      <c r="P4" s="32" t="n">
        <v>29.07</v>
      </c>
      <c r="Q4" s="32" t="n">
        <v>541.95</v>
      </c>
      <c r="R4" s="31" t="inlineStr">
        <is>
          <t>Earnings / Momentum Support</t>
        </is>
      </c>
      <c r="S4" s="31" t="inlineStr">
        <is>
          <t>Nifty Bank</t>
        </is>
      </c>
      <c r="T4" s="32" t="n">
        <v>5.65</v>
      </c>
      <c r="U4" s="32" t="n">
        <v>46.65</v>
      </c>
      <c r="V4" s="32" t="n">
        <v>38.81</v>
      </c>
      <c r="W4" s="32" t="n">
        <v>13.66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5">
      <c r="A5" s="31">
        <f>IF(B5=0,"",RANK(B5,$B$2:$B$7,0))</f>
        <v/>
      </c>
      <c r="B5" s="32">
        <f>SUM(N5,Y5,AA5,AC5,AE5,AG5,AI5,AK5,AM5,AO5,AQ5,AS5,AU5,AW5,AY5,BA5,BC5,BE5,BG5,BI5,BK5,BM5,BO5,BQ5,BS5,BU5,BW5,BY5,CA5,CC5)</f>
        <v/>
      </c>
      <c r="C5" s="34" t="inlineStr">
        <is>
          <t>IFCI</t>
        </is>
      </c>
      <c r="D5" s="34" t="inlineStr">
        <is>
          <t>IFCI Ltd</t>
        </is>
      </c>
      <c r="E5" s="31" t="inlineStr">
        <is>
          <t>financials</t>
        </is>
      </c>
      <c r="F5" s="31" t="inlineStr">
        <is>
          <t>Finance - PSU Lending</t>
        </is>
      </c>
      <c r="G5" s="31" t="inlineStr">
        <is>
          <t>largecap</t>
        </is>
      </c>
      <c r="H5" s="32" t="n">
        <v>26328.84</v>
      </c>
      <c r="I5" s="32" t="n">
        <v>97.72</v>
      </c>
      <c r="J5" s="32" t="n">
        <v>11.99</v>
      </c>
      <c r="K5" s="32" t="n">
        <v>0</v>
      </c>
      <c r="L5" s="31" t="n">
        <v>68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72.22</v>
      </c>
      <c r="P5" s="32" t="n">
        <v>46.91</v>
      </c>
      <c r="Q5" s="32" t="n">
        <v>74.09999999999999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5.65</v>
      </c>
      <c r="U5" s="32" t="n">
        <v>87.53</v>
      </c>
      <c r="V5" s="32" t="n">
        <v>77.5</v>
      </c>
      <c r="W5" s="32" t="n">
        <v>19.52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less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19</t>
        </is>
      </c>
      <c r="CC5" s="31">
        <f>IF(CB5&gt;20,10,IF(CB5&gt;=10,5,2))</f>
        <v/>
      </c>
    </row>
    <row r="6">
      <c r="A6" s="31">
        <f>IF(B6=0,"",RANK(B6,$B$2:$B$7,0))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OFSS</t>
        </is>
      </c>
      <c r="D6" s="31" t="inlineStr">
        <is>
          <t>Oracle Financial Services Software Ltd</t>
        </is>
      </c>
      <c r="E6" s="31" t="inlineStr">
        <is>
          <t>i.t</t>
        </is>
      </c>
      <c r="F6" s="31" t="inlineStr">
        <is>
          <t>IT Product Companies</t>
        </is>
      </c>
      <c r="G6" s="31" t="inlineStr">
        <is>
          <t>largecap</t>
        </is>
      </c>
      <c r="H6" s="32" t="n">
        <v>105875.67</v>
      </c>
      <c r="I6" s="32" t="n">
        <v>12158</v>
      </c>
      <c r="J6" s="32" t="n">
        <v>-0.24</v>
      </c>
      <c r="K6" s="32" t="n">
        <v>0</v>
      </c>
      <c r="L6" s="31" t="n">
        <v>56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70.18000000000001</v>
      </c>
      <c r="P6" s="32" t="n">
        <v>29.33</v>
      </c>
      <c r="Q6" s="32" t="n">
        <v>9860.469999999999</v>
      </c>
      <c r="R6" s="31" t="inlineStr">
        <is>
          <t>Near 52W High Breakout</t>
        </is>
      </c>
      <c r="S6" s="31" t="inlineStr">
        <is>
          <t>Nifty IT</t>
        </is>
      </c>
      <c r="T6" s="32" t="n">
        <v>-10.2</v>
      </c>
      <c r="U6" s="32" t="n">
        <v>53.38</v>
      </c>
      <c r="V6" s="32" t="n">
        <v>70.81</v>
      </c>
      <c r="W6" s="32" t="n">
        <v>15.88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above 5x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22</t>
        </is>
      </c>
      <c r="CC6" s="31">
        <f>IF(CB6&gt;20,10,IF(CB6&gt;=10,5,2))</f>
        <v/>
      </c>
    </row>
    <row r="7">
      <c r="A7" s="31">
        <f>IF(B7=0,"",RANK(B7,$B$2:$B$7,0))</f>
        <v/>
      </c>
      <c r="B7" s="32">
        <f>SUM(N7,Y7,AA7,AC7,AE7,AG7,AI7,AK7,AM7,AO7,AQ7,AS7,AU7,AW7,AY7,BA7,BC7,BE7,BG7,BI7,BK7,BM7,BO7,BQ7,BS7,BU7,BW7,BY7,CA7,CC7)</f>
        <v/>
      </c>
      <c r="C7" s="34" t="inlineStr">
        <is>
          <t>GCSL</t>
        </is>
      </c>
      <c r="D7" s="34" t="inlineStr">
        <is>
          <t>Gretex Corporate Services Ltd</t>
        </is>
      </c>
      <c r="E7" s="31" t="inlineStr">
        <is>
          <t>Financial Services</t>
        </is>
      </c>
      <c r="F7" s="31" t="inlineStr">
        <is>
          <t>Finance &amp; Investments - Others</t>
        </is>
      </c>
      <c r="G7" s="31" t="inlineStr">
        <is>
          <t>smallcap</t>
        </is>
      </c>
      <c r="H7" s="32" t="n">
        <v>1376</v>
      </c>
      <c r="I7" s="32" t="n">
        <v>569.55</v>
      </c>
      <c r="J7" s="32" t="n">
        <v>1.3</v>
      </c>
      <c r="K7" s="32" t="n">
        <v>0</v>
      </c>
      <c r="L7" s="31" t="n">
        <v>73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71.8</v>
      </c>
      <c r="P7" s="32" t="n">
        <v>32.8</v>
      </c>
      <c r="Q7" s="32" t="n">
        <v>437.06</v>
      </c>
      <c r="R7" s="31" t="inlineStr">
        <is>
          <t>Near 52W High Breakout</t>
        </is>
      </c>
      <c r="S7" s="31" t="inlineStr">
        <is>
          <t>Nifty Bank</t>
        </is>
      </c>
      <c r="T7" s="32" t="n">
        <v>5.65</v>
      </c>
      <c r="U7" s="32" t="n">
        <v>90.5</v>
      </c>
      <c r="V7" s="32" t="n">
        <v>80.31</v>
      </c>
      <c r="W7" s="32" t="n">
        <v>21.34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20</t>
        </is>
      </c>
      <c r="CC7" s="31">
        <f>IF(CB7&gt;20,10,IF(CB7&gt;=10,5,2))</f>
        <v/>
      </c>
    </row>
    <row r="11">
      <c r="A11" s="25" t="inlineStr">
        <is>
          <t>❌ REMOVED SCAN MATCH STOCKS (THIS WEEK)</t>
        </is>
      </c>
    </row>
    <row r="12">
      <c r="A12" s="35" t="inlineStr">
        <is>
          <t>Symbol</t>
        </is>
      </c>
      <c r="B12" s="35" t="inlineStr">
        <is>
          <t>Company Name</t>
        </is>
      </c>
      <c r="C12" s="35" t="inlineStr">
        <is>
          <t>Sector</t>
        </is>
      </c>
      <c r="D12" s="35" t="inlineStr">
        <is>
          <t>Date of Removal</t>
        </is>
      </c>
    </row>
    <row r="13">
      <c r="A13" s="36" t="inlineStr">
        <is>
          <t>POLICYBZR</t>
        </is>
      </c>
      <c r="B13" s="37" t="inlineStr">
        <is>
          <t>PB Fintech Limited</t>
        </is>
      </c>
      <c r="C13" s="37" t="inlineStr">
        <is>
          <t>Financial Services</t>
        </is>
      </c>
      <c r="D13" s="38" t="inlineStr">
        <is>
          <t>2026-09-01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2026-09-02T14:34:20Z</dcterms:created>
  <dcterms:modified xmlns:dcterms="http://purl.org/dc/terms/" xmlns:xsi="http://www.w3.org/2001/XMLSchema-instance" xsi:type="dcterms:W3CDTF">2026-09-02T14:36:18Z</dcterms:modified>
</cp:coreProperties>
</file>