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Universe'!$A$1:$J$391</definedName>
    <definedName name="_xlnm._FilterDatabase" localSheetId="3" hidden="1">'Confluence Overlap'!$A$1:$K$95</definedName>
    <definedName name="_xlnm._FilterDatabase" localSheetId="4" hidden="1">'Monit Non Financial'!$A$1:$CE$335</definedName>
    <definedName name="_xlnm._FilterDatabase" localSheetId="5" hidden="1">'Monit Banks NBFC'!$A$1:$CA$57</definedName>
    <definedName name="_xlnm._FilterDatabase" localSheetId="6" hidden="1">'Scanner Non Financial'!$A$1:$CJ$21</definedName>
    <definedName name="_xlnm._FilterDatabase" localSheetId="7" hidden="1">'Scanner Banks NBFC'!$A$1:$CF$3</definedName>
    <definedName name="_xlnm._FilterDatabase" localSheetId="8" hidden="1">'Scan Match Non Financial'!$A$1:$CG$85</definedName>
    <definedName name="_xlnm._FilterDatabase" localSheetId="9" hidden="1">'Scan Match Banks NBFC'!$A$1:$CC$17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Tuesday, 14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5" customWidth="1" min="3" max="3"/>
    <col width="36" customWidth="1" min="4" max="4"/>
    <col width="22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558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78</v>
      </c>
      <c r="G6" s="19" t="n">
        <v>15365.59</v>
      </c>
      <c r="H6" s="18" t="inlineStr">
        <is>
          <t>Potential Leader</t>
        </is>
      </c>
      <c r="J6" s="18" t="inlineStr">
        <is>
          <t>i.t</t>
        </is>
      </c>
      <c r="K6" s="16" t="n">
        <v>86</v>
      </c>
      <c r="L6" s="16" t="n">
        <v>75</v>
      </c>
      <c r="M6" s="20" t="inlineStr">
        <is>
          <t>14.7%</t>
        </is>
      </c>
    </row>
    <row r="7">
      <c r="A7" s="16" t="n">
        <v>2</v>
      </c>
      <c r="B7" s="17" t="n">
        <v>546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76</v>
      </c>
      <c r="G7" s="19" t="n">
        <v>5544.4</v>
      </c>
      <c r="H7" s="18" t="inlineStr">
        <is>
          <t>Potential Leader</t>
        </is>
      </c>
      <c r="J7" s="18" t="inlineStr">
        <is>
          <t>media</t>
        </is>
      </c>
      <c r="K7" s="16" t="n">
        <v>18</v>
      </c>
      <c r="L7" s="16" t="n">
        <v>16</v>
      </c>
      <c r="M7" s="20" t="inlineStr">
        <is>
          <t>12.5%</t>
        </is>
      </c>
    </row>
    <row r="8">
      <c r="A8" s="16" t="n">
        <v>3</v>
      </c>
      <c r="B8" s="17" t="n">
        <v>540</v>
      </c>
      <c r="C8" s="17" t="inlineStr">
        <is>
          <t>WELCORP</t>
        </is>
      </c>
      <c r="D8" s="18" t="inlineStr">
        <is>
          <t>Welspun Corp Limited</t>
        </is>
      </c>
      <c r="E8" s="18" t="inlineStr">
        <is>
          <t>industrials</t>
        </is>
      </c>
      <c r="F8" s="16" t="n">
        <v>75</v>
      </c>
      <c r="G8" s="19" t="n">
        <v>42731.45</v>
      </c>
      <c r="H8" s="18" t="inlineStr">
        <is>
          <t>Potential Leader</t>
        </is>
      </c>
      <c r="J8" s="18" t="inlineStr">
        <is>
          <t>energy</t>
        </is>
      </c>
      <c r="K8" s="16" t="n">
        <v>24</v>
      </c>
      <c r="L8" s="16" t="n">
        <v>22</v>
      </c>
      <c r="M8" s="20" t="inlineStr">
        <is>
          <t>9.1%</t>
        </is>
      </c>
    </row>
    <row r="9">
      <c r="A9" s="16" t="n">
        <v>4</v>
      </c>
      <c r="B9" s="17" t="n">
        <v>522</v>
      </c>
      <c r="C9" s="17" t="inlineStr">
        <is>
          <t>SHILPAMED</t>
        </is>
      </c>
      <c r="D9" s="18" t="inlineStr">
        <is>
          <t>Shilpa Medicare Limited</t>
        </is>
      </c>
      <c r="E9" s="18" t="inlineStr">
        <is>
          <t>healthcare</t>
        </is>
      </c>
      <c r="F9" s="16" t="n">
        <v>72</v>
      </c>
      <c r="G9" s="19" t="n">
        <v>12325.57</v>
      </c>
      <c r="H9" s="18" t="inlineStr">
        <is>
          <t>Potential Leader</t>
        </is>
      </c>
      <c r="J9" s="18" t="inlineStr">
        <is>
          <t>plastic products</t>
        </is>
      </c>
      <c r="K9" s="16" t="n">
        <v>11</v>
      </c>
      <c r="L9" s="16" t="n">
        <v>11</v>
      </c>
      <c r="M9" s="20" t="inlineStr">
        <is>
          <t>0.0%</t>
        </is>
      </c>
    </row>
    <row r="10">
      <c r="A10" s="16" t="n">
        <v>5</v>
      </c>
      <c r="B10" s="17" t="n">
        <v>498</v>
      </c>
      <c r="C10" s="17" t="inlineStr">
        <is>
          <t>NINSYS</t>
        </is>
      </c>
      <c r="D10" s="18" t="inlineStr">
        <is>
          <t>NINtec Systems Ltd</t>
        </is>
      </c>
      <c r="E10" s="18" t="inlineStr">
        <is>
          <t>i.t</t>
        </is>
      </c>
      <c r="F10" s="16" t="n">
        <v>68</v>
      </c>
      <c r="G10" s="19" t="n">
        <v>1615.65</v>
      </c>
      <c r="H10" s="18" t="inlineStr">
        <is>
          <t>Potential Leader</t>
        </is>
      </c>
      <c r="J10" s="18" t="inlineStr">
        <is>
          <t>telecom-service</t>
        </is>
      </c>
      <c r="K10" s="16" t="n">
        <v>10</v>
      </c>
      <c r="L10" s="16" t="n">
        <v>10</v>
      </c>
      <c r="M10" s="20" t="inlineStr">
        <is>
          <t>0.0%</t>
        </is>
      </c>
    </row>
    <row r="11">
      <c r="A11" s="16" t="n">
        <v>6</v>
      </c>
      <c r="B11" s="17" t="n">
        <v>492</v>
      </c>
      <c r="C11" s="17" t="inlineStr">
        <is>
          <t>SIGMAADV</t>
        </is>
      </c>
      <c r="D11" s="18" t="inlineStr">
        <is>
          <t>Sigma Advanced System Ltd</t>
        </is>
      </c>
      <c r="E11" s="18" t="inlineStr">
        <is>
          <t>aerospace &amp; defence</t>
        </is>
      </c>
      <c r="F11" s="16" t="n">
        <v>67</v>
      </c>
      <c r="G11" s="19" t="n">
        <v>10273.89</v>
      </c>
      <c r="H11" s="18" t="inlineStr">
        <is>
          <t>Potential Leader</t>
        </is>
      </c>
      <c r="J11" s="18" t="inlineStr">
        <is>
          <t>consumer discretionary</t>
        </is>
      </c>
      <c r="K11" s="16" t="n">
        <v>158</v>
      </c>
      <c r="L11" s="16" t="n">
        <v>170</v>
      </c>
      <c r="M11" s="21" t="inlineStr">
        <is>
          <t>-7.1%</t>
        </is>
      </c>
    </row>
    <row r="12">
      <c r="A12" s="16" t="n">
        <v>7</v>
      </c>
      <c r="B12" s="17" t="n">
        <v>438</v>
      </c>
      <c r="C12" s="17" t="inlineStr">
        <is>
          <t>INDOBORAX</t>
        </is>
      </c>
      <c r="D12" s="18" t="inlineStr">
        <is>
          <t>Indo Borax &amp; Chemicals Ltd</t>
        </is>
      </c>
      <c r="E12" s="18" t="inlineStr">
        <is>
          <t>chemicals</t>
        </is>
      </c>
      <c r="F12" s="16" t="n">
        <v>58</v>
      </c>
      <c r="G12" s="19" t="n">
        <v>1516.73</v>
      </c>
      <c r="H12" s="18" t="inlineStr">
        <is>
          <t>Potential Leader</t>
        </is>
      </c>
      <c r="J12" s="18" t="inlineStr">
        <is>
          <t>miscellaneous</t>
        </is>
      </c>
      <c r="K12" s="16" t="n">
        <v>59</v>
      </c>
      <c r="L12" s="16" t="n">
        <v>64</v>
      </c>
      <c r="M12" s="21" t="inlineStr">
        <is>
          <t>-7.8%</t>
        </is>
      </c>
    </row>
    <row r="13">
      <c r="A13" s="16" t="n">
        <v>8</v>
      </c>
      <c r="B13" s="17" t="n">
        <v>432</v>
      </c>
      <c r="C13" s="17" t="inlineStr">
        <is>
          <t>BLSE</t>
        </is>
      </c>
      <c r="D13" s="18" t="inlineStr">
        <is>
          <t>BLS E-Services Ltd</t>
        </is>
      </c>
      <c r="E13" s="18" t="inlineStr">
        <is>
          <t>i.t</t>
        </is>
      </c>
      <c r="F13" s="16" t="n">
        <v>57</v>
      </c>
      <c r="G13" s="19" t="n">
        <v>2412.88</v>
      </c>
      <c r="H13" s="18" t="inlineStr">
        <is>
          <t>Potential Leader</t>
        </is>
      </c>
      <c r="J13" s="18" t="inlineStr">
        <is>
          <t>fmcg</t>
        </is>
      </c>
      <c r="K13" s="16" t="n">
        <v>114</v>
      </c>
      <c r="L13" s="16" t="n">
        <v>126</v>
      </c>
      <c r="M13" s="21" t="inlineStr">
        <is>
          <t>-9.5%</t>
        </is>
      </c>
    </row>
    <row r="14">
      <c r="A14" s="16" t="n">
        <v>9</v>
      </c>
      <c r="B14" s="17" t="n">
        <v>432</v>
      </c>
      <c r="C14" s="17" t="inlineStr">
        <is>
          <t>CEMPRO</t>
        </is>
      </c>
      <c r="D14" s="18" t="inlineStr">
        <is>
          <t>Cemindia Projects Ltd</t>
        </is>
      </c>
      <c r="E14" s="18" t="inlineStr">
        <is>
          <t>realty</t>
        </is>
      </c>
      <c r="F14" s="16" t="n">
        <v>57</v>
      </c>
      <c r="G14" s="19" t="n">
        <v>27206</v>
      </c>
      <c r="H14" s="18" t="inlineStr">
        <is>
          <t>Potential Leader</t>
        </is>
      </c>
      <c r="J14" s="18" t="inlineStr">
        <is>
          <t>realty</t>
        </is>
      </c>
      <c r="K14" s="16" t="n">
        <v>89</v>
      </c>
      <c r="L14" s="16" t="n">
        <v>100</v>
      </c>
      <c r="M14" s="21" t="inlineStr">
        <is>
          <t>-11.0%</t>
        </is>
      </c>
    </row>
    <row r="15">
      <c r="A15" s="16" t="n">
        <v>10</v>
      </c>
      <c r="B15" s="17" t="n">
        <v>432</v>
      </c>
      <c r="C15" s="17" t="inlineStr">
        <is>
          <t>RATEGAIN</t>
        </is>
      </c>
      <c r="D15" s="18" t="inlineStr">
        <is>
          <t>Rategain Travel Technologies Ltd</t>
        </is>
      </c>
      <c r="E15" s="18" t="inlineStr">
        <is>
          <t>i.t</t>
        </is>
      </c>
      <c r="F15" s="16" t="n">
        <v>57</v>
      </c>
      <c r="G15" s="19" t="n">
        <v>11186.72</v>
      </c>
      <c r="H15" s="18" t="inlineStr">
        <is>
          <t>Potential Leader</t>
        </is>
      </c>
      <c r="J15" s="18" t="inlineStr">
        <is>
          <t>telecom</t>
        </is>
      </c>
      <c r="K15" s="16" t="n">
        <v>16</v>
      </c>
      <c r="L15" s="16" t="n">
        <v>18</v>
      </c>
      <c r="M15" s="21" t="inlineStr">
        <is>
          <t>-11.1%</t>
        </is>
      </c>
    </row>
    <row r="16">
      <c r="A16" s="16" t="n">
        <v>11</v>
      </c>
      <c r="B16" s="17" t="n">
        <v>426</v>
      </c>
      <c r="C16" s="17" t="inlineStr">
        <is>
          <t>GRWRHITECH</t>
        </is>
      </c>
      <c r="D16" s="18" t="inlineStr">
        <is>
          <t>Garware Hi Tech Films Ltd</t>
        </is>
      </c>
      <c r="E16" s="18" t="inlineStr">
        <is>
          <t>industrials</t>
        </is>
      </c>
      <c r="F16" s="16" t="n">
        <v>56</v>
      </c>
      <c r="G16" s="19" t="n">
        <v>16357.93</v>
      </c>
      <c r="H16" s="18" t="inlineStr">
        <is>
          <t>Potential Leader</t>
        </is>
      </c>
      <c r="J16" s="18" t="inlineStr">
        <is>
          <t>services</t>
        </is>
      </c>
      <c r="K16" s="16" t="n">
        <v>62</v>
      </c>
      <c r="L16" s="16" t="n">
        <v>71</v>
      </c>
      <c r="M16" s="21" t="inlineStr">
        <is>
          <t>-12.7%</t>
        </is>
      </c>
    </row>
    <row r="17">
      <c r="A17" s="16" t="n">
        <v>12</v>
      </c>
      <c r="B17" s="17" t="n">
        <v>426</v>
      </c>
      <c r="C17" s="17" t="inlineStr">
        <is>
          <t>INNOVACAP</t>
        </is>
      </c>
      <c r="D17" s="18" t="inlineStr">
        <is>
          <t>Innova Captab Ltd</t>
        </is>
      </c>
      <c r="E17" s="18" t="inlineStr">
        <is>
          <t>healthcare</t>
        </is>
      </c>
      <c r="F17" s="16" t="n">
        <v>56</v>
      </c>
      <c r="G17" s="19" t="n">
        <v>5723.07</v>
      </c>
      <c r="H17" s="18" t="inlineStr">
        <is>
          <t>Potential Leader</t>
        </is>
      </c>
      <c r="J17" s="18" t="inlineStr">
        <is>
          <t>healthcare</t>
        </is>
      </c>
      <c r="K17" s="16" t="n">
        <v>288</v>
      </c>
      <c r="L17" s="16" t="n">
        <v>336</v>
      </c>
      <c r="M17" s="21" t="inlineStr">
        <is>
          <t>-14.3%</t>
        </is>
      </c>
    </row>
    <row r="18">
      <c r="A18" s="16" t="n">
        <v>13</v>
      </c>
      <c r="B18" s="17" t="n">
        <v>426</v>
      </c>
      <c r="C18" s="17" t="inlineStr">
        <is>
          <t>LAURUSLABS</t>
        </is>
      </c>
      <c r="D18" s="18" t="inlineStr">
        <is>
          <t>Laurus Labs Limited</t>
        </is>
      </c>
      <c r="E18" s="18" t="inlineStr">
        <is>
          <t>healthcare</t>
        </is>
      </c>
      <c r="F18" s="16" t="n">
        <v>56</v>
      </c>
      <c r="G18" s="19" t="n">
        <v>84142.05</v>
      </c>
      <c r="H18" s="18" t="inlineStr">
        <is>
          <t>Potential Leader</t>
        </is>
      </c>
      <c r="J18" s="18" t="inlineStr">
        <is>
          <t>financials</t>
        </is>
      </c>
      <c r="K18" s="16" t="n">
        <v>221</v>
      </c>
      <c r="L18" s="16" t="n">
        <v>258</v>
      </c>
      <c r="M18" s="21" t="inlineStr">
        <is>
          <t>-14.3%</t>
        </is>
      </c>
    </row>
    <row r="19">
      <c r="A19" s="16" t="n">
        <v>14</v>
      </c>
      <c r="B19" s="17" t="n">
        <v>378</v>
      </c>
      <c r="C19" s="17" t="inlineStr">
        <is>
          <t>CAPLIPOINT</t>
        </is>
      </c>
      <c r="D19" s="18" t="inlineStr">
        <is>
          <t>Caplin Point Laboratories Limited</t>
        </is>
      </c>
      <c r="E19" s="18" t="inlineStr">
        <is>
          <t>healthcare</t>
        </is>
      </c>
      <c r="F19" s="16" t="n">
        <v>48</v>
      </c>
      <c r="G19" s="19" t="n">
        <v>19885.42</v>
      </c>
      <c r="H19" s="18" t="inlineStr">
        <is>
          <t>Potential Leader</t>
        </is>
      </c>
      <c r="J19" s="18" t="inlineStr">
        <is>
          <t>transportation</t>
        </is>
      </c>
      <c r="K19" s="16" t="n">
        <v>41</v>
      </c>
      <c r="L19" s="16" t="n">
        <v>48</v>
      </c>
      <c r="M19" s="21" t="inlineStr">
        <is>
          <t>-14.6%</t>
        </is>
      </c>
    </row>
    <row r="20">
      <c r="A20" s="16" t="n">
        <v>15</v>
      </c>
      <c r="B20" s="17" t="n">
        <v>378</v>
      </c>
      <c r="C20" s="17" t="inlineStr">
        <is>
          <t>PAISALO</t>
        </is>
      </c>
      <c r="D20" s="18" t="inlineStr">
        <is>
          <t>Paisalo Digital Ltd</t>
        </is>
      </c>
      <c r="E20" s="18" t="inlineStr">
        <is>
          <t>financials</t>
        </is>
      </c>
      <c r="F20" s="16" t="n">
        <v>48</v>
      </c>
      <c r="G20" s="19" t="n">
        <v>6575.84</v>
      </c>
      <c r="H20" s="18" t="inlineStr">
        <is>
          <t>Potential Leader</t>
        </is>
      </c>
      <c r="J20" s="18" t="inlineStr">
        <is>
          <t>metals &amp; mining</t>
        </is>
      </c>
      <c r="K20" s="16" t="n">
        <v>68</v>
      </c>
      <c r="L20" s="16" t="n">
        <v>80</v>
      </c>
      <c r="M20" s="21" t="inlineStr">
        <is>
          <t>-15.0%</t>
        </is>
      </c>
    </row>
    <row r="21">
      <c r="A21" s="16" t="n">
        <v>16</v>
      </c>
      <c r="B21" s="17" t="n">
        <v>366</v>
      </c>
      <c r="C21" s="17" t="inlineStr">
        <is>
          <t>RPEL</t>
        </is>
      </c>
      <c r="D21" s="18" t="inlineStr">
        <is>
          <t>Raghav Productivity Enhancers Ltd</t>
        </is>
      </c>
      <c r="E21" s="18" t="inlineStr">
        <is>
          <t>building materials</t>
        </is>
      </c>
      <c r="F21" s="16" t="n">
        <v>46</v>
      </c>
      <c r="G21" s="19" t="n">
        <v>6045.17</v>
      </c>
      <c r="H21" s="18" t="inlineStr">
        <is>
          <t>Potential Leader</t>
        </is>
      </c>
    </row>
    <row r="22">
      <c r="A22" s="16" t="n">
        <v>17</v>
      </c>
      <c r="B22" s="17" t="n">
        <v>360</v>
      </c>
      <c r="C22" s="17" t="inlineStr">
        <is>
          <t>YASHO</t>
        </is>
      </c>
      <c r="D22" s="18" t="inlineStr">
        <is>
          <t>Yasho Industries Ltd</t>
        </is>
      </c>
      <c r="E22" s="18" t="inlineStr">
        <is>
          <t>chemicals</t>
        </is>
      </c>
      <c r="F22" s="16" t="n">
        <v>45</v>
      </c>
      <c r="G22" s="19" t="n">
        <v>3583.97</v>
      </c>
      <c r="H22" s="18" t="inlineStr">
        <is>
          <t>Potential Leader</t>
        </is>
      </c>
    </row>
    <row r="23">
      <c r="A23" s="16" t="n">
        <v>18</v>
      </c>
      <c r="B23" s="17" t="n">
        <v>354</v>
      </c>
      <c r="C23" s="17" t="inlineStr">
        <is>
          <t>ASTRAMICRO</t>
        </is>
      </c>
      <c r="D23" s="18" t="inlineStr">
        <is>
          <t>Astra Microwave Products Limited</t>
        </is>
      </c>
      <c r="E23" s="18" t="inlineStr">
        <is>
          <t>aerospace &amp; defence</t>
        </is>
      </c>
      <c r="F23" s="16" t="n">
        <v>44</v>
      </c>
      <c r="G23" s="19" t="n">
        <v>16327.69</v>
      </c>
      <c r="H23" s="18" t="inlineStr">
        <is>
          <t>Potential Leader</t>
        </is>
      </c>
    </row>
    <row r="24">
      <c r="A24" s="16" t="n">
        <v>19</v>
      </c>
      <c r="B24" s="17" t="n">
        <v>354</v>
      </c>
      <c r="C24" s="17" t="inlineStr">
        <is>
          <t>CUPID</t>
        </is>
      </c>
      <c r="D24" s="18" t="inlineStr">
        <is>
          <t>Cupid Limited</t>
        </is>
      </c>
      <c r="E24" s="18" t="inlineStr">
        <is>
          <t>fmcg</t>
        </is>
      </c>
      <c r="F24" s="16" t="n">
        <v>44</v>
      </c>
      <c r="G24" s="19" t="n">
        <v>27811.62</v>
      </c>
      <c r="H24" s="18" t="inlineStr">
        <is>
          <t>Potential Leader</t>
        </is>
      </c>
    </row>
    <row r="25">
      <c r="A25" s="16" t="n">
        <v>20</v>
      </c>
      <c r="B25" s="17" t="n">
        <v>354</v>
      </c>
      <c r="C25" s="17" t="inlineStr">
        <is>
          <t>JAYBARMARU</t>
        </is>
      </c>
      <c r="D25" s="18" t="inlineStr">
        <is>
          <t>Jay Bharat Maruti Limited</t>
        </is>
      </c>
      <c r="E25" s="18" t="inlineStr">
        <is>
          <t>auto</t>
        </is>
      </c>
      <c r="F25" s="16" t="n">
        <v>44</v>
      </c>
      <c r="G25" s="19" t="n">
        <v>2134.15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NELCO</t>
        </is>
      </c>
      <c r="B30" s="18" t="inlineStr">
        <is>
          <t>Nelco Limited</t>
        </is>
      </c>
      <c r="C30" s="18" t="inlineStr">
        <is>
          <t>telecom</t>
        </is>
      </c>
      <c r="D30" s="16" t="n">
        <v>10</v>
      </c>
      <c r="E30" s="16" t="n">
        <v>2</v>
      </c>
      <c r="F30" s="19" t="n">
        <v>2056.85</v>
      </c>
      <c r="J30" s="17" t="inlineStr">
        <is>
          <t>OMAXAUTO</t>
        </is>
      </c>
      <c r="K30" s="18" t="inlineStr">
        <is>
          <t>auto</t>
        </is>
      </c>
      <c r="L30" s="19" t="n">
        <v>303</v>
      </c>
      <c r="M30" s="19" t="n">
        <v>544.03</v>
      </c>
      <c r="N30" s="16" t="n">
        <v>8</v>
      </c>
    </row>
    <row r="31">
      <c r="A31" s="17" t="inlineStr">
        <is>
          <t>ONMOBILE</t>
        </is>
      </c>
      <c r="B31" s="18" t="inlineStr">
        <is>
          <t>Onmobile Global Limited</t>
        </is>
      </c>
      <c r="C31" s="18" t="inlineStr">
        <is>
          <t>telecom-service</t>
        </is>
      </c>
      <c r="D31" s="16" t="n">
        <v>10</v>
      </c>
      <c r="E31" s="16" t="n">
        <v>2</v>
      </c>
      <c r="F31" s="19" t="n">
        <v>756.37</v>
      </c>
      <c r="J31" s="17" t="inlineStr">
        <is>
          <t>SATIN</t>
        </is>
      </c>
      <c r="K31" s="18" t="inlineStr">
        <is>
          <t>financials</t>
        </is>
      </c>
      <c r="L31" s="19" t="n">
        <v>292</v>
      </c>
      <c r="M31" s="19" t="n">
        <v>2951.67</v>
      </c>
      <c r="N31" s="16" t="n">
        <v>27</v>
      </c>
    </row>
    <row r="32">
      <c r="A32" s="17" t="inlineStr">
        <is>
          <t>CEATLTD</t>
        </is>
      </c>
      <c r="B32" s="18" t="inlineStr">
        <is>
          <t>Ceat Limited</t>
        </is>
      </c>
      <c r="C32" s="18" t="inlineStr">
        <is>
          <t>auto</t>
        </is>
      </c>
      <c r="D32" s="16" t="n">
        <v>10</v>
      </c>
      <c r="E32" s="16" t="n">
        <v>0</v>
      </c>
      <c r="F32" s="19" t="n">
        <v>15644.88</v>
      </c>
      <c r="J32" s="17" t="inlineStr">
        <is>
          <t>VENUSREM</t>
        </is>
      </c>
      <c r="K32" s="18" t="inlineStr">
        <is>
          <t>healthcare</t>
        </is>
      </c>
      <c r="L32" s="19" t="n">
        <v>292</v>
      </c>
      <c r="M32" s="19" t="n">
        <v>2413.28</v>
      </c>
      <c r="N32" s="16" t="n">
        <v>26</v>
      </c>
    </row>
    <row r="33">
      <c r="A33" s="17" t="inlineStr">
        <is>
          <t>KABRAEXTRU</t>
        </is>
      </c>
      <c r="B33" s="18" t="inlineStr">
        <is>
          <t>Kabra Extrusion Technik Limited</t>
        </is>
      </c>
      <c r="C33" s="18" t="inlineStr">
        <is>
          <t>industrials</t>
        </is>
      </c>
      <c r="D33" s="16" t="n">
        <v>10</v>
      </c>
      <c r="E33" s="16" t="n">
        <v>1</v>
      </c>
      <c r="F33" s="19" t="n">
        <v>1103.92</v>
      </c>
      <c r="J33" s="17" t="inlineStr">
        <is>
          <t>INDOBORAX</t>
        </is>
      </c>
      <c r="K33" s="18" t="inlineStr">
        <is>
          <t>chemicals</t>
        </is>
      </c>
      <c r="L33" s="19" t="n">
        <v>290</v>
      </c>
      <c r="M33" s="19" t="n">
        <v>1516.73</v>
      </c>
      <c r="N33" s="16" t="n">
        <v>30</v>
      </c>
    </row>
    <row r="34">
      <c r="A34" s="17" t="inlineStr">
        <is>
          <t>QUESS</t>
        </is>
      </c>
      <c r="B34" s="18" t="inlineStr">
        <is>
          <t>Quess Corp Limited</t>
        </is>
      </c>
      <c r="C34" s="18" t="inlineStr">
        <is>
          <t>miscellaneous</t>
        </is>
      </c>
      <c r="D34" s="16" t="n">
        <v>10</v>
      </c>
      <c r="E34" s="16" t="n">
        <v>1</v>
      </c>
      <c r="F34" s="19" t="n">
        <v>4446.34</v>
      </c>
      <c r="J34" s="17" t="inlineStr">
        <is>
          <t>PAISALO</t>
        </is>
      </c>
      <c r="K34" s="18" t="inlineStr">
        <is>
          <t>financials</t>
        </is>
      </c>
      <c r="L34" s="19" t="n">
        <v>287</v>
      </c>
      <c r="M34" s="19" t="n">
        <v>6575.84</v>
      </c>
      <c r="N34" s="16" t="n">
        <v>30</v>
      </c>
    </row>
    <row r="35">
      <c r="A35" s="17" t="inlineStr">
        <is>
          <t>POONAWALLA</t>
        </is>
      </c>
      <c r="B35" s="18" t="inlineStr">
        <is>
          <t>Poonawalla Fincorp Ltd</t>
        </is>
      </c>
      <c r="C35" s="18" t="inlineStr">
        <is>
          <t>financials</t>
        </is>
      </c>
      <c r="D35" s="16" t="n">
        <v>9</v>
      </c>
      <c r="E35" s="16" t="n">
        <v>1</v>
      </c>
      <c r="F35" s="19" t="n">
        <v>42712.99</v>
      </c>
      <c r="J35" s="17" t="inlineStr">
        <is>
          <t>IOLCP</t>
        </is>
      </c>
      <c r="K35" s="18" t="inlineStr">
        <is>
          <t>healthcare</t>
        </is>
      </c>
      <c r="L35" s="19" t="n">
        <v>287</v>
      </c>
      <c r="M35" s="19" t="n">
        <v>4963.26</v>
      </c>
      <c r="N35" s="16" t="n">
        <v>28</v>
      </c>
    </row>
    <row r="36">
      <c r="A36" s="17" t="inlineStr">
        <is>
          <t>GODREJPROP</t>
        </is>
      </c>
      <c r="B36" s="18" t="inlineStr">
        <is>
          <t>Godrej Properties Limited</t>
        </is>
      </c>
      <c r="C36" s="18" t="inlineStr">
        <is>
          <t>realty</t>
        </is>
      </c>
      <c r="D36" s="16" t="n">
        <v>9</v>
      </c>
      <c r="E36" s="16" t="n">
        <v>0</v>
      </c>
      <c r="F36" s="19" t="n">
        <v>65138.88</v>
      </c>
      <c r="J36" s="17" t="inlineStr">
        <is>
          <t>UJJIVANSFB</t>
        </is>
      </c>
      <c r="K36" s="18" t="inlineStr">
        <is>
          <t>bank</t>
        </is>
      </c>
      <c r="L36" s="19" t="n">
        <v>287</v>
      </c>
      <c r="M36" s="19" t="n">
        <v>13007.93</v>
      </c>
      <c r="N36" s="16" t="n">
        <v>17</v>
      </c>
    </row>
    <row r="37">
      <c r="A37" s="17" t="inlineStr">
        <is>
          <t>ZOTA</t>
        </is>
      </c>
      <c r="B37" s="18" t="inlineStr">
        <is>
          <t>Zota Health Care Limited</t>
        </is>
      </c>
      <c r="C37" s="18" t="inlineStr">
        <is>
          <t>Healthcare</t>
        </is>
      </c>
      <c r="D37" s="16" t="n">
        <v>9</v>
      </c>
      <c r="E37" s="16" t="n">
        <v>2</v>
      </c>
      <c r="F37" s="19" t="n">
        <v>4248.39</v>
      </c>
      <c r="J37" s="17" t="inlineStr">
        <is>
          <t>IBULLSLTD</t>
        </is>
      </c>
      <c r="K37" s="18" t="inlineStr">
        <is>
          <t>miscellaneous</t>
        </is>
      </c>
      <c r="L37" s="19" t="n">
        <v>285</v>
      </c>
      <c r="M37" s="19" t="n">
        <v>7228.83</v>
      </c>
      <c r="N37" s="16" t="n">
        <v>30</v>
      </c>
    </row>
    <row r="38">
      <c r="A38" s="17" t="inlineStr">
        <is>
          <t>TTKPRESTIG</t>
        </is>
      </c>
      <c r="B38" s="18" t="inlineStr">
        <is>
          <t>Ttk Prestige Limited</t>
        </is>
      </c>
      <c r="C38" s="18" t="inlineStr">
        <is>
          <t>consumer discretionary</t>
        </is>
      </c>
      <c r="D38" s="16" t="n">
        <v>9</v>
      </c>
      <c r="E38" s="16" t="n">
        <v>0</v>
      </c>
      <c r="F38" s="19" t="n">
        <v>9116.139999999999</v>
      </c>
      <c r="J38" s="17" t="inlineStr">
        <is>
          <t>INDIAGLYCO</t>
        </is>
      </c>
      <c r="K38" s="18" t="inlineStr">
        <is>
          <t>fmcg</t>
        </is>
      </c>
      <c r="L38" s="19" t="n">
        <v>285</v>
      </c>
      <c r="M38" s="19" t="n">
        <v>7293.85</v>
      </c>
      <c r="N38" s="16" t="n">
        <v>10</v>
      </c>
    </row>
    <row r="39">
      <c r="A39" s="17" t="inlineStr">
        <is>
          <t>AEGISVOPAK</t>
        </is>
      </c>
      <c r="B39" s="18" t="inlineStr">
        <is>
          <t>Aegis Vopak Terminals Ltd</t>
        </is>
      </c>
      <c r="C39" s="18" t="inlineStr">
        <is>
          <t>transportation</t>
        </is>
      </c>
      <c r="D39" s="16" t="n">
        <v>8</v>
      </c>
      <c r="E39" s="16" t="n">
        <v>2</v>
      </c>
      <c r="F39" s="19" t="n">
        <v>33605.38</v>
      </c>
      <c r="J39" s="17" t="inlineStr">
        <is>
          <t>NORTHARC</t>
        </is>
      </c>
      <c r="K39" s="18" t="inlineStr">
        <is>
          <t>financials</t>
        </is>
      </c>
      <c r="L39" s="19" t="n">
        <v>285</v>
      </c>
      <c r="M39" s="19" t="n">
        <v>5250.28</v>
      </c>
      <c r="N39" s="16" t="n">
        <v>20</v>
      </c>
    </row>
    <row r="40">
      <c r="A40" s="17" t="inlineStr">
        <is>
          <t>POLYPLEX</t>
        </is>
      </c>
      <c r="B40" s="18" t="inlineStr">
        <is>
          <t>Polyplex Corporation Limited</t>
        </is>
      </c>
      <c r="C40" s="18" t="inlineStr">
        <is>
          <t>industrials</t>
        </is>
      </c>
      <c r="D40" s="16" t="n">
        <v>8</v>
      </c>
      <c r="E40" s="16" t="n">
        <v>1</v>
      </c>
      <c r="F40" s="19" t="n">
        <v>3430.41</v>
      </c>
      <c r="J40" s="17" t="inlineStr">
        <is>
          <t>PGIL</t>
        </is>
      </c>
      <c r="K40" s="18" t="inlineStr">
        <is>
          <t>consumer discretionary</t>
        </is>
      </c>
      <c r="L40" s="19" t="n">
        <v>283</v>
      </c>
      <c r="M40" s="19" t="n">
        <v>9457.16</v>
      </c>
      <c r="N40" s="16" t="n">
        <v>25</v>
      </c>
    </row>
    <row r="41">
      <c r="A41" s="17" t="inlineStr">
        <is>
          <t>SHREECEM</t>
        </is>
      </c>
      <c r="B41" s="18" t="inlineStr">
        <is>
          <t>Shree Cements Limited</t>
        </is>
      </c>
      <c r="C41" s="18" t="inlineStr">
        <is>
          <t>building materials</t>
        </is>
      </c>
      <c r="D41" s="16" t="n">
        <v>8</v>
      </c>
      <c r="E41" s="16" t="n">
        <v>0</v>
      </c>
      <c r="F41" s="19" t="n">
        <v>95325.34</v>
      </c>
      <c r="J41" s="17" t="inlineStr">
        <is>
          <t>SKMEGGPROD</t>
        </is>
      </c>
      <c r="K41" s="18" t="inlineStr">
        <is>
          <t>fmcg</t>
        </is>
      </c>
      <c r="L41" s="19" t="n">
        <v>282</v>
      </c>
      <c r="M41" s="19" t="n">
        <v>1900.5</v>
      </c>
      <c r="N41" s="16" t="n">
        <v>30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246.72</v>
      </c>
      <c r="D47" s="28" t="n">
        <v>292</v>
      </c>
      <c r="E47" s="17" t="inlineStr">
        <is>
          <t>MRUTR</t>
        </is>
      </c>
      <c r="F47" s="18" t="inlineStr">
        <is>
          <t>MRUTR</t>
        </is>
      </c>
      <c r="G47" s="18" t="inlineStr">
        <is>
          <t>Consumer Defensive</t>
        </is>
      </c>
      <c r="H47" s="19" t="n">
        <v>4879.43</v>
      </c>
    </row>
    <row r="48">
      <c r="A48" s="16" t="n">
        <v>2</v>
      </c>
      <c r="B48" s="27" t="n">
        <v>99</v>
      </c>
      <c r="C48" s="28" t="n">
        <v>90.84</v>
      </c>
      <c r="D48" s="28" t="n">
        <v>250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10273.89</v>
      </c>
    </row>
    <row r="49">
      <c r="A49" s="16" t="n">
        <v>3</v>
      </c>
      <c r="B49" s="27" t="n">
        <v>99</v>
      </c>
      <c r="C49" s="28" t="n">
        <v>77.28</v>
      </c>
      <c r="D49" s="28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27811.62</v>
      </c>
    </row>
    <row r="50">
      <c r="A50" s="16" t="n">
        <v>4</v>
      </c>
      <c r="B50" s="27" t="n">
        <v>98</v>
      </c>
      <c r="C50" s="28" t="n">
        <v>68.04000000000001</v>
      </c>
      <c r="D50" s="28" t="n">
        <v>248</v>
      </c>
      <c r="E50" s="17" t="inlineStr">
        <is>
          <t>SWANDEF</t>
        </is>
      </c>
      <c r="F50" s="18" t="inlineStr">
        <is>
          <t>Swan Defence and Heavy Industries Ltd</t>
        </is>
      </c>
      <c r="G50" s="18" t="inlineStr">
        <is>
          <t>transportation</t>
        </is>
      </c>
      <c r="H50" s="19" t="n">
        <v>11877.72</v>
      </c>
    </row>
    <row r="51">
      <c r="A51" s="16" t="n">
        <v>5</v>
      </c>
      <c r="B51" s="27" t="n">
        <v>98</v>
      </c>
      <c r="C51" s="28" t="n">
        <v>56</v>
      </c>
      <c r="D51" s="28" t="n">
        <v>263</v>
      </c>
      <c r="E51" s="17" t="inlineStr">
        <is>
          <t>UFBL</t>
        </is>
      </c>
      <c r="F51" s="18" t="inlineStr">
        <is>
          <t>United Foodbrands Ltd</t>
        </is>
      </c>
      <c r="G51" s="18" t="inlineStr">
        <is>
          <t>consumer discretionary</t>
        </is>
      </c>
      <c r="H51" s="19" t="n">
        <v>2897.86</v>
      </c>
    </row>
    <row r="52">
      <c r="A52" s="16" t="n">
        <v>6</v>
      </c>
      <c r="B52" s="27" t="n">
        <v>98</v>
      </c>
      <c r="C52" s="28" t="n">
        <v>54.98</v>
      </c>
      <c r="D52" s="28" t="n">
        <v>287</v>
      </c>
      <c r="E52" s="17" t="inlineStr">
        <is>
          <t>MODINSU</t>
        </is>
      </c>
      <c r="F52" s="18" t="inlineStr">
        <is>
          <t>Modern Insulators Limited</t>
        </is>
      </c>
      <c r="G52" s="18" t="inlineStr">
        <is>
          <t>Technology</t>
        </is>
      </c>
      <c r="H52" s="19" t="n">
        <v>2498.63</v>
      </c>
    </row>
    <row r="53">
      <c r="A53" s="16" t="n">
        <v>7</v>
      </c>
      <c r="B53" s="27" t="n">
        <v>98</v>
      </c>
      <c r="C53" s="28" t="n">
        <v>54.62</v>
      </c>
      <c r="D53" s="28" t="n">
        <v>270</v>
      </c>
      <c r="E53" s="17" t="inlineStr">
        <is>
          <t>CEMPRO</t>
        </is>
      </c>
      <c r="F53" s="18" t="inlineStr">
        <is>
          <t>Cemindia Projects Ltd</t>
        </is>
      </c>
      <c r="G53" s="18" t="inlineStr">
        <is>
          <t>realty</t>
        </is>
      </c>
      <c r="H53" s="19" t="n">
        <v>27206</v>
      </c>
    </row>
    <row r="54">
      <c r="A54" s="16" t="n">
        <v>8</v>
      </c>
      <c r="B54" s="27" t="n">
        <v>97</v>
      </c>
      <c r="C54" s="28" t="n">
        <v>53.77</v>
      </c>
      <c r="D54" s="28" t="n">
        <v>255</v>
      </c>
      <c r="E54" s="17" t="inlineStr">
        <is>
          <t>HFCL</t>
        </is>
      </c>
      <c r="F54" s="18" t="inlineStr">
        <is>
          <t>HFCL Ltd</t>
        </is>
      </c>
      <c r="G54" s="18" t="inlineStr">
        <is>
          <t>telecom</t>
        </is>
      </c>
      <c r="H54" s="19" t="n">
        <v>32851.32</v>
      </c>
    </row>
    <row r="55">
      <c r="A55" s="16" t="n">
        <v>9</v>
      </c>
      <c r="B55" s="27" t="n">
        <v>97</v>
      </c>
      <c r="C55" s="28" t="n">
        <v>52.57</v>
      </c>
      <c r="D55" s="28" t="n">
        <v>277</v>
      </c>
      <c r="E55" s="17" t="inlineStr">
        <is>
          <t>BLISSGVS</t>
        </is>
      </c>
      <c r="F55" s="18" t="inlineStr">
        <is>
          <t>Bliss Gvs Pharma Limited</t>
        </is>
      </c>
      <c r="G55" s="18" t="inlineStr">
        <is>
          <t>healthcare</t>
        </is>
      </c>
      <c r="H55" s="19" t="n">
        <v>5544.4</v>
      </c>
    </row>
    <row r="56">
      <c r="A56" s="16" t="n">
        <v>10</v>
      </c>
      <c r="B56" s="27" t="n">
        <v>97</v>
      </c>
      <c r="C56" s="28" t="n">
        <v>50.29</v>
      </c>
      <c r="D56" s="28" t="n">
        <v>292</v>
      </c>
      <c r="E56" s="17" t="inlineStr">
        <is>
          <t>VENUSREM</t>
        </is>
      </c>
      <c r="F56" s="18" t="inlineStr">
        <is>
          <t>Venus Remedies Limited</t>
        </is>
      </c>
      <c r="G56" s="18" t="inlineStr">
        <is>
          <t>healthcare</t>
        </is>
      </c>
      <c r="H56" s="19" t="n">
        <v>2413.28</v>
      </c>
    </row>
    <row r="57">
      <c r="A57" s="16" t="n">
        <v>11</v>
      </c>
      <c r="B57" s="27" t="n">
        <v>97</v>
      </c>
      <c r="C57" s="28" t="n">
        <v>48.35</v>
      </c>
      <c r="D57" s="28" t="n">
        <v>303</v>
      </c>
      <c r="E57" s="17" t="inlineStr">
        <is>
          <t>OMAXAUTO</t>
        </is>
      </c>
      <c r="F57" s="18" t="inlineStr">
        <is>
          <t>Omax Autos Limited</t>
        </is>
      </c>
      <c r="G57" s="18" t="inlineStr">
        <is>
          <t>auto</t>
        </is>
      </c>
      <c r="H57" s="19" t="n">
        <v>544.03</v>
      </c>
    </row>
    <row r="58">
      <c r="A58" s="16" t="n">
        <v>12</v>
      </c>
      <c r="B58" s="27" t="n">
        <v>96</v>
      </c>
      <c r="C58" s="28" t="n">
        <v>46.63</v>
      </c>
      <c r="D58" s="28" t="n">
        <v>260</v>
      </c>
      <c r="E58" s="17" t="inlineStr">
        <is>
          <t>JAYBARMARU</t>
        </is>
      </c>
      <c r="F58" s="18" t="inlineStr">
        <is>
          <t>Jay Bharat Maruti Limited</t>
        </is>
      </c>
      <c r="G58" s="18" t="inlineStr">
        <is>
          <t>auto</t>
        </is>
      </c>
      <c r="H58" s="19" t="n">
        <v>2134.15</v>
      </c>
    </row>
    <row r="59">
      <c r="A59" s="16" t="n">
        <v>13</v>
      </c>
      <c r="B59" s="27" t="n">
        <v>96</v>
      </c>
      <c r="C59" s="28" t="n">
        <v>46.13</v>
      </c>
      <c r="D59" s="28" t="n">
        <v>265</v>
      </c>
      <c r="E59" s="17" t="inlineStr">
        <is>
          <t>NITTAGELA</t>
        </is>
      </c>
      <c r="F59" s="18" t="inlineStr">
        <is>
          <t>Nitta Gelatin India Limited</t>
        </is>
      </c>
      <c r="G59" s="18" t="inlineStr">
        <is>
          <t>Basic Materials</t>
        </is>
      </c>
      <c r="H59" s="19" t="n">
        <v>1763.49</v>
      </c>
    </row>
    <row r="60">
      <c r="A60" s="16" t="n">
        <v>14</v>
      </c>
      <c r="B60" s="27" t="n">
        <v>96</v>
      </c>
      <c r="C60" s="28" t="n">
        <v>43.57</v>
      </c>
      <c r="D60" s="28" t="n">
        <v>193</v>
      </c>
      <c r="E60" s="17" t="inlineStr">
        <is>
          <t>DEEDEV</t>
        </is>
      </c>
      <c r="F60" s="18" t="inlineStr">
        <is>
          <t>DEE Development Engineers Ltd</t>
        </is>
      </c>
      <c r="G60" s="18" t="inlineStr">
        <is>
          <t>metals &amp; mining</t>
        </is>
      </c>
      <c r="H60" s="19" t="n">
        <v>4659</v>
      </c>
    </row>
    <row r="61">
      <c r="A61" s="16" t="n">
        <v>15</v>
      </c>
      <c r="B61" s="27" t="n">
        <v>96</v>
      </c>
      <c r="C61" s="28" t="n">
        <v>43.16</v>
      </c>
      <c r="D61" s="28" t="n">
        <v>282</v>
      </c>
      <c r="E61" s="17" t="inlineStr">
        <is>
          <t>SKMEGGPROD</t>
        </is>
      </c>
      <c r="F61" s="18" t="inlineStr">
        <is>
          <t>Skm Egg Products Export (india) Limited</t>
        </is>
      </c>
      <c r="G61" s="18" t="inlineStr">
        <is>
          <t>fmcg</t>
        </is>
      </c>
      <c r="H61" s="19" t="n">
        <v>1900.5</v>
      </c>
    </row>
    <row r="62">
      <c r="A62" s="16" t="n">
        <v>16</v>
      </c>
      <c r="B62" s="27" t="n">
        <v>95</v>
      </c>
      <c r="C62" s="28" t="n">
        <v>42.99</v>
      </c>
      <c r="D62" s="28" t="n">
        <v>275</v>
      </c>
      <c r="E62" s="17" t="inlineStr">
        <is>
          <t>THANGAMAYL</t>
        </is>
      </c>
      <c r="F62" s="18" t="inlineStr">
        <is>
          <t>Thangamayil Jewellery Limited</t>
        </is>
      </c>
      <c r="G62" s="18" t="inlineStr">
        <is>
          <t>consumer discretionary</t>
        </is>
      </c>
      <c r="H62" s="19" t="n">
        <v>19373.42</v>
      </c>
    </row>
    <row r="63">
      <c r="A63" s="16" t="n">
        <v>17</v>
      </c>
      <c r="B63" s="27" t="n">
        <v>95</v>
      </c>
      <c r="C63" s="28" t="n">
        <v>42.47</v>
      </c>
      <c r="D63" s="28" t="n">
        <v>285</v>
      </c>
      <c r="E63" s="17" t="inlineStr">
        <is>
          <t>ATHERENERG</t>
        </is>
      </c>
      <c r="F63" s="18" t="inlineStr">
        <is>
          <t>Ather Energy Ltd</t>
        </is>
      </c>
      <c r="G63" s="18" t="inlineStr">
        <is>
          <t>auto</t>
        </is>
      </c>
      <c r="H63" s="19" t="n">
        <v>45384.51</v>
      </c>
    </row>
    <row r="64">
      <c r="A64" s="16" t="n">
        <v>18</v>
      </c>
      <c r="B64" s="27" t="n">
        <v>95</v>
      </c>
      <c r="C64" s="28" t="n">
        <v>41.32</v>
      </c>
      <c r="D64" s="28" t="n">
        <v>273</v>
      </c>
      <c r="E64" s="17" t="inlineStr">
        <is>
          <t>HITECHCORP</t>
        </is>
      </c>
      <c r="F64" s="18" t="inlineStr">
        <is>
          <t>Hitech Corporation</t>
        </is>
      </c>
      <c r="G64" s="18" t="inlineStr">
        <is>
          <t>industrials</t>
        </is>
      </c>
      <c r="H64" s="19" t="n">
        <v>560.1900000000001</v>
      </c>
    </row>
    <row r="65">
      <c r="A65" s="16" t="n">
        <v>19</v>
      </c>
      <c r="B65" s="27" t="n">
        <v>95</v>
      </c>
      <c r="C65" s="28" t="n">
        <v>40.05</v>
      </c>
      <c r="D65" s="28" t="n">
        <v>247</v>
      </c>
      <c r="E65" s="17" t="inlineStr">
        <is>
          <t>FREDUN</t>
        </is>
      </c>
      <c r="F65" s="18" t="inlineStr">
        <is>
          <t>Fredun Pharmaceuticals Limited</t>
        </is>
      </c>
      <c r="G65" s="18" t="inlineStr">
        <is>
          <t>Healthcare</t>
        </is>
      </c>
      <c r="H65" s="19" t="n">
        <v>1587.65</v>
      </c>
    </row>
    <row r="66">
      <c r="A66" s="16" t="n">
        <v>20</v>
      </c>
      <c r="B66" s="27" t="n">
        <v>95</v>
      </c>
      <c r="C66" s="28" t="n">
        <v>39.87</v>
      </c>
      <c r="D66" s="28" t="n">
        <v>295</v>
      </c>
      <c r="E66" s="17" t="inlineStr">
        <is>
          <t>TIMEX</t>
        </is>
      </c>
      <c r="F66" s="18" t="inlineStr">
        <is>
          <t>Timex Group India Limited</t>
        </is>
      </c>
      <c r="G66" s="18" t="inlineStr">
        <is>
          <t>Consumer Cyclical</t>
        </is>
      </c>
      <c r="H66" s="19" t="n">
        <v>5633.01</v>
      </c>
    </row>
    <row r="67">
      <c r="A67" s="16" t="n">
        <v>21</v>
      </c>
      <c r="B67" s="29" t="n">
        <v>94</v>
      </c>
      <c r="C67" s="28" t="n">
        <v>38.66</v>
      </c>
      <c r="D67" s="28" t="n">
        <v>265</v>
      </c>
      <c r="E67" s="17" t="inlineStr">
        <is>
          <t>RAMCOSYS</t>
        </is>
      </c>
      <c r="F67" s="18" t="inlineStr">
        <is>
          <t>Ramco Systems Limited</t>
        </is>
      </c>
      <c r="G67" s="18" t="inlineStr">
        <is>
          <t>i.t</t>
        </is>
      </c>
      <c r="H67" s="19" t="n">
        <v>3315.26</v>
      </c>
    </row>
    <row r="68">
      <c r="A68" s="16" t="n">
        <v>22</v>
      </c>
      <c r="B68" s="29" t="n">
        <v>94</v>
      </c>
      <c r="C68" s="28" t="n">
        <v>37.59</v>
      </c>
      <c r="D68" s="28" t="n">
        <v>287</v>
      </c>
      <c r="E68" s="17" t="inlineStr">
        <is>
          <t>IOLCP</t>
        </is>
      </c>
      <c r="F68" s="18" t="inlineStr">
        <is>
          <t>Iol Chemicals And Pharmaceuticals Limited</t>
        </is>
      </c>
      <c r="G68" s="18" t="inlineStr">
        <is>
          <t>healthcare</t>
        </is>
      </c>
      <c r="H68" s="19" t="n">
        <v>4963.26</v>
      </c>
    </row>
    <row r="69">
      <c r="A69" s="16" t="n">
        <v>23</v>
      </c>
      <c r="B69" s="29" t="n">
        <v>94</v>
      </c>
      <c r="C69" s="28" t="n">
        <v>37.34</v>
      </c>
      <c r="D69" s="28" t="n">
        <v>290</v>
      </c>
      <c r="E69" s="17" t="inlineStr">
        <is>
          <t>INDOBORAX</t>
        </is>
      </c>
      <c r="F69" s="18" t="inlineStr">
        <is>
          <t>Indo Borax &amp; Chemicals Ltd</t>
        </is>
      </c>
      <c r="G69" s="18" t="inlineStr">
        <is>
          <t>chemicals</t>
        </is>
      </c>
      <c r="H69" s="19" t="n">
        <v>1516.73</v>
      </c>
    </row>
    <row r="70">
      <c r="A70" s="16" t="n">
        <v>24</v>
      </c>
      <c r="B70" s="29" t="n">
        <v>94</v>
      </c>
      <c r="C70" s="28" t="n">
        <v>36.62</v>
      </c>
      <c r="D70" s="28" t="n">
        <v>253</v>
      </c>
      <c r="E70" s="17" t="inlineStr">
        <is>
          <t>YASHO</t>
        </is>
      </c>
      <c r="F70" s="18" t="inlineStr">
        <is>
          <t>Yasho Industries Ltd</t>
        </is>
      </c>
      <c r="G70" s="18" t="inlineStr">
        <is>
          <t>chemicals</t>
        </is>
      </c>
      <c r="H70" s="19" t="n">
        <v>3583.97</v>
      </c>
    </row>
    <row r="71">
      <c r="A71" s="16" t="n">
        <v>25</v>
      </c>
      <c r="B71" s="29" t="n">
        <v>93</v>
      </c>
      <c r="C71" s="28" t="n">
        <v>36.33</v>
      </c>
      <c r="D71" s="28" t="n">
        <v>265</v>
      </c>
      <c r="E71" s="17" t="inlineStr">
        <is>
          <t>NINSYS</t>
        </is>
      </c>
      <c r="F71" s="18" t="inlineStr">
        <is>
          <t>NINtec Systems Ltd</t>
        </is>
      </c>
      <c r="G71" s="18" t="inlineStr">
        <is>
          <t>i.t</t>
        </is>
      </c>
      <c r="H71" s="19" t="n">
        <v>1615.65</v>
      </c>
    </row>
    <row r="72">
      <c r="A72" s="16" t="n">
        <v>26</v>
      </c>
      <c r="B72" s="29" t="n">
        <v>93</v>
      </c>
      <c r="C72" s="28" t="n">
        <v>36.25</v>
      </c>
      <c r="D72" s="28" t="n">
        <v>280</v>
      </c>
      <c r="E72" s="17" t="inlineStr">
        <is>
          <t>RPTECH</t>
        </is>
      </c>
      <c r="F72" s="18" t="inlineStr">
        <is>
          <t>Rashi Peripherals Ltd</t>
        </is>
      </c>
      <c r="G72" s="18" t="inlineStr">
        <is>
          <t>services</t>
        </is>
      </c>
      <c r="H72" s="19" t="n">
        <v>5129.3</v>
      </c>
    </row>
    <row r="73">
      <c r="A73" s="16" t="n">
        <v>27</v>
      </c>
      <c r="B73" s="29" t="n">
        <v>93</v>
      </c>
      <c r="C73" s="28" t="n">
        <v>35.96</v>
      </c>
      <c r="D73" s="28" t="n">
        <v>250</v>
      </c>
      <c r="E73" s="17" t="inlineStr">
        <is>
          <t>KERNEX</t>
        </is>
      </c>
      <c r="F73" s="18" t="inlineStr">
        <is>
          <t>Kernex Microsystems (india) Limited</t>
        </is>
      </c>
      <c r="G73" s="18" t="inlineStr">
        <is>
          <t>consumer discretionary</t>
        </is>
      </c>
      <c r="H73" s="19" t="n">
        <v>3752.65</v>
      </c>
    </row>
    <row r="74">
      <c r="A74" s="16" t="n">
        <v>28</v>
      </c>
      <c r="B74" s="29" t="n">
        <v>93</v>
      </c>
      <c r="C74" s="28" t="n">
        <v>35.95</v>
      </c>
      <c r="D74" s="28" t="n">
        <v>260</v>
      </c>
      <c r="E74" s="17" t="inlineStr">
        <is>
          <t>INDOTECH</t>
        </is>
      </c>
      <c r="F74" s="18" t="inlineStr">
        <is>
          <t>Indo Tech Transformers Limited</t>
        </is>
      </c>
      <c r="G74" s="18" t="inlineStr">
        <is>
          <t>industrials</t>
        </is>
      </c>
      <c r="H74" s="19" t="n">
        <v>3606.98</v>
      </c>
    </row>
    <row r="75">
      <c r="A75" s="16" t="n">
        <v>29</v>
      </c>
      <c r="B75" s="29" t="n">
        <v>92</v>
      </c>
      <c r="C75" s="28" t="n">
        <v>35.26</v>
      </c>
      <c r="D75" s="28" t="n">
        <v>233</v>
      </c>
      <c r="E75" s="17" t="inlineStr">
        <is>
          <t>SETL</t>
        </is>
      </c>
      <c r="F75" s="18" t="inlineStr">
        <is>
          <t>Standard Enginnering Technology Ltd</t>
        </is>
      </c>
      <c r="G75" s="18" t="inlineStr">
        <is>
          <t>industrials</t>
        </is>
      </c>
      <c r="H75" s="19" t="n">
        <v>5536.89</v>
      </c>
    </row>
    <row r="76">
      <c r="A76" s="16" t="n">
        <v>30</v>
      </c>
      <c r="B76" s="29" t="n">
        <v>92</v>
      </c>
      <c r="C76" s="28" t="n">
        <v>34.79</v>
      </c>
      <c r="D76" s="28" t="n">
        <v>285</v>
      </c>
      <c r="E76" s="17" t="inlineStr">
        <is>
          <t>IBULLSLTD</t>
        </is>
      </c>
      <c r="F76" s="18" t="inlineStr">
        <is>
          <t>Indiabulls Limited</t>
        </is>
      </c>
      <c r="G76" s="18" t="inlineStr">
        <is>
          <t>miscellaneous</t>
        </is>
      </c>
      <c r="H76" s="19" t="n">
        <v>7228.83</v>
      </c>
    </row>
    <row r="77">
      <c r="A77" s="16" t="n">
        <v>31</v>
      </c>
      <c r="B77" s="29" t="n">
        <v>92</v>
      </c>
      <c r="C77" s="28" t="n">
        <v>34.43</v>
      </c>
      <c r="D77" s="28" t="n">
        <v>262</v>
      </c>
      <c r="E77" s="17" t="inlineStr">
        <is>
          <t>ACUTAAS</t>
        </is>
      </c>
      <c r="F77" s="18" t="inlineStr">
        <is>
          <t>Acutaas Chemicals Ltd</t>
        </is>
      </c>
      <c r="G77" s="18" t="inlineStr">
        <is>
          <t>healthcare</t>
        </is>
      </c>
      <c r="H77" s="19" t="n">
        <v>28615.59</v>
      </c>
    </row>
    <row r="78">
      <c r="A78" s="16" t="n">
        <v>32</v>
      </c>
      <c r="B78" s="29" t="n">
        <v>92</v>
      </c>
      <c r="C78" s="28" t="n">
        <v>34.41</v>
      </c>
      <c r="D78" s="28" t="n">
        <v>287</v>
      </c>
      <c r="E78" s="17" t="inlineStr">
        <is>
          <t>PAISALO</t>
        </is>
      </c>
      <c r="F78" s="18" t="inlineStr">
        <is>
          <t>Paisalo Digital Ltd</t>
        </is>
      </c>
      <c r="G78" s="18" t="inlineStr">
        <is>
          <t>financials</t>
        </is>
      </c>
      <c r="H78" s="19" t="n">
        <v>6575.84</v>
      </c>
    </row>
    <row r="79">
      <c r="A79" s="16" t="n">
        <v>33</v>
      </c>
      <c r="B79" s="29" t="n">
        <v>92</v>
      </c>
      <c r="C79" s="28" t="n">
        <v>34.35</v>
      </c>
      <c r="D79" s="28" t="n">
        <v>225</v>
      </c>
      <c r="E79" s="17" t="inlineStr">
        <is>
          <t>INDSWFTLAB</t>
        </is>
      </c>
      <c r="F79" s="18" t="inlineStr">
        <is>
          <t>Ind-swift Laboratories Limited</t>
        </is>
      </c>
      <c r="G79" s="18" t="inlineStr">
        <is>
          <t>healthcare</t>
        </is>
      </c>
      <c r="H79" s="19" t="n">
        <v>2064.11</v>
      </c>
    </row>
    <row r="80">
      <c r="A80" s="16" t="n">
        <v>34</v>
      </c>
      <c r="B80" s="29" t="n">
        <v>91</v>
      </c>
      <c r="C80" s="28" t="n">
        <v>33.7</v>
      </c>
      <c r="D80" s="28" t="n">
        <v>178</v>
      </c>
      <c r="E80" s="17" t="inlineStr">
        <is>
          <t>BALAMINES</t>
        </is>
      </c>
      <c r="F80" s="18" t="inlineStr">
        <is>
          <t>Balaji Amines Limited</t>
        </is>
      </c>
      <c r="G80" s="18" t="inlineStr">
        <is>
          <t>chemicals</t>
        </is>
      </c>
      <c r="H80" s="19" t="n">
        <v>7584.75</v>
      </c>
    </row>
    <row r="81">
      <c r="A81" s="16" t="n">
        <v>35</v>
      </c>
      <c r="B81" s="29" t="n">
        <v>91</v>
      </c>
      <c r="C81" s="28" t="n">
        <v>33.64</v>
      </c>
      <c r="D81" s="28" t="n">
        <v>273</v>
      </c>
      <c r="E81" s="17" t="inlineStr">
        <is>
          <t>GRWRHITECH</t>
        </is>
      </c>
      <c r="F81" s="18" t="inlineStr">
        <is>
          <t>Garware Hi Tech Films Ltd</t>
        </is>
      </c>
      <c r="G81" s="18" t="inlineStr">
        <is>
          <t>industrials</t>
        </is>
      </c>
      <c r="H81" s="19" t="n">
        <v>16357.93</v>
      </c>
    </row>
    <row r="82">
      <c r="A82" s="16" t="n">
        <v>36</v>
      </c>
      <c r="B82" s="29" t="n">
        <v>91</v>
      </c>
      <c r="C82" s="28" t="n">
        <v>33.41</v>
      </c>
      <c r="D82" s="28" t="n">
        <v>238</v>
      </c>
      <c r="E82" s="17" t="inlineStr">
        <is>
          <t>IDEAFORGE</t>
        </is>
      </c>
      <c r="F82" s="18" t="inlineStr">
        <is>
          <t>Ideaforge Technology Ltd</t>
        </is>
      </c>
      <c r="G82" s="18" t="inlineStr">
        <is>
          <t>aerospace &amp; defence</t>
        </is>
      </c>
      <c r="H82" s="19" t="n">
        <v>3938.21</v>
      </c>
    </row>
    <row r="83">
      <c r="A83" s="16" t="n">
        <v>37</v>
      </c>
      <c r="B83" s="29" t="n">
        <v>91</v>
      </c>
      <c r="C83" s="28" t="n">
        <v>33.19</v>
      </c>
      <c r="D83" s="28" t="n">
        <v>282</v>
      </c>
      <c r="E83" s="17" t="inlineStr">
        <is>
          <t>SAKAR</t>
        </is>
      </c>
      <c r="F83" s="18" t="inlineStr">
        <is>
          <t>Sakar Healthcare Ltd</t>
        </is>
      </c>
      <c r="G83" s="18" t="inlineStr">
        <is>
          <t>healthcare</t>
        </is>
      </c>
      <c r="H83" s="19" t="n">
        <v>1921.28</v>
      </c>
    </row>
    <row r="84">
      <c r="A84" s="16" t="n">
        <v>38</v>
      </c>
      <c r="B84" s="29" t="n">
        <v>90</v>
      </c>
      <c r="C84" s="28" t="n">
        <v>32.93</v>
      </c>
      <c r="D84" s="28" t="n">
        <v>263</v>
      </c>
      <c r="E84" s="17" t="inlineStr">
        <is>
          <t>NRL</t>
        </is>
      </c>
      <c r="F84" s="18" t="inlineStr">
        <is>
          <t>Nupur Recyclers Ltd</t>
        </is>
      </c>
      <c r="G84" s="18" t="inlineStr">
        <is>
          <t>services</t>
        </is>
      </c>
      <c r="H84" s="19" t="n">
        <v>727.3</v>
      </c>
    </row>
    <row r="85">
      <c r="A85" s="16" t="n">
        <v>39</v>
      </c>
      <c r="B85" s="29" t="n">
        <v>90</v>
      </c>
      <c r="C85" s="28" t="n">
        <v>32.6</v>
      </c>
      <c r="D85" s="28" t="n">
        <v>260</v>
      </c>
      <c r="E85" s="17" t="inlineStr">
        <is>
          <t>SENORES</t>
        </is>
      </c>
      <c r="F85" s="18" t="inlineStr">
        <is>
          <t>Senores Pharmaceuticals Ltd</t>
        </is>
      </c>
      <c r="G85" s="18" t="inlineStr">
        <is>
          <t>healthcare</t>
        </is>
      </c>
      <c r="H85" s="19" t="n">
        <v>6610.99</v>
      </c>
    </row>
    <row r="86">
      <c r="A86" s="16" t="n">
        <v>40</v>
      </c>
      <c r="B86" s="29" t="n">
        <v>90</v>
      </c>
      <c r="C86" s="28" t="n">
        <v>32.47</v>
      </c>
      <c r="D86" s="28" t="n">
        <v>272</v>
      </c>
      <c r="E86" s="17" t="inlineStr">
        <is>
          <t>KPL</t>
        </is>
      </c>
      <c r="F86" s="18" t="inlineStr">
        <is>
          <t>Kwality Pharmaceuticals Limited</t>
        </is>
      </c>
      <c r="G86" s="18" t="inlineStr">
        <is>
          <t>Healthcare</t>
        </is>
      </c>
      <c r="H86" s="19" t="n">
        <v>2727.38</v>
      </c>
    </row>
    <row r="87">
      <c r="A87" s="16" t="n">
        <v>41</v>
      </c>
      <c r="B87" s="29" t="n">
        <v>90</v>
      </c>
      <c r="C87" s="28" t="n">
        <v>32.2</v>
      </c>
      <c r="D87" s="28" t="n">
        <v>265</v>
      </c>
      <c r="E87" s="17" t="inlineStr">
        <is>
          <t>RPEL</t>
        </is>
      </c>
      <c r="F87" s="18" t="inlineStr">
        <is>
          <t>Raghav Productivity Enhancers Ltd</t>
        </is>
      </c>
      <c r="G87" s="18" t="inlineStr">
        <is>
          <t>building materials</t>
        </is>
      </c>
      <c r="H87" s="19" t="n">
        <v>6045.17</v>
      </c>
    </row>
    <row r="88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JUSTDIAL</t>
        </is>
      </c>
      <c r="B2" s="31" t="inlineStr">
        <is>
          <t>Just Dial Limited</t>
        </is>
      </c>
      <c r="C2" s="31" t="inlineStr">
        <is>
          <t>i.t</t>
        </is>
      </c>
      <c r="D2" s="31" t="inlineStr">
        <is>
          <t>miscellaneous</t>
        </is>
      </c>
      <c r="E2" s="31" t="inlineStr">
        <is>
          <t>midcap</t>
        </is>
      </c>
      <c r="F2" s="31" t="n">
        <v>5756.25</v>
      </c>
      <c r="G2" s="31" t="n">
        <v>790.15</v>
      </c>
      <c r="H2" s="31" t="n">
        <v>16.74</v>
      </c>
      <c r="I2" s="31" t="n">
        <v>42569366</v>
      </c>
      <c r="J2" s="31" t="inlineStr">
        <is>
          <t>535648</t>
        </is>
      </c>
    </row>
    <row r="3">
      <c r="A3" s="31" t="inlineStr">
        <is>
          <t>TBZ</t>
        </is>
      </c>
      <c r="B3" s="31" t="inlineStr">
        <is>
          <t>Tribhovandas Bhimji Zaveri Limited</t>
        </is>
      </c>
      <c r="C3" s="31" t="inlineStr">
        <is>
          <t>consumer discretionary</t>
        </is>
      </c>
      <c r="D3" s="31" t="inlineStr">
        <is>
          <t>diamond cutting / jewellery</t>
        </is>
      </c>
      <c r="E3" s="31" t="inlineStr">
        <is>
          <t>smallcap</t>
        </is>
      </c>
      <c r="F3" s="31" t="n">
        <v>1502.17</v>
      </c>
      <c r="G3" s="31" t="n">
        <v>259.97</v>
      </c>
      <c r="H3" s="31" t="n">
        <v>15.49</v>
      </c>
      <c r="I3" s="31" t="n">
        <v>17278323</v>
      </c>
      <c r="J3" s="31" t="inlineStr">
        <is>
          <t>534369</t>
        </is>
      </c>
    </row>
    <row r="4">
      <c r="A4" s="31" t="inlineStr">
        <is>
          <t>WANBURY</t>
        </is>
      </c>
      <c r="B4" s="31" t="inlineStr">
        <is>
          <t>Wanbury Limited</t>
        </is>
      </c>
      <c r="C4" s="31" t="inlineStr">
        <is>
          <t>healthcare</t>
        </is>
      </c>
      <c r="D4" s="31" t="inlineStr">
        <is>
          <t>pharmaceuticals - indian - bulk drugs &amp; formln</t>
        </is>
      </c>
      <c r="E4" s="31" t="inlineStr">
        <is>
          <t>smallcap</t>
        </is>
      </c>
      <c r="F4" s="31" t="n">
        <v>1049.75</v>
      </c>
      <c r="G4" s="31" t="n">
        <v>336</v>
      </c>
      <c r="H4" s="31" t="n">
        <v>11.83</v>
      </c>
      <c r="I4" s="31" t="n">
        <v>7640235</v>
      </c>
      <c r="J4" s="31" t="inlineStr">
        <is>
          <t>524212</t>
        </is>
      </c>
    </row>
    <row r="5">
      <c r="A5" s="31" t="inlineStr">
        <is>
          <t>JITFINFRA</t>
        </is>
      </c>
      <c r="B5" s="31" t="inlineStr">
        <is>
          <t>JITF Infra Logistics Ltd</t>
        </is>
      </c>
      <c r="C5" s="31" t="inlineStr">
        <is>
          <t>miscellaneous</t>
        </is>
      </c>
      <c r="D5" s="31" t="inlineStr">
        <is>
          <t>miscellaneous</t>
        </is>
      </c>
      <c r="E5" s="31" t="inlineStr">
        <is>
          <t>smallcap</t>
        </is>
      </c>
      <c r="F5" s="31" t="n">
        <v>919.16</v>
      </c>
      <c r="G5" s="31" t="n">
        <v>393.35</v>
      </c>
      <c r="H5" s="31" t="n">
        <v>10</v>
      </c>
      <c r="I5" s="31" t="n">
        <v>460327</v>
      </c>
      <c r="J5" s="31" t="inlineStr">
        <is>
          <t>540311</t>
        </is>
      </c>
    </row>
    <row r="6">
      <c r="A6" s="31" t="inlineStr">
        <is>
          <t>OMAXE</t>
        </is>
      </c>
      <c r="B6" s="31" t="inlineStr">
        <is>
          <t>Omaxe Limited</t>
        </is>
      </c>
      <c r="C6" s="31" t="inlineStr">
        <is>
          <t>realty</t>
        </is>
      </c>
      <c r="D6" s="31" t="inlineStr">
        <is>
          <t>construction</t>
        </is>
      </c>
      <c r="E6" s="31" t="inlineStr">
        <is>
          <t>smallcap</t>
        </is>
      </c>
      <c r="F6" s="31" t="n">
        <v>1660.19</v>
      </c>
      <c r="G6" s="31" t="n">
        <v>97.52</v>
      </c>
      <c r="H6" s="31" t="n">
        <v>7.44</v>
      </c>
      <c r="I6" s="31" t="n">
        <v>6367936</v>
      </c>
      <c r="J6" s="31" t="inlineStr">
        <is>
          <t>532880</t>
        </is>
      </c>
    </row>
    <row r="7">
      <c r="A7" s="31" t="inlineStr">
        <is>
          <t>TCPLPACK</t>
        </is>
      </c>
      <c r="B7" s="31" t="inlineStr">
        <is>
          <t>TCPL Packaging Ltd</t>
        </is>
      </c>
      <c r="C7" s="31" t="inlineStr">
        <is>
          <t>industrials</t>
        </is>
      </c>
      <c r="D7" s="31" t="inlineStr">
        <is>
          <t>packaging</t>
        </is>
      </c>
      <c r="E7" s="31" t="inlineStr">
        <is>
          <t>smallcap</t>
        </is>
      </c>
      <c r="F7" s="31" t="n">
        <v>2736.01</v>
      </c>
      <c r="G7" s="31" t="n">
        <v>3216.9</v>
      </c>
      <c r="H7" s="31" t="n">
        <v>6.99</v>
      </c>
      <c r="I7" s="31" t="n">
        <v>41629</v>
      </c>
      <c r="J7" s="31" t="inlineStr">
        <is>
          <t>523301</t>
        </is>
      </c>
    </row>
    <row r="8">
      <c r="A8" s="31" t="inlineStr">
        <is>
          <t>CONSOFINVT</t>
        </is>
      </c>
      <c r="B8" s="31" t="inlineStr">
        <is>
          <t>Consolidated Finvest &amp; Holdings Limited</t>
        </is>
      </c>
      <c r="C8" s="31" t="inlineStr">
        <is>
          <t>financials</t>
        </is>
      </c>
      <c r="D8" s="31" t="inlineStr">
        <is>
          <t>finance &amp; investments</t>
        </is>
      </c>
      <c r="E8" s="31" t="inlineStr">
        <is>
          <t>smallcap</t>
        </is>
      </c>
      <c r="F8" s="31" t="n">
        <v>839.58</v>
      </c>
      <c r="G8" s="31" t="n">
        <v>277.52</v>
      </c>
      <c r="H8" s="31" t="n">
        <v>6.85</v>
      </c>
      <c r="I8" s="31" t="n">
        <v>120477</v>
      </c>
      <c r="J8" s="31" t="inlineStr">
        <is>
          <t>500226</t>
        </is>
      </c>
    </row>
    <row r="9">
      <c r="A9" s="31" t="inlineStr">
        <is>
          <t>SAKAR</t>
        </is>
      </c>
      <c r="B9" s="31" t="inlineStr">
        <is>
          <t>Sakar Healthcare Ltd</t>
        </is>
      </c>
      <c r="C9" s="31" t="inlineStr">
        <is>
          <t>healthcare</t>
        </is>
      </c>
      <c r="D9" s="31" t="inlineStr">
        <is>
          <t>pharmaceuticals - indian - bulk drugs &amp; formln</t>
        </is>
      </c>
      <c r="E9" s="31" t="inlineStr">
        <is>
          <t>smallcap</t>
        </is>
      </c>
      <c r="F9" s="31" t="n">
        <v>1921.28</v>
      </c>
      <c r="G9" s="31" t="n">
        <v>919.9</v>
      </c>
      <c r="H9" s="31" t="n">
        <v>6.53</v>
      </c>
      <c r="I9" s="31" t="n">
        <v>798161</v>
      </c>
      <c r="J9" s="31" t="inlineStr">
        <is>
          <t>538377</t>
        </is>
      </c>
    </row>
    <row r="10">
      <c r="A10" s="31" t="inlineStr">
        <is>
          <t>BIOCON</t>
        </is>
      </c>
      <c r="B10" s="31" t="inlineStr">
        <is>
          <t>Biocon Limited</t>
        </is>
      </c>
      <c r="C10" s="31" t="inlineStr">
        <is>
          <t>healthcare</t>
        </is>
      </c>
      <c r="D10" s="31" t="inlineStr">
        <is>
          <t>pharmaceuticals - indian - bulk drugs &amp; formln</t>
        </is>
      </c>
      <c r="E10" s="31" t="inlineStr">
        <is>
          <t>largecap</t>
        </is>
      </c>
      <c r="F10" s="31" t="n">
        <v>66972.28</v>
      </c>
      <c r="G10" s="31" t="n">
        <v>437.3</v>
      </c>
      <c r="H10" s="31" t="n">
        <v>6.41</v>
      </c>
      <c r="I10" s="31" t="n">
        <v>43015136</v>
      </c>
      <c r="J10" s="31" t="inlineStr">
        <is>
          <t>532523</t>
        </is>
      </c>
    </row>
    <row r="11">
      <c r="A11" s="31" t="inlineStr">
        <is>
          <t>PDSL</t>
        </is>
      </c>
      <c r="B11" s="31" t="inlineStr">
        <is>
          <t>PDS Ltd</t>
        </is>
      </c>
      <c r="C11" s="31" t="inlineStr">
        <is>
          <t>textiles</t>
        </is>
      </c>
      <c r="D11" s="31" t="inlineStr">
        <is>
          <t>trading</t>
        </is>
      </c>
      <c r="E11" s="31" t="inlineStr">
        <is>
          <t>midcap</t>
        </is>
      </c>
      <c r="F11" s="31" t="n">
        <v>5082.72</v>
      </c>
      <c r="G11" s="31" t="n">
        <v>382.25</v>
      </c>
      <c r="H11" s="31" t="n">
        <v>6.37</v>
      </c>
      <c r="I11" s="31" t="n">
        <v>9246688</v>
      </c>
      <c r="J11" s="31" t="inlineStr">
        <is>
          <t>538730</t>
        </is>
      </c>
    </row>
    <row r="12">
      <c r="A12" s="31" t="inlineStr">
        <is>
          <t>VADILALIND</t>
        </is>
      </c>
      <c r="B12" s="31" t="inlineStr">
        <is>
          <t>Vadilal Industries Limited</t>
        </is>
      </c>
      <c r="C12" s="31" t="inlineStr">
        <is>
          <t>fmcg</t>
        </is>
      </c>
      <c r="D12" s="31" t="inlineStr">
        <is>
          <t>food - processing - indian</t>
        </is>
      </c>
      <c r="E12" s="31" t="inlineStr">
        <is>
          <t>smallcap</t>
        </is>
      </c>
      <c r="F12" s="31" t="n">
        <v>4620.7</v>
      </c>
      <c r="G12" s="31" t="n">
        <v>6796.5</v>
      </c>
      <c r="H12" s="31" t="n">
        <v>5.72</v>
      </c>
      <c r="I12" s="31" t="n">
        <v>53784</v>
      </c>
      <c r="J12" s="31" t="inlineStr">
        <is>
          <t>519156</t>
        </is>
      </c>
    </row>
    <row r="13">
      <c r="A13" s="31" t="inlineStr">
        <is>
          <t>SPECIALITY</t>
        </is>
      </c>
      <c r="B13" s="31" t="inlineStr">
        <is>
          <t>Speciality Restaurants Limited</t>
        </is>
      </c>
      <c r="C13" s="31" t="inlineStr">
        <is>
          <t>services</t>
        </is>
      </c>
      <c r="D13" s="31" t="inlineStr">
        <is>
          <t>hotels</t>
        </is>
      </c>
      <c r="E13" s="31" t="inlineStr">
        <is>
          <t>smallcap</t>
        </is>
      </c>
      <c r="F13" s="31" t="n">
        <v>598.36</v>
      </c>
      <c r="G13" s="31" t="n">
        <v>131.11</v>
      </c>
      <c r="H13" s="31" t="n">
        <v>5.69</v>
      </c>
      <c r="I13" s="31" t="n">
        <v>139103</v>
      </c>
      <c r="J13" s="31" t="inlineStr">
        <is>
          <t>534425</t>
        </is>
      </c>
    </row>
    <row r="14">
      <c r="A14" s="31" t="inlineStr">
        <is>
          <t>HTMEDIA</t>
        </is>
      </c>
      <c r="B14" s="31" t="inlineStr">
        <is>
          <t>Ht Media Limited</t>
        </is>
      </c>
      <c r="C14" s="31" t="inlineStr">
        <is>
          <t>media</t>
        </is>
      </c>
      <c r="D14" s="31" t="inlineStr">
        <is>
          <t>entertainment / electronic media software</t>
        </is>
      </c>
      <c r="E14" s="31" t="inlineStr">
        <is>
          <t>smallcap</t>
        </is>
      </c>
      <c r="F14" s="31" t="n">
        <v>600.79</v>
      </c>
      <c r="G14" s="31" t="n">
        <v>27.16</v>
      </c>
      <c r="H14" s="31" t="n">
        <v>5.23</v>
      </c>
      <c r="I14" s="31" t="n">
        <v>1045025</v>
      </c>
      <c r="J14" s="31" t="inlineStr">
        <is>
          <t>532662</t>
        </is>
      </c>
    </row>
    <row r="15">
      <c r="A15" s="31" t="inlineStr">
        <is>
          <t>GNA</t>
        </is>
      </c>
      <c r="B15" s="31" t="inlineStr">
        <is>
          <t>Gna Axles Limited</t>
        </is>
      </c>
      <c r="C15" s="31" t="inlineStr">
        <is>
          <t>auto</t>
        </is>
      </c>
      <c r="D15" s="31" t="inlineStr">
        <is>
          <t>auto ancillaries</t>
        </is>
      </c>
      <c r="E15" s="31" t="inlineStr">
        <is>
          <t>smallcap</t>
        </is>
      </c>
      <c r="F15" s="31" t="n">
        <v>2272.11</v>
      </c>
      <c r="G15" s="31" t="n">
        <v>555.7</v>
      </c>
      <c r="H15" s="31" t="n">
        <v>5</v>
      </c>
      <c r="I15" s="31" t="n">
        <v>1495245</v>
      </c>
      <c r="J15" s="31" t="inlineStr">
        <is>
          <t>540124</t>
        </is>
      </c>
    </row>
    <row r="16">
      <c r="A16" s="31" t="inlineStr">
        <is>
          <t>VENUSREM</t>
        </is>
      </c>
      <c r="B16" s="31" t="inlineStr">
        <is>
          <t>Venus Remedies Limited</t>
        </is>
      </c>
      <c r="C16" s="31" t="inlineStr">
        <is>
          <t>healthcare</t>
        </is>
      </c>
      <c r="D16" s="31" t="inlineStr">
        <is>
          <t>pharmaceuticals - indian - formulations</t>
        </is>
      </c>
      <c r="E16" s="31" t="inlineStr">
        <is>
          <t>smallcap</t>
        </is>
      </c>
      <c r="F16" s="31" t="n">
        <v>2413.28</v>
      </c>
      <c r="G16" s="31" t="n">
        <v>1895.6</v>
      </c>
      <c r="H16" s="31" t="n">
        <v>5</v>
      </c>
      <c r="I16" s="31" t="n">
        <v>65314</v>
      </c>
      <c r="J16" s="31" t="inlineStr">
        <is>
          <t>526953</t>
        </is>
      </c>
    </row>
    <row r="17">
      <c r="A17" s="31" t="inlineStr">
        <is>
          <t>YASHO</t>
        </is>
      </c>
      <c r="B17" s="31" t="inlineStr">
        <is>
          <t>Yasho Industries Ltd</t>
        </is>
      </c>
      <c r="C17" s="31" t="inlineStr">
        <is>
          <t>chemicals</t>
        </is>
      </c>
      <c r="D17" s="31" t="inlineStr">
        <is>
          <t>chemicals</t>
        </is>
      </c>
      <c r="E17" s="31" t="inlineStr">
        <is>
          <t>smallcap</t>
        </is>
      </c>
      <c r="F17" s="31" t="n">
        <v>3583.97</v>
      </c>
      <c r="G17" s="31" t="n">
        <v>3119.5</v>
      </c>
      <c r="H17" s="31" t="n">
        <v>4.95</v>
      </c>
      <c r="I17" s="31" t="n">
        <v>20193</v>
      </c>
      <c r="J17" s="31" t="inlineStr">
        <is>
          <t>541167</t>
        </is>
      </c>
    </row>
    <row r="18">
      <c r="A18" s="31" t="inlineStr">
        <is>
          <t>JNKINDIA</t>
        </is>
      </c>
      <c r="B18" s="31" t="inlineStr">
        <is>
          <t>JNK India Ltd</t>
        </is>
      </c>
      <c r="C18" s="31" t="inlineStr">
        <is>
          <t>realty</t>
        </is>
      </c>
      <c r="D18" s="31" t="inlineStr">
        <is>
          <t>engineering - turnkey services</t>
        </is>
      </c>
      <c r="E18" s="31" t="inlineStr">
        <is>
          <t>smallcap</t>
        </is>
      </c>
      <c r="F18" s="31" t="n">
        <v>2825.39</v>
      </c>
      <c r="G18" s="31" t="n">
        <v>529.7</v>
      </c>
      <c r="H18" s="31" t="n">
        <v>4.9</v>
      </c>
      <c r="I18" s="31" t="n">
        <v>1035187</v>
      </c>
      <c r="J18" s="31" t="inlineStr">
        <is>
          <t>544167</t>
        </is>
      </c>
    </row>
    <row r="19">
      <c r="A19" s="31" t="inlineStr">
        <is>
          <t>CUPID</t>
        </is>
      </c>
      <c r="B19" s="31" t="inlineStr">
        <is>
          <t>Cupid Limited</t>
        </is>
      </c>
      <c r="C19" s="31" t="inlineStr">
        <is>
          <t>fmcg</t>
        </is>
      </c>
      <c r="D19" s="31" t="inlineStr">
        <is>
          <t>personal care - indian</t>
        </is>
      </c>
      <c r="E19" s="31" t="inlineStr">
        <is>
          <t>largecap</t>
        </is>
      </c>
      <c r="F19" s="31" t="n">
        <v>27811.62</v>
      </c>
      <c r="G19" s="31" t="n">
        <v>216.77</v>
      </c>
      <c r="H19" s="31" t="n">
        <v>4.81</v>
      </c>
      <c r="I19" s="31" t="n">
        <v>61486978</v>
      </c>
      <c r="J19" s="31" t="inlineStr">
        <is>
          <t>530843</t>
        </is>
      </c>
    </row>
    <row r="20">
      <c r="A20" s="31" t="inlineStr">
        <is>
          <t>ORCHPHARMA</t>
        </is>
      </c>
      <c r="B20" s="31" t="inlineStr">
        <is>
          <t>Orchid Pharma Ltd</t>
        </is>
      </c>
      <c r="C20" s="31" t="inlineStr">
        <is>
          <t>healthcare</t>
        </is>
      </c>
      <c r="D20" s="31" t="inlineStr">
        <is>
          <t>pharmaceuticals - indian - bulk drugs &amp; formln</t>
        </is>
      </c>
      <c r="E20" s="31" t="inlineStr">
        <is>
          <t>midcap</t>
        </is>
      </c>
      <c r="F20" s="31" t="n">
        <v>5109.44</v>
      </c>
      <c r="G20" s="31" t="n">
        <v>1052.95</v>
      </c>
      <c r="H20" s="31" t="n">
        <v>4.52</v>
      </c>
      <c r="I20" s="31" t="n">
        <v>785944</v>
      </c>
      <c r="J20" s="31" t="inlineStr">
        <is>
          <t>524372</t>
        </is>
      </c>
    </row>
    <row r="21">
      <c r="A21" s="31" t="inlineStr">
        <is>
          <t>IKIO</t>
        </is>
      </c>
      <c r="B21" s="31" t="inlineStr">
        <is>
          <t>IKIO Lighting Ltd</t>
        </is>
      </c>
      <c r="C21" s="31" t="inlineStr">
        <is>
          <t>consumer discretionary</t>
        </is>
      </c>
      <c r="D21" s="31" t="inlineStr">
        <is>
          <t>electric equipment</t>
        </is>
      </c>
      <c r="E21" s="31" t="inlineStr">
        <is>
          <t>smallcap</t>
        </is>
      </c>
      <c r="F21" s="31" t="n">
        <v>1582.79</v>
      </c>
      <c r="G21" s="31" t="n">
        <v>214.04</v>
      </c>
      <c r="H21" s="31" t="n">
        <v>4.51</v>
      </c>
      <c r="I21" s="31" t="n">
        <v>6824996</v>
      </c>
      <c r="J21" s="31" t="inlineStr">
        <is>
          <t>543923</t>
        </is>
      </c>
    </row>
    <row r="22">
      <c r="A22" s="31" t="inlineStr">
        <is>
          <t>WELCORP</t>
        </is>
      </c>
      <c r="B22" s="31" t="inlineStr">
        <is>
          <t>Welspun Corp Limited</t>
        </is>
      </c>
      <c r="C22" s="31" t="inlineStr">
        <is>
          <t>industrials</t>
        </is>
      </c>
      <c r="D22" s="31" t="inlineStr">
        <is>
          <t>steel - large</t>
        </is>
      </c>
      <c r="E22" s="31" t="inlineStr">
        <is>
          <t>largecap</t>
        </is>
      </c>
      <c r="F22" s="31" t="n">
        <v>42731.45</v>
      </c>
      <c r="G22" s="31" t="n">
        <v>1683.4</v>
      </c>
      <c r="H22" s="31" t="n">
        <v>3.92</v>
      </c>
      <c r="I22" s="31" t="n">
        <v>4340539</v>
      </c>
      <c r="J22" s="31" t="inlineStr">
        <is>
          <t>532144</t>
        </is>
      </c>
    </row>
    <row r="23">
      <c r="A23" s="31" t="inlineStr">
        <is>
          <t>5PAISA</t>
        </is>
      </c>
      <c r="B23" s="31" t="inlineStr">
        <is>
          <t>5Paisa Capital Ltd</t>
        </is>
      </c>
      <c r="C23" s="31" t="inlineStr">
        <is>
          <t>financials</t>
        </is>
      </c>
      <c r="D23" s="31" t="inlineStr">
        <is>
          <t>finance &amp; investments</t>
        </is>
      </c>
      <c r="E23" s="31" t="inlineStr">
        <is>
          <t>smallcap</t>
        </is>
      </c>
      <c r="F23" s="31" t="n">
        <v>1737.93</v>
      </c>
      <c r="G23" s="31" t="n">
        <v>384.95</v>
      </c>
      <c r="H23" s="31" t="n">
        <v>3.84</v>
      </c>
      <c r="I23" s="31" t="n">
        <v>125828</v>
      </c>
      <c r="J23" s="31" t="inlineStr">
        <is>
          <t>540776</t>
        </is>
      </c>
    </row>
    <row r="24">
      <c r="A24" s="31" t="inlineStr">
        <is>
          <t>SMCGLOBAL</t>
        </is>
      </c>
      <c r="B24" s="31" t="inlineStr">
        <is>
          <t>SMC Global Securities Ltd</t>
        </is>
      </c>
      <c r="C24" s="31" t="inlineStr">
        <is>
          <t>financials</t>
        </is>
      </c>
      <c r="D24" s="31" t="inlineStr">
        <is>
          <t>finance &amp; investments</t>
        </is>
      </c>
      <c r="E24" s="31" t="inlineStr">
        <is>
          <t>smallcap</t>
        </is>
      </c>
      <c r="F24" s="31" t="n">
        <v>1602.75</v>
      </c>
      <c r="G24" s="31" t="n">
        <v>79.45</v>
      </c>
      <c r="H24" s="31" t="n">
        <v>3.8</v>
      </c>
      <c r="I24" s="31" t="n">
        <v>2381159</v>
      </c>
      <c r="J24" s="31" t="inlineStr">
        <is>
          <t>543263</t>
        </is>
      </c>
    </row>
    <row r="25">
      <c r="A25" s="31" t="inlineStr">
        <is>
          <t>ADANIGREEN</t>
        </is>
      </c>
      <c r="B25" s="31" t="inlineStr">
        <is>
          <t>Adani Green Energy Ltd</t>
        </is>
      </c>
      <c r="C25" s="31" t="inlineStr">
        <is>
          <t>power &amp; utilities</t>
        </is>
      </c>
      <c r="D25" s="31" t="inlineStr">
        <is>
          <t>power generation and supply</t>
        </is>
      </c>
      <c r="E25" s="31" t="inlineStr">
        <is>
          <t>largecap</t>
        </is>
      </c>
      <c r="F25" s="31" t="n">
        <v>254735.79</v>
      </c>
      <c r="G25" s="31" t="n">
        <v>1604.5</v>
      </c>
      <c r="H25" s="31" t="n">
        <v>3.75</v>
      </c>
      <c r="I25" s="31" t="n">
        <v>4833988</v>
      </c>
      <c r="J25" s="31" t="inlineStr">
        <is>
          <t>541450</t>
        </is>
      </c>
    </row>
    <row r="26">
      <c r="A26" s="31" t="inlineStr">
        <is>
          <t>SILVERTUC</t>
        </is>
      </c>
      <c r="B26" s="31" t="inlineStr">
        <is>
          <t>Silver Touch Technologies Ltd</t>
        </is>
      </c>
      <c r="C26" s="31" t="inlineStr">
        <is>
          <t>i.t</t>
        </is>
      </c>
      <c r="D26" s="31" t="inlineStr">
        <is>
          <t>computers - software - medium / small</t>
        </is>
      </c>
      <c r="E26" s="31" t="inlineStr">
        <is>
          <t>smallcap</t>
        </is>
      </c>
      <c r="F26" s="31" t="n">
        <v>2385.04</v>
      </c>
      <c r="G26" s="31" t="n">
        <v>195.14</v>
      </c>
      <c r="H26" s="31" t="n">
        <v>3.75</v>
      </c>
      <c r="I26" s="31" t="n">
        <v>956476</v>
      </c>
      <c r="J26" s="31" t="inlineStr">
        <is>
          <t>535031</t>
        </is>
      </c>
    </row>
    <row r="27">
      <c r="A27" s="31" t="inlineStr">
        <is>
          <t>KALYANKJIL</t>
        </is>
      </c>
      <c r="B27" s="31" t="inlineStr">
        <is>
          <t>Kalyan Jewellers India Ltd</t>
        </is>
      </c>
      <c r="C27" s="31" t="inlineStr">
        <is>
          <t>consumer discretionary</t>
        </is>
      </c>
      <c r="D27" s="31" t="inlineStr">
        <is>
          <t>diamond cutting / jewellery</t>
        </is>
      </c>
      <c r="E27" s="31" t="inlineStr">
        <is>
          <t>largecap</t>
        </is>
      </c>
      <c r="F27" s="31" t="n">
        <v>52736.88</v>
      </c>
      <c r="G27" s="31" t="n">
        <v>529.75</v>
      </c>
      <c r="H27" s="31" t="n">
        <v>3.74</v>
      </c>
      <c r="I27" s="31" t="n">
        <v>95814205</v>
      </c>
      <c r="J27" s="31" t="inlineStr">
        <is>
          <t>543278</t>
        </is>
      </c>
    </row>
    <row r="28">
      <c r="A28" s="31" t="inlineStr">
        <is>
          <t>THANGAMAYL</t>
        </is>
      </c>
      <c r="B28" s="31" t="inlineStr">
        <is>
          <t>Thangamayil Jewellery Limited</t>
        </is>
      </c>
      <c r="C28" s="31" t="inlineStr">
        <is>
          <t>consumer discretionary</t>
        </is>
      </c>
      <c r="D28" s="31" t="inlineStr">
        <is>
          <t>diamond cutting / jewellery</t>
        </is>
      </c>
      <c r="E28" s="31" t="inlineStr">
        <is>
          <t>midcap</t>
        </is>
      </c>
      <c r="F28" s="31" t="n">
        <v>19373.42</v>
      </c>
      <c r="G28" s="31" t="n">
        <v>6459</v>
      </c>
      <c r="H28" s="31" t="n">
        <v>3.63</v>
      </c>
      <c r="I28" s="31" t="n">
        <v>314025</v>
      </c>
      <c r="J28" s="31" t="inlineStr">
        <is>
          <t>533158</t>
        </is>
      </c>
    </row>
    <row r="29">
      <c r="A29" s="31" t="inlineStr">
        <is>
          <t>DIVISLAB</t>
        </is>
      </c>
      <c r="B29" s="31" t="inlineStr">
        <is>
          <t>Divi's Laboratories Limited</t>
        </is>
      </c>
      <c r="C29" s="31" t="inlineStr">
        <is>
          <t>healthcare</t>
        </is>
      </c>
      <c r="D29" s="31" t="inlineStr">
        <is>
          <t>pharmaceuticals - indian - bulk drugs</t>
        </is>
      </c>
      <c r="E29" s="31" t="inlineStr">
        <is>
          <t>largecap</t>
        </is>
      </c>
      <c r="F29" s="31" t="n">
        <v>184195.37</v>
      </c>
      <c r="G29" s="31" t="n">
        <v>7188.5</v>
      </c>
      <c r="H29" s="31" t="n">
        <v>3.6</v>
      </c>
      <c r="I29" s="31" t="n">
        <v>1093246</v>
      </c>
      <c r="J29" s="31" t="inlineStr">
        <is>
          <t>532488</t>
        </is>
      </c>
    </row>
    <row r="30">
      <c r="A30" s="31" t="inlineStr">
        <is>
          <t>MOSCHIP</t>
        </is>
      </c>
      <c r="B30" s="31" t="inlineStr">
        <is>
          <t>Moschip Technologies Ltd</t>
        </is>
      </c>
      <c r="C30" s="31" t="inlineStr">
        <is>
          <t>i.t</t>
        </is>
      </c>
      <c r="D30" s="31" t="inlineStr">
        <is>
          <t>computers - hardware</t>
        </is>
      </c>
      <c r="E30" s="31" t="inlineStr">
        <is>
          <t>smallcap</t>
        </is>
      </c>
      <c r="F30" s="31" t="n">
        <v>4513.79</v>
      </c>
      <c r="G30" s="31" t="n">
        <v>240.83</v>
      </c>
      <c r="H30" s="31" t="n">
        <v>3.44</v>
      </c>
      <c r="I30" s="31" t="n">
        <v>11200608</v>
      </c>
      <c r="J30" s="31" t="inlineStr">
        <is>
          <t>532407</t>
        </is>
      </c>
    </row>
    <row r="31">
      <c r="A31" s="31" t="inlineStr">
        <is>
          <t>CARTRADE</t>
        </is>
      </c>
      <c r="B31" s="31" t="inlineStr">
        <is>
          <t>Cartrade Tech Ltd</t>
        </is>
      </c>
      <c r="C31" s="31" t="inlineStr">
        <is>
          <t>consumer discretionary</t>
        </is>
      </c>
      <c r="D31" s="31" t="inlineStr">
        <is>
          <t>miscellaneous</t>
        </is>
      </c>
      <c r="E31" s="31" t="inlineStr">
        <is>
          <t>midcap</t>
        </is>
      </c>
      <c r="F31" s="31" t="n">
        <v>13402.5</v>
      </c>
      <c r="G31" s="31" t="n">
        <v>2895</v>
      </c>
      <c r="H31" s="31" t="n">
        <v>3.42</v>
      </c>
      <c r="I31" s="31" t="n">
        <v>3742971</v>
      </c>
      <c r="J31" s="31" t="inlineStr">
        <is>
          <t>543333</t>
        </is>
      </c>
    </row>
    <row r="32">
      <c r="A32" s="31" t="inlineStr">
        <is>
          <t>AURUM</t>
        </is>
      </c>
      <c r="B32" s="31" t="inlineStr">
        <is>
          <t>Aurum Proptech Ltd</t>
        </is>
      </c>
      <c r="C32" s="31" t="inlineStr">
        <is>
          <t>i.t</t>
        </is>
      </c>
      <c r="D32" s="31" t="inlineStr">
        <is>
          <t>computers - software - medium / small</t>
        </is>
      </c>
      <c r="E32" s="31" t="inlineStr">
        <is>
          <t>smallcap</t>
        </is>
      </c>
      <c r="F32" s="31" t="n">
        <v>1777.17</v>
      </c>
      <c r="G32" s="31" t="n">
        <v>239.64</v>
      </c>
      <c r="H32" s="31" t="n">
        <v>3.37</v>
      </c>
      <c r="I32" s="31" t="n">
        <v>567965</v>
      </c>
      <c r="J32" s="31" t="inlineStr">
        <is>
          <t>539289</t>
        </is>
      </c>
    </row>
    <row r="33">
      <c r="A33" s="31" t="inlineStr">
        <is>
          <t>INDOBORAX</t>
        </is>
      </c>
      <c r="B33" s="31" t="inlineStr">
        <is>
          <t>Indo Borax &amp; Chemicals Ltd</t>
        </is>
      </c>
      <c r="C33" s="31" t="inlineStr">
        <is>
          <t>chemicals</t>
        </is>
      </c>
      <c r="D33" s="31" t="inlineStr">
        <is>
          <t>chemicals</t>
        </is>
      </c>
      <c r="E33" s="31" t="inlineStr">
        <is>
          <t>smallcap</t>
        </is>
      </c>
      <c r="F33" s="31" t="n">
        <v>1516.73</v>
      </c>
      <c r="G33" s="31" t="n">
        <v>486.7</v>
      </c>
      <c r="H33" s="31" t="n">
        <v>2.97</v>
      </c>
      <c r="I33" s="31" t="n">
        <v>452210</v>
      </c>
      <c r="J33" s="31" t="inlineStr">
        <is>
          <t>524342</t>
        </is>
      </c>
    </row>
    <row r="34">
      <c r="A34" s="31" t="inlineStr">
        <is>
          <t>AYMSYNTEX</t>
        </is>
      </c>
      <c r="B34" s="31" t="inlineStr">
        <is>
          <t>Aym Syntex Limited</t>
        </is>
      </c>
      <c r="C34" s="31" t="inlineStr">
        <is>
          <t>textiles</t>
        </is>
      </c>
      <c r="D34" s="31" t="inlineStr">
        <is>
          <t>textiles - processing</t>
        </is>
      </c>
      <c r="E34" s="31" t="inlineStr">
        <is>
          <t>smallcap</t>
        </is>
      </c>
      <c r="F34" s="31" t="n">
        <v>1374.27</v>
      </c>
      <c r="G34" s="31" t="n">
        <v>241.31</v>
      </c>
      <c r="H34" s="31" t="n">
        <v>2.92</v>
      </c>
      <c r="I34" s="31" t="n">
        <v>120454</v>
      </c>
      <c r="J34" s="31" t="inlineStr">
        <is>
          <t>508933</t>
        </is>
      </c>
    </row>
    <row r="35">
      <c r="A35" s="31" t="inlineStr">
        <is>
          <t>MAHLOG</t>
        </is>
      </c>
      <c r="B35" s="31" t="inlineStr">
        <is>
          <t>Mahindra Logistics Ltd</t>
        </is>
      </c>
      <c r="C35" s="31" t="inlineStr">
        <is>
          <t>transportation</t>
        </is>
      </c>
      <c r="D35" s="31" t="inlineStr">
        <is>
          <t>miscellaneous</t>
        </is>
      </c>
      <c r="E35" s="31" t="inlineStr">
        <is>
          <t>smallcap</t>
        </is>
      </c>
      <c r="F35" s="31" t="n">
        <v>3797.74</v>
      </c>
      <c r="G35" s="31" t="n">
        <v>393.7</v>
      </c>
      <c r="H35" s="31" t="n">
        <v>2.86</v>
      </c>
      <c r="I35" s="31" t="n">
        <v>238650</v>
      </c>
      <c r="J35" s="31" t="inlineStr">
        <is>
          <t>540768</t>
        </is>
      </c>
    </row>
    <row r="36">
      <c r="A36" s="31" t="inlineStr">
        <is>
          <t>DEEDEV</t>
        </is>
      </c>
      <c r="B36" s="31" t="inlineStr">
        <is>
          <t>DEE Development Engineers Ltd</t>
        </is>
      </c>
      <c r="C36" s="31" t="inlineStr">
        <is>
          <t>metals &amp; mining</t>
        </is>
      </c>
      <c r="D36" s="31" t="inlineStr">
        <is>
          <t>steel - medium / small</t>
        </is>
      </c>
      <c r="E36" s="31" t="inlineStr">
        <is>
          <t>smallcap</t>
        </is>
      </c>
      <c r="F36" s="31" t="n">
        <v>4659</v>
      </c>
      <c r="G36" s="31" t="n">
        <v>691.6</v>
      </c>
      <c r="H36" s="31" t="n">
        <v>2.82</v>
      </c>
      <c r="I36" s="31" t="n">
        <v>104950</v>
      </c>
      <c r="J36" s="31" t="n"/>
    </row>
    <row r="37">
      <c r="A37" s="31" t="inlineStr">
        <is>
          <t>ADANIENSOL</t>
        </is>
      </c>
      <c r="B37" s="31" t="inlineStr">
        <is>
          <t>Adani Energy Solutions Ltd</t>
        </is>
      </c>
      <c r="C37" s="31" t="inlineStr">
        <is>
          <t>power &amp; utilities</t>
        </is>
      </c>
      <c r="D37" s="31" t="inlineStr">
        <is>
          <t>power generation and supply</t>
        </is>
      </c>
      <c r="E37" s="31" t="inlineStr">
        <is>
          <t>largecap</t>
        </is>
      </c>
      <c r="F37" s="31" t="n">
        <v>197562.94</v>
      </c>
      <c r="G37" s="31" t="n">
        <v>1690.3</v>
      </c>
      <c r="H37" s="31" t="n">
        <v>2.78</v>
      </c>
      <c r="I37" s="31" t="n">
        <v>2237295</v>
      </c>
      <c r="J37" s="31" t="inlineStr">
        <is>
          <t>539254</t>
        </is>
      </c>
    </row>
    <row r="38">
      <c r="A38" s="31" t="inlineStr">
        <is>
          <t>IOLCP</t>
        </is>
      </c>
      <c r="B38" s="31" t="inlineStr">
        <is>
          <t>Iol Chemicals And Pharmaceuticals Limited</t>
        </is>
      </c>
      <c r="C38" s="31" t="inlineStr">
        <is>
          <t>healthcare</t>
        </is>
      </c>
      <c r="D38" s="31" t="inlineStr">
        <is>
          <t>pharmaceuticals - indian - bulk drugs &amp; formln</t>
        </is>
      </c>
      <c r="E38" s="31" t="inlineStr">
        <is>
          <t>smallcap</t>
        </is>
      </c>
      <c r="F38" s="31" t="n">
        <v>4963.26</v>
      </c>
      <c r="G38" s="31" t="n">
        <v>173.78</v>
      </c>
      <c r="H38" s="31" t="n">
        <v>2.77</v>
      </c>
      <c r="I38" s="31" t="n">
        <v>9033619</v>
      </c>
      <c r="J38" s="31" t="inlineStr">
        <is>
          <t>524164</t>
        </is>
      </c>
    </row>
    <row r="39">
      <c r="A39" s="31" t="inlineStr">
        <is>
          <t>HINDCOMPOS</t>
        </is>
      </c>
      <c r="B39" s="31" t="inlineStr">
        <is>
          <t>Hindustan Composites Limited</t>
        </is>
      </c>
      <c r="C39" s="31" t="inlineStr">
        <is>
          <t>auto</t>
        </is>
      </c>
      <c r="D39" s="31" t="inlineStr">
        <is>
          <t>auto ancillaries</t>
        </is>
      </c>
      <c r="E39" s="31" t="inlineStr">
        <is>
          <t>smallcap</t>
        </is>
      </c>
      <c r="F39" s="31" t="n">
        <v>645.85</v>
      </c>
      <c r="G39" s="31" t="n">
        <v>448.85</v>
      </c>
      <c r="H39" s="31" t="n">
        <v>2.64</v>
      </c>
      <c r="I39" s="31" t="n">
        <v>81577</v>
      </c>
      <c r="J39" s="31" t="inlineStr">
        <is>
          <t>509635</t>
        </is>
      </c>
    </row>
    <row r="40">
      <c r="A40" s="31" t="inlineStr">
        <is>
          <t>NRL</t>
        </is>
      </c>
      <c r="B40" s="31" t="inlineStr">
        <is>
          <t>Nupur Recyclers Ltd</t>
        </is>
      </c>
      <c r="C40" s="31" t="inlineStr">
        <is>
          <t>services</t>
        </is>
      </c>
      <c r="D40" s="31" t="inlineStr">
        <is>
          <t>trading</t>
        </is>
      </c>
      <c r="E40" s="31" t="inlineStr">
        <is>
          <t>smallcap</t>
        </is>
      </c>
      <c r="F40" s="31" t="n">
        <v>727.3</v>
      </c>
      <c r="G40" s="31" t="n">
        <v>108.02</v>
      </c>
      <c r="H40" s="31" t="n">
        <v>2.58</v>
      </c>
      <c r="I40" s="31" t="n">
        <v>173371</v>
      </c>
      <c r="J40" s="31" t="inlineStr">
        <is>
          <t>535413</t>
        </is>
      </c>
    </row>
    <row r="41">
      <c r="A41" s="31" t="inlineStr">
        <is>
          <t>RSWM</t>
        </is>
      </c>
      <c r="B41" s="31" t="inlineStr">
        <is>
          <t>Rswm Limited</t>
        </is>
      </c>
      <c r="C41" s="31" t="inlineStr">
        <is>
          <t>textiles</t>
        </is>
      </c>
      <c r="D41" s="31" t="inlineStr">
        <is>
          <t>textiles - cotton/blended</t>
        </is>
      </c>
      <c r="E41" s="31" t="inlineStr">
        <is>
          <t>smallcap</t>
        </is>
      </c>
      <c r="F41" s="31" t="n">
        <v>950.04</v>
      </c>
      <c r="G41" s="31" t="n">
        <v>206.68</v>
      </c>
      <c r="H41" s="31" t="n">
        <v>2.47</v>
      </c>
      <c r="I41" s="31" t="n">
        <v>151271</v>
      </c>
      <c r="J41" s="31" t="inlineStr">
        <is>
          <t>500350</t>
        </is>
      </c>
    </row>
    <row r="42">
      <c r="A42" s="31" t="inlineStr">
        <is>
          <t>UNIMECH</t>
        </is>
      </c>
      <c r="B42" s="31" t="inlineStr">
        <is>
          <t>Unimech Aerospace and Manufacturing Ltd</t>
        </is>
      </c>
      <c r="C42" s="31" t="inlineStr">
        <is>
          <t>aerospace &amp; defence</t>
        </is>
      </c>
      <c r="D42" s="31" t="inlineStr">
        <is>
          <t>engineering</t>
        </is>
      </c>
      <c r="E42" s="31" t="inlineStr">
        <is>
          <t>midcap</t>
        </is>
      </c>
      <c r="F42" s="31" t="n">
        <v>5969.58</v>
      </c>
      <c r="G42" s="31" t="n">
        <v>1202.4</v>
      </c>
      <c r="H42" s="31" t="n">
        <v>2.44</v>
      </c>
      <c r="I42" s="31" t="n">
        <v>156033</v>
      </c>
      <c r="J42" s="31" t="inlineStr">
        <is>
          <t>544322</t>
        </is>
      </c>
    </row>
    <row r="43">
      <c r="A43" s="31" t="inlineStr">
        <is>
          <t>SPORTKING</t>
        </is>
      </c>
      <c r="B43" s="31" t="inlineStr">
        <is>
          <t>Sportking India Ltd</t>
        </is>
      </c>
      <c r="C43" s="31" t="inlineStr">
        <is>
          <t>textiles</t>
        </is>
      </c>
      <c r="D43" s="31" t="inlineStr">
        <is>
          <t>textiles - spinning - synthetic / blended</t>
        </is>
      </c>
      <c r="E43" s="31" t="inlineStr">
        <is>
          <t>smallcap</t>
        </is>
      </c>
      <c r="F43" s="31" t="n">
        <v>2446.52</v>
      </c>
      <c r="G43" s="31" t="n">
        <v>196.85</v>
      </c>
      <c r="H43" s="31" t="n">
        <v>2.24</v>
      </c>
      <c r="I43" s="31" t="n">
        <v>3521113</v>
      </c>
      <c r="J43" s="31" t="inlineStr">
        <is>
          <t>539221</t>
        </is>
      </c>
    </row>
    <row r="44">
      <c r="A44" s="31" t="inlineStr">
        <is>
          <t>BHARTIHEXA</t>
        </is>
      </c>
      <c r="B44" s="31" t="inlineStr">
        <is>
          <t>Bharti Hexacom Ltd</t>
        </is>
      </c>
      <c r="C44" s="31" t="inlineStr">
        <is>
          <t>telecom-service</t>
        </is>
      </c>
      <c r="D44" s="31" t="inlineStr">
        <is>
          <t>telecommunications - service provider</t>
        </is>
      </c>
      <c r="E44" s="31" t="inlineStr">
        <is>
          <t>largecap</t>
        </is>
      </c>
      <c r="F44" s="31" t="n">
        <v>79370</v>
      </c>
      <c r="G44" s="31" t="n">
        <v>1621.8</v>
      </c>
      <c r="H44" s="31" t="n">
        <v>2.17</v>
      </c>
      <c r="I44" s="31" t="n">
        <v>449081</v>
      </c>
      <c r="J44" s="31" t="inlineStr">
        <is>
          <t>544162</t>
        </is>
      </c>
    </row>
    <row r="45">
      <c r="A45" s="31" t="inlineStr">
        <is>
          <t>BLSE</t>
        </is>
      </c>
      <c r="B45" s="31" t="inlineStr">
        <is>
          <t>BLS E-Services Ltd</t>
        </is>
      </c>
      <c r="C45" s="31" t="inlineStr">
        <is>
          <t>i.t</t>
        </is>
      </c>
      <c r="D45" s="31" t="inlineStr">
        <is>
          <t>computers - software - medium / small</t>
        </is>
      </c>
      <c r="E45" s="31" t="inlineStr">
        <is>
          <t>smallcap</t>
        </is>
      </c>
      <c r="F45" s="31" t="n">
        <v>2412.88</v>
      </c>
      <c r="G45" s="31" t="n">
        <v>271.29</v>
      </c>
      <c r="H45" s="31" t="n">
        <v>2.15</v>
      </c>
      <c r="I45" s="31" t="n">
        <v>1628082</v>
      </c>
      <c r="J45" s="31" t="inlineStr">
        <is>
          <t>544107</t>
        </is>
      </c>
    </row>
    <row r="46">
      <c r="A46" s="31" t="inlineStr">
        <is>
          <t>PLASTIBLEN</t>
        </is>
      </c>
      <c r="B46" s="31" t="inlineStr">
        <is>
          <t>Plastiblends India Limited</t>
        </is>
      </c>
      <c r="C46" s="31" t="inlineStr">
        <is>
          <t>chemicals</t>
        </is>
      </c>
      <c r="D46" s="31" t="inlineStr">
        <is>
          <t>chemicals</t>
        </is>
      </c>
      <c r="E46" s="31" t="inlineStr">
        <is>
          <t>smallcap</t>
        </is>
      </c>
      <c r="F46" s="31" t="n">
        <v>508.84</v>
      </c>
      <c r="G46" s="31" t="n">
        <v>199.82</v>
      </c>
      <c r="H46" s="31" t="n">
        <v>2.06</v>
      </c>
      <c r="I46" s="31" t="n">
        <v>1105978</v>
      </c>
      <c r="J46" s="31" t="inlineStr">
        <is>
          <t>523648</t>
        </is>
      </c>
    </row>
    <row r="47">
      <c r="A47" s="31" t="inlineStr">
        <is>
          <t>BALRAMCHIN</t>
        </is>
      </c>
      <c r="B47" s="31" t="inlineStr">
        <is>
          <t>Balrampur Chini Mills Limited</t>
        </is>
      </c>
      <c r="C47" s="31" t="inlineStr">
        <is>
          <t>fmcg</t>
        </is>
      </c>
      <c r="D47" s="31" t="inlineStr">
        <is>
          <t>sugar</t>
        </is>
      </c>
      <c r="E47" s="31" t="inlineStr">
        <is>
          <t>midcap</t>
        </is>
      </c>
      <c r="F47" s="31" t="n">
        <v>12355.96</v>
      </c>
      <c r="G47" s="31" t="n">
        <v>596.3</v>
      </c>
      <c r="H47" s="31" t="n">
        <v>1.96</v>
      </c>
      <c r="I47" s="31" t="n">
        <v>1115121</v>
      </c>
      <c r="J47" s="31" t="inlineStr">
        <is>
          <t>500038</t>
        </is>
      </c>
    </row>
    <row r="48">
      <c r="A48" s="31" t="inlineStr">
        <is>
          <t>STYLAMIND</t>
        </is>
      </c>
      <c r="B48" s="31" t="inlineStr">
        <is>
          <t>Stylam Industries Ltd</t>
        </is>
      </c>
      <c r="C48" s="31" t="inlineStr">
        <is>
          <t>building materials</t>
        </is>
      </c>
      <c r="D48" s="31" t="inlineStr">
        <is>
          <t>miscellaneous</t>
        </is>
      </c>
      <c r="E48" s="31" t="inlineStr">
        <is>
          <t>midcap</t>
        </is>
      </c>
      <c r="F48" s="31" t="n">
        <v>5500.49</v>
      </c>
      <c r="G48" s="31" t="n">
        <v>3306.3</v>
      </c>
      <c r="H48" s="31" t="n">
        <v>1.87</v>
      </c>
      <c r="I48" s="31" t="n">
        <v>18052</v>
      </c>
      <c r="J48" s="31" t="inlineStr">
        <is>
          <t>526951</t>
        </is>
      </c>
    </row>
    <row r="49">
      <c r="A49" s="31" t="inlineStr">
        <is>
          <t>ROLEXRINGS</t>
        </is>
      </c>
      <c r="B49" s="31" t="inlineStr">
        <is>
          <t>Rolex Rings Ltd</t>
        </is>
      </c>
      <c r="C49" s="31" t="inlineStr">
        <is>
          <t>auto</t>
        </is>
      </c>
      <c r="D49" s="31" t="inlineStr">
        <is>
          <t>auto ancillaries</t>
        </is>
      </c>
      <c r="E49" s="31" t="inlineStr">
        <is>
          <t>smallcap</t>
        </is>
      </c>
      <c r="F49" s="31" t="n">
        <v>3920.51</v>
      </c>
      <c r="G49" s="31" t="n">
        <v>146.63</v>
      </c>
      <c r="H49" s="31" t="n">
        <v>1.85</v>
      </c>
      <c r="I49" s="31" t="n">
        <v>981472</v>
      </c>
      <c r="J49" s="31" t="inlineStr">
        <is>
          <t>543325</t>
        </is>
      </c>
    </row>
    <row r="50">
      <c r="A50" s="31" t="inlineStr">
        <is>
          <t>BHARTIARTL</t>
        </is>
      </c>
      <c r="B50" s="31" t="inlineStr">
        <is>
          <t>Bharti Airtel Limited</t>
        </is>
      </c>
      <c r="C50" s="31" t="inlineStr">
        <is>
          <t>telecom-service</t>
        </is>
      </c>
      <c r="D50" s="31" t="inlineStr">
        <is>
          <t>telecommunications - service provider</t>
        </is>
      </c>
      <c r="E50" s="31" t="inlineStr">
        <is>
          <t>largecap</t>
        </is>
      </c>
      <c r="F50" s="31" t="n">
        <v>1186942.73</v>
      </c>
      <c r="G50" s="31" t="n">
        <v>1936.5</v>
      </c>
      <c r="H50" s="31" t="n">
        <v>1.82</v>
      </c>
      <c r="I50" s="31" t="n">
        <v>6964062</v>
      </c>
      <c r="J50" s="31" t="inlineStr">
        <is>
          <t>532454</t>
        </is>
      </c>
    </row>
    <row r="51">
      <c r="A51" s="31" t="inlineStr">
        <is>
          <t>GAYAPROJ</t>
        </is>
      </c>
      <c r="B51" s="31" t="inlineStr">
        <is>
          <t>Gayatri Projects Limited</t>
        </is>
      </c>
      <c r="C51" s="31" t="inlineStr">
        <is>
          <t>realty</t>
        </is>
      </c>
      <c r="D51" s="31" t="inlineStr">
        <is>
          <t>construction</t>
        </is>
      </c>
      <c r="E51" s="31" t="inlineStr">
        <is>
          <t>smallcap</t>
        </is>
      </c>
      <c r="F51" s="31" t="n">
        <v>1019.14</v>
      </c>
      <c r="G51" s="31" t="n">
        <v>22.35</v>
      </c>
      <c r="H51" s="31" t="n">
        <v>1.82</v>
      </c>
      <c r="I51" s="31" t="n">
        <v>779150</v>
      </c>
      <c r="J51" s="31" t="inlineStr">
        <is>
          <t>532767</t>
        </is>
      </c>
    </row>
    <row r="52">
      <c r="A52" s="31" t="inlineStr">
        <is>
          <t>CANTABIL</t>
        </is>
      </c>
      <c r="B52" s="31" t="inlineStr">
        <is>
          <t>Cantabil Retail India Limited</t>
        </is>
      </c>
      <c r="C52" s="31" t="inlineStr">
        <is>
          <t>textiles</t>
        </is>
      </c>
      <c r="D52" s="31" t="inlineStr">
        <is>
          <t>textiles - products</t>
        </is>
      </c>
      <c r="E52" s="31" t="inlineStr">
        <is>
          <t>smallcap</t>
        </is>
      </c>
      <c r="F52" s="31" t="n">
        <v>2140.8</v>
      </c>
      <c r="G52" s="31" t="n">
        <v>260.5</v>
      </c>
      <c r="H52" s="31" t="n">
        <v>1.77</v>
      </c>
      <c r="I52" s="31" t="n">
        <v>816747</v>
      </c>
      <c r="J52" s="31" t="inlineStr">
        <is>
          <t>533267</t>
        </is>
      </c>
    </row>
    <row r="53">
      <c r="A53" s="31" t="inlineStr">
        <is>
          <t>IMFA</t>
        </is>
      </c>
      <c r="B53" s="31" t="inlineStr">
        <is>
          <t>Indian Metals &amp; Ferro Alloys Limited</t>
        </is>
      </c>
      <c r="C53" s="31" t="inlineStr">
        <is>
          <t>metals &amp; mining</t>
        </is>
      </c>
      <c r="D53" s="31" t="inlineStr">
        <is>
          <t>mining / minerals / metals</t>
        </is>
      </c>
      <c r="E53" s="31" t="inlineStr">
        <is>
          <t>midcap</t>
        </is>
      </c>
      <c r="F53" s="31" t="n">
        <v>7553.04</v>
      </c>
      <c r="G53" s="31" t="n">
        <v>1424</v>
      </c>
      <c r="H53" s="31" t="n">
        <v>1.72</v>
      </c>
      <c r="I53" s="31" t="n">
        <v>168764</v>
      </c>
      <c r="J53" s="31" t="inlineStr">
        <is>
          <t>533047</t>
        </is>
      </c>
    </row>
    <row r="54">
      <c r="A54" s="31" t="inlineStr">
        <is>
          <t>APCOTEXIND</t>
        </is>
      </c>
      <c r="B54" s="31" t="inlineStr">
        <is>
          <t>Apcotex Industries Limited</t>
        </is>
      </c>
      <c r="C54" s="31" t="inlineStr">
        <is>
          <t>chemicals</t>
        </is>
      </c>
      <c r="D54" s="31" t="inlineStr">
        <is>
          <t>miscellaneous</t>
        </is>
      </c>
      <c r="E54" s="31" t="inlineStr">
        <is>
          <t>smallcap</t>
        </is>
      </c>
      <c r="F54" s="31" t="n">
        <v>2692.57</v>
      </c>
      <c r="G54" s="31" t="n">
        <v>528.3</v>
      </c>
      <c r="H54" s="31" t="n">
        <v>1.72</v>
      </c>
      <c r="I54" s="31" t="n">
        <v>61248</v>
      </c>
      <c r="J54" s="31" t="inlineStr">
        <is>
          <t>523694</t>
        </is>
      </c>
    </row>
    <row r="55">
      <c r="A55" s="31" t="inlineStr">
        <is>
          <t>PRIVISCL</t>
        </is>
      </c>
      <c r="B55" s="31" t="inlineStr">
        <is>
          <t>Privi Speciality Chemicals Ltd</t>
        </is>
      </c>
      <c r="C55" s="31" t="inlineStr">
        <is>
          <t>chemicals</t>
        </is>
      </c>
      <c r="D55" s="31" t="inlineStr">
        <is>
          <t>chemicals</t>
        </is>
      </c>
      <c r="E55" s="31" t="inlineStr">
        <is>
          <t>midcap</t>
        </is>
      </c>
      <c r="F55" s="31" t="n">
        <v>14147.73</v>
      </c>
      <c r="G55" s="31" t="n">
        <v>3682</v>
      </c>
      <c r="H55" s="31" t="n">
        <v>1.66</v>
      </c>
      <c r="I55" s="31" t="n">
        <v>79820</v>
      </c>
      <c r="J55" s="31" t="inlineStr">
        <is>
          <t>530117</t>
        </is>
      </c>
    </row>
    <row r="56">
      <c r="A56" s="31" t="inlineStr">
        <is>
          <t>TORNTPOWER</t>
        </is>
      </c>
      <c r="B56" s="31" t="inlineStr">
        <is>
          <t>Torrent Power Limited</t>
        </is>
      </c>
      <c r="C56" s="31" t="inlineStr">
        <is>
          <t>power &amp; utilities</t>
        </is>
      </c>
      <c r="D56" s="31" t="inlineStr">
        <is>
          <t>power generation and supply</t>
        </is>
      </c>
      <c r="E56" s="31" t="inlineStr">
        <is>
          <t>largecap</t>
        </is>
      </c>
      <c r="F56" s="31" t="n">
        <v>72657.85000000001</v>
      </c>
      <c r="G56" s="31" t="n">
        <v>1465.3</v>
      </c>
      <c r="H56" s="31" t="n">
        <v>1.62</v>
      </c>
      <c r="I56" s="31" t="n">
        <v>384802</v>
      </c>
      <c r="J56" s="31" t="inlineStr">
        <is>
          <t>532779</t>
        </is>
      </c>
    </row>
    <row r="57">
      <c r="A57" s="31" t="inlineStr">
        <is>
          <t>CAPLIPOINT</t>
        </is>
      </c>
      <c r="B57" s="31" t="inlineStr">
        <is>
          <t>Caplin Point Laboratories Limited</t>
        </is>
      </c>
      <c r="C57" s="31" t="inlineStr">
        <is>
          <t>healthcare</t>
        </is>
      </c>
      <c r="D57" s="31" t="inlineStr">
        <is>
          <t>pharmaceuticals - indian - formulations</t>
        </is>
      </c>
      <c r="E57" s="31" t="inlineStr">
        <is>
          <t>midcap</t>
        </is>
      </c>
      <c r="F57" s="31" t="n">
        <v>19885.42</v>
      </c>
      <c r="G57" s="31" t="n">
        <v>2658.4</v>
      </c>
      <c r="H57" s="31" t="n">
        <v>1.62</v>
      </c>
      <c r="I57" s="31" t="n">
        <v>132710</v>
      </c>
      <c r="J57" s="31" t="inlineStr">
        <is>
          <t>524742</t>
        </is>
      </c>
    </row>
    <row r="58">
      <c r="A58" s="31" t="inlineStr">
        <is>
          <t>INDOTECH</t>
        </is>
      </c>
      <c r="B58" s="31" t="inlineStr">
        <is>
          <t>Indo Tech Transformers Limited</t>
        </is>
      </c>
      <c r="C58" s="31" t="inlineStr">
        <is>
          <t>industrials</t>
        </is>
      </c>
      <c r="D58" s="31" t="inlineStr">
        <is>
          <t>electric equipment</t>
        </is>
      </c>
      <c r="E58" s="31" t="inlineStr">
        <is>
          <t>smallcap</t>
        </is>
      </c>
      <c r="F58" s="31" t="n">
        <v>3606.98</v>
      </c>
      <c r="G58" s="31" t="n">
        <v>3450</v>
      </c>
      <c r="H58" s="31" t="n">
        <v>1.58</v>
      </c>
      <c r="I58" s="31" t="n">
        <v>30819</v>
      </c>
      <c r="J58" s="31" t="inlineStr">
        <is>
          <t>532717</t>
        </is>
      </c>
    </row>
    <row r="59">
      <c r="A59" s="31" t="inlineStr">
        <is>
          <t>AVALON</t>
        </is>
      </c>
      <c r="B59" s="31" t="inlineStr">
        <is>
          <t>Avalon Technologies Ltd</t>
        </is>
      </c>
      <c r="C59" s="31" t="inlineStr">
        <is>
          <t>consumer discretionary</t>
        </is>
      </c>
      <c r="D59" s="31" t="inlineStr">
        <is>
          <t>electronics - components</t>
        </is>
      </c>
      <c r="E59" s="31" t="inlineStr">
        <is>
          <t>midcap</t>
        </is>
      </c>
      <c r="F59" s="31" t="n">
        <v>11489.79</v>
      </c>
      <c r="G59" s="31" t="n">
        <v>1748.1</v>
      </c>
      <c r="H59" s="31" t="n">
        <v>1.58</v>
      </c>
      <c r="I59" s="31" t="n">
        <v>225100</v>
      </c>
      <c r="J59" s="31" t="inlineStr">
        <is>
          <t>543896</t>
        </is>
      </c>
    </row>
    <row r="60">
      <c r="A60" s="31" t="inlineStr">
        <is>
          <t>ANTELOPUS</t>
        </is>
      </c>
      <c r="B60" s="31" t="inlineStr">
        <is>
          <t>Antelopus Selan Energy Ltd</t>
        </is>
      </c>
      <c r="C60" s="31" t="inlineStr">
        <is>
          <t>energy</t>
        </is>
      </c>
      <c r="D60" s="31" t="inlineStr">
        <is>
          <t>oil drilling / allied services</t>
        </is>
      </c>
      <c r="E60" s="31" t="inlineStr">
        <is>
          <t>smallcap</t>
        </is>
      </c>
      <c r="F60" s="31" t="n">
        <v>2980.36</v>
      </c>
      <c r="G60" s="31" t="n">
        <v>860.55</v>
      </c>
      <c r="H60" s="31" t="n">
        <v>1.53</v>
      </c>
      <c r="I60" s="31" t="n">
        <v>143316</v>
      </c>
      <c r="J60" s="31" t="inlineStr">
        <is>
          <t>530075</t>
        </is>
      </c>
    </row>
    <row r="61">
      <c r="A61" s="31" t="inlineStr">
        <is>
          <t>ACMESOLAR</t>
        </is>
      </c>
      <c r="B61" s="31" t="inlineStr">
        <is>
          <t>ACME Solar Holdings Ltd</t>
        </is>
      </c>
      <c r="C61" s="31" t="inlineStr">
        <is>
          <t>realty</t>
        </is>
      </c>
      <c r="D61" s="31" t="inlineStr">
        <is>
          <t>engineering - turnkey services</t>
        </is>
      </c>
      <c r="E61" s="31" t="inlineStr">
        <is>
          <t>largecap</t>
        </is>
      </c>
      <c r="F61" s="31" t="n">
        <v>26748.99</v>
      </c>
      <c r="G61" s="31" t="n">
        <v>384.6</v>
      </c>
      <c r="H61" s="31" t="n">
        <v>1.53</v>
      </c>
      <c r="I61" s="31" t="n">
        <v>4244229</v>
      </c>
      <c r="J61" s="31" t="inlineStr">
        <is>
          <t>544283</t>
        </is>
      </c>
    </row>
    <row r="62">
      <c r="A62" s="31" t="inlineStr">
        <is>
          <t>OCCLLTD</t>
        </is>
      </c>
      <c r="B62" s="31" t="inlineStr">
        <is>
          <t>OCCL Ltd</t>
        </is>
      </c>
      <c r="C62" s="31" t="inlineStr">
        <is>
          <t>chemicals</t>
        </is>
      </c>
      <c r="D62" s="31" t="inlineStr">
        <is>
          <t>chemicals</t>
        </is>
      </c>
      <c r="E62" s="31" t="inlineStr">
        <is>
          <t>smallcap</t>
        </is>
      </c>
      <c r="F62" s="31" t="n">
        <v>640.86</v>
      </c>
      <c r="G62" s="31" t="n">
        <v>130.25</v>
      </c>
      <c r="H62" s="31" t="n">
        <v>1.52</v>
      </c>
      <c r="I62" s="31" t="n">
        <v>31681</v>
      </c>
      <c r="J62" s="31" t="inlineStr">
        <is>
          <t>544278</t>
        </is>
      </c>
    </row>
    <row r="63">
      <c r="A63" s="31" t="inlineStr">
        <is>
          <t>TATVA</t>
        </is>
      </c>
      <c r="B63" s="31" t="inlineStr">
        <is>
          <t>Tatva Chintan Pharma Chem Ltd</t>
        </is>
      </c>
      <c r="C63" s="31" t="inlineStr">
        <is>
          <t>chemicals</t>
        </is>
      </c>
      <c r="D63" s="31" t="inlineStr">
        <is>
          <t>chemicals</t>
        </is>
      </c>
      <c r="E63" s="31" t="inlineStr">
        <is>
          <t>smallcap</t>
        </is>
      </c>
      <c r="F63" s="31" t="n">
        <v>3254.77</v>
      </c>
      <c r="G63" s="31" t="n">
        <v>1412.1</v>
      </c>
      <c r="H63" s="31" t="n">
        <v>1.49</v>
      </c>
      <c r="I63" s="31" t="n">
        <v>101527</v>
      </c>
      <c r="J63" s="31" t="inlineStr">
        <is>
          <t>543321</t>
        </is>
      </c>
    </row>
    <row r="64">
      <c r="A64" s="31" t="inlineStr">
        <is>
          <t>SPECTRUM</t>
        </is>
      </c>
      <c r="B64" s="31" t="inlineStr">
        <is>
          <t>Spectrum Electrical Industries Ltd</t>
        </is>
      </c>
      <c r="C64" s="31" t="inlineStr">
        <is>
          <t>industrials</t>
        </is>
      </c>
      <c r="D64" s="31" t="inlineStr">
        <is>
          <t>electric equipment</t>
        </is>
      </c>
      <c r="E64" s="31" t="inlineStr">
        <is>
          <t>smallcap</t>
        </is>
      </c>
      <c r="F64" s="31" t="n">
        <v>3151.41</v>
      </c>
      <c r="G64" s="31" t="n">
        <v>2035</v>
      </c>
      <c r="H64" s="31" t="n">
        <v>1.47</v>
      </c>
      <c r="I64" s="31" t="n">
        <v>17420</v>
      </c>
      <c r="J64" s="31" t="inlineStr">
        <is>
          <t>535112</t>
        </is>
      </c>
    </row>
    <row r="65">
      <c r="A65" s="31" t="inlineStr">
        <is>
          <t>JLHL</t>
        </is>
      </c>
      <c r="B65" s="31" t="inlineStr">
        <is>
          <t>Jupiter Life Line Hospitals Ltd</t>
        </is>
      </c>
      <c r="C65" s="31" t="inlineStr">
        <is>
          <t>healthcare</t>
        </is>
      </c>
      <c r="D65" s="31" t="inlineStr">
        <is>
          <t>healthcare</t>
        </is>
      </c>
      <c r="E65" s="31" t="inlineStr">
        <is>
          <t>midcap</t>
        </is>
      </c>
      <c r="F65" s="31" t="n">
        <v>9596.9</v>
      </c>
      <c r="G65" s="31" t="n">
        <v>1485</v>
      </c>
      <c r="H65" s="31" t="n">
        <v>1.46</v>
      </c>
      <c r="I65" s="31" t="n">
        <v>22110</v>
      </c>
      <c r="J65" s="31" t="inlineStr">
        <is>
          <t>543980</t>
        </is>
      </c>
    </row>
    <row r="66">
      <c r="A66" s="31" t="inlineStr">
        <is>
          <t>ATHERENERG</t>
        </is>
      </c>
      <c r="B66" s="31" t="inlineStr">
        <is>
          <t>Ather Energy Ltd</t>
        </is>
      </c>
      <c r="C66" s="31" t="inlineStr">
        <is>
          <t>auto</t>
        </is>
      </c>
      <c r="D66" s="31" t="inlineStr">
        <is>
          <t>automobiles - scooters and 3 - wheelers</t>
        </is>
      </c>
      <c r="E66" s="31" t="inlineStr">
        <is>
          <t>largecap</t>
        </is>
      </c>
      <c r="F66" s="31" t="n">
        <v>45384.51</v>
      </c>
      <c r="G66" s="31" t="n">
        <v>1201.8</v>
      </c>
      <c r="H66" s="31" t="n">
        <v>1.45</v>
      </c>
      <c r="I66" s="31" t="n">
        <v>3483819</v>
      </c>
      <c r="J66" s="31" t="inlineStr">
        <is>
          <t>544397</t>
        </is>
      </c>
    </row>
    <row r="67">
      <c r="A67" s="31" t="inlineStr">
        <is>
          <t>DBOL</t>
        </is>
      </c>
      <c r="B67" s="31" t="inlineStr">
        <is>
          <t>Dhampur Bio Organics Ltd</t>
        </is>
      </c>
      <c r="C67" s="31" t="inlineStr">
        <is>
          <t>fmcg</t>
        </is>
      </c>
      <c r="D67" s="31" t="inlineStr">
        <is>
          <t>sugar</t>
        </is>
      </c>
      <c r="E67" s="31" t="inlineStr">
        <is>
          <t>smallcap</t>
        </is>
      </c>
      <c r="F67" s="31" t="n">
        <v>771.89</v>
      </c>
      <c r="G67" s="31" t="n">
        <v>117.9</v>
      </c>
      <c r="H67" s="31" t="n">
        <v>1.4</v>
      </c>
      <c r="I67" s="31" t="n">
        <v>145327</v>
      </c>
      <c r="J67" s="31" t="inlineStr">
        <is>
          <t>543593</t>
        </is>
      </c>
    </row>
    <row r="68">
      <c r="A68" s="31" t="inlineStr">
        <is>
          <t>AJAXENGG</t>
        </is>
      </c>
      <c r="B68" s="31" t="inlineStr">
        <is>
          <t>Ajax Engineering Ltd</t>
        </is>
      </c>
      <c r="C68" s="31" t="inlineStr">
        <is>
          <t>industrials</t>
        </is>
      </c>
      <c r="D68" s="31" t="inlineStr">
        <is>
          <t>engineering</t>
        </is>
      </c>
      <c r="E68" s="31" t="inlineStr">
        <is>
          <t>midcap</t>
        </is>
      </c>
      <c r="F68" s="31" t="n">
        <v>6860.98</v>
      </c>
      <c r="G68" s="31" t="n">
        <v>607.95</v>
      </c>
      <c r="H68" s="31" t="n">
        <v>1.38</v>
      </c>
      <c r="I68" s="31" t="n">
        <v>247392</v>
      </c>
      <c r="J68" s="31" t="inlineStr">
        <is>
          <t>544356</t>
        </is>
      </c>
    </row>
    <row r="69">
      <c r="A69" s="31" t="inlineStr">
        <is>
          <t>APOLLOHOSP</t>
        </is>
      </c>
      <c r="B69" s="31" t="inlineStr">
        <is>
          <t>Apollo Hospitals Enterprise Limited</t>
        </is>
      </c>
      <c r="C69" s="31" t="inlineStr">
        <is>
          <t>healthcare</t>
        </is>
      </c>
      <c r="D69" s="31" t="inlineStr">
        <is>
          <t>healthcare</t>
        </is>
      </c>
      <c r="E69" s="31" t="inlineStr">
        <is>
          <t>largecap</t>
        </is>
      </c>
      <c r="F69" s="31" t="n">
        <v>126278.88</v>
      </c>
      <c r="G69" s="31" t="n">
        <v>8900.5</v>
      </c>
      <c r="H69" s="31" t="n">
        <v>1.34</v>
      </c>
      <c r="I69" s="31" t="n">
        <v>412509</v>
      </c>
      <c r="J69" s="31" t="inlineStr">
        <is>
          <t>508869</t>
        </is>
      </c>
    </row>
    <row r="70">
      <c r="A70" s="31" t="inlineStr">
        <is>
          <t>CYIENTDLM</t>
        </is>
      </c>
      <c r="B70" s="31" t="inlineStr">
        <is>
          <t>Cyient DLM Ltd</t>
        </is>
      </c>
      <c r="C70" s="31" t="inlineStr">
        <is>
          <t>consumer discretionary</t>
        </is>
      </c>
      <c r="D70" s="31" t="inlineStr">
        <is>
          <t>electronics - components</t>
        </is>
      </c>
      <c r="E70" s="31" t="inlineStr">
        <is>
          <t>smallcap</t>
        </is>
      </c>
      <c r="F70" s="31" t="n">
        <v>4171.79</v>
      </c>
      <c r="G70" s="31" t="n">
        <v>532.65</v>
      </c>
      <c r="H70" s="31" t="n">
        <v>1.33</v>
      </c>
      <c r="I70" s="31" t="n">
        <v>297422</v>
      </c>
      <c r="J70" s="31" t="inlineStr">
        <is>
          <t>543933</t>
        </is>
      </c>
    </row>
    <row r="71">
      <c r="A71" s="31" t="inlineStr">
        <is>
          <t>INDIAGLYCO</t>
        </is>
      </c>
      <c r="B71" s="31" t="inlineStr">
        <is>
          <t>India Glycols Limited</t>
        </is>
      </c>
      <c r="C71" s="31" t="inlineStr">
        <is>
          <t>fmcg</t>
        </is>
      </c>
      <c r="D71" s="31" t="inlineStr">
        <is>
          <t>breweries &amp; distilleries</t>
        </is>
      </c>
      <c r="E71" s="31" t="inlineStr">
        <is>
          <t>midcap</t>
        </is>
      </c>
      <c r="F71" s="31" t="n">
        <v>7293.85</v>
      </c>
      <c r="G71" s="31" t="n">
        <v>1102.65</v>
      </c>
      <c r="H71" s="31" t="n">
        <v>1.33</v>
      </c>
      <c r="I71" s="31" t="n">
        <v>269893</v>
      </c>
      <c r="J71" s="31" t="inlineStr">
        <is>
          <t>500201</t>
        </is>
      </c>
    </row>
    <row r="72">
      <c r="A72" s="31" t="inlineStr">
        <is>
          <t>ORBTEXP</t>
        </is>
      </c>
      <c r="B72" s="31" t="inlineStr">
        <is>
          <t>Orbit Exports Limited</t>
        </is>
      </c>
      <c r="C72" s="31" t="inlineStr">
        <is>
          <t>textiles</t>
        </is>
      </c>
      <c r="D72" s="31" t="inlineStr">
        <is>
          <t>textiles - processing</t>
        </is>
      </c>
      <c r="E72" s="31" t="inlineStr">
        <is>
          <t>smallcap</t>
        </is>
      </c>
      <c r="F72" s="31" t="n">
        <v>624.8099999999999</v>
      </c>
      <c r="G72" s="31" t="n">
        <v>238.5</v>
      </c>
      <c r="H72" s="31" t="n">
        <v>1.2</v>
      </c>
      <c r="I72" s="31" t="n">
        <v>13208</v>
      </c>
      <c r="J72" s="31" t="inlineStr">
        <is>
          <t>512626</t>
        </is>
      </c>
    </row>
    <row r="73">
      <c r="A73" s="31" t="inlineStr">
        <is>
          <t>FLUOROCHEM</t>
        </is>
      </c>
      <c r="B73" s="31" t="inlineStr">
        <is>
          <t>Gujarat Fluorochemicals Ltd</t>
        </is>
      </c>
      <c r="C73" s="31" t="inlineStr">
        <is>
          <t>chemicals</t>
        </is>
      </c>
      <c r="D73" s="31" t="inlineStr">
        <is>
          <t>chemicals</t>
        </is>
      </c>
      <c r="E73" s="31" t="inlineStr">
        <is>
          <t>largecap</t>
        </is>
      </c>
      <c r="F73" s="31" t="n">
        <v>42833.81</v>
      </c>
      <c r="G73" s="31" t="n">
        <v>3946</v>
      </c>
      <c r="H73" s="31" t="n">
        <v>1.2</v>
      </c>
      <c r="I73" s="31" t="n">
        <v>117141</v>
      </c>
      <c r="J73" s="31" t="inlineStr">
        <is>
          <t>542812</t>
        </is>
      </c>
    </row>
    <row r="74">
      <c r="A74" s="31" t="inlineStr">
        <is>
          <t>UFBL</t>
        </is>
      </c>
      <c r="B74" s="31" t="inlineStr">
        <is>
          <t>United Foodbrands Ltd</t>
        </is>
      </c>
      <c r="C74" s="31" t="inlineStr">
        <is>
          <t>consumer discretionary</t>
        </is>
      </c>
      <c r="D74" s="31" t="inlineStr">
        <is>
          <t>hotels</t>
        </is>
      </c>
      <c r="E74" s="31" t="inlineStr">
        <is>
          <t>smallcap</t>
        </is>
      </c>
      <c r="F74" s="31" t="n">
        <v>2897.86</v>
      </c>
      <c r="G74" s="31" t="n">
        <v>750</v>
      </c>
      <c r="H74" s="31" t="n">
        <v>1.16</v>
      </c>
      <c r="I74" s="31" t="n">
        <v>82583</v>
      </c>
      <c r="J74" s="31" t="inlineStr">
        <is>
          <t>543283</t>
        </is>
      </c>
    </row>
    <row r="75">
      <c r="A75" s="31" t="inlineStr">
        <is>
          <t>PANSARI</t>
        </is>
      </c>
      <c r="B75" s="31" t="inlineStr">
        <is>
          <t>Pansari Developers Ltd</t>
        </is>
      </c>
      <c r="C75" s="31" t="inlineStr">
        <is>
          <t>realty</t>
        </is>
      </c>
      <c r="D75" s="31" t="inlineStr">
        <is>
          <t>construction</t>
        </is>
      </c>
      <c r="E75" s="31" t="inlineStr">
        <is>
          <t>smallcap</t>
        </is>
      </c>
      <c r="F75" s="31" t="n">
        <v>626.08</v>
      </c>
      <c r="G75" s="31" t="n">
        <v>363</v>
      </c>
      <c r="H75" s="31" t="n">
        <v>1.16</v>
      </c>
      <c r="I75" s="31" t="n">
        <v>2886</v>
      </c>
      <c r="J75" s="31" t="inlineStr">
        <is>
          <t>538381</t>
        </is>
      </c>
    </row>
    <row r="76">
      <c r="A76" s="31" t="inlineStr">
        <is>
          <t>SENORES</t>
        </is>
      </c>
      <c r="B76" s="31" t="inlineStr">
        <is>
          <t>Senores Pharmaceuticals Ltd</t>
        </is>
      </c>
      <c r="C76" s="31" t="inlineStr">
        <is>
          <t>healthcare</t>
        </is>
      </c>
      <c r="D76" s="31" t="inlineStr">
        <is>
          <t>pharmaceuticals - indian - formulations</t>
        </is>
      </c>
      <c r="E76" s="31" t="inlineStr">
        <is>
          <t>midcap</t>
        </is>
      </c>
      <c r="F76" s="31" t="n">
        <v>6610.99</v>
      </c>
      <c r="G76" s="31" t="n">
        <v>1451.8</v>
      </c>
      <c r="H76" s="31" t="n">
        <v>1.14</v>
      </c>
      <c r="I76" s="31" t="n">
        <v>219960</v>
      </c>
      <c r="J76" s="31" t="inlineStr">
        <is>
          <t>544319</t>
        </is>
      </c>
    </row>
    <row r="77">
      <c r="A77" s="31" t="inlineStr">
        <is>
          <t>LALPATHLAB</t>
        </is>
      </c>
      <c r="B77" s="31" t="inlineStr">
        <is>
          <t>Dr. Lal Path Labs Ltd.</t>
        </is>
      </c>
      <c r="C77" s="31" t="inlineStr">
        <is>
          <t>healthcare</t>
        </is>
      </c>
      <c r="D77" s="31" t="inlineStr">
        <is>
          <t>healthcare</t>
        </is>
      </c>
      <c r="E77" s="31" t="inlineStr">
        <is>
          <t>largecap</t>
        </is>
      </c>
      <c r="F77" s="31" t="n">
        <v>28904.92</v>
      </c>
      <c r="G77" s="31" t="n">
        <v>1744.6</v>
      </c>
      <c r="H77" s="31" t="n">
        <v>1.13</v>
      </c>
      <c r="I77" s="31" t="n">
        <v>286108</v>
      </c>
      <c r="J77" s="31" t="inlineStr">
        <is>
          <t>539524</t>
        </is>
      </c>
    </row>
    <row r="78">
      <c r="A78" s="31" t="inlineStr">
        <is>
          <t>JBCHEPHARM</t>
        </is>
      </c>
      <c r="B78" s="31" t="inlineStr">
        <is>
          <t>Jb Chemicals &amp; Pharmaceuticals Limited</t>
        </is>
      </c>
      <c r="C78" s="31" t="inlineStr">
        <is>
          <t>healthcare</t>
        </is>
      </c>
      <c r="D78" s="31" t="inlineStr">
        <is>
          <t>pharmaceuticals - indian - bulk drugs &amp; formln</t>
        </is>
      </c>
      <c r="E78" s="31" t="inlineStr">
        <is>
          <t>largecap</t>
        </is>
      </c>
      <c r="F78" s="31" t="n">
        <v>39497.44</v>
      </c>
      <c r="G78" s="31" t="n">
        <v>2487.6</v>
      </c>
      <c r="H78" s="31" t="n">
        <v>1.12</v>
      </c>
      <c r="I78" s="31" t="n">
        <v>837579</v>
      </c>
      <c r="J78" s="31" t="inlineStr">
        <is>
          <t>506943</t>
        </is>
      </c>
    </row>
    <row r="79">
      <c r="A79" s="31" t="inlineStr">
        <is>
          <t>ROSSTECH</t>
        </is>
      </c>
      <c r="B79" s="31" t="inlineStr">
        <is>
          <t>Rossell Techsys Ltd</t>
        </is>
      </c>
      <c r="C79" s="31" t="inlineStr">
        <is>
          <t>aerospace &amp; defence</t>
        </is>
      </c>
      <c r="D79" s="31" t="inlineStr">
        <is>
          <t>engineering</t>
        </is>
      </c>
      <c r="E79" s="31" t="inlineStr">
        <is>
          <t>smallcap</t>
        </is>
      </c>
      <c r="F79" s="31" t="n">
        <v>3864.83</v>
      </c>
      <c r="G79" s="31" t="n">
        <v>1036.6</v>
      </c>
      <c r="H79" s="31" t="n">
        <v>1.11</v>
      </c>
      <c r="I79" s="31" t="n">
        <v>129356</v>
      </c>
      <c r="J79" s="31" t="inlineStr">
        <is>
          <t>544294</t>
        </is>
      </c>
    </row>
    <row r="80">
      <c r="A80" s="31" t="inlineStr">
        <is>
          <t>GLAND</t>
        </is>
      </c>
      <c r="B80" s="31" t="inlineStr">
        <is>
          <t>Gland Pharma Ltd</t>
        </is>
      </c>
      <c r="C80" s="31" t="inlineStr">
        <is>
          <t>healthcare</t>
        </is>
      </c>
      <c r="D80" s="31" t="inlineStr">
        <is>
          <t>pharmaceuticals - indian - formulations</t>
        </is>
      </c>
      <c r="E80" s="31" t="inlineStr">
        <is>
          <t>largecap</t>
        </is>
      </c>
      <c r="F80" s="31" t="n">
        <v>40549.85</v>
      </c>
      <c r="G80" s="31" t="n">
        <v>2488.3</v>
      </c>
      <c r="H80" s="31" t="n">
        <v>1.1</v>
      </c>
      <c r="I80" s="31" t="n">
        <v>492111</v>
      </c>
      <c r="J80" s="31" t="inlineStr">
        <is>
          <t>543245</t>
        </is>
      </c>
    </row>
    <row r="81">
      <c r="A81" s="31" t="inlineStr">
        <is>
          <t>SUNPHARMA</t>
        </is>
      </c>
      <c r="B81" s="31" t="inlineStr">
        <is>
          <t>Sun Pharmaceuticals Industries Limited</t>
        </is>
      </c>
      <c r="C81" s="31" t="inlineStr">
        <is>
          <t>healthcare</t>
        </is>
      </c>
      <c r="D81" s="31" t="inlineStr">
        <is>
          <t>pharmaceuticals - indian - bulk drugs &amp; formln</t>
        </is>
      </c>
      <c r="E81" s="31" t="inlineStr">
        <is>
          <t>largecap</t>
        </is>
      </c>
      <c r="F81" s="31" t="n">
        <v>461008.22</v>
      </c>
      <c r="G81" s="31" t="n">
        <v>1942.6</v>
      </c>
      <c r="H81" s="31" t="n">
        <v>1.1</v>
      </c>
      <c r="I81" s="31" t="n">
        <v>2822174</v>
      </c>
      <c r="J81" s="31" t="inlineStr">
        <is>
          <t>524715</t>
        </is>
      </c>
    </row>
    <row r="82">
      <c r="A82" s="31" t="inlineStr">
        <is>
          <t>SAMBHV</t>
        </is>
      </c>
      <c r="B82" s="31" t="inlineStr">
        <is>
          <t>Sambhv Steel Tubes Ltd</t>
        </is>
      </c>
      <c r="C82" s="31" t="inlineStr">
        <is>
          <t>metals &amp; mining</t>
        </is>
      </c>
      <c r="D82" s="31" t="inlineStr">
        <is>
          <t>steel - medium / small</t>
        </is>
      </c>
      <c r="E82" s="31" t="inlineStr">
        <is>
          <t>smallcap</t>
        </is>
      </c>
      <c r="F82" s="31" t="n">
        <v>3563.17</v>
      </c>
      <c r="G82" s="31" t="n">
        <v>122.21</v>
      </c>
      <c r="H82" s="31" t="n">
        <v>1.07</v>
      </c>
      <c r="I82" s="31" t="n">
        <v>1669111</v>
      </c>
      <c r="J82" s="31" t="inlineStr">
        <is>
          <t>544430</t>
        </is>
      </c>
    </row>
    <row r="83">
      <c r="A83" s="31" t="inlineStr">
        <is>
          <t>TVSSCS</t>
        </is>
      </c>
      <c r="B83" s="31" t="inlineStr">
        <is>
          <t>TVS Supply Chain Solutions Ltd</t>
        </is>
      </c>
      <c r="C83" s="31" t="inlineStr">
        <is>
          <t>transportation</t>
        </is>
      </c>
      <c r="D83" s="31" t="inlineStr">
        <is>
          <t>miscellaneous</t>
        </is>
      </c>
      <c r="E83" s="31" t="inlineStr">
        <is>
          <t>midcap</t>
        </is>
      </c>
      <c r="F83" s="31" t="n">
        <v>6089.61</v>
      </c>
      <c r="G83" s="31" t="n">
        <v>139.48</v>
      </c>
      <c r="H83" s="31" t="n">
        <v>1.05</v>
      </c>
      <c r="I83" s="31" t="n">
        <v>460634</v>
      </c>
      <c r="J83" s="31" t="inlineStr">
        <is>
          <t>543965</t>
        </is>
      </c>
    </row>
    <row r="84">
      <c r="A84" s="31" t="inlineStr">
        <is>
          <t>VARROC</t>
        </is>
      </c>
      <c r="B84" s="31" t="inlineStr">
        <is>
          <t>Varroc Engineering Ltd</t>
        </is>
      </c>
      <c r="C84" s="31" t="inlineStr">
        <is>
          <t>auto</t>
        </is>
      </c>
      <c r="D84" s="31" t="inlineStr">
        <is>
          <t>auto ancillaries</t>
        </is>
      </c>
      <c r="E84" s="31" t="inlineStr">
        <is>
          <t>midcap</t>
        </is>
      </c>
      <c r="F84" s="31" t="n">
        <v>10081.61</v>
      </c>
      <c r="G84" s="31" t="n">
        <v>666.7</v>
      </c>
      <c r="H84" s="31" t="n">
        <v>1.04</v>
      </c>
      <c r="I84" s="31" t="n">
        <v>103242</v>
      </c>
      <c r="J84" s="31" t="inlineStr">
        <is>
          <t>541578</t>
        </is>
      </c>
    </row>
    <row r="85">
      <c r="A85" s="31" t="inlineStr">
        <is>
          <t>JAYBARMARU</t>
        </is>
      </c>
      <c r="B85" s="31" t="inlineStr">
        <is>
          <t>Jay Bharat Maruti Limited</t>
        </is>
      </c>
      <c r="C85" s="31" t="inlineStr">
        <is>
          <t>auto</t>
        </is>
      </c>
      <c r="D85" s="31" t="inlineStr">
        <is>
          <t>auto ancillaries</t>
        </is>
      </c>
      <c r="E85" s="31" t="inlineStr">
        <is>
          <t>smallcap</t>
        </is>
      </c>
      <c r="F85" s="31" t="n">
        <v>2134.15</v>
      </c>
      <c r="G85" s="31" t="n">
        <v>199.18</v>
      </c>
      <c r="H85" s="31" t="n">
        <v>1.03</v>
      </c>
      <c r="I85" s="31" t="n">
        <v>2204261</v>
      </c>
      <c r="J85" s="31" t="inlineStr">
        <is>
          <t>520066</t>
        </is>
      </c>
    </row>
    <row r="86">
      <c r="A86" s="31" t="inlineStr">
        <is>
          <t>NAHARSPING</t>
        </is>
      </c>
      <c r="B86" s="31" t="inlineStr">
        <is>
          <t>Nahar Spinning Mills Limited</t>
        </is>
      </c>
      <c r="C86" s="31" t="inlineStr">
        <is>
          <t>textiles</t>
        </is>
      </c>
      <c r="D86" s="31" t="inlineStr">
        <is>
          <t>textiles - cotton/blended</t>
        </is>
      </c>
      <c r="E86" s="31" t="inlineStr">
        <is>
          <t>smallcap</t>
        </is>
      </c>
      <c r="F86" s="31" t="n">
        <v>978.09</v>
      </c>
      <c r="G86" s="31" t="n">
        <v>274</v>
      </c>
      <c r="H86" s="31" t="n">
        <v>1.03</v>
      </c>
      <c r="I86" s="31" t="n">
        <v>10316</v>
      </c>
      <c r="J86" s="31" t="inlineStr">
        <is>
          <t>500296</t>
        </is>
      </c>
    </row>
    <row r="87">
      <c r="A87" s="31" t="inlineStr">
        <is>
          <t>HCG</t>
        </is>
      </c>
      <c r="B87" s="31" t="inlineStr">
        <is>
          <t>Healthcare Global Enterprises Limited</t>
        </is>
      </c>
      <c r="C87" s="31" t="inlineStr">
        <is>
          <t>healthcare</t>
        </is>
      </c>
      <c r="D87" s="31" t="inlineStr">
        <is>
          <t>healthcare</t>
        </is>
      </c>
      <c r="E87" s="31" t="inlineStr">
        <is>
          <t>midcap</t>
        </is>
      </c>
      <c r="F87" s="31" t="n">
        <v>10135.38</v>
      </c>
      <c r="G87" s="31" t="n">
        <v>685.6</v>
      </c>
      <c r="H87" s="31" t="n">
        <v>0.99</v>
      </c>
      <c r="I87" s="31" t="n">
        <v>128577</v>
      </c>
      <c r="J87" s="31" t="inlineStr">
        <is>
          <t>539787</t>
        </is>
      </c>
    </row>
    <row r="88">
      <c r="A88" s="31" t="inlineStr">
        <is>
          <t>MANKIND</t>
        </is>
      </c>
      <c r="B88" s="31" t="inlineStr">
        <is>
          <t>Mankind Pharma Ltd</t>
        </is>
      </c>
      <c r="C88" s="31" t="inlineStr">
        <is>
          <t>healthcare</t>
        </is>
      </c>
      <c r="D88" s="31" t="inlineStr">
        <is>
          <t>pharmaceuticals - indian - bulk drugs &amp; formln</t>
        </is>
      </c>
      <c r="E88" s="31" t="inlineStr">
        <is>
          <t>largecap</t>
        </is>
      </c>
      <c r="F88" s="31" t="n">
        <v>103516.7</v>
      </c>
      <c r="G88" s="31" t="n">
        <v>2531.1</v>
      </c>
      <c r="H88" s="31" t="n">
        <v>0.9399999999999999</v>
      </c>
      <c r="I88" s="31" t="n">
        <v>247728</v>
      </c>
      <c r="J88" s="31" t="inlineStr">
        <is>
          <t>543904</t>
        </is>
      </c>
    </row>
    <row r="89">
      <c r="A89" s="31" t="inlineStr">
        <is>
          <t>UNITDSPR</t>
        </is>
      </c>
      <c r="B89" s="31" t="inlineStr">
        <is>
          <t>United Spirits Ltd</t>
        </is>
      </c>
      <c r="C89" s="31" t="inlineStr">
        <is>
          <t>fmcg</t>
        </is>
      </c>
      <c r="D89" s="31" t="inlineStr">
        <is>
          <t>breweries &amp; distilleries</t>
        </is>
      </c>
      <c r="E89" s="31" t="inlineStr">
        <is>
          <t>largecap</t>
        </is>
      </c>
      <c r="F89" s="31" t="n">
        <v>99894.37</v>
      </c>
      <c r="G89" s="31" t="n">
        <v>1386.3</v>
      </c>
      <c r="H89" s="31" t="n">
        <v>0.9399999999999999</v>
      </c>
      <c r="I89" s="31" t="n">
        <v>565518</v>
      </c>
      <c r="J89" s="31" t="inlineStr">
        <is>
          <t>532432</t>
        </is>
      </c>
    </row>
    <row r="90">
      <c r="A90" s="31" t="inlineStr">
        <is>
          <t>IPCALAB</t>
        </is>
      </c>
      <c r="B90" s="31" t="inlineStr">
        <is>
          <t>Ipca Laboratories Limited</t>
        </is>
      </c>
      <c r="C90" s="31" t="inlineStr">
        <is>
          <t>healthcare</t>
        </is>
      </c>
      <c r="D90" s="31" t="inlineStr">
        <is>
          <t>pharmaceuticals - indian - bulk drugs &amp; formln</t>
        </is>
      </c>
      <c r="E90" s="31" t="inlineStr">
        <is>
          <t>largecap</t>
        </is>
      </c>
      <c r="F90" s="31" t="n">
        <v>46257.89</v>
      </c>
      <c r="G90" s="31" t="n">
        <v>1840.4</v>
      </c>
      <c r="H90" s="31" t="n">
        <v>0.9399999999999999</v>
      </c>
      <c r="I90" s="31" t="n">
        <v>241497</v>
      </c>
      <c r="J90" s="31" t="inlineStr">
        <is>
          <t>524494</t>
        </is>
      </c>
    </row>
    <row r="91">
      <c r="A91" s="31" t="inlineStr">
        <is>
          <t>EIFFL</t>
        </is>
      </c>
      <c r="B91" s="31" t="inlineStr">
        <is>
          <t>Euro India Fresh Foods Ltd</t>
        </is>
      </c>
      <c r="C91" s="31" t="inlineStr">
        <is>
          <t>fmcg</t>
        </is>
      </c>
      <c r="D91" s="31" t="inlineStr">
        <is>
          <t>food - processing - indian</t>
        </is>
      </c>
      <c r="E91" s="31" t="inlineStr">
        <is>
          <t>smallcap</t>
        </is>
      </c>
      <c r="F91" s="31" t="n">
        <v>823.24</v>
      </c>
      <c r="G91" s="31" t="n">
        <v>335</v>
      </c>
      <c r="H91" s="31" t="n">
        <v>0.92</v>
      </c>
      <c r="I91" s="31" t="n">
        <v>8661</v>
      </c>
      <c r="J91" s="31" t="inlineStr">
        <is>
          <t>538412</t>
        </is>
      </c>
    </row>
    <row r="92">
      <c r="A92" s="31" t="inlineStr">
        <is>
          <t>AIAENG</t>
        </is>
      </c>
      <c r="B92" s="31" t="inlineStr">
        <is>
          <t>Aia Engineering Limited</t>
        </is>
      </c>
      <c r="C92" s="31" t="inlineStr">
        <is>
          <t>industrials</t>
        </is>
      </c>
      <c r="D92" s="31" t="inlineStr">
        <is>
          <t>castings &amp; forgings</t>
        </is>
      </c>
      <c r="E92" s="31" t="inlineStr">
        <is>
          <t>largecap</t>
        </is>
      </c>
      <c r="F92" s="31" t="n">
        <v>44159.2</v>
      </c>
      <c r="G92" s="31" t="n">
        <v>4775</v>
      </c>
      <c r="H92" s="31" t="n">
        <v>0.91</v>
      </c>
      <c r="I92" s="31" t="n">
        <v>47520</v>
      </c>
      <c r="J92" s="31" t="inlineStr">
        <is>
          <t>532683</t>
        </is>
      </c>
    </row>
    <row r="93">
      <c r="A93" s="31" t="inlineStr">
        <is>
          <t>MUKANDLTD</t>
        </is>
      </c>
      <c r="B93" s="31" t="inlineStr">
        <is>
          <t>Mukand Limited</t>
        </is>
      </c>
      <c r="C93" s="31" t="inlineStr">
        <is>
          <t>metals &amp; mining</t>
        </is>
      </c>
      <c r="D93" s="31" t="inlineStr">
        <is>
          <t>steel - medium / small</t>
        </is>
      </c>
      <c r="E93" s="31" t="inlineStr">
        <is>
          <t>smallcap</t>
        </is>
      </c>
      <c r="F93" s="31" t="n">
        <v>1962.97</v>
      </c>
      <c r="G93" s="31" t="n">
        <v>136.99</v>
      </c>
      <c r="H93" s="31" t="n">
        <v>0.84</v>
      </c>
      <c r="I93" s="31" t="n">
        <v>96390</v>
      </c>
      <c r="J93" s="31" t="inlineStr">
        <is>
          <t>500460</t>
        </is>
      </c>
    </row>
    <row r="94">
      <c r="A94" s="31" t="inlineStr">
        <is>
          <t>WELENT</t>
        </is>
      </c>
      <c r="B94" s="31" t="inlineStr">
        <is>
          <t>Welspun Enterprises Limited</t>
        </is>
      </c>
      <c r="C94" s="31" t="inlineStr">
        <is>
          <t>realty</t>
        </is>
      </c>
      <c r="D94" s="31" t="inlineStr">
        <is>
          <t>construction</t>
        </is>
      </c>
      <c r="E94" s="31" t="inlineStr">
        <is>
          <t>midcap</t>
        </is>
      </c>
      <c r="F94" s="31" t="n">
        <v>8511.76</v>
      </c>
      <c r="G94" s="31" t="n">
        <v>620.1</v>
      </c>
      <c r="H94" s="31" t="n">
        <v>0.84</v>
      </c>
      <c r="I94" s="31" t="n">
        <v>580412</v>
      </c>
      <c r="J94" s="31" t="inlineStr">
        <is>
          <t>532553</t>
        </is>
      </c>
    </row>
    <row r="95">
      <c r="A95" s="31" t="inlineStr">
        <is>
          <t>CEMPRO</t>
        </is>
      </c>
      <c r="B95" s="31" t="inlineStr">
        <is>
          <t>Cemindia Projects Ltd</t>
        </is>
      </c>
      <c r="C95" s="31" t="inlineStr">
        <is>
          <t>realty</t>
        </is>
      </c>
      <c r="D95" s="31" t="inlineStr">
        <is>
          <t>construction</t>
        </is>
      </c>
      <c r="E95" s="31" t="inlineStr">
        <is>
          <t>largecap</t>
        </is>
      </c>
      <c r="F95" s="31" t="n">
        <v>27206</v>
      </c>
      <c r="G95" s="31" t="n">
        <v>1596.6</v>
      </c>
      <c r="H95" s="31" t="n">
        <v>0.8100000000000001</v>
      </c>
      <c r="I95" s="31" t="n">
        <v>694804</v>
      </c>
      <c r="J95" s="31" t="inlineStr">
        <is>
          <t>509496</t>
        </is>
      </c>
    </row>
    <row r="96">
      <c r="A96" s="31" t="inlineStr">
        <is>
          <t>CIPLA</t>
        </is>
      </c>
      <c r="B96" s="31" t="inlineStr">
        <is>
          <t>Cipla Limited</t>
        </is>
      </c>
      <c r="C96" s="31" t="inlineStr">
        <is>
          <t>healthcare</t>
        </is>
      </c>
      <c r="D96" s="31" t="inlineStr">
        <is>
          <t>pharmaceuticals - indian - bulk drugs &amp; formln</t>
        </is>
      </c>
      <c r="E96" s="31" t="inlineStr">
        <is>
          <t>largecap</t>
        </is>
      </c>
      <c r="F96" s="31" t="n">
        <v>115246.35</v>
      </c>
      <c r="G96" s="31" t="n">
        <v>1438.1</v>
      </c>
      <c r="H96" s="31" t="n">
        <v>0.8</v>
      </c>
      <c r="I96" s="31" t="n">
        <v>1221695</v>
      </c>
      <c r="J96" s="31" t="inlineStr">
        <is>
          <t>500087</t>
        </is>
      </c>
    </row>
    <row r="97">
      <c r="A97" s="31" t="inlineStr">
        <is>
          <t>SGIL</t>
        </is>
      </c>
      <c r="B97" s="31" t="inlineStr">
        <is>
          <t>Synergy Green Industries Ltd</t>
        </is>
      </c>
      <c r="C97" s="31" t="inlineStr">
        <is>
          <t>industrials</t>
        </is>
      </c>
      <c r="D97" s="31" t="inlineStr">
        <is>
          <t>castings &amp; forgings</t>
        </is>
      </c>
      <c r="E97" s="31" t="inlineStr">
        <is>
          <t>smallcap</t>
        </is>
      </c>
      <c r="F97" s="31" t="n">
        <v>917.74</v>
      </c>
      <c r="G97" s="31" t="n">
        <v>595</v>
      </c>
      <c r="H97" s="31" t="n">
        <v>0.77</v>
      </c>
      <c r="I97" s="31" t="n">
        <v>6879</v>
      </c>
      <c r="J97" s="31" t="inlineStr">
        <is>
          <t>541929</t>
        </is>
      </c>
    </row>
    <row r="98">
      <c r="A98" s="31" t="inlineStr">
        <is>
          <t>NUVAMA</t>
        </is>
      </c>
      <c r="B98" s="31" t="inlineStr">
        <is>
          <t>Nuvama Wealth Management Ltd</t>
        </is>
      </c>
      <c r="C98" s="31" t="inlineStr">
        <is>
          <t>financials</t>
        </is>
      </c>
      <c r="D98" s="31" t="inlineStr">
        <is>
          <t>finance &amp; investments</t>
        </is>
      </c>
      <c r="E98" s="31" t="inlineStr">
        <is>
          <t>largecap</t>
        </is>
      </c>
      <c r="F98" s="31" t="n">
        <v>34946.51</v>
      </c>
      <c r="G98" s="31" t="n">
        <v>1933.9</v>
      </c>
      <c r="H98" s="31" t="n">
        <v>0.74</v>
      </c>
      <c r="I98" s="31" t="n">
        <v>466451</v>
      </c>
      <c r="J98" s="31" t="inlineStr">
        <is>
          <t>543988</t>
        </is>
      </c>
    </row>
    <row r="99">
      <c r="A99" s="31" t="inlineStr">
        <is>
          <t>RITCO</t>
        </is>
      </c>
      <c r="B99" s="31" t="inlineStr">
        <is>
          <t>Ritco Logistics Ltd</t>
        </is>
      </c>
      <c r="C99" s="31" t="inlineStr">
        <is>
          <t>transportation</t>
        </is>
      </c>
      <c r="D99" s="31" t="inlineStr">
        <is>
          <t>miscellaneous</t>
        </is>
      </c>
      <c r="E99" s="31" t="inlineStr">
        <is>
          <t>smallcap</t>
        </is>
      </c>
      <c r="F99" s="31" t="n">
        <v>754.5</v>
      </c>
      <c r="G99" s="31" t="n">
        <v>265.45</v>
      </c>
      <c r="H99" s="31" t="n">
        <v>0.7</v>
      </c>
      <c r="I99" s="31" t="n">
        <v>231450</v>
      </c>
      <c r="J99" s="31" t="inlineStr">
        <is>
          <t>542383</t>
        </is>
      </c>
    </row>
    <row r="100">
      <c r="A100" s="31" t="inlineStr">
        <is>
          <t>PANACHE</t>
        </is>
      </c>
      <c r="B100" s="31" t="inlineStr">
        <is>
          <t>Panache Digilife Ltd</t>
        </is>
      </c>
      <c r="C100" s="31" t="inlineStr">
        <is>
          <t>i.t</t>
        </is>
      </c>
      <c r="D100" s="31" t="inlineStr">
        <is>
          <t>computers - hardware</t>
        </is>
      </c>
      <c r="E100" s="31" t="inlineStr">
        <is>
          <t>smallcap</t>
        </is>
      </c>
      <c r="F100" s="31" t="n">
        <v>718.87</v>
      </c>
      <c r="G100" s="31" t="n">
        <v>452</v>
      </c>
      <c r="H100" s="31" t="n">
        <v>0.6899999999999999</v>
      </c>
      <c r="I100" s="31" t="n">
        <v>7424</v>
      </c>
      <c r="J100" s="31" t="inlineStr">
        <is>
          <t>538424</t>
        </is>
      </c>
    </row>
    <row r="101">
      <c r="A101" s="31" t="inlineStr">
        <is>
          <t>INDIANHUME</t>
        </is>
      </c>
      <c r="B101" s="31" t="inlineStr">
        <is>
          <t>Indian Hume Pipe Company Limited</t>
        </is>
      </c>
      <c r="C101" s="31" t="inlineStr">
        <is>
          <t>realty</t>
        </is>
      </c>
      <c r="D101" s="31" t="inlineStr">
        <is>
          <t>construction</t>
        </is>
      </c>
      <c r="E101" s="31" t="inlineStr">
        <is>
          <t>smallcap</t>
        </is>
      </c>
      <c r="F101" s="31" t="n">
        <v>2168.12</v>
      </c>
      <c r="G101" s="31" t="n">
        <v>414.4</v>
      </c>
      <c r="H101" s="31" t="n">
        <v>0.6899999999999999</v>
      </c>
      <c r="I101" s="31" t="n">
        <v>381291</v>
      </c>
      <c r="J101" s="31" t="inlineStr">
        <is>
          <t>504741</t>
        </is>
      </c>
    </row>
    <row r="102">
      <c r="A102" s="31" t="inlineStr">
        <is>
          <t>KABRAEXTRU</t>
        </is>
      </c>
      <c r="B102" s="31" t="inlineStr">
        <is>
          <t>Kabra Extrusion Technik Limited</t>
        </is>
      </c>
      <c r="C102" s="31" t="inlineStr">
        <is>
          <t>industrials</t>
        </is>
      </c>
      <c r="D102" s="31" t="inlineStr">
        <is>
          <t>engineering</t>
        </is>
      </c>
      <c r="E102" s="31" t="inlineStr">
        <is>
          <t>smallcap</t>
        </is>
      </c>
      <c r="F102" s="31" t="n">
        <v>1103.92</v>
      </c>
      <c r="G102" s="31" t="n">
        <v>317.75</v>
      </c>
      <c r="H102" s="31" t="n">
        <v>0.67</v>
      </c>
      <c r="I102" s="31" t="n">
        <v>500581</v>
      </c>
      <c r="J102" s="31" t="inlineStr">
        <is>
          <t>524109</t>
        </is>
      </c>
    </row>
    <row r="103">
      <c r="A103" s="31" t="inlineStr">
        <is>
          <t>JSFB</t>
        </is>
      </c>
      <c r="B103" s="31" t="inlineStr">
        <is>
          <t>Jana Small Finance Bank Ltd</t>
        </is>
      </c>
      <c r="C103" s="31" t="inlineStr">
        <is>
          <t>bank</t>
        </is>
      </c>
      <c r="D103" s="31" t="inlineStr">
        <is>
          <t>banks - private sector</t>
        </is>
      </c>
      <c r="E103" s="31" t="inlineStr">
        <is>
          <t>midcap</t>
        </is>
      </c>
      <c r="F103" s="31" t="n">
        <v>5127.48</v>
      </c>
      <c r="G103" s="31" t="n">
        <v>489.95</v>
      </c>
      <c r="H103" s="31" t="n">
        <v>0.66</v>
      </c>
      <c r="I103" s="31" t="n">
        <v>692362</v>
      </c>
      <c r="J103" s="31" t="n"/>
    </row>
    <row r="104">
      <c r="A104" s="31" t="inlineStr">
        <is>
          <t>SHYAMMETL</t>
        </is>
      </c>
      <c r="B104" s="31" t="inlineStr">
        <is>
          <t>Shyam Metalics &amp; Energy Ltd</t>
        </is>
      </c>
      <c r="C104" s="31" t="inlineStr">
        <is>
          <t>metals &amp; mining</t>
        </is>
      </c>
      <c r="D104" s="31" t="inlineStr">
        <is>
          <t>steel - large</t>
        </is>
      </c>
      <c r="E104" s="31" t="inlineStr">
        <is>
          <t>largecap</t>
        </is>
      </c>
      <c r="F104" s="31" t="n">
        <v>28732.44</v>
      </c>
      <c r="G104" s="31" t="n">
        <v>1035.95</v>
      </c>
      <c r="H104" s="31" t="n">
        <v>0.64</v>
      </c>
      <c r="I104" s="31" t="n">
        <v>678871</v>
      </c>
      <c r="J104" s="31" t="inlineStr">
        <is>
          <t>543299</t>
        </is>
      </c>
    </row>
    <row r="105">
      <c r="A105" s="31" t="inlineStr">
        <is>
          <t>ALKEM</t>
        </is>
      </c>
      <c r="B105" s="31" t="inlineStr">
        <is>
          <t>Alkem Laboratories Limited</t>
        </is>
      </c>
      <c r="C105" s="31" t="inlineStr">
        <is>
          <t>healthcare</t>
        </is>
      </c>
      <c r="D105" s="31" t="inlineStr">
        <is>
          <t>pharmaceuticals - indian - bulk drugs &amp; formln</t>
        </is>
      </c>
      <c r="E105" s="31" t="inlineStr">
        <is>
          <t>largecap</t>
        </is>
      </c>
      <c r="F105" s="31" t="n">
        <v>66561.84</v>
      </c>
      <c r="G105" s="31" t="n">
        <v>5601.5</v>
      </c>
      <c r="H105" s="31" t="n">
        <v>0.62</v>
      </c>
      <c r="I105" s="31" t="n">
        <v>521142</v>
      </c>
      <c r="J105" s="31" t="inlineStr">
        <is>
          <t>539523</t>
        </is>
      </c>
    </row>
    <row r="106">
      <c r="A106" s="31" t="inlineStr">
        <is>
          <t>SUMICHEM</t>
        </is>
      </c>
      <c r="B106" s="31" t="inlineStr">
        <is>
          <t>Sumitomo Chemical India Ltd</t>
        </is>
      </c>
      <c r="C106" s="31" t="inlineStr">
        <is>
          <t>chemicals</t>
        </is>
      </c>
      <c r="D106" s="31" t="inlineStr">
        <is>
          <t>pesticides / agrochemicals - indian</t>
        </is>
      </c>
      <c r="E106" s="31" t="inlineStr">
        <is>
          <t>largecap</t>
        </is>
      </c>
      <c r="F106" s="31" t="n">
        <v>26549.56</v>
      </c>
      <c r="G106" s="31" t="n">
        <v>535.2</v>
      </c>
      <c r="H106" s="31" t="n">
        <v>0.62</v>
      </c>
      <c r="I106" s="31" t="n">
        <v>713045</v>
      </c>
      <c r="J106" s="31" t="inlineStr">
        <is>
          <t>542920</t>
        </is>
      </c>
    </row>
    <row r="107">
      <c r="A107" s="31" t="inlineStr">
        <is>
          <t>MARKSANS</t>
        </is>
      </c>
      <c r="B107" s="31" t="inlineStr">
        <is>
          <t>Marksans Pharma Limited</t>
        </is>
      </c>
      <c r="C107" s="31" t="inlineStr">
        <is>
          <t>healthcare</t>
        </is>
      </c>
      <c r="D107" s="31" t="inlineStr">
        <is>
          <t>pharmaceuticals - indian - formulations</t>
        </is>
      </c>
      <c r="E107" s="31" t="inlineStr">
        <is>
          <t>midcap</t>
        </is>
      </c>
      <c r="F107" s="31" t="n">
        <v>12203.7</v>
      </c>
      <c r="G107" s="31" t="n">
        <v>270.95</v>
      </c>
      <c r="H107" s="31" t="n">
        <v>0.61</v>
      </c>
      <c r="I107" s="31" t="n">
        <v>1442967</v>
      </c>
      <c r="J107" s="31" t="inlineStr">
        <is>
          <t>524404</t>
        </is>
      </c>
    </row>
    <row r="108">
      <c r="A108" s="31" t="inlineStr">
        <is>
          <t>AZAD</t>
        </is>
      </c>
      <c r="B108" s="31" t="inlineStr">
        <is>
          <t>Azad Engineering Ltd</t>
        </is>
      </c>
      <c r="C108" s="31" t="inlineStr">
        <is>
          <t>aerospace &amp; defence</t>
        </is>
      </c>
      <c r="D108" s="31" t="inlineStr">
        <is>
          <t>engineering</t>
        </is>
      </c>
      <c r="E108" s="31" t="inlineStr">
        <is>
          <t>midcap</t>
        </is>
      </c>
      <c r="F108" s="31" t="n">
        <v>15360.77</v>
      </c>
      <c r="G108" s="31" t="n">
        <v>2392.6</v>
      </c>
      <c r="H108" s="31" t="n">
        <v>0.59</v>
      </c>
      <c r="I108" s="31" t="n">
        <v>529755</v>
      </c>
      <c r="J108" s="31" t="inlineStr">
        <is>
          <t>544061</t>
        </is>
      </c>
    </row>
    <row r="109">
      <c r="A109" s="31" t="inlineStr">
        <is>
          <t>RATEGAIN</t>
        </is>
      </c>
      <c r="B109" s="31" t="inlineStr">
        <is>
          <t>Rategain Travel Technologies Ltd</t>
        </is>
      </c>
      <c r="C109" s="31" t="inlineStr">
        <is>
          <t>i.t</t>
        </is>
      </c>
      <c r="D109" s="31" t="inlineStr">
        <is>
          <t>computers - software - medium / small</t>
        </is>
      </c>
      <c r="E109" s="31" t="inlineStr">
        <is>
          <t>midcap</t>
        </is>
      </c>
      <c r="F109" s="31" t="n">
        <v>11186.72</v>
      </c>
      <c r="G109" s="31" t="n">
        <v>952.25</v>
      </c>
      <c r="H109" s="31" t="n">
        <v>0.59</v>
      </c>
      <c r="I109" s="31" t="n">
        <v>365514</v>
      </c>
      <c r="J109" s="31" t="inlineStr">
        <is>
          <t>543417</t>
        </is>
      </c>
    </row>
    <row r="110">
      <c r="A110" s="31" t="inlineStr">
        <is>
          <t>HMVL</t>
        </is>
      </c>
      <c r="B110" s="31" t="inlineStr">
        <is>
          <t>Hindustan Media Ventures Limited</t>
        </is>
      </c>
      <c r="C110" s="31" t="inlineStr">
        <is>
          <t>media</t>
        </is>
      </c>
      <c r="D110" s="31" t="inlineStr">
        <is>
          <t>entertainment / electronic media software</t>
        </is>
      </c>
      <c r="E110" s="31" t="inlineStr">
        <is>
          <t>smallcap</t>
        </is>
      </c>
      <c r="F110" s="31" t="n">
        <v>657.67</v>
      </c>
      <c r="G110" s="31" t="n">
        <v>89.77</v>
      </c>
      <c r="H110" s="31" t="n">
        <v>0.5600000000000001</v>
      </c>
      <c r="I110" s="31" t="n">
        <v>47215</v>
      </c>
      <c r="J110" s="31" t="inlineStr">
        <is>
          <t>533217</t>
        </is>
      </c>
    </row>
    <row r="111">
      <c r="A111" s="31" t="inlineStr">
        <is>
          <t>ENTERO</t>
        </is>
      </c>
      <c r="B111" s="31" t="inlineStr">
        <is>
          <t>Entero Healthcare Solutions Ltd</t>
        </is>
      </c>
      <c r="C111" s="31" t="inlineStr">
        <is>
          <t>healthcare</t>
        </is>
      </c>
      <c r="D111" s="31" t="inlineStr">
        <is>
          <t>trading</t>
        </is>
      </c>
      <c r="E111" s="31" t="inlineStr">
        <is>
          <t>midcap</t>
        </is>
      </c>
      <c r="F111" s="31" t="n">
        <v>5403.19</v>
      </c>
      <c r="G111" s="31" t="n">
        <v>1248</v>
      </c>
      <c r="H111" s="31" t="n">
        <v>0.5</v>
      </c>
      <c r="I111" s="31" t="n">
        <v>81441</v>
      </c>
      <c r="J111" s="31" t="inlineStr">
        <is>
          <t>544122</t>
        </is>
      </c>
    </row>
    <row r="112">
      <c r="A112" s="31" t="inlineStr">
        <is>
          <t>RUBYMILLS</t>
        </is>
      </c>
      <c r="B112" s="31" t="inlineStr">
        <is>
          <t>The Ruby Mills Limited</t>
        </is>
      </c>
      <c r="C112" s="31" t="inlineStr">
        <is>
          <t>textiles</t>
        </is>
      </c>
      <c r="D112" s="31" t="inlineStr">
        <is>
          <t>textiles - composite</t>
        </is>
      </c>
      <c r="E112" s="31" t="inlineStr">
        <is>
          <t>smallcap</t>
        </is>
      </c>
      <c r="F112" s="31" t="n">
        <v>1274.4</v>
      </c>
      <c r="G112" s="31" t="n">
        <v>382.95</v>
      </c>
      <c r="H112" s="31" t="n">
        <v>0.49</v>
      </c>
      <c r="I112" s="31" t="n">
        <v>43849</v>
      </c>
      <c r="J112" s="31" t="inlineStr">
        <is>
          <t>503169</t>
        </is>
      </c>
    </row>
    <row r="113">
      <c r="A113" s="31" t="inlineStr">
        <is>
          <t>NINSYS</t>
        </is>
      </c>
      <c r="B113" s="31" t="inlineStr">
        <is>
          <t>NINtec Systems Ltd</t>
        </is>
      </c>
      <c r="C113" s="31" t="inlineStr">
        <is>
          <t>i.t</t>
        </is>
      </c>
      <c r="D113" s="31" t="inlineStr">
        <is>
          <t>computers - software - medium / small</t>
        </is>
      </c>
      <c r="E113" s="31" t="inlineStr">
        <is>
          <t>smallcap</t>
        </is>
      </c>
      <c r="F113" s="31" t="n">
        <v>1615.65</v>
      </c>
      <c r="G113" s="31" t="n">
        <v>874</v>
      </c>
      <c r="H113" s="31" t="n">
        <v>0.49</v>
      </c>
      <c r="I113" s="31" t="n">
        <v>2387</v>
      </c>
      <c r="J113" s="31" t="inlineStr">
        <is>
          <t>539843</t>
        </is>
      </c>
    </row>
    <row r="114">
      <c r="A114" s="31" t="inlineStr">
        <is>
          <t>3MINDIA</t>
        </is>
      </c>
      <c r="B114" s="31" t="inlineStr">
        <is>
          <t>3m India Limited</t>
        </is>
      </c>
      <c r="C114" s="31" t="inlineStr">
        <is>
          <t>miscellaneous</t>
        </is>
      </c>
      <c r="D114" s="31" t="inlineStr">
        <is>
          <t>diversified - large</t>
        </is>
      </c>
      <c r="E114" s="31" t="inlineStr">
        <is>
          <t>largecap</t>
        </is>
      </c>
      <c r="F114" s="31" t="n">
        <v>41038.65</v>
      </c>
      <c r="G114" s="31" t="n">
        <v>36610</v>
      </c>
      <c r="H114" s="31" t="n">
        <v>0.49</v>
      </c>
      <c r="I114" s="31" t="n">
        <v>6618</v>
      </c>
      <c r="J114" s="31" t="inlineStr">
        <is>
          <t>523395</t>
        </is>
      </c>
    </row>
    <row r="115">
      <c r="A115" s="31" t="inlineStr">
        <is>
          <t>PGHL</t>
        </is>
      </c>
      <c r="B115" s="31" t="inlineStr">
        <is>
          <t>Procter &amp; Gamble Health Ltd</t>
        </is>
      </c>
      <c r="C115" s="31" t="inlineStr">
        <is>
          <t>healthcare</t>
        </is>
      </c>
      <c r="D115" s="31" t="inlineStr">
        <is>
          <t>pharmaceuticals - multinational</t>
        </is>
      </c>
      <c r="E115" s="31" t="inlineStr">
        <is>
          <t>midcap</t>
        </is>
      </c>
      <c r="F115" s="31" t="n">
        <v>11398.8</v>
      </c>
      <c r="G115" s="31" t="n">
        <v>6900</v>
      </c>
      <c r="H115" s="31" t="n">
        <v>0.48</v>
      </c>
      <c r="I115" s="31" t="n">
        <v>42343</v>
      </c>
      <c r="J115" s="31" t="inlineStr">
        <is>
          <t>500126</t>
        </is>
      </c>
    </row>
    <row r="116">
      <c r="A116" s="31" t="inlineStr">
        <is>
          <t>HONASA</t>
        </is>
      </c>
      <c r="B116" s="31" t="inlineStr">
        <is>
          <t>Honasa Consumer Ltd</t>
        </is>
      </c>
      <c r="C116" s="31" t="inlineStr">
        <is>
          <t>services</t>
        </is>
      </c>
      <c r="D116" s="31" t="inlineStr">
        <is>
          <t>trading</t>
        </is>
      </c>
      <c r="E116" s="31" t="inlineStr">
        <is>
          <t>midcap</t>
        </is>
      </c>
      <c r="F116" s="31" t="n">
        <v>15365.59</v>
      </c>
      <c r="G116" s="31" t="n">
        <v>474.4</v>
      </c>
      <c r="H116" s="31" t="n">
        <v>0.46</v>
      </c>
      <c r="I116" s="31" t="n">
        <v>1540385</v>
      </c>
      <c r="J116" s="31" t="inlineStr">
        <is>
          <t>544014</t>
        </is>
      </c>
    </row>
    <row r="117">
      <c r="A117" s="31" t="inlineStr">
        <is>
          <t>AKUMS</t>
        </is>
      </c>
      <c r="B117" s="31" t="inlineStr">
        <is>
          <t>Akums Drugs &amp; Pharmaceuticals Ltd</t>
        </is>
      </c>
      <c r="C117" s="31" t="inlineStr">
        <is>
          <t>healthcare</t>
        </is>
      </c>
      <c r="D117" s="31" t="inlineStr">
        <is>
          <t>pharmaceuticals - indian - bulk drugs &amp; formln</t>
        </is>
      </c>
      <c r="E117" s="31" t="inlineStr">
        <is>
          <t>midcap</t>
        </is>
      </c>
      <c r="F117" s="31" t="n">
        <v>10763.39</v>
      </c>
      <c r="G117" s="31" t="n">
        <v>686.95</v>
      </c>
      <c r="H117" s="31" t="n">
        <v>0.45</v>
      </c>
      <c r="I117" s="31" t="n">
        <v>397749</v>
      </c>
      <c r="J117" s="31" t="inlineStr">
        <is>
          <t>544222</t>
        </is>
      </c>
    </row>
    <row r="118">
      <c r="A118" s="31" t="inlineStr">
        <is>
          <t>TORNTPHARM</t>
        </is>
      </c>
      <c r="B118" s="31" t="inlineStr">
        <is>
          <t>Torrent Pharmaceuticals Limited</t>
        </is>
      </c>
      <c r="C118" s="31" t="inlineStr">
        <is>
          <t>healthcare</t>
        </is>
      </c>
      <c r="D118" s="31" t="inlineStr">
        <is>
          <t>pharmaceuticals - indian - formulations</t>
        </is>
      </c>
      <c r="E118" s="31" t="inlineStr">
        <is>
          <t>largecap</t>
        </is>
      </c>
      <c r="F118" s="31" t="n">
        <v>167567.72</v>
      </c>
      <c r="G118" s="31" t="n">
        <v>4973.5</v>
      </c>
      <c r="H118" s="31" t="n">
        <v>0.45</v>
      </c>
      <c r="I118" s="31" t="n">
        <v>794165</v>
      </c>
      <c r="J118" s="31" t="inlineStr">
        <is>
          <t>500420</t>
        </is>
      </c>
    </row>
    <row r="119">
      <c r="A119" s="31" t="inlineStr">
        <is>
          <t>ALIVUS</t>
        </is>
      </c>
      <c r="B119" s="31" t="inlineStr">
        <is>
          <t>Alivus Life Sciences Ltd</t>
        </is>
      </c>
      <c r="C119" s="31" t="inlineStr">
        <is>
          <t>healthcare</t>
        </is>
      </c>
      <c r="D119" s="31" t="inlineStr">
        <is>
          <t>pharmaceuticals - indian - bulk drugs &amp; formln</t>
        </is>
      </c>
      <c r="E119" s="31" t="inlineStr">
        <is>
          <t>midcap</t>
        </is>
      </c>
      <c r="F119" s="31" t="n">
        <v>14237.42</v>
      </c>
      <c r="G119" s="31" t="n">
        <v>1165</v>
      </c>
      <c r="H119" s="31" t="n">
        <v>0.43</v>
      </c>
      <c r="I119" s="31" t="n">
        <v>77322</v>
      </c>
      <c r="J119" s="31" t="inlineStr">
        <is>
          <t>543322</t>
        </is>
      </c>
    </row>
    <row r="120">
      <c r="A120" s="31" t="inlineStr">
        <is>
          <t>MOREPENLAB</t>
        </is>
      </c>
      <c r="B120" s="31" t="inlineStr">
        <is>
          <t>Morepen Laboratories Limited</t>
        </is>
      </c>
      <c r="C120" s="31" t="inlineStr">
        <is>
          <t>healthcare</t>
        </is>
      </c>
      <c r="D120" s="31" t="inlineStr">
        <is>
          <t>pharmaceuticals - indian - bulk drugs &amp; formln</t>
        </is>
      </c>
      <c r="E120" s="31" t="inlineStr">
        <is>
          <t>smallcap</t>
        </is>
      </c>
      <c r="F120" s="31" t="n">
        <v>3413.2</v>
      </c>
      <c r="G120" s="31" t="n">
        <v>62.56</v>
      </c>
      <c r="H120" s="31" t="n">
        <v>0.43</v>
      </c>
      <c r="I120" s="31" t="n">
        <v>10096836</v>
      </c>
      <c r="J120" s="31" t="inlineStr">
        <is>
          <t>500288</t>
        </is>
      </c>
    </row>
    <row r="121">
      <c r="A121" s="31" t="inlineStr">
        <is>
          <t>SANGAMIND</t>
        </is>
      </c>
      <c r="B121" s="31" t="inlineStr">
        <is>
          <t>Sangam (india) Limited</t>
        </is>
      </c>
      <c r="C121" s="31" t="inlineStr">
        <is>
          <t>textiles</t>
        </is>
      </c>
      <c r="D121" s="31" t="inlineStr">
        <is>
          <t>textiles - spinning - synthetic / blended</t>
        </is>
      </c>
      <c r="E121" s="31" t="inlineStr">
        <is>
          <t>smallcap</t>
        </is>
      </c>
      <c r="F121" s="31" t="n">
        <v>3128.1</v>
      </c>
      <c r="G121" s="31" t="n">
        <v>624.95</v>
      </c>
      <c r="H121" s="31" t="n">
        <v>0.39</v>
      </c>
      <c r="I121" s="31" t="n">
        <v>602757</v>
      </c>
      <c r="J121" s="31" t="inlineStr">
        <is>
          <t>514234</t>
        </is>
      </c>
    </row>
    <row r="122">
      <c r="A122" s="31" t="inlineStr">
        <is>
          <t>ADANIENT</t>
        </is>
      </c>
      <c r="B122" s="31" t="inlineStr">
        <is>
          <t>Adani Enterprises Limited</t>
        </is>
      </c>
      <c r="C122" s="31" t="inlineStr">
        <is>
          <t>services</t>
        </is>
      </c>
      <c r="D122" s="31" t="inlineStr">
        <is>
          <t>trading</t>
        </is>
      </c>
      <c r="E122" s="31" t="inlineStr">
        <is>
          <t>largecap</t>
        </is>
      </c>
      <c r="F122" s="31" t="n">
        <v>413613.1</v>
      </c>
      <c r="G122" s="31" t="n">
        <v>3188.9</v>
      </c>
      <c r="H122" s="31" t="n">
        <v>0.36</v>
      </c>
      <c r="I122" s="31" t="n">
        <v>1932889</v>
      </c>
      <c r="J122" s="31" t="inlineStr">
        <is>
          <t>512599</t>
        </is>
      </c>
    </row>
    <row r="123">
      <c r="A123" s="31" t="inlineStr">
        <is>
          <t>PSPPROJECT</t>
        </is>
      </c>
      <c r="B123" s="31" t="inlineStr">
        <is>
          <t>PSP Projects Ltd</t>
        </is>
      </c>
      <c r="C123" s="31" t="inlineStr">
        <is>
          <t>realty</t>
        </is>
      </c>
      <c r="D123" s="31" t="inlineStr">
        <is>
          <t>construction</t>
        </is>
      </c>
      <c r="E123" s="31" t="inlineStr">
        <is>
          <t>smallcap</t>
        </is>
      </c>
      <c r="F123" s="31" t="n">
        <v>4225.81</v>
      </c>
      <c r="G123" s="31" t="n">
        <v>1069.4</v>
      </c>
      <c r="H123" s="31" t="n">
        <v>0.32</v>
      </c>
      <c r="I123" s="31" t="n">
        <v>153776</v>
      </c>
      <c r="J123" s="31" t="inlineStr">
        <is>
          <t>540544</t>
        </is>
      </c>
    </row>
    <row r="124">
      <c r="A124" s="31" t="inlineStr">
        <is>
          <t>SHRIPISTON</t>
        </is>
      </c>
      <c r="B124" s="31" t="inlineStr">
        <is>
          <t>Shriram Pistons &amp; Rings Limited</t>
        </is>
      </c>
      <c r="C124" s="31" t="inlineStr">
        <is>
          <t>auto</t>
        </is>
      </c>
      <c r="D124" s="31" t="inlineStr">
        <is>
          <t>auto ancillaries</t>
        </is>
      </c>
      <c r="E124" s="31" t="inlineStr">
        <is>
          <t>midcap</t>
        </is>
      </c>
      <c r="F124" s="31" t="n">
        <v>18435.29</v>
      </c>
      <c r="G124" s="31" t="n">
        <v>4198</v>
      </c>
      <c r="H124" s="31" t="n">
        <v>0.31</v>
      </c>
      <c r="I124" s="31" t="n">
        <v>34743</v>
      </c>
      <c r="J124" s="31" t="n"/>
    </row>
    <row r="125">
      <c r="A125" s="31" t="inlineStr">
        <is>
          <t>SBC</t>
        </is>
      </c>
      <c r="B125" s="31" t="inlineStr">
        <is>
          <t>SBC Exports Ltd</t>
        </is>
      </c>
      <c r="C125" s="31" t="inlineStr">
        <is>
          <t>textiles</t>
        </is>
      </c>
      <c r="D125" s="31" t="inlineStr">
        <is>
          <t>textiles - products</t>
        </is>
      </c>
      <c r="E125" s="31" t="inlineStr">
        <is>
          <t>smallcap</t>
        </is>
      </c>
      <c r="F125" s="31" t="n">
        <v>2008.09</v>
      </c>
      <c r="G125" s="31" t="n">
        <v>42.3</v>
      </c>
      <c r="H125" s="31" t="n">
        <v>0.31</v>
      </c>
      <c r="I125" s="31" t="n">
        <v>9102396</v>
      </c>
      <c r="J125" s="31" t="inlineStr">
        <is>
          <t>542725</t>
        </is>
      </c>
    </row>
    <row r="126">
      <c r="A126" s="31" t="inlineStr">
        <is>
          <t>KOPRAN</t>
        </is>
      </c>
      <c r="B126" s="31" t="inlineStr">
        <is>
          <t>Kopran Limited</t>
        </is>
      </c>
      <c r="C126" s="31" t="inlineStr">
        <is>
          <t>healthcare</t>
        </is>
      </c>
      <c r="D126" s="31" t="inlineStr">
        <is>
          <t>pharmaceuticals - indian - bulk drugs &amp; formln</t>
        </is>
      </c>
      <c r="E126" s="31" t="inlineStr">
        <is>
          <t>smallcap</t>
        </is>
      </c>
      <c r="F126" s="31" t="n">
        <v>997.87</v>
      </c>
      <c r="G126" s="31" t="n">
        <v>207.28</v>
      </c>
      <c r="H126" s="31" t="n">
        <v>0.3</v>
      </c>
      <c r="I126" s="31" t="n">
        <v>256151</v>
      </c>
      <c r="J126" s="31" t="inlineStr">
        <is>
          <t>524280</t>
        </is>
      </c>
    </row>
    <row r="127">
      <c r="A127" s="31" t="inlineStr">
        <is>
          <t>SUMEETINDS</t>
        </is>
      </c>
      <c r="B127" s="31" t="inlineStr">
        <is>
          <t>Sumeet Industries Limited</t>
        </is>
      </c>
      <c r="C127" s="31" t="inlineStr">
        <is>
          <t>textiles</t>
        </is>
      </c>
      <c r="D127" s="31" t="inlineStr">
        <is>
          <t>textiles - manmade</t>
        </is>
      </c>
      <c r="E127" s="31" t="inlineStr">
        <is>
          <t>smallcap</t>
        </is>
      </c>
      <c r="F127" s="31" t="n">
        <v>1717.4</v>
      </c>
      <c r="G127" s="31" t="n">
        <v>32.72</v>
      </c>
      <c r="H127" s="31" t="n">
        <v>0.28</v>
      </c>
      <c r="I127" s="31" t="n">
        <v>8864084</v>
      </c>
      <c r="J127" s="31" t="inlineStr">
        <is>
          <t>514211</t>
        </is>
      </c>
    </row>
    <row r="128">
      <c r="A128" s="31" t="inlineStr">
        <is>
          <t>SIGNPOST</t>
        </is>
      </c>
      <c r="B128" s="31" t="inlineStr">
        <is>
          <t>Signpost India Ltd</t>
        </is>
      </c>
      <c r="C128" s="31" t="inlineStr">
        <is>
          <t>miscellaneous</t>
        </is>
      </c>
      <c r="D128" s="31" t="inlineStr">
        <is>
          <t>miscellaneous</t>
        </is>
      </c>
      <c r="E128" s="31" t="inlineStr">
        <is>
          <t>smallcap</t>
        </is>
      </c>
      <c r="F128" s="31" t="n">
        <v>1716.55</v>
      </c>
      <c r="G128" s="31" t="n">
        <v>322.05</v>
      </c>
      <c r="H128" s="31" t="n">
        <v>0.28</v>
      </c>
      <c r="I128" s="31" t="n">
        <v>312592</v>
      </c>
      <c r="J128" s="31" t="n"/>
    </row>
    <row r="129">
      <c r="A129" s="31" t="inlineStr">
        <is>
          <t>CGCL</t>
        </is>
      </c>
      <c r="B129" s="31" t="inlineStr">
        <is>
          <t>Capri Global Capital Limited</t>
        </is>
      </c>
      <c r="C129" s="31" t="inlineStr">
        <is>
          <t>financials</t>
        </is>
      </c>
      <c r="D129" s="31" t="inlineStr">
        <is>
          <t>finance &amp; investments</t>
        </is>
      </c>
      <c r="E129" s="31" t="inlineStr">
        <is>
          <t>largecap</t>
        </is>
      </c>
      <c r="F129" s="31" t="n">
        <v>24693.68</v>
      </c>
      <c r="G129" s="31" t="n">
        <v>257.32</v>
      </c>
      <c r="H129" s="31" t="n">
        <v>0.26</v>
      </c>
      <c r="I129" s="31" t="n">
        <v>2329771</v>
      </c>
      <c r="J129" s="31" t="inlineStr">
        <is>
          <t>531595</t>
        </is>
      </c>
    </row>
    <row r="130">
      <c r="A130" s="31" t="inlineStr">
        <is>
          <t>CENTENKA</t>
        </is>
      </c>
      <c r="B130" s="31" t="inlineStr">
        <is>
          <t>Century Enka Limited</t>
        </is>
      </c>
      <c r="C130" s="31" t="inlineStr">
        <is>
          <t>textiles</t>
        </is>
      </c>
      <c r="D130" s="31" t="inlineStr">
        <is>
          <t>textiles - manmade</t>
        </is>
      </c>
      <c r="E130" s="31" t="inlineStr">
        <is>
          <t>smallcap</t>
        </is>
      </c>
      <c r="F130" s="31" t="n">
        <v>1157.32</v>
      </c>
      <c r="G130" s="31" t="n">
        <v>531</v>
      </c>
      <c r="H130" s="31" t="n">
        <v>0.25</v>
      </c>
      <c r="I130" s="31" t="n">
        <v>23623</v>
      </c>
      <c r="J130" s="31" t="inlineStr">
        <is>
          <t>500280</t>
        </is>
      </c>
    </row>
    <row r="131">
      <c r="A131" s="31" t="inlineStr">
        <is>
          <t>SFL</t>
        </is>
      </c>
      <c r="B131" s="31" t="inlineStr">
        <is>
          <t>Sheela Foam Limited</t>
        </is>
      </c>
      <c r="C131" s="31" t="inlineStr">
        <is>
          <t>consumer discretionary</t>
        </is>
      </c>
      <c r="D131" s="31" t="inlineStr">
        <is>
          <t>miscellaneous</t>
        </is>
      </c>
      <c r="E131" s="31" t="inlineStr">
        <is>
          <t>midcap</t>
        </is>
      </c>
      <c r="F131" s="31" t="n">
        <v>8772.42</v>
      </c>
      <c r="G131" s="31" t="n">
        <v>808.95</v>
      </c>
      <c r="H131" s="31" t="n">
        <v>0.25</v>
      </c>
      <c r="I131" s="31" t="n">
        <v>308907</v>
      </c>
      <c r="J131" s="31" t="inlineStr">
        <is>
          <t>540203</t>
        </is>
      </c>
    </row>
    <row r="132">
      <c r="A132" s="31" t="inlineStr">
        <is>
          <t>RAINBOW</t>
        </is>
      </c>
      <c r="B132" s="31" t="inlineStr">
        <is>
          <t>Rainbow Childrens Medicare Ltd</t>
        </is>
      </c>
      <c r="C132" s="31" t="inlineStr">
        <is>
          <t>healthcare</t>
        </is>
      </c>
      <c r="D132" s="31" t="inlineStr">
        <is>
          <t>healthcare</t>
        </is>
      </c>
      <c r="E132" s="31" t="inlineStr">
        <is>
          <t>midcap</t>
        </is>
      </c>
      <c r="F132" s="31" t="n">
        <v>15065.29</v>
      </c>
      <c r="G132" s="31" t="n">
        <v>1486.5</v>
      </c>
      <c r="H132" s="31" t="n">
        <v>0.21</v>
      </c>
      <c r="I132" s="31" t="n">
        <v>101430</v>
      </c>
      <c r="J132" s="31" t="inlineStr">
        <is>
          <t>543524</t>
        </is>
      </c>
    </row>
    <row r="133">
      <c r="A133" s="31" t="inlineStr">
        <is>
          <t>PAISALO</t>
        </is>
      </c>
      <c r="B133" s="31" t="inlineStr">
        <is>
          <t>Paisalo Digital Ltd</t>
        </is>
      </c>
      <c r="C133" s="31" t="inlineStr">
        <is>
          <t>financials</t>
        </is>
      </c>
      <c r="D133" s="31" t="inlineStr">
        <is>
          <t>finance &amp; investments</t>
        </is>
      </c>
      <c r="E133" s="31" t="inlineStr">
        <is>
          <t>midcap</t>
        </is>
      </c>
      <c r="F133" s="31" t="n">
        <v>6575.84</v>
      </c>
      <c r="G133" s="31" t="n">
        <v>72.45</v>
      </c>
      <c r="H133" s="31" t="n">
        <v>0.21</v>
      </c>
      <c r="I133" s="31" t="n">
        <v>10042173</v>
      </c>
      <c r="J133" s="31" t="inlineStr">
        <is>
          <t>532900</t>
        </is>
      </c>
    </row>
    <row r="134">
      <c r="A134" s="31" t="inlineStr">
        <is>
          <t>ZYDUSLIFE</t>
        </is>
      </c>
      <c r="B134" s="31" t="inlineStr">
        <is>
          <t>Zydus Lifesciences Ltd</t>
        </is>
      </c>
      <c r="C134" s="31" t="inlineStr">
        <is>
          <t>healthcare</t>
        </is>
      </c>
      <c r="D134" s="31" t="inlineStr">
        <is>
          <t>pharmaceuticals - indian - bulk drugs &amp; formln</t>
        </is>
      </c>
      <c r="E134" s="31" t="inlineStr">
        <is>
          <t>largecap</t>
        </is>
      </c>
      <c r="F134" s="31" t="n">
        <v>112847.61</v>
      </c>
      <c r="G134" s="31" t="n">
        <v>1133.6</v>
      </c>
      <c r="H134" s="31" t="n">
        <v>0.2</v>
      </c>
      <c r="I134" s="31" t="n">
        <v>1125219</v>
      </c>
      <c r="J134" s="31" t="inlineStr">
        <is>
          <t>532321</t>
        </is>
      </c>
    </row>
    <row r="135">
      <c r="A135" s="31" t="inlineStr">
        <is>
          <t>GREAVESCOT</t>
        </is>
      </c>
      <c r="B135" s="31" t="inlineStr">
        <is>
          <t>Greaves Cotton Limited</t>
        </is>
      </c>
      <c r="C135" s="31" t="inlineStr">
        <is>
          <t>industrials</t>
        </is>
      </c>
      <c r="D135" s="31" t="inlineStr">
        <is>
          <t>engines</t>
        </is>
      </c>
      <c r="E135" s="31" t="inlineStr">
        <is>
          <t>midcap</t>
        </is>
      </c>
      <c r="F135" s="31" t="n">
        <v>6106.1</v>
      </c>
      <c r="G135" s="31" t="n">
        <v>262.66</v>
      </c>
      <c r="H135" s="31" t="n">
        <v>0.19</v>
      </c>
      <c r="I135" s="31" t="n">
        <v>3914083</v>
      </c>
      <c r="J135" s="31" t="inlineStr">
        <is>
          <t>501455</t>
        </is>
      </c>
    </row>
    <row r="136">
      <c r="A136" s="31" t="inlineStr">
        <is>
          <t>MARICO</t>
        </is>
      </c>
      <c r="B136" s="31" t="inlineStr">
        <is>
          <t>Marico Limited</t>
        </is>
      </c>
      <c r="C136" s="31" t="inlineStr">
        <is>
          <t>fmcg</t>
        </is>
      </c>
      <c r="D136" s="31" t="inlineStr">
        <is>
          <t>solvent extraction</t>
        </is>
      </c>
      <c r="E136" s="31" t="inlineStr">
        <is>
          <t>largecap</t>
        </is>
      </c>
      <c r="F136" s="31" t="n">
        <v>109920.76</v>
      </c>
      <c r="G136" s="31" t="n">
        <v>848.25</v>
      </c>
      <c r="H136" s="31" t="n">
        <v>0.18</v>
      </c>
      <c r="I136" s="31" t="n">
        <v>1442244</v>
      </c>
      <c r="J136" s="31" t="inlineStr">
        <is>
          <t>531642</t>
        </is>
      </c>
    </row>
    <row r="137">
      <c r="A137" s="31" t="inlineStr">
        <is>
          <t>IRISDOREME</t>
        </is>
      </c>
      <c r="B137" s="31" t="inlineStr">
        <is>
          <t>Iris Clothings Ltd</t>
        </is>
      </c>
      <c r="C137" s="31" t="inlineStr">
        <is>
          <t>consumer discretionary</t>
        </is>
      </c>
      <c r="D137" s="31" t="inlineStr">
        <is>
          <t>textiles - products</t>
        </is>
      </c>
      <c r="E137" s="31" t="inlineStr">
        <is>
          <t>smallcap</t>
        </is>
      </c>
      <c r="F137" s="31" t="n">
        <v>834.03</v>
      </c>
      <c r="G137" s="31" t="n">
        <v>43.9</v>
      </c>
      <c r="H137" s="31" t="n">
        <v>0.18</v>
      </c>
      <c r="I137" s="31" t="n">
        <v>216491</v>
      </c>
      <c r="J137" s="31" t="inlineStr">
        <is>
          <t>535123</t>
        </is>
      </c>
    </row>
    <row r="138">
      <c r="A138" s="31" t="inlineStr">
        <is>
          <t>KAJARIACER</t>
        </is>
      </c>
      <c r="B138" s="31" t="inlineStr">
        <is>
          <t>Kajaria Ceramics Limited</t>
        </is>
      </c>
      <c r="C138" s="31" t="inlineStr">
        <is>
          <t>building materials</t>
        </is>
      </c>
      <c r="D138" s="31" t="inlineStr">
        <is>
          <t>ceramics - tiles / sanitaryware</t>
        </is>
      </c>
      <c r="E138" s="31" t="inlineStr">
        <is>
          <t>midcap</t>
        </is>
      </c>
      <c r="F138" s="31" t="n">
        <v>19692.43</v>
      </c>
      <c r="G138" s="31" t="n">
        <v>1238.5</v>
      </c>
      <c r="H138" s="31" t="n">
        <v>0.17</v>
      </c>
      <c r="I138" s="31" t="n">
        <v>353192</v>
      </c>
      <c r="J138" s="31" t="inlineStr">
        <is>
          <t>500233</t>
        </is>
      </c>
    </row>
    <row r="139">
      <c r="A139" s="31" t="inlineStr">
        <is>
          <t>GLENMARK</t>
        </is>
      </c>
      <c r="B139" s="31" t="inlineStr">
        <is>
          <t>Glenmark Pharmaceuticals Limited</t>
        </is>
      </c>
      <c r="C139" s="31" t="inlineStr">
        <is>
          <t>healthcare</t>
        </is>
      </c>
      <c r="D139" s="31" t="inlineStr">
        <is>
          <t>pharmaceuticals - indian - bulk drugs &amp; formln</t>
        </is>
      </c>
      <c r="E139" s="31" t="inlineStr">
        <is>
          <t>largecap</t>
        </is>
      </c>
      <c r="F139" s="31" t="n">
        <v>64942.87</v>
      </c>
      <c r="G139" s="31" t="n">
        <v>2305.1</v>
      </c>
      <c r="H139" s="31" t="n">
        <v>0.17</v>
      </c>
      <c r="I139" s="31" t="n">
        <v>708684</v>
      </c>
      <c r="J139" s="31" t="inlineStr">
        <is>
          <t>532296</t>
        </is>
      </c>
    </row>
    <row r="140">
      <c r="A140" s="31" t="inlineStr">
        <is>
          <t>BOROSCI</t>
        </is>
      </c>
      <c r="B140" s="31" t="inlineStr">
        <is>
          <t>Borosil Scientific Ltd</t>
        </is>
      </c>
      <c r="C140" s="31" t="inlineStr">
        <is>
          <t>building materials</t>
        </is>
      </c>
      <c r="D140" s="31" t="inlineStr">
        <is>
          <t>glass &amp; glass products</t>
        </is>
      </c>
      <c r="E140" s="31" t="inlineStr">
        <is>
          <t>smallcap</t>
        </is>
      </c>
      <c r="F140" s="31" t="n">
        <v>1447.61</v>
      </c>
      <c r="G140" s="31" t="n">
        <v>163</v>
      </c>
      <c r="H140" s="31" t="n">
        <v>0.15</v>
      </c>
      <c r="I140" s="31" t="n">
        <v>104859</v>
      </c>
      <c r="J140" s="31" t="inlineStr">
        <is>
          <t>544184</t>
        </is>
      </c>
    </row>
    <row r="141">
      <c r="A141" s="31" t="inlineStr">
        <is>
          <t>RADICO</t>
        </is>
      </c>
      <c r="B141" s="31" t="inlineStr">
        <is>
          <t>Radico Khaitan Limited</t>
        </is>
      </c>
      <c r="C141" s="31" t="inlineStr">
        <is>
          <t>fmcg</t>
        </is>
      </c>
      <c r="D141" s="31" t="inlineStr">
        <is>
          <t>breweries &amp; distilleries</t>
        </is>
      </c>
      <c r="E141" s="31" t="inlineStr">
        <is>
          <t>largecap</t>
        </is>
      </c>
      <c r="F141" s="31" t="n">
        <v>54167.07</v>
      </c>
      <c r="G141" s="31" t="n">
        <v>4051.2</v>
      </c>
      <c r="H141" s="31" t="n">
        <v>0.14</v>
      </c>
      <c r="I141" s="31" t="n">
        <v>367386</v>
      </c>
      <c r="J141" s="31" t="inlineStr">
        <is>
          <t>532497</t>
        </is>
      </c>
    </row>
    <row r="142">
      <c r="A142" s="31" t="inlineStr">
        <is>
          <t>VSSL</t>
        </is>
      </c>
      <c r="B142" s="31" t="inlineStr">
        <is>
          <t>Vardhman Special Steels Limited</t>
        </is>
      </c>
      <c r="C142" s="31" t="inlineStr">
        <is>
          <t>metals &amp; mining</t>
        </is>
      </c>
      <c r="D142" s="31" t="inlineStr">
        <is>
          <t>steel - medium / small</t>
        </is>
      </c>
      <c r="E142" s="31" t="inlineStr">
        <is>
          <t>smallcap</t>
        </is>
      </c>
      <c r="F142" s="31" t="n">
        <v>2854.16</v>
      </c>
      <c r="G142" s="31" t="n">
        <v>295.6</v>
      </c>
      <c r="H142" s="31" t="n">
        <v>0.14</v>
      </c>
      <c r="I142" s="31" t="n">
        <v>133305</v>
      </c>
      <c r="J142" s="31" t="inlineStr">
        <is>
          <t>534392</t>
        </is>
      </c>
    </row>
    <row r="143">
      <c r="A143" s="31" t="inlineStr">
        <is>
          <t>LAURUSLABS</t>
        </is>
      </c>
      <c r="B143" s="31" t="inlineStr">
        <is>
          <t>Laurus Labs Limited</t>
        </is>
      </c>
      <c r="C143" s="31" t="inlineStr">
        <is>
          <t>healthcare</t>
        </is>
      </c>
      <c r="D143" s="31" t="inlineStr">
        <is>
          <t>pharmaceuticals - indian - bulk drugs &amp; formln</t>
        </is>
      </c>
      <c r="E143" s="31" t="inlineStr">
        <is>
          <t>largecap</t>
        </is>
      </c>
      <c r="F143" s="31" t="n">
        <v>84142.05</v>
      </c>
      <c r="G143" s="31" t="n">
        <v>1560.7</v>
      </c>
      <c r="H143" s="31" t="n">
        <v>0.13</v>
      </c>
      <c r="I143" s="31" t="n">
        <v>1288969</v>
      </c>
      <c r="J143" s="31" t="inlineStr">
        <is>
          <t>540222</t>
        </is>
      </c>
    </row>
    <row r="144">
      <c r="A144" s="31" t="inlineStr">
        <is>
          <t>KAPSTON</t>
        </is>
      </c>
      <c r="B144" s="31" t="inlineStr">
        <is>
          <t>Kapston Services Ltd</t>
        </is>
      </c>
      <c r="C144" s="31" t="inlineStr">
        <is>
          <t>miscellaneous</t>
        </is>
      </c>
      <c r="D144" s="31" t="inlineStr">
        <is>
          <t>miscellaneous</t>
        </is>
      </c>
      <c r="E144" s="31" t="inlineStr">
        <is>
          <t>smallcap</t>
        </is>
      </c>
      <c r="F144" s="31" t="n">
        <v>1258.98</v>
      </c>
      <c r="G144" s="31" t="n">
        <v>414.15</v>
      </c>
      <c r="H144" s="31" t="n">
        <v>0.11</v>
      </c>
      <c r="I144" s="31" t="n">
        <v>18761</v>
      </c>
      <c r="J144" s="31" t="inlineStr">
        <is>
          <t>535064</t>
        </is>
      </c>
    </row>
    <row r="145">
      <c r="A145" s="31" t="inlineStr">
        <is>
          <t>TEXINFRA</t>
        </is>
      </c>
      <c r="B145" s="31" t="inlineStr">
        <is>
          <t>Texmaco Infrastructure &amp; Holdings Limited</t>
        </is>
      </c>
      <c r="C145" s="31" t="inlineStr">
        <is>
          <t>realty</t>
        </is>
      </c>
      <c r="D145" s="31" t="inlineStr">
        <is>
          <t>construction</t>
        </is>
      </c>
      <c r="E145" s="31" t="inlineStr">
        <is>
          <t>smallcap</t>
        </is>
      </c>
      <c r="F145" s="31" t="n">
        <v>1452.66</v>
      </c>
      <c r="G145" s="31" t="n">
        <v>114.11</v>
      </c>
      <c r="H145" s="31" t="n">
        <v>0.1</v>
      </c>
      <c r="I145" s="31" t="n">
        <v>81649</v>
      </c>
      <c r="J145" s="31" t="inlineStr">
        <is>
          <t>505400</t>
        </is>
      </c>
    </row>
    <row r="146">
      <c r="A146" s="31" t="inlineStr">
        <is>
          <t>JINDRILL</t>
        </is>
      </c>
      <c r="B146" s="31" t="inlineStr">
        <is>
          <t>Jindal Drilling And Industries Limited</t>
        </is>
      </c>
      <c r="C146" s="31" t="inlineStr">
        <is>
          <t>energy</t>
        </is>
      </c>
      <c r="D146" s="31" t="inlineStr">
        <is>
          <t>oil drilling / allied services</t>
        </is>
      </c>
      <c r="E146" s="31" t="inlineStr">
        <is>
          <t>smallcap</t>
        </is>
      </c>
      <c r="F146" s="31" t="n">
        <v>1812.91</v>
      </c>
      <c r="G146" s="31" t="n">
        <v>626.2</v>
      </c>
      <c r="H146" s="31" t="n">
        <v>0.1</v>
      </c>
      <c r="I146" s="31" t="n">
        <v>585469</v>
      </c>
      <c r="J146" s="31" t="inlineStr">
        <is>
          <t>511034</t>
        </is>
      </c>
    </row>
    <row r="147">
      <c r="A147" s="31" t="inlineStr">
        <is>
          <t>STARHEALTH</t>
        </is>
      </c>
      <c r="B147" s="31" t="inlineStr">
        <is>
          <t>Star Health &amp; Allied Insurance Company Ltd</t>
        </is>
      </c>
      <c r="C147" s="31" t="inlineStr">
        <is>
          <t>financials</t>
        </is>
      </c>
      <c r="D147" s="31" t="inlineStr">
        <is>
          <t>finance &amp; investments</t>
        </is>
      </c>
      <c r="E147" s="31" t="inlineStr">
        <is>
          <t>largecap</t>
        </is>
      </c>
      <c r="F147" s="31" t="n">
        <v>35289.5</v>
      </c>
      <c r="G147" s="31" t="n">
        <v>600</v>
      </c>
      <c r="H147" s="31" t="n">
        <v>0.04</v>
      </c>
      <c r="I147" s="31" t="n">
        <v>1347400</v>
      </c>
      <c r="J147" s="31" t="inlineStr">
        <is>
          <t>543412</t>
        </is>
      </c>
    </row>
    <row r="148">
      <c r="A148" s="31" t="inlineStr">
        <is>
          <t>ASTRAMICRO</t>
        </is>
      </c>
      <c r="B148" s="31" t="inlineStr">
        <is>
          <t>Astra Microwave Products Limited</t>
        </is>
      </c>
      <c r="C148" s="31" t="inlineStr">
        <is>
          <t>aerospace &amp; defence</t>
        </is>
      </c>
      <c r="D148" s="31" t="inlineStr">
        <is>
          <t>telecommunications - equipment</t>
        </is>
      </c>
      <c r="E148" s="31" t="inlineStr">
        <is>
          <t>midcap</t>
        </is>
      </c>
      <c r="F148" s="31" t="n">
        <v>16327.69</v>
      </c>
      <c r="G148" s="31" t="n">
        <v>1720</v>
      </c>
      <c r="H148" s="31" t="n">
        <v>0.02</v>
      </c>
      <c r="I148" s="31" t="n">
        <v>479676</v>
      </c>
      <c r="J148" s="31" t="inlineStr">
        <is>
          <t>532493</t>
        </is>
      </c>
    </row>
    <row r="149">
      <c r="A149" s="31" t="inlineStr">
        <is>
          <t>SIS</t>
        </is>
      </c>
      <c r="B149" s="31" t="inlineStr">
        <is>
          <t>Security &amp; Intelligence Services India</t>
        </is>
      </c>
      <c r="C149" s="31" t="inlineStr">
        <is>
          <t>miscellaneous</t>
        </is>
      </c>
      <c r="D149" s="31" t="inlineStr">
        <is>
          <t>miscellaneous</t>
        </is>
      </c>
      <c r="E149" s="31" t="inlineStr">
        <is>
          <t>midcap</t>
        </is>
      </c>
      <c r="F149" s="31" t="n">
        <v>6138.98</v>
      </c>
      <c r="G149" s="31" t="n">
        <v>434.6</v>
      </c>
      <c r="H149" s="31" t="n">
        <v>0.01</v>
      </c>
      <c r="I149" s="31" t="n">
        <v>161429</v>
      </c>
      <c r="J149" s="31" t="inlineStr">
        <is>
          <t>540673</t>
        </is>
      </c>
    </row>
    <row r="150">
      <c r="A150" s="31" t="inlineStr">
        <is>
          <t>AVADHSUGAR</t>
        </is>
      </c>
      <c r="B150" s="31" t="inlineStr">
        <is>
          <t>Avadh Sugar &amp; Energy</t>
        </is>
      </c>
      <c r="C150" s="31" t="inlineStr">
        <is>
          <t>fmcg</t>
        </is>
      </c>
      <c r="D150" s="31" t="inlineStr">
        <is>
          <t>sugar</t>
        </is>
      </c>
      <c r="E150" s="31" t="inlineStr">
        <is>
          <t>smallcap</t>
        </is>
      </c>
      <c r="F150" s="31" t="n">
        <v>1079.49</v>
      </c>
      <c r="G150" s="31" t="n">
        <v>539.3</v>
      </c>
      <c r="H150" s="31" t="n">
        <v>0.01</v>
      </c>
      <c r="I150" s="31" t="n">
        <v>19665</v>
      </c>
      <c r="J150" s="31" t="inlineStr">
        <is>
          <t>540649</t>
        </is>
      </c>
    </row>
    <row r="151">
      <c r="A151" s="31" t="inlineStr">
        <is>
          <t>AJANTPHARM</t>
        </is>
      </c>
      <c r="B151" s="31" t="inlineStr">
        <is>
          <t>Ajanta Pharma Limited</t>
        </is>
      </c>
      <c r="C151" s="31" t="inlineStr">
        <is>
          <t>healthcare</t>
        </is>
      </c>
      <c r="D151" s="31" t="inlineStr">
        <is>
          <t>pharmaceuticals - indian - formulations</t>
        </is>
      </c>
      <c r="E151" s="31" t="inlineStr">
        <is>
          <t>largecap</t>
        </is>
      </c>
      <c r="F151" s="31" t="n">
        <v>42745.47</v>
      </c>
      <c r="G151" s="31" t="n">
        <v>3421</v>
      </c>
      <c r="H151" s="31" t="n">
        <v>-0.01</v>
      </c>
      <c r="I151" s="31" t="n">
        <v>89251</v>
      </c>
      <c r="J151" s="31" t="inlineStr">
        <is>
          <t>532331</t>
        </is>
      </c>
    </row>
    <row r="152">
      <c r="A152" s="31" t="inlineStr">
        <is>
          <t>CCL</t>
        </is>
      </c>
      <c r="B152" s="31" t="inlineStr">
        <is>
          <t>Ccl Products (india) Limited</t>
        </is>
      </c>
      <c r="C152" s="31" t="inlineStr">
        <is>
          <t>fmcg</t>
        </is>
      </c>
      <c r="D152" s="31" t="inlineStr">
        <is>
          <t>tea</t>
        </is>
      </c>
      <c r="E152" s="31" t="inlineStr">
        <is>
          <t>midcap</t>
        </is>
      </c>
      <c r="F152" s="31" t="n">
        <v>16419.93</v>
      </c>
      <c r="G152" s="31" t="n">
        <v>1229.5</v>
      </c>
      <c r="H152" s="31" t="n">
        <v>-0.02</v>
      </c>
      <c r="I152" s="31" t="n">
        <v>192787</v>
      </c>
      <c r="J152" s="31" t="inlineStr">
        <is>
          <t>519600</t>
        </is>
      </c>
    </row>
    <row r="153">
      <c r="A153" s="31" t="inlineStr">
        <is>
          <t>DELHIVERY</t>
        </is>
      </c>
      <c r="B153" s="31" t="inlineStr">
        <is>
          <t>Delhivery Ltd</t>
        </is>
      </c>
      <c r="C153" s="31" t="inlineStr">
        <is>
          <t>transportation</t>
        </is>
      </c>
      <c r="D153" s="31" t="inlineStr">
        <is>
          <t>miscellaneous</t>
        </is>
      </c>
      <c r="E153" s="31" t="inlineStr">
        <is>
          <t>largecap</t>
        </is>
      </c>
      <c r="F153" s="31" t="n">
        <v>38351.19</v>
      </c>
      <c r="G153" s="31" t="n">
        <v>512.1</v>
      </c>
      <c r="H153" s="31" t="n">
        <v>-0.04</v>
      </c>
      <c r="I153" s="31" t="n">
        <v>2962078</v>
      </c>
      <c r="J153" s="31" t="inlineStr">
        <is>
          <t>543529</t>
        </is>
      </c>
    </row>
    <row r="154">
      <c r="A154" s="31" t="inlineStr">
        <is>
          <t>GRWRHITECH</t>
        </is>
      </c>
      <c r="B154" s="31" t="inlineStr">
        <is>
          <t>Garware Hi Tech Films Ltd</t>
        </is>
      </c>
      <c r="C154" s="31" t="inlineStr">
        <is>
          <t>industrials</t>
        </is>
      </c>
      <c r="D154" s="31" t="inlineStr">
        <is>
          <t>packaging</t>
        </is>
      </c>
      <c r="E154" s="31" t="inlineStr">
        <is>
          <t>midcap</t>
        </is>
      </c>
      <c r="F154" s="31" t="n">
        <v>16357.93</v>
      </c>
      <c r="G154" s="31" t="n">
        <v>7037</v>
      </c>
      <c r="H154" s="31" t="n">
        <v>-0.06</v>
      </c>
      <c r="I154" s="31" t="n">
        <v>34884</v>
      </c>
      <c r="J154" s="31" t="inlineStr">
        <is>
          <t>500655</t>
        </is>
      </c>
    </row>
    <row r="155">
      <c r="A155" s="31" t="inlineStr">
        <is>
          <t>HAPPYFORGE</t>
        </is>
      </c>
      <c r="B155" s="31" t="inlineStr">
        <is>
          <t>Happy Forgings Ltd</t>
        </is>
      </c>
      <c r="C155" s="31" t="inlineStr">
        <is>
          <t>industrials</t>
        </is>
      </c>
      <c r="D155" s="31" t="inlineStr">
        <is>
          <t>castings &amp; forgings</t>
        </is>
      </c>
      <c r="E155" s="31" t="inlineStr">
        <is>
          <t>midcap</t>
        </is>
      </c>
      <c r="F155" s="31" t="n">
        <v>15034.53</v>
      </c>
      <c r="G155" s="31" t="n">
        <v>1591.9</v>
      </c>
      <c r="H155" s="31" t="n">
        <v>-0.07000000000000001</v>
      </c>
      <c r="I155" s="31" t="n">
        <v>50081</v>
      </c>
      <c r="J155" s="31" t="inlineStr">
        <is>
          <t>544057</t>
        </is>
      </c>
    </row>
    <row r="156">
      <c r="A156" s="31" t="inlineStr">
        <is>
          <t>MMFL</t>
        </is>
      </c>
      <c r="B156" s="31" t="inlineStr">
        <is>
          <t>Mm Forgings Limited</t>
        </is>
      </c>
      <c r="C156" s="31" t="inlineStr">
        <is>
          <t>industrials</t>
        </is>
      </c>
      <c r="D156" s="31" t="inlineStr">
        <is>
          <t>castings &amp; forgings</t>
        </is>
      </c>
      <c r="E156" s="31" t="inlineStr">
        <is>
          <t>smallcap</t>
        </is>
      </c>
      <c r="F156" s="31" t="n">
        <v>2493.26</v>
      </c>
      <c r="G156" s="31" t="n">
        <v>516</v>
      </c>
      <c r="H156" s="31" t="n">
        <v>-0.08</v>
      </c>
      <c r="I156" s="31" t="n">
        <v>136997</v>
      </c>
      <c r="J156" s="31" t="inlineStr">
        <is>
          <t>522241</t>
        </is>
      </c>
    </row>
    <row r="157">
      <c r="A157" s="31" t="inlineStr">
        <is>
          <t>RPTECH</t>
        </is>
      </c>
      <c r="B157" s="31" t="inlineStr">
        <is>
          <t>Rashi Peripherals Ltd</t>
        </is>
      </c>
      <c r="C157" s="31" t="inlineStr">
        <is>
          <t>services</t>
        </is>
      </c>
      <c r="D157" s="31" t="inlineStr">
        <is>
          <t>trading</t>
        </is>
      </c>
      <c r="E157" s="31" t="inlineStr">
        <is>
          <t>midcap</t>
        </is>
      </c>
      <c r="F157" s="31" t="n">
        <v>5129.3</v>
      </c>
      <c r="G157" s="31" t="n">
        <v>777.7</v>
      </c>
      <c r="H157" s="31" t="n">
        <v>-0.08</v>
      </c>
      <c r="I157" s="31" t="n">
        <v>398642</v>
      </c>
      <c r="J157" s="31" t="n"/>
    </row>
    <row r="158">
      <c r="A158" s="31" t="inlineStr">
        <is>
          <t>AVL</t>
        </is>
      </c>
      <c r="B158" s="31" t="inlineStr">
        <is>
          <t>Aditya Vision Ltd</t>
        </is>
      </c>
      <c r="C158" s="31" t="inlineStr">
        <is>
          <t>consumer discretionary</t>
        </is>
      </c>
      <c r="D158" s="31" t="inlineStr">
        <is>
          <t>trading</t>
        </is>
      </c>
      <c r="E158" s="31" t="inlineStr">
        <is>
          <t>midcap</t>
        </is>
      </c>
      <c r="F158" s="31" t="n">
        <v>8213.18</v>
      </c>
      <c r="G158" s="31" t="n">
        <v>635.45</v>
      </c>
      <c r="H158" s="31" t="n">
        <v>-0.09</v>
      </c>
      <c r="I158" s="31" t="n">
        <v>73253</v>
      </c>
      <c r="J158" s="31" t="inlineStr">
        <is>
          <t>540205</t>
        </is>
      </c>
    </row>
    <row r="159">
      <c r="A159" s="31" t="inlineStr">
        <is>
          <t>GUFICBIO</t>
        </is>
      </c>
      <c r="B159" s="31" t="inlineStr">
        <is>
          <t>Gufic Biosciences Limited</t>
        </is>
      </c>
      <c r="C159" s="31" t="inlineStr">
        <is>
          <t>healthcare</t>
        </is>
      </c>
      <c r="D159" s="31" t="inlineStr">
        <is>
          <t>pharmaceuticals - indian - bulk drugs &amp; formln</t>
        </is>
      </c>
      <c r="E159" s="31" t="inlineStr">
        <is>
          <t>smallcap</t>
        </is>
      </c>
      <c r="F159" s="31" t="n">
        <v>4013.81</v>
      </c>
      <c r="G159" s="31" t="n">
        <v>399.9</v>
      </c>
      <c r="H159" s="31" t="n">
        <v>-0.09</v>
      </c>
      <c r="I159" s="31" t="n">
        <v>106670</v>
      </c>
      <c r="J159" s="31" t="inlineStr">
        <is>
          <t>509079</t>
        </is>
      </c>
    </row>
    <row r="160">
      <c r="A160" s="31" t="inlineStr">
        <is>
          <t>LLOYDSME</t>
        </is>
      </c>
      <c r="B160" s="31" t="inlineStr">
        <is>
          <t>Lloyds Metals &amp; Energy Ltd</t>
        </is>
      </c>
      <c r="C160" s="31" t="inlineStr">
        <is>
          <t>metals &amp; mining</t>
        </is>
      </c>
      <c r="D160" s="31" t="inlineStr">
        <is>
          <t>mining / minerals / metals</t>
        </is>
      </c>
      <c r="E160" s="31" t="inlineStr">
        <is>
          <t>largecap</t>
        </is>
      </c>
      <c r="F160" s="31" t="n">
        <v>102826.46</v>
      </c>
      <c r="G160" s="31" t="n">
        <v>1825.5</v>
      </c>
      <c r="H160" s="31" t="n">
        <v>-0.09</v>
      </c>
      <c r="I160" s="31" t="n">
        <v>318736</v>
      </c>
      <c r="J160" s="31" t="inlineStr">
        <is>
          <t>512455</t>
        </is>
      </c>
    </row>
    <row r="161">
      <c r="A161" s="31" t="inlineStr">
        <is>
          <t>NEULANDLAB</t>
        </is>
      </c>
      <c r="B161" s="31" t="inlineStr">
        <is>
          <t>Neuland Laboratories Limited</t>
        </is>
      </c>
      <c r="C161" s="31" t="inlineStr">
        <is>
          <t>healthcare</t>
        </is>
      </c>
      <c r="D161" s="31" t="inlineStr">
        <is>
          <t>pharmaceuticals - indian - bulk drugs</t>
        </is>
      </c>
      <c r="E161" s="31" t="inlineStr">
        <is>
          <t>largecap</t>
        </is>
      </c>
      <c r="F161" s="31" t="n">
        <v>24401.17</v>
      </c>
      <c r="G161" s="31" t="n">
        <v>19001</v>
      </c>
      <c r="H161" s="31" t="n">
        <v>-0.09</v>
      </c>
      <c r="I161" s="31" t="n">
        <v>16957</v>
      </c>
      <c r="J161" s="31" t="inlineStr">
        <is>
          <t>524558</t>
        </is>
      </c>
    </row>
    <row r="162">
      <c r="A162" s="31" t="inlineStr">
        <is>
          <t>SUNDRMFAST</t>
        </is>
      </c>
      <c r="B162" s="31" t="inlineStr">
        <is>
          <t>Sundram Fasteners Limited</t>
        </is>
      </c>
      <c r="C162" s="31" t="inlineStr">
        <is>
          <t>auto</t>
        </is>
      </c>
      <c r="D162" s="31" t="inlineStr">
        <is>
          <t>auto ancillaries</t>
        </is>
      </c>
      <c r="E162" s="31" t="inlineStr">
        <is>
          <t>largecap</t>
        </is>
      </c>
      <c r="F162" s="31" t="n">
        <v>20192.29</v>
      </c>
      <c r="G162" s="31" t="n">
        <v>960</v>
      </c>
      <c r="H162" s="31" t="n">
        <v>-0.1</v>
      </c>
      <c r="I162" s="31" t="n">
        <v>52269</v>
      </c>
      <c r="J162" s="31" t="inlineStr">
        <is>
          <t>500403</t>
        </is>
      </c>
    </row>
    <row r="163">
      <c r="A163" s="31" t="inlineStr">
        <is>
          <t>ASAHIINDIA</t>
        </is>
      </c>
      <c r="B163" s="31" t="inlineStr">
        <is>
          <t>Asahi India Glass Limited</t>
        </is>
      </c>
      <c r="C163" s="31" t="inlineStr">
        <is>
          <t>building materials</t>
        </is>
      </c>
      <c r="D163" s="31" t="inlineStr">
        <is>
          <t>glass &amp; glass products</t>
        </is>
      </c>
      <c r="E163" s="31" t="inlineStr">
        <is>
          <t>largecap</t>
        </is>
      </c>
      <c r="F163" s="31" t="n">
        <v>23555.27</v>
      </c>
      <c r="G163" s="31" t="n">
        <v>923.1</v>
      </c>
      <c r="H163" s="31" t="n">
        <v>-0.1</v>
      </c>
      <c r="I163" s="31" t="n">
        <v>100657</v>
      </c>
      <c r="J163" s="31" t="inlineStr">
        <is>
          <t>515030</t>
        </is>
      </c>
    </row>
    <row r="164">
      <c r="A164" s="31" t="inlineStr">
        <is>
          <t>ETHOSLTD</t>
        </is>
      </c>
      <c r="B164" s="31" t="inlineStr">
        <is>
          <t>Ethos Ltd</t>
        </is>
      </c>
      <c r="C164" s="31" t="inlineStr">
        <is>
          <t>consumer discretionary</t>
        </is>
      </c>
      <c r="D164" s="31" t="inlineStr">
        <is>
          <t>trading</t>
        </is>
      </c>
      <c r="E164" s="31" t="inlineStr">
        <is>
          <t>midcap</t>
        </is>
      </c>
      <c r="F164" s="31" t="n">
        <v>7088.11</v>
      </c>
      <c r="G164" s="31" t="n">
        <v>2645.7</v>
      </c>
      <c r="H164" s="31" t="n">
        <v>-0.12</v>
      </c>
      <c r="I164" s="31" t="n">
        <v>36162</v>
      </c>
      <c r="J164" s="31" t="inlineStr">
        <is>
          <t>543532</t>
        </is>
      </c>
    </row>
    <row r="165">
      <c r="A165" s="31" t="inlineStr">
        <is>
          <t>ICICIBANK</t>
        </is>
      </c>
      <c r="B165" s="31" t="inlineStr">
        <is>
          <t>Icici Bank Limited</t>
        </is>
      </c>
      <c r="C165" s="31" t="inlineStr">
        <is>
          <t>bank</t>
        </is>
      </c>
      <c r="D165" s="31" t="inlineStr">
        <is>
          <t>banks - private sector</t>
        </is>
      </c>
      <c r="E165" s="31" t="inlineStr">
        <is>
          <t>largecap</t>
        </is>
      </c>
      <c r="F165" s="31" t="n">
        <v>1009217.87</v>
      </c>
      <c r="G165" s="31" t="n">
        <v>1407.7</v>
      </c>
      <c r="H165" s="31" t="n">
        <v>-0.13</v>
      </c>
      <c r="I165" s="31" t="n">
        <v>14133017</v>
      </c>
      <c r="J165" s="31" t="inlineStr">
        <is>
          <t>532174</t>
        </is>
      </c>
    </row>
    <row r="166">
      <c r="A166" s="31" t="inlineStr">
        <is>
          <t>TTKPRESTIG</t>
        </is>
      </c>
      <c r="B166" s="31" t="inlineStr">
        <is>
          <t>Ttk Prestige Limited</t>
        </is>
      </c>
      <c r="C166" s="31" t="inlineStr">
        <is>
          <t>consumer discretionary</t>
        </is>
      </c>
      <c r="D166" s="31" t="inlineStr">
        <is>
          <t>domestic appliances</t>
        </is>
      </c>
      <c r="E166" s="31" t="inlineStr">
        <is>
          <t>midcap</t>
        </is>
      </c>
      <c r="F166" s="31" t="n">
        <v>9116.139999999999</v>
      </c>
      <c r="G166" s="31" t="n">
        <v>664.7</v>
      </c>
      <c r="H166" s="31" t="n">
        <v>-0.14</v>
      </c>
      <c r="I166" s="31" t="n">
        <v>69757</v>
      </c>
      <c r="J166" s="31" t="inlineStr">
        <is>
          <t>517506</t>
        </is>
      </c>
    </row>
    <row r="167">
      <c r="A167" s="31" t="inlineStr">
        <is>
          <t>POKARNA</t>
        </is>
      </c>
      <c r="B167" s="31" t="inlineStr">
        <is>
          <t>Pokarna Limited</t>
        </is>
      </c>
      <c r="C167" s="31" t="inlineStr">
        <is>
          <t>consumer discretionary</t>
        </is>
      </c>
      <c r="D167" s="31" t="inlineStr">
        <is>
          <t>miscellaneous</t>
        </is>
      </c>
      <c r="E167" s="31" t="inlineStr">
        <is>
          <t>smallcap</t>
        </is>
      </c>
      <c r="F167" s="31" t="n">
        <v>3136.05</v>
      </c>
      <c r="G167" s="31" t="n">
        <v>1010</v>
      </c>
      <c r="H167" s="31" t="n">
        <v>-0.15</v>
      </c>
      <c r="I167" s="31" t="n">
        <v>31701</v>
      </c>
      <c r="J167" s="31" t="inlineStr">
        <is>
          <t>532486</t>
        </is>
      </c>
    </row>
    <row r="168">
      <c r="A168" s="31" t="inlineStr">
        <is>
          <t>SKIPPER</t>
        </is>
      </c>
      <c r="B168" s="31" t="inlineStr">
        <is>
          <t>Skipper Limited</t>
        </is>
      </c>
      <c r="C168" s="31" t="inlineStr">
        <is>
          <t>industrials</t>
        </is>
      </c>
      <c r="D168" s="31" t="inlineStr">
        <is>
          <t>engineering</t>
        </is>
      </c>
      <c r="E168" s="31" t="inlineStr">
        <is>
          <t>midcap</t>
        </is>
      </c>
      <c r="F168" s="31" t="n">
        <v>6277.46</v>
      </c>
      <c r="G168" s="31" t="n">
        <v>555</v>
      </c>
      <c r="H168" s="31" t="n">
        <v>-0.18</v>
      </c>
      <c r="I168" s="31" t="n">
        <v>384667</v>
      </c>
      <c r="J168" s="31" t="inlineStr">
        <is>
          <t>538562</t>
        </is>
      </c>
    </row>
    <row r="169">
      <c r="A169" s="31" t="inlineStr">
        <is>
          <t>ASTERDM</t>
        </is>
      </c>
      <c r="B169" s="31" t="inlineStr">
        <is>
          <t>Aster DM Healthcare Ltd</t>
        </is>
      </c>
      <c r="C169" s="31" t="inlineStr">
        <is>
          <t>healthcare</t>
        </is>
      </c>
      <c r="D169" s="31" t="inlineStr">
        <is>
          <t>healthcare</t>
        </is>
      </c>
      <c r="E169" s="31" t="inlineStr">
        <is>
          <t>largecap</t>
        </is>
      </c>
      <c r="F169" s="31" t="n">
        <v>42221.68</v>
      </c>
      <c r="G169" s="31" t="n">
        <v>813.2</v>
      </c>
      <c r="H169" s="31" t="n">
        <v>-0.21</v>
      </c>
      <c r="I169" s="31" t="n">
        <v>521787</v>
      </c>
      <c r="J169" s="31" t="inlineStr">
        <is>
          <t>540975</t>
        </is>
      </c>
    </row>
    <row r="170">
      <c r="A170" s="31" t="inlineStr">
        <is>
          <t>REDINGTON</t>
        </is>
      </c>
      <c r="B170" s="31" t="inlineStr">
        <is>
          <t>Redington (india) Limited</t>
        </is>
      </c>
      <c r="C170" s="31" t="inlineStr">
        <is>
          <t>services</t>
        </is>
      </c>
      <c r="D170" s="31" t="inlineStr">
        <is>
          <t>trading</t>
        </is>
      </c>
      <c r="E170" s="31" t="inlineStr">
        <is>
          <t>largecap</t>
        </is>
      </c>
      <c r="F170" s="31" t="n">
        <v>22147.67</v>
      </c>
      <c r="G170" s="31" t="n">
        <v>282.7</v>
      </c>
      <c r="H170" s="31" t="n">
        <v>-0.21</v>
      </c>
      <c r="I170" s="31" t="n">
        <v>2534162</v>
      </c>
      <c r="J170" s="31" t="inlineStr">
        <is>
          <t>532805</t>
        </is>
      </c>
    </row>
    <row r="171">
      <c r="A171" s="31" t="inlineStr">
        <is>
          <t>SAILIFE</t>
        </is>
      </c>
      <c r="B171" s="31" t="inlineStr">
        <is>
          <t>Sai Life Sciences Ltd</t>
        </is>
      </c>
      <c r="C171" s="31" t="inlineStr">
        <is>
          <t>healthcare</t>
        </is>
      </c>
      <c r="D171" s="31" t="inlineStr">
        <is>
          <t>pharmaceuticals - indian - bulk drugs &amp; formln</t>
        </is>
      </c>
      <c r="E171" s="31" t="inlineStr">
        <is>
          <t>largecap</t>
        </is>
      </c>
      <c r="F171" s="31" t="n">
        <v>26940.44</v>
      </c>
      <c r="G171" s="31" t="n">
        <v>1268.8</v>
      </c>
      <c r="H171" s="31" t="n">
        <v>-0.26</v>
      </c>
      <c r="I171" s="31" t="n">
        <v>400041</v>
      </c>
      <c r="J171" s="31" t="inlineStr">
        <is>
          <t>544306</t>
        </is>
      </c>
    </row>
    <row r="172">
      <c r="A172" s="31" t="inlineStr">
        <is>
          <t>PRECOT</t>
        </is>
      </c>
      <c r="B172" s="31" t="inlineStr">
        <is>
          <t>Precot Meridian Limited</t>
        </is>
      </c>
      <c r="C172" s="31" t="inlineStr">
        <is>
          <t>textiles</t>
        </is>
      </c>
      <c r="D172" s="31" t="inlineStr">
        <is>
          <t>textiles - cotton/blended</t>
        </is>
      </c>
      <c r="E172" s="31" t="inlineStr">
        <is>
          <t>smallcap</t>
        </is>
      </c>
      <c r="F172" s="31" t="n">
        <v>955.8</v>
      </c>
      <c r="G172" s="31" t="n">
        <v>794.45</v>
      </c>
      <c r="H172" s="31" t="n">
        <v>-0.26</v>
      </c>
      <c r="I172" s="31" t="n">
        <v>6229</v>
      </c>
      <c r="J172" s="31" t="inlineStr">
        <is>
          <t>521184</t>
        </is>
      </c>
    </row>
    <row r="173">
      <c r="A173" s="31" t="inlineStr">
        <is>
          <t>GRANULES</t>
        </is>
      </c>
      <c r="B173" s="31" t="inlineStr">
        <is>
          <t>Granules India Limited</t>
        </is>
      </c>
      <c r="C173" s="31" t="inlineStr">
        <is>
          <t>healthcare</t>
        </is>
      </c>
      <c r="D173" s="31" t="inlineStr">
        <is>
          <t>pharmaceuticals - indian - bulk drugs &amp; formln</t>
        </is>
      </c>
      <c r="E173" s="31" t="inlineStr">
        <is>
          <t>largecap</t>
        </is>
      </c>
      <c r="F173" s="31" t="n">
        <v>22243.49</v>
      </c>
      <c r="G173" s="31" t="n">
        <v>895.1</v>
      </c>
      <c r="H173" s="31" t="n">
        <v>-0.28</v>
      </c>
      <c r="I173" s="31" t="n">
        <v>896781</v>
      </c>
      <c r="J173" s="31" t="inlineStr">
        <is>
          <t>532482</t>
        </is>
      </c>
    </row>
    <row r="174">
      <c r="A174" s="31" t="inlineStr">
        <is>
          <t>ARVINDFASN</t>
        </is>
      </c>
      <c r="B174" s="31" t="inlineStr">
        <is>
          <t>Arvind Fashions Ltd</t>
        </is>
      </c>
      <c r="C174" s="31" t="inlineStr">
        <is>
          <t>consumer discretionary</t>
        </is>
      </c>
      <c r="D174" s="31" t="inlineStr">
        <is>
          <t>trading</t>
        </is>
      </c>
      <c r="E174" s="31" t="inlineStr">
        <is>
          <t>midcap</t>
        </is>
      </c>
      <c r="F174" s="31" t="n">
        <v>6346.61</v>
      </c>
      <c r="G174" s="31" t="n">
        <v>473.5</v>
      </c>
      <c r="H174" s="31" t="n">
        <v>-0.28</v>
      </c>
      <c r="I174" s="31" t="n">
        <v>318063</v>
      </c>
      <c r="J174" s="31" t="inlineStr">
        <is>
          <t>542484</t>
        </is>
      </c>
    </row>
    <row r="175">
      <c r="A175" s="31" t="inlineStr">
        <is>
          <t>SPAL</t>
        </is>
      </c>
      <c r="B175" s="31" t="inlineStr">
        <is>
          <t>S. P. Apparels Limited</t>
        </is>
      </c>
      <c r="C175" s="31" t="inlineStr">
        <is>
          <t>consumer discretionary</t>
        </is>
      </c>
      <c r="D175" s="31" t="inlineStr">
        <is>
          <t>textiles - products</t>
        </is>
      </c>
      <c r="E175" s="31" t="inlineStr">
        <is>
          <t>smallcap</t>
        </is>
      </c>
      <c r="F175" s="31" t="n">
        <v>2827.62</v>
      </c>
      <c r="G175" s="31" t="n">
        <v>1121.6</v>
      </c>
      <c r="H175" s="31" t="n">
        <v>-0.28</v>
      </c>
      <c r="I175" s="31" t="n">
        <v>185476</v>
      </c>
      <c r="J175" s="31" t="inlineStr">
        <is>
          <t>540048</t>
        </is>
      </c>
    </row>
    <row r="176">
      <c r="A176" s="31" t="inlineStr">
        <is>
          <t>SOMANYCERA</t>
        </is>
      </c>
      <c r="B176" s="31" t="inlineStr">
        <is>
          <t>Somany Ceramics Limited</t>
        </is>
      </c>
      <c r="C176" s="31" t="inlineStr">
        <is>
          <t>building materials</t>
        </is>
      </c>
      <c r="D176" s="31" t="inlineStr">
        <is>
          <t>ceramics - tiles / sanitaryware</t>
        </is>
      </c>
      <c r="E176" s="31" t="inlineStr">
        <is>
          <t>smallcap</t>
        </is>
      </c>
      <c r="F176" s="31" t="n">
        <v>2201.77</v>
      </c>
      <c r="G176" s="31" t="n">
        <v>535.2</v>
      </c>
      <c r="H176" s="31" t="n">
        <v>-0.31</v>
      </c>
      <c r="I176" s="31" t="n">
        <v>120986</v>
      </c>
      <c r="J176" s="31" t="inlineStr">
        <is>
          <t>531548</t>
        </is>
      </c>
    </row>
    <row r="177">
      <c r="A177" s="31" t="inlineStr">
        <is>
          <t>PICCADIL</t>
        </is>
      </c>
      <c r="B177" s="31" t="inlineStr">
        <is>
          <t>Piccadily Agro Industries Ltd</t>
        </is>
      </c>
      <c r="C177" s="31" t="inlineStr">
        <is>
          <t>fmcg</t>
        </is>
      </c>
      <c r="D177" s="31" t="inlineStr">
        <is>
          <t>breweries &amp; distilleries</t>
        </is>
      </c>
      <c r="E177" s="31" t="inlineStr">
        <is>
          <t>midcap</t>
        </is>
      </c>
      <c r="F177" s="31" t="n">
        <v>7086.31</v>
      </c>
      <c r="G177" s="31" t="n">
        <v>716.55</v>
      </c>
      <c r="H177" s="31" t="n">
        <v>-0.33</v>
      </c>
      <c r="I177" s="31" t="n">
        <v>386064</v>
      </c>
      <c r="J177" s="31" t="inlineStr">
        <is>
          <t>530305</t>
        </is>
      </c>
    </row>
    <row r="178">
      <c r="A178" s="31" t="inlineStr">
        <is>
          <t>TFCILTD</t>
        </is>
      </c>
      <c r="B178" s="31" t="inlineStr">
        <is>
          <t>Tourism Finance Corporation Of India Limited</t>
        </is>
      </c>
      <c r="C178" s="31" t="inlineStr">
        <is>
          <t>financials</t>
        </is>
      </c>
      <c r="D178" s="31" t="inlineStr">
        <is>
          <t>finance - term-lending institutions</t>
        </is>
      </c>
      <c r="E178" s="31" t="inlineStr">
        <is>
          <t>smallcap</t>
        </is>
      </c>
      <c r="F178" s="31" t="n">
        <v>3741.32</v>
      </c>
      <c r="G178" s="31" t="n">
        <v>80.53</v>
      </c>
      <c r="H178" s="31" t="n">
        <v>-0.35</v>
      </c>
      <c r="I178" s="31" t="n">
        <v>11591062</v>
      </c>
      <c r="J178" s="31" t="inlineStr">
        <is>
          <t>526650</t>
        </is>
      </c>
    </row>
    <row r="179">
      <c r="A179" s="31" t="inlineStr">
        <is>
          <t>PAYTM</t>
        </is>
      </c>
      <c r="B179" s="31" t="inlineStr">
        <is>
          <t>One 97 Communications Ltd</t>
        </is>
      </c>
      <c r="C179" s="31" t="inlineStr">
        <is>
          <t>i.t</t>
        </is>
      </c>
      <c r="D179" s="31" t="inlineStr">
        <is>
          <t>miscellaneous</t>
        </is>
      </c>
      <c r="E179" s="31" t="inlineStr">
        <is>
          <t>largecap</t>
        </is>
      </c>
      <c r="F179" s="31" t="n">
        <v>88742.33</v>
      </c>
      <c r="G179" s="31" t="n">
        <v>1381.4</v>
      </c>
      <c r="H179" s="31" t="n">
        <v>-0.37</v>
      </c>
      <c r="I179" s="31" t="n">
        <v>4078228</v>
      </c>
      <c r="J179" s="31" t="inlineStr">
        <is>
          <t>543396</t>
        </is>
      </c>
    </row>
    <row r="180">
      <c r="A180" s="31" t="inlineStr">
        <is>
          <t>RANEHOLDIN</t>
        </is>
      </c>
      <c r="B180" s="31" t="inlineStr">
        <is>
          <t>Rane Holdings Limited</t>
        </is>
      </c>
      <c r="C180" s="31" t="inlineStr">
        <is>
          <t>financials</t>
        </is>
      </c>
      <c r="D180" s="31" t="inlineStr">
        <is>
          <t>finance &amp; investments</t>
        </is>
      </c>
      <c r="E180" s="31" t="inlineStr">
        <is>
          <t>smallcap</t>
        </is>
      </c>
      <c r="F180" s="31" t="n">
        <v>2512.89</v>
      </c>
      <c r="G180" s="31" t="n">
        <v>1753.5</v>
      </c>
      <c r="H180" s="31" t="n">
        <v>-0.37</v>
      </c>
      <c r="I180" s="31" t="n">
        <v>9847</v>
      </c>
      <c r="J180" s="31" t="inlineStr">
        <is>
          <t>505800</t>
        </is>
      </c>
    </row>
    <row r="181">
      <c r="A181" s="31" t="inlineStr">
        <is>
          <t>ARMANFIN</t>
        </is>
      </c>
      <c r="B181" s="31" t="inlineStr">
        <is>
          <t>Arman Financial Services Limited</t>
        </is>
      </c>
      <c r="C181" s="31" t="inlineStr">
        <is>
          <t>financials</t>
        </is>
      </c>
      <c r="D181" s="31" t="inlineStr">
        <is>
          <t>finance &amp; investments</t>
        </is>
      </c>
      <c r="E181" s="31" t="inlineStr">
        <is>
          <t>smallcap</t>
        </is>
      </c>
      <c r="F181" s="31" t="n">
        <v>2066.63</v>
      </c>
      <c r="G181" s="31" t="n">
        <v>1958.6</v>
      </c>
      <c r="H181" s="31" t="n">
        <v>-0.37</v>
      </c>
      <c r="I181" s="31" t="n">
        <v>183410</v>
      </c>
      <c r="J181" s="31" t="inlineStr">
        <is>
          <t>531179</t>
        </is>
      </c>
    </row>
    <row r="182">
      <c r="A182" s="31" t="inlineStr">
        <is>
          <t>RGL</t>
        </is>
      </c>
      <c r="B182" s="31" t="inlineStr">
        <is>
          <t>Renaissance Global Ltd</t>
        </is>
      </c>
      <c r="C182" s="31" t="inlineStr">
        <is>
          <t>consumer discretionary</t>
        </is>
      </c>
      <c r="D182" s="31" t="inlineStr">
        <is>
          <t>diamond cutting / jewellery</t>
        </is>
      </c>
      <c r="E182" s="31" t="inlineStr">
        <is>
          <t>smallcap</t>
        </is>
      </c>
      <c r="F182" s="31" t="n">
        <v>1281.79</v>
      </c>
      <c r="G182" s="31" t="n">
        <v>118.97</v>
      </c>
      <c r="H182" s="31" t="n">
        <v>-0.39</v>
      </c>
      <c r="I182" s="31" t="n">
        <v>178786</v>
      </c>
      <c r="J182" s="31" t="inlineStr">
        <is>
          <t>532923</t>
        </is>
      </c>
    </row>
    <row r="183">
      <c r="A183" s="31" t="inlineStr">
        <is>
          <t>JAYAGROGN</t>
        </is>
      </c>
      <c r="B183" s="31" t="inlineStr">
        <is>
          <t>Jayant Agro Organics Limited</t>
        </is>
      </c>
      <c r="C183" s="31" t="inlineStr">
        <is>
          <t>chemicals</t>
        </is>
      </c>
      <c r="D183" s="31" t="inlineStr">
        <is>
          <t>chemicals</t>
        </is>
      </c>
      <c r="E183" s="31" t="inlineStr">
        <is>
          <t>smallcap</t>
        </is>
      </c>
      <c r="F183" s="31" t="n">
        <v>668.85</v>
      </c>
      <c r="G183" s="31" t="n">
        <v>222.06</v>
      </c>
      <c r="H183" s="31" t="n">
        <v>-0.4</v>
      </c>
      <c r="I183" s="31" t="n">
        <v>5047</v>
      </c>
      <c r="J183" s="31" t="inlineStr">
        <is>
          <t>524330</t>
        </is>
      </c>
    </row>
    <row r="184">
      <c r="A184" s="31" t="inlineStr">
        <is>
          <t>COMSYN</t>
        </is>
      </c>
      <c r="B184" s="31" t="inlineStr">
        <is>
          <t>Commercial Syn Bags Ltd</t>
        </is>
      </c>
      <c r="C184" s="31" t="inlineStr">
        <is>
          <t>industrials</t>
        </is>
      </c>
      <c r="D184" s="31" t="inlineStr">
        <is>
          <t>packaging</t>
        </is>
      </c>
      <c r="E184" s="31" t="inlineStr">
        <is>
          <t>smallcap</t>
        </is>
      </c>
      <c r="F184" s="31" t="n">
        <v>787.8200000000001</v>
      </c>
      <c r="G184" s="31" t="n">
        <v>194.46</v>
      </c>
      <c r="H184" s="31" t="n">
        <v>-0.43</v>
      </c>
      <c r="I184" s="31" t="n">
        <v>206849</v>
      </c>
      <c r="J184" s="31" t="inlineStr">
        <is>
          <t>539986</t>
        </is>
      </c>
    </row>
    <row r="185">
      <c r="A185" s="31" t="inlineStr">
        <is>
          <t>JKPAPER</t>
        </is>
      </c>
      <c r="B185" s="31" t="inlineStr">
        <is>
          <t>Jk Paper Limited</t>
        </is>
      </c>
      <c r="C185" s="31" t="inlineStr">
        <is>
          <t>building materials</t>
        </is>
      </c>
      <c r="D185" s="31" t="inlineStr">
        <is>
          <t>paper</t>
        </is>
      </c>
      <c r="E185" s="31" t="inlineStr">
        <is>
          <t>midcap</t>
        </is>
      </c>
      <c r="F185" s="31" t="n">
        <v>6691.57</v>
      </c>
      <c r="G185" s="31" t="n">
        <v>367.4</v>
      </c>
      <c r="H185" s="31" t="n">
        <v>-0.45</v>
      </c>
      <c r="I185" s="31" t="n">
        <v>336723</v>
      </c>
      <c r="J185" s="31" t="inlineStr">
        <is>
          <t>532162</t>
        </is>
      </c>
    </row>
    <row r="186">
      <c r="A186" s="31" t="inlineStr">
        <is>
          <t>VIJAYA</t>
        </is>
      </c>
      <c r="B186" s="31" t="inlineStr">
        <is>
          <t>Vijaya Diagnostic Centre Ltd</t>
        </is>
      </c>
      <c r="C186" s="31" t="inlineStr">
        <is>
          <t>healthcare</t>
        </is>
      </c>
      <c r="D186" s="31" t="inlineStr">
        <is>
          <t>healthcare</t>
        </is>
      </c>
      <c r="E186" s="31" t="inlineStr">
        <is>
          <t>midcap</t>
        </is>
      </c>
      <c r="F186" s="31" t="n">
        <v>14290.3</v>
      </c>
      <c r="G186" s="31" t="n">
        <v>1382.6</v>
      </c>
      <c r="H186" s="31" t="n">
        <v>-0.45</v>
      </c>
      <c r="I186" s="31" t="n">
        <v>173750</v>
      </c>
      <c r="J186" s="31" t="inlineStr">
        <is>
          <t>543350</t>
        </is>
      </c>
    </row>
    <row r="187">
      <c r="A187" s="31" t="inlineStr">
        <is>
          <t>IDEAFORGE</t>
        </is>
      </c>
      <c r="B187" s="31" t="inlineStr">
        <is>
          <t>Ideaforge Technology Ltd</t>
        </is>
      </c>
      <c r="C187" s="31" t="inlineStr">
        <is>
          <t>aerospace &amp; defence</t>
        </is>
      </c>
      <c r="D187" s="31" t="inlineStr">
        <is>
          <t>engineering</t>
        </is>
      </c>
      <c r="E187" s="31" t="inlineStr">
        <is>
          <t>smallcap</t>
        </is>
      </c>
      <c r="F187" s="31" t="n">
        <v>3938.21</v>
      </c>
      <c r="G187" s="31" t="n">
        <v>903.2</v>
      </c>
      <c r="H187" s="31" t="n">
        <v>-0.47</v>
      </c>
      <c r="I187" s="31" t="n">
        <v>187809</v>
      </c>
      <c r="J187" s="31" t="inlineStr">
        <is>
          <t>543932</t>
        </is>
      </c>
    </row>
    <row r="188">
      <c r="A188" s="31" t="inlineStr">
        <is>
          <t>DIAMONDYD</t>
        </is>
      </c>
      <c r="B188" s="31" t="inlineStr">
        <is>
          <t>Prataap Snacks Ltd</t>
        </is>
      </c>
      <c r="C188" s="31" t="inlineStr">
        <is>
          <t>fmcg</t>
        </is>
      </c>
      <c r="D188" s="31" t="inlineStr">
        <is>
          <t>food - processing - indian</t>
        </is>
      </c>
      <c r="E188" s="31" t="inlineStr">
        <is>
          <t>smallcap</t>
        </is>
      </c>
      <c r="F188" s="31" t="n">
        <v>2861.49</v>
      </c>
      <c r="G188" s="31" t="n">
        <v>1191.2</v>
      </c>
      <c r="H188" s="31" t="n">
        <v>-0.49</v>
      </c>
      <c r="I188" s="31" t="n">
        <v>8058</v>
      </c>
      <c r="J188" s="31" t="inlineStr">
        <is>
          <t>540724</t>
        </is>
      </c>
    </row>
    <row r="189">
      <c r="A189" s="31" t="inlineStr">
        <is>
          <t>SHREECEM</t>
        </is>
      </c>
      <c r="B189" s="31" t="inlineStr">
        <is>
          <t>Shree Cements Limited</t>
        </is>
      </c>
      <c r="C189" s="31" t="inlineStr">
        <is>
          <t>building materials</t>
        </is>
      </c>
      <c r="D189" s="31" t="inlineStr">
        <is>
          <t>cement - north india</t>
        </is>
      </c>
      <c r="E189" s="31" t="inlineStr">
        <is>
          <t>largecap</t>
        </is>
      </c>
      <c r="F189" s="31" t="n">
        <v>95325.34</v>
      </c>
      <c r="G189" s="31" t="n">
        <v>26285</v>
      </c>
      <c r="H189" s="31" t="n">
        <v>-0.51</v>
      </c>
      <c r="I189" s="31" t="n">
        <v>10021</v>
      </c>
      <c r="J189" s="31" t="inlineStr">
        <is>
          <t>500387</t>
        </is>
      </c>
    </row>
    <row r="190">
      <c r="A190" s="31" t="inlineStr">
        <is>
          <t>VENKEYS</t>
        </is>
      </c>
      <c r="B190" s="31" t="inlineStr">
        <is>
          <t>Venky's (india) Limited</t>
        </is>
      </c>
      <c r="C190" s="31" t="inlineStr">
        <is>
          <t>fmcg</t>
        </is>
      </c>
      <c r="D190" s="31" t="inlineStr">
        <is>
          <t>miscellaneous</t>
        </is>
      </c>
      <c r="E190" s="31" t="inlineStr">
        <is>
          <t>smallcap</t>
        </is>
      </c>
      <c r="F190" s="31" t="n">
        <v>2127.33</v>
      </c>
      <c r="G190" s="31" t="n">
        <v>1502.4</v>
      </c>
      <c r="H190" s="31" t="n">
        <v>-0.51</v>
      </c>
      <c r="I190" s="31" t="n">
        <v>44071</v>
      </c>
      <c r="J190" s="31" t="inlineStr">
        <is>
          <t>523261</t>
        </is>
      </c>
    </row>
    <row r="191">
      <c r="A191" s="31" t="inlineStr">
        <is>
          <t>SONACOMS</t>
        </is>
      </c>
      <c r="B191" s="31" t="inlineStr">
        <is>
          <t>Sona BLW Precision Forgings Ltd</t>
        </is>
      </c>
      <c r="C191" s="31" t="inlineStr">
        <is>
          <t>auto</t>
        </is>
      </c>
      <c r="D191" s="31" t="inlineStr">
        <is>
          <t>auto ancillaries</t>
        </is>
      </c>
      <c r="E191" s="31" t="inlineStr">
        <is>
          <t>largecap</t>
        </is>
      </c>
      <c r="F191" s="31" t="n">
        <v>41716.6</v>
      </c>
      <c r="G191" s="31" t="n">
        <v>667.35</v>
      </c>
      <c r="H191" s="31" t="n">
        <v>-0.52</v>
      </c>
      <c r="I191" s="31" t="n">
        <v>873846</v>
      </c>
      <c r="J191" s="31" t="inlineStr">
        <is>
          <t>543300</t>
        </is>
      </c>
    </row>
    <row r="192">
      <c r="A192" s="31" t="inlineStr">
        <is>
          <t>BOSCHLTD</t>
        </is>
      </c>
      <c r="B192" s="31" t="inlineStr">
        <is>
          <t>Bosch Limited</t>
        </is>
      </c>
      <c r="C192" s="31" t="inlineStr">
        <is>
          <t>auto</t>
        </is>
      </c>
      <c r="D192" s="31" t="inlineStr">
        <is>
          <t>auto ancillaries</t>
        </is>
      </c>
      <c r="E192" s="31" t="inlineStr">
        <is>
          <t>largecap</t>
        </is>
      </c>
      <c r="F192" s="31" t="n">
        <v>122973.73</v>
      </c>
      <c r="G192" s="31" t="n">
        <v>41470</v>
      </c>
      <c r="H192" s="31" t="n">
        <v>-0.54</v>
      </c>
      <c r="I192" s="31" t="n">
        <v>11518</v>
      </c>
      <c r="J192" s="31" t="inlineStr">
        <is>
          <t>500530</t>
        </is>
      </c>
    </row>
    <row r="193">
      <c r="A193" s="31" t="inlineStr">
        <is>
          <t>MEDANTA</t>
        </is>
      </c>
      <c r="B193" s="31" t="inlineStr">
        <is>
          <t>Global Health Ltd</t>
        </is>
      </c>
      <c r="C193" s="31" t="inlineStr">
        <is>
          <t>healthcare</t>
        </is>
      </c>
      <c r="D193" s="31" t="inlineStr">
        <is>
          <t>healthcare</t>
        </is>
      </c>
      <c r="E193" s="31" t="inlineStr">
        <is>
          <t>largecap</t>
        </is>
      </c>
      <c r="F193" s="31" t="n">
        <v>35698.05</v>
      </c>
      <c r="G193" s="31" t="n">
        <v>1320.9</v>
      </c>
      <c r="H193" s="31" t="n">
        <v>-0.54</v>
      </c>
      <c r="I193" s="31" t="n">
        <v>73159</v>
      </c>
      <c r="J193" s="31" t="inlineStr">
        <is>
          <t>543654</t>
        </is>
      </c>
    </row>
    <row r="194">
      <c r="A194" s="31" t="inlineStr">
        <is>
          <t>KANORICHEM</t>
        </is>
      </c>
      <c r="B194" s="31" t="inlineStr">
        <is>
          <t>Kanoria Chemicals &amp; Industries Limited</t>
        </is>
      </c>
      <c r="C194" s="31" t="inlineStr">
        <is>
          <t>chemicals</t>
        </is>
      </c>
      <c r="D194" s="31" t="inlineStr">
        <is>
          <t>chemicals</t>
        </is>
      </c>
      <c r="E194" s="31" t="inlineStr">
        <is>
          <t>smallcap</t>
        </is>
      </c>
      <c r="F194" s="31" t="n">
        <v>582.6900000000001</v>
      </c>
      <c r="G194" s="31" t="n">
        <v>132.63</v>
      </c>
      <c r="H194" s="31" t="n">
        <v>-0.55</v>
      </c>
      <c r="I194" s="31" t="n">
        <v>13440</v>
      </c>
      <c r="J194" s="31" t="inlineStr">
        <is>
          <t>506525</t>
        </is>
      </c>
    </row>
    <row r="195">
      <c r="A195" s="31" t="inlineStr">
        <is>
          <t>DALMIASUG</t>
        </is>
      </c>
      <c r="B195" s="31" t="inlineStr">
        <is>
          <t>Dalmia Bharat Sugar And Industries Limited</t>
        </is>
      </c>
      <c r="C195" s="31" t="inlineStr">
        <is>
          <t>fmcg</t>
        </is>
      </c>
      <c r="D195" s="31" t="inlineStr">
        <is>
          <t>sugar</t>
        </is>
      </c>
      <c r="E195" s="31" t="inlineStr">
        <is>
          <t>smallcap</t>
        </is>
      </c>
      <c r="F195" s="31" t="n">
        <v>2962.78</v>
      </c>
      <c r="G195" s="31" t="n">
        <v>364</v>
      </c>
      <c r="H195" s="31" t="n">
        <v>-0.5600000000000001</v>
      </c>
      <c r="I195" s="31" t="n">
        <v>159128</v>
      </c>
      <c r="J195" s="31" t="inlineStr">
        <is>
          <t>500097</t>
        </is>
      </c>
    </row>
    <row r="196">
      <c r="A196" s="31" t="inlineStr">
        <is>
          <t>TATATECH</t>
        </is>
      </c>
      <c r="B196" s="31" t="inlineStr">
        <is>
          <t>Tata Technologies Ltd</t>
        </is>
      </c>
      <c r="C196" s="31" t="inlineStr">
        <is>
          <t>i.t</t>
        </is>
      </c>
      <c r="D196" s="31" t="inlineStr">
        <is>
          <t>computers - software - medium / small</t>
        </is>
      </c>
      <c r="E196" s="31" t="inlineStr">
        <is>
          <t>largecap</t>
        </is>
      </c>
      <c r="F196" s="31" t="n">
        <v>30886.91</v>
      </c>
      <c r="G196" s="31" t="n">
        <v>756.55</v>
      </c>
      <c r="H196" s="31" t="n">
        <v>-0.5600000000000001</v>
      </c>
      <c r="I196" s="31" t="n">
        <v>1418801</v>
      </c>
      <c r="J196" s="31" t="inlineStr">
        <is>
          <t>544028</t>
        </is>
      </c>
    </row>
    <row r="197">
      <c r="A197" s="31" t="inlineStr">
        <is>
          <t>RAJRATAN</t>
        </is>
      </c>
      <c r="B197" s="31" t="inlineStr">
        <is>
          <t>Rajratan Global Wire Ltd</t>
        </is>
      </c>
      <c r="C197" s="31" t="inlineStr">
        <is>
          <t>metals &amp; mining</t>
        </is>
      </c>
      <c r="D197" s="31" t="inlineStr">
        <is>
          <t>steel - medium / small</t>
        </is>
      </c>
      <c r="E197" s="31" t="inlineStr">
        <is>
          <t>smallcap</t>
        </is>
      </c>
      <c r="F197" s="31" t="n">
        <v>2441.07</v>
      </c>
      <c r="G197" s="31" t="n">
        <v>478</v>
      </c>
      <c r="H197" s="31" t="n">
        <v>-0.58</v>
      </c>
      <c r="I197" s="31" t="n">
        <v>54044</v>
      </c>
      <c r="J197" s="31" t="inlineStr">
        <is>
          <t>517522</t>
        </is>
      </c>
    </row>
    <row r="198">
      <c r="A198" s="31" t="inlineStr">
        <is>
          <t>BLISSGVS</t>
        </is>
      </c>
      <c r="B198" s="31" t="inlineStr">
        <is>
          <t>Bliss Gvs Pharma Limited</t>
        </is>
      </c>
      <c r="C198" s="31" t="inlineStr">
        <is>
          <t>healthcare</t>
        </is>
      </c>
      <c r="D198" s="31" t="inlineStr">
        <is>
          <t>pharmaceuticals - indian - formulations</t>
        </is>
      </c>
      <c r="E198" s="31" t="inlineStr">
        <is>
          <t>midcap</t>
        </is>
      </c>
      <c r="F198" s="31" t="n">
        <v>5544.4</v>
      </c>
      <c r="G198" s="31" t="n">
        <v>521</v>
      </c>
      <c r="H198" s="31" t="n">
        <v>-0.59</v>
      </c>
      <c r="I198" s="31" t="n">
        <v>110942</v>
      </c>
      <c r="J198" s="31" t="inlineStr">
        <is>
          <t>506197</t>
        </is>
      </c>
    </row>
    <row r="199">
      <c r="A199" s="31" t="inlineStr">
        <is>
          <t>TITAN</t>
        </is>
      </c>
      <c r="B199" s="31" t="inlineStr">
        <is>
          <t>Titan Company Limited</t>
        </is>
      </c>
      <c r="C199" s="31" t="inlineStr">
        <is>
          <t>consumer discretionary</t>
        </is>
      </c>
      <c r="D199" s="31" t="inlineStr">
        <is>
          <t>diamond cutting / jewellery</t>
        </is>
      </c>
      <c r="E199" s="31" t="inlineStr">
        <is>
          <t>largecap</t>
        </is>
      </c>
      <c r="F199" s="31" t="n">
        <v>408514.8</v>
      </c>
      <c r="G199" s="31" t="n">
        <v>4573.7</v>
      </c>
      <c r="H199" s="31" t="n">
        <v>-0.6</v>
      </c>
      <c r="I199" s="31" t="n">
        <v>631163</v>
      </c>
      <c r="J199" s="31" t="inlineStr">
        <is>
          <t>500114</t>
        </is>
      </c>
    </row>
    <row r="200">
      <c r="A200" s="31" t="inlineStr">
        <is>
          <t>MUNJALSHOW</t>
        </is>
      </c>
      <c r="B200" s="31" t="inlineStr">
        <is>
          <t>Munjal Showa Limited</t>
        </is>
      </c>
      <c r="C200" s="31" t="inlineStr">
        <is>
          <t>auto</t>
        </is>
      </c>
      <c r="D200" s="31" t="inlineStr">
        <is>
          <t>auto ancillaries</t>
        </is>
      </c>
      <c r="E200" s="31" t="inlineStr">
        <is>
          <t>smallcap</t>
        </is>
      </c>
      <c r="F200" s="31" t="n">
        <v>537.85</v>
      </c>
      <c r="G200" s="31" t="n">
        <v>133.65</v>
      </c>
      <c r="H200" s="31" t="n">
        <v>-0.62</v>
      </c>
      <c r="I200" s="31" t="n">
        <v>24718</v>
      </c>
      <c r="J200" s="31" t="inlineStr">
        <is>
          <t>520043</t>
        </is>
      </c>
    </row>
    <row r="201">
      <c r="A201" s="31" t="inlineStr">
        <is>
          <t>ENDURANCE</t>
        </is>
      </c>
      <c r="B201" s="31" t="inlineStr">
        <is>
          <t>Endurance Technologies Limited</t>
        </is>
      </c>
      <c r="C201" s="31" t="inlineStr">
        <is>
          <t>auto</t>
        </is>
      </c>
      <c r="D201" s="31" t="inlineStr">
        <is>
          <t>auto ancillaries</t>
        </is>
      </c>
      <c r="E201" s="31" t="inlineStr">
        <is>
          <t>largecap</t>
        </is>
      </c>
      <c r="F201" s="31" t="n">
        <v>37953.65</v>
      </c>
      <c r="G201" s="31" t="n">
        <v>2681.1</v>
      </c>
      <c r="H201" s="31" t="n">
        <v>-0.63</v>
      </c>
      <c r="I201" s="31" t="n">
        <v>105884</v>
      </c>
      <c r="J201" s="31" t="inlineStr">
        <is>
          <t>540153</t>
        </is>
      </c>
    </row>
    <row r="202">
      <c r="A202" s="31" t="inlineStr">
        <is>
          <t>IBULLSLTD</t>
        </is>
      </c>
      <c r="B202" s="31" t="inlineStr">
        <is>
          <t>Indiabulls Limited</t>
        </is>
      </c>
      <c r="C202" s="31" t="inlineStr">
        <is>
          <t>miscellaneous</t>
        </is>
      </c>
      <c r="D202" s="31" t="inlineStr">
        <is>
          <t>diversified - medium / small</t>
        </is>
      </c>
      <c r="E202" s="31" t="inlineStr">
        <is>
          <t>midcap</t>
        </is>
      </c>
      <c r="F202" s="31" t="n">
        <v>7228.83</v>
      </c>
      <c r="G202" s="31" t="n">
        <v>30.9</v>
      </c>
      <c r="H202" s="31" t="n">
        <v>-0.64</v>
      </c>
      <c r="I202" s="31" t="n">
        <v>12388994</v>
      </c>
      <c r="J202" s="31" t="inlineStr">
        <is>
          <t>533520</t>
        </is>
      </c>
    </row>
    <row r="203">
      <c r="A203" s="31" t="inlineStr">
        <is>
          <t>RELTD</t>
        </is>
      </c>
      <c r="B203" s="31" t="inlineStr">
        <is>
          <t>Ravindra Energy Ltd</t>
        </is>
      </c>
      <c r="C203" s="31" t="inlineStr">
        <is>
          <t>industrials</t>
        </is>
      </c>
      <c r="D203" s="31" t="inlineStr">
        <is>
          <t>electric equipment</t>
        </is>
      </c>
      <c r="E203" s="31" t="inlineStr">
        <is>
          <t>smallcap</t>
        </is>
      </c>
      <c r="F203" s="31" t="n">
        <v>3468.86</v>
      </c>
      <c r="G203" s="31" t="n">
        <v>173.6</v>
      </c>
      <c r="H203" s="31" t="n">
        <v>-0.64</v>
      </c>
      <c r="I203" s="31" t="n">
        <v>291225</v>
      </c>
      <c r="J203" s="31" t="inlineStr">
        <is>
          <t>504341</t>
        </is>
      </c>
    </row>
    <row r="204">
      <c r="A204" s="31" t="inlineStr">
        <is>
          <t>INNOVACAP</t>
        </is>
      </c>
      <c r="B204" s="31" t="inlineStr">
        <is>
          <t>Innova Captab Ltd</t>
        </is>
      </c>
      <c r="C204" s="31" t="inlineStr">
        <is>
          <t>healthcare</t>
        </is>
      </c>
      <c r="D204" s="31" t="inlineStr">
        <is>
          <t>pharmaceuticals - indian - bulk drugs &amp; formln</t>
        </is>
      </c>
      <c r="E204" s="31" t="inlineStr">
        <is>
          <t>midcap</t>
        </is>
      </c>
      <c r="F204" s="31" t="n">
        <v>5723.07</v>
      </c>
      <c r="G204" s="31" t="n">
        <v>993.55</v>
      </c>
      <c r="H204" s="31" t="n">
        <v>-0.65</v>
      </c>
      <c r="I204" s="31" t="n">
        <v>24600</v>
      </c>
      <c r="J204" s="31" t="inlineStr">
        <is>
          <t>544067</t>
        </is>
      </c>
    </row>
    <row r="205">
      <c r="A205" s="31" t="inlineStr">
        <is>
          <t>DDEVPLSTIK</t>
        </is>
      </c>
      <c r="B205" s="31" t="inlineStr">
        <is>
          <t>DDev Plastiks Industries Ltd</t>
        </is>
      </c>
      <c r="C205" s="31" t="inlineStr">
        <is>
          <t>chemicals</t>
        </is>
      </c>
      <c r="D205" s="31" t="inlineStr">
        <is>
          <t>chemicals</t>
        </is>
      </c>
      <c r="E205" s="31" t="inlineStr">
        <is>
          <t>smallcap</t>
        </is>
      </c>
      <c r="F205" s="31" t="n">
        <v>3043.77</v>
      </c>
      <c r="G205" s="31" t="n">
        <v>292.2</v>
      </c>
      <c r="H205" s="31" t="n">
        <v>-0.66</v>
      </c>
      <c r="I205" s="31" t="n">
        <v>233560</v>
      </c>
      <c r="J205" s="31" t="inlineStr">
        <is>
          <t>543547</t>
        </is>
      </c>
    </row>
    <row r="206">
      <c r="A206" s="31" t="inlineStr">
        <is>
          <t>HONAUT</t>
        </is>
      </c>
      <c r="B206" s="31" t="inlineStr">
        <is>
          <t>Honeywell Automation India Limited</t>
        </is>
      </c>
      <c r="C206" s="31" t="inlineStr">
        <is>
          <t>consumer discretionary</t>
        </is>
      </c>
      <c r="D206" s="31" t="inlineStr">
        <is>
          <t>electronics - components</t>
        </is>
      </c>
      <c r="E206" s="31" t="inlineStr">
        <is>
          <t>largecap</t>
        </is>
      </c>
      <c r="F206" s="31" t="n">
        <v>33787.88</v>
      </c>
      <c r="G206" s="31" t="n">
        <v>37960</v>
      </c>
      <c r="H206" s="31" t="n">
        <v>-0.67</v>
      </c>
      <c r="I206" s="31" t="n">
        <v>3194</v>
      </c>
      <c r="J206" s="31" t="inlineStr">
        <is>
          <t>517174</t>
        </is>
      </c>
    </row>
    <row r="207">
      <c r="A207" s="31" t="inlineStr">
        <is>
          <t>MONARCH</t>
        </is>
      </c>
      <c r="B207" s="31" t="inlineStr">
        <is>
          <t>Monarch Networth Capital Ltd</t>
        </is>
      </c>
      <c r="C207" s="31" t="inlineStr">
        <is>
          <t>financials</t>
        </is>
      </c>
      <c r="D207" s="31" t="inlineStr">
        <is>
          <t>finance &amp; investments</t>
        </is>
      </c>
      <c r="E207" s="31" t="inlineStr">
        <is>
          <t>smallcap</t>
        </is>
      </c>
      <c r="F207" s="31" t="n">
        <v>2881.4</v>
      </c>
      <c r="G207" s="31" t="n">
        <v>361</v>
      </c>
      <c r="H207" s="31" t="n">
        <v>-0.6899999999999999</v>
      </c>
      <c r="I207" s="31" t="n">
        <v>35485</v>
      </c>
      <c r="J207" s="31" t="inlineStr">
        <is>
          <t>511551</t>
        </is>
      </c>
    </row>
    <row r="208">
      <c r="A208" s="31" t="inlineStr">
        <is>
          <t>SYRMA</t>
        </is>
      </c>
      <c r="B208" s="31" t="inlineStr">
        <is>
          <t>Syrma SGS Technology Ltd</t>
        </is>
      </c>
      <c r="C208" s="31" t="inlineStr">
        <is>
          <t>consumer discretionary</t>
        </is>
      </c>
      <c r="D208" s="31" t="inlineStr">
        <is>
          <t>electronics - components</t>
        </is>
      </c>
      <c r="E208" s="31" t="inlineStr">
        <is>
          <t>largecap</t>
        </is>
      </c>
      <c r="F208" s="31" t="n">
        <v>27607.54</v>
      </c>
      <c r="G208" s="31" t="n">
        <v>1421.8</v>
      </c>
      <c r="H208" s="31" t="n">
        <v>-0.6899999999999999</v>
      </c>
      <c r="I208" s="31" t="n">
        <v>528629</v>
      </c>
      <c r="J208" s="31" t="inlineStr">
        <is>
          <t>543573</t>
        </is>
      </c>
    </row>
    <row r="209">
      <c r="A209" s="31" t="inlineStr">
        <is>
          <t>RBLBANK</t>
        </is>
      </c>
      <c r="B209" s="31" t="inlineStr">
        <is>
          <t>Rbl Bank Limited</t>
        </is>
      </c>
      <c r="C209" s="31" t="inlineStr">
        <is>
          <t>bank</t>
        </is>
      </c>
      <c r="D209" s="31" t="inlineStr">
        <is>
          <t>banks - private sector</t>
        </is>
      </c>
      <c r="E209" s="31" t="inlineStr">
        <is>
          <t>largecap</t>
        </is>
      </c>
      <c r="F209" s="31" t="n">
        <v>58938.12</v>
      </c>
      <c r="G209" s="31" t="n">
        <v>377.95</v>
      </c>
      <c r="H209" s="31" t="n">
        <v>-0.7</v>
      </c>
      <c r="I209" s="31" t="n">
        <v>6595796</v>
      </c>
      <c r="J209" s="31" t="inlineStr">
        <is>
          <t>540065</t>
        </is>
      </c>
    </row>
    <row r="210">
      <c r="A210" s="31" t="inlineStr">
        <is>
          <t>SHAREINDIA</t>
        </is>
      </c>
      <c r="B210" s="31" t="inlineStr">
        <is>
          <t>Share India Securities Ltd</t>
        </is>
      </c>
      <c r="C210" s="31" t="inlineStr">
        <is>
          <t>financials</t>
        </is>
      </c>
      <c r="D210" s="31" t="inlineStr">
        <is>
          <t>finance &amp; investments</t>
        </is>
      </c>
      <c r="E210" s="31" t="inlineStr">
        <is>
          <t>smallcap</t>
        </is>
      </c>
      <c r="F210" s="31" t="n">
        <v>3917.85</v>
      </c>
      <c r="G210" s="31" t="n">
        <v>177.76</v>
      </c>
      <c r="H210" s="31" t="n">
        <v>-0.71</v>
      </c>
      <c r="I210" s="31" t="n">
        <v>1599471</v>
      </c>
      <c r="J210" s="31" t="inlineStr">
        <is>
          <t>540725</t>
        </is>
      </c>
    </row>
    <row r="211">
      <c r="A211" s="31" t="inlineStr">
        <is>
          <t>INDHOTEL</t>
        </is>
      </c>
      <c r="B211" s="31" t="inlineStr">
        <is>
          <t>The Indian Hotels Company Limited</t>
        </is>
      </c>
      <c r="C211" s="31" t="inlineStr">
        <is>
          <t>services</t>
        </is>
      </c>
      <c r="D211" s="31" t="inlineStr">
        <is>
          <t>hotels</t>
        </is>
      </c>
      <c r="E211" s="31" t="inlineStr">
        <is>
          <t>largecap</t>
        </is>
      </c>
      <c r="F211" s="31" t="n">
        <v>105127.59</v>
      </c>
      <c r="G211" s="31" t="n">
        <v>733.3</v>
      </c>
      <c r="H211" s="31" t="n">
        <v>-0.71</v>
      </c>
      <c r="I211" s="31" t="n">
        <v>1604337</v>
      </c>
      <c r="J211" s="31" t="inlineStr">
        <is>
          <t>500850</t>
        </is>
      </c>
    </row>
    <row r="212">
      <c r="A212" s="31" t="inlineStr">
        <is>
          <t>ARVIND</t>
        </is>
      </c>
      <c r="B212" s="31" t="inlineStr">
        <is>
          <t>Arvind Limited</t>
        </is>
      </c>
      <c r="C212" s="31" t="inlineStr">
        <is>
          <t>textiles</t>
        </is>
      </c>
      <c r="D212" s="31" t="inlineStr">
        <is>
          <t>textiles - cotton/blended</t>
        </is>
      </c>
      <c r="E212" s="31" t="inlineStr">
        <is>
          <t>midcap</t>
        </is>
      </c>
      <c r="F212" s="31" t="n">
        <v>14268.21</v>
      </c>
      <c r="G212" s="31" t="n">
        <v>540.45</v>
      </c>
      <c r="H212" s="31" t="n">
        <v>-0.72</v>
      </c>
      <c r="I212" s="31" t="n">
        <v>508950</v>
      </c>
      <c r="J212" s="31" t="inlineStr">
        <is>
          <t>500101</t>
        </is>
      </c>
    </row>
    <row r="213">
      <c r="A213" s="31" t="inlineStr">
        <is>
          <t>OAL</t>
        </is>
      </c>
      <c r="B213" s="31" t="inlineStr">
        <is>
          <t>Oriental Aromatics Ltd</t>
        </is>
      </c>
      <c r="C213" s="31" t="inlineStr">
        <is>
          <t>chemicals</t>
        </is>
      </c>
      <c r="D213" s="31" t="inlineStr">
        <is>
          <t>chemicals</t>
        </is>
      </c>
      <c r="E213" s="31" t="inlineStr">
        <is>
          <t>smallcap</t>
        </is>
      </c>
      <c r="F213" s="31" t="n">
        <v>1195.38</v>
      </c>
      <c r="G213" s="31" t="n">
        <v>352.65</v>
      </c>
      <c r="H213" s="31" t="n">
        <v>-0.72</v>
      </c>
      <c r="I213" s="31" t="n">
        <v>18483</v>
      </c>
      <c r="J213" s="31" t="inlineStr">
        <is>
          <t>500078</t>
        </is>
      </c>
    </row>
    <row r="214">
      <c r="A214" s="31" t="inlineStr">
        <is>
          <t>PRICOLLTD</t>
        </is>
      </c>
      <c r="B214" s="31" t="inlineStr">
        <is>
          <t>Pricol Ltd.</t>
        </is>
      </c>
      <c r="C214" s="31" t="inlineStr">
        <is>
          <t>auto</t>
        </is>
      </c>
      <c r="D214" s="31" t="inlineStr">
        <is>
          <t>auto ancillaries</t>
        </is>
      </c>
      <c r="E214" s="31" t="inlineStr">
        <is>
          <t>midcap</t>
        </is>
      </c>
      <c r="F214" s="31" t="n">
        <v>7570.67</v>
      </c>
      <c r="G214" s="31" t="n">
        <v>616.6</v>
      </c>
      <c r="H214" s="31" t="n">
        <v>-0.73</v>
      </c>
      <c r="I214" s="31" t="n">
        <v>544313</v>
      </c>
      <c r="J214" s="31" t="inlineStr">
        <is>
          <t>540293</t>
        </is>
      </c>
    </row>
    <row r="215">
      <c r="A215" s="31" t="inlineStr">
        <is>
          <t>SPANDANA</t>
        </is>
      </c>
      <c r="B215" s="31" t="inlineStr">
        <is>
          <t>Spandana Sphoorty Financial Ltd</t>
        </is>
      </c>
      <c r="C215" s="31" t="inlineStr">
        <is>
          <t>financials</t>
        </is>
      </c>
      <c r="D215" s="31" t="inlineStr">
        <is>
          <t>finance &amp; investments</t>
        </is>
      </c>
      <c r="E215" s="31" t="inlineStr">
        <is>
          <t>smallcap</t>
        </is>
      </c>
      <c r="F215" s="31" t="n">
        <v>2706.16</v>
      </c>
      <c r="G215" s="31" t="n">
        <v>303.05</v>
      </c>
      <c r="H215" s="31" t="n">
        <v>-0.74</v>
      </c>
      <c r="I215" s="31" t="n">
        <v>254869</v>
      </c>
      <c r="J215" s="31" t="inlineStr">
        <is>
          <t>542759</t>
        </is>
      </c>
    </row>
    <row r="216">
      <c r="A216" s="31" t="inlineStr">
        <is>
          <t>SUYOG</t>
        </is>
      </c>
      <c r="B216" s="31" t="inlineStr">
        <is>
          <t>Suyog Telematics Ltd</t>
        </is>
      </c>
      <c r="C216" s="31" t="inlineStr">
        <is>
          <t>telecom</t>
        </is>
      </c>
      <c r="D216" s="31" t="inlineStr">
        <is>
          <t>transmisson line towers / equipment</t>
        </is>
      </c>
      <c r="E216" s="31" t="inlineStr">
        <is>
          <t>smallcap</t>
        </is>
      </c>
      <c r="F216" s="31" t="n">
        <v>1023.78</v>
      </c>
      <c r="G216" s="31" t="n">
        <v>867.25</v>
      </c>
      <c r="H216" s="31" t="n">
        <v>-0.74</v>
      </c>
      <c r="I216" s="31" t="n">
        <v>52714</v>
      </c>
      <c r="J216" s="31" t="inlineStr">
        <is>
          <t>537259</t>
        </is>
      </c>
    </row>
    <row r="217">
      <c r="A217" s="31" t="inlineStr">
        <is>
          <t>CAPITALSFB</t>
        </is>
      </c>
      <c r="B217" s="31" t="inlineStr">
        <is>
          <t>Capital Small Finance Bank Ltd</t>
        </is>
      </c>
      <c r="C217" s="31" t="inlineStr">
        <is>
          <t>bank</t>
        </is>
      </c>
      <c r="D217" s="31" t="inlineStr">
        <is>
          <t>banks - private sector</t>
        </is>
      </c>
      <c r="E217" s="31" t="inlineStr">
        <is>
          <t>smallcap</t>
        </is>
      </c>
      <c r="F217" s="31" t="n">
        <v>1357.36</v>
      </c>
      <c r="G217" s="31" t="n">
        <v>296.3</v>
      </c>
      <c r="H217" s="31" t="n">
        <v>-0.75</v>
      </c>
      <c r="I217" s="31" t="n">
        <v>30440</v>
      </c>
      <c r="J217" s="31" t="n"/>
    </row>
    <row r="218">
      <c r="A218" s="31" t="inlineStr">
        <is>
          <t>MIRZAINT</t>
        </is>
      </c>
      <c r="B218" s="31" t="inlineStr">
        <is>
          <t>Mirza International Limited</t>
        </is>
      </c>
      <c r="C218" s="31" t="inlineStr">
        <is>
          <t>consumer discretionary</t>
        </is>
      </c>
      <c r="D218" s="31" t="inlineStr">
        <is>
          <t>leather / leather products</t>
        </is>
      </c>
      <c r="E218" s="31" t="inlineStr">
        <is>
          <t>smallcap</t>
        </is>
      </c>
      <c r="F218" s="31" t="n">
        <v>523.79</v>
      </c>
      <c r="G218" s="31" t="n">
        <v>37.61</v>
      </c>
      <c r="H218" s="31" t="n">
        <v>-0.77</v>
      </c>
      <c r="I218" s="31" t="n">
        <v>452834</v>
      </c>
      <c r="J218" s="31" t="inlineStr">
        <is>
          <t>526642</t>
        </is>
      </c>
    </row>
    <row r="219">
      <c r="A219" s="31" t="inlineStr">
        <is>
          <t>PREMIERENE</t>
        </is>
      </c>
      <c r="B219" s="31" t="inlineStr">
        <is>
          <t>Premier Energies Ltd</t>
        </is>
      </c>
      <c r="C219" s="31" t="inlineStr">
        <is>
          <t>services</t>
        </is>
      </c>
      <c r="D219" s="31" t="inlineStr">
        <is>
          <t>trading</t>
        </is>
      </c>
      <c r="E219" s="31" t="inlineStr">
        <is>
          <t>largecap</t>
        </is>
      </c>
      <c r="F219" s="31" t="n">
        <v>50259.73</v>
      </c>
      <c r="G219" s="31" t="n">
        <v>1100.9</v>
      </c>
      <c r="H219" s="31" t="n">
        <v>-0.78</v>
      </c>
      <c r="I219" s="31" t="n">
        <v>1330787</v>
      </c>
      <c r="J219" s="31" t="n"/>
    </row>
    <row r="220">
      <c r="A220" s="31" t="inlineStr">
        <is>
          <t>OBEROIRLTY</t>
        </is>
      </c>
      <c r="B220" s="31" t="inlineStr">
        <is>
          <t>Oberoi Realty Limited</t>
        </is>
      </c>
      <c r="C220" s="31" t="inlineStr">
        <is>
          <t>realty</t>
        </is>
      </c>
      <c r="D220" s="31" t="inlineStr">
        <is>
          <t>construction</t>
        </is>
      </c>
      <c r="E220" s="31" t="inlineStr">
        <is>
          <t>largecap</t>
        </is>
      </c>
      <c r="F220" s="31" t="n">
        <v>70000.7</v>
      </c>
      <c r="G220" s="31" t="n">
        <v>1910</v>
      </c>
      <c r="H220" s="31" t="n">
        <v>-0.79</v>
      </c>
      <c r="I220" s="31" t="n">
        <v>698374</v>
      </c>
      <c r="J220" s="31" t="inlineStr">
        <is>
          <t>533273</t>
        </is>
      </c>
    </row>
    <row r="221">
      <c r="A221" s="31" t="inlineStr">
        <is>
          <t>NELCO</t>
        </is>
      </c>
      <c r="B221" s="31" t="inlineStr">
        <is>
          <t>Nelco Limited</t>
        </is>
      </c>
      <c r="C221" s="31" t="inlineStr">
        <is>
          <t>telecom</t>
        </is>
      </c>
      <c r="D221" s="31" t="inlineStr">
        <is>
          <t>telecommunications - service provider</t>
        </is>
      </c>
      <c r="E221" s="31" t="inlineStr">
        <is>
          <t>smallcap</t>
        </is>
      </c>
      <c r="F221" s="31" t="n">
        <v>2056.85</v>
      </c>
      <c r="G221" s="31" t="n">
        <v>894.2</v>
      </c>
      <c r="H221" s="31" t="n">
        <v>-0.8</v>
      </c>
      <c r="I221" s="31" t="n">
        <v>149494</v>
      </c>
      <c r="J221" s="31" t="inlineStr">
        <is>
          <t>504112</t>
        </is>
      </c>
    </row>
    <row r="222">
      <c r="A222" s="31" t="inlineStr">
        <is>
          <t>MANGLMCEM</t>
        </is>
      </c>
      <c r="B222" s="31" t="inlineStr">
        <is>
          <t>Mangalam Cement Limited</t>
        </is>
      </c>
      <c r="C222" s="31" t="inlineStr">
        <is>
          <t>building materials</t>
        </is>
      </c>
      <c r="D222" s="31" t="inlineStr">
        <is>
          <t>cement - north india</t>
        </is>
      </c>
      <c r="E222" s="31" t="inlineStr">
        <is>
          <t>smallcap</t>
        </is>
      </c>
      <c r="F222" s="31" t="n">
        <v>2654.59</v>
      </c>
      <c r="G222" s="31" t="n">
        <v>957.7</v>
      </c>
      <c r="H222" s="31" t="n">
        <v>-0.8</v>
      </c>
      <c r="I222" s="31" t="n">
        <v>39756</v>
      </c>
      <c r="J222" s="31" t="inlineStr">
        <is>
          <t>502157</t>
        </is>
      </c>
    </row>
    <row r="223">
      <c r="A223" s="31" t="inlineStr">
        <is>
          <t>SKYGOLD</t>
        </is>
      </c>
      <c r="B223" s="31" t="inlineStr">
        <is>
          <t>Sky Gold Ltd</t>
        </is>
      </c>
      <c r="C223" s="31" t="inlineStr">
        <is>
          <t>consumer discretionary</t>
        </is>
      </c>
      <c r="D223" s="31" t="inlineStr">
        <is>
          <t>diamond cutting / jewellery</t>
        </is>
      </c>
      <c r="E223" s="31" t="inlineStr">
        <is>
          <t>midcap</t>
        </is>
      </c>
      <c r="F223" s="31" t="n">
        <v>9651.74</v>
      </c>
      <c r="G223" s="31" t="n">
        <v>618</v>
      </c>
      <c r="H223" s="31" t="n">
        <v>-0.83</v>
      </c>
      <c r="I223" s="31" t="n">
        <v>831484</v>
      </c>
      <c r="J223" s="31" t="inlineStr">
        <is>
          <t>541967</t>
        </is>
      </c>
    </row>
    <row r="224">
      <c r="A224" s="31" t="inlineStr">
        <is>
          <t>SENCO</t>
        </is>
      </c>
      <c r="B224" s="31" t="inlineStr">
        <is>
          <t>Senco Gold Ltd</t>
        </is>
      </c>
      <c r="C224" s="31" t="inlineStr">
        <is>
          <t>consumer discretionary</t>
        </is>
      </c>
      <c r="D224" s="31" t="inlineStr">
        <is>
          <t>diamond cutting / jewellery</t>
        </is>
      </c>
      <c r="E224" s="31" t="inlineStr">
        <is>
          <t>midcap</t>
        </is>
      </c>
      <c r="F224" s="31" t="n">
        <v>6241.03</v>
      </c>
      <c r="G224" s="31" t="n">
        <v>377.85</v>
      </c>
      <c r="H224" s="31" t="n">
        <v>-0.83</v>
      </c>
      <c r="I224" s="31" t="n">
        <v>2601503</v>
      </c>
      <c r="J224" s="31" t="inlineStr">
        <is>
          <t>543936</t>
        </is>
      </c>
    </row>
    <row r="225">
      <c r="A225" s="31" t="inlineStr">
        <is>
          <t>PNGJL</t>
        </is>
      </c>
      <c r="B225" s="31" t="inlineStr">
        <is>
          <t>P N Gadgil Jewellers Ltd</t>
        </is>
      </c>
      <c r="C225" s="31" t="inlineStr">
        <is>
          <t>consumer discretionary</t>
        </is>
      </c>
      <c r="D225" s="31" t="inlineStr">
        <is>
          <t>diamond cutting / jewellery</t>
        </is>
      </c>
      <c r="E225" s="31" t="inlineStr">
        <is>
          <t>midcap</t>
        </is>
      </c>
      <c r="F225" s="31" t="n">
        <v>8120.11</v>
      </c>
      <c r="G225" s="31" t="n">
        <v>593.3</v>
      </c>
      <c r="H225" s="31" t="n">
        <v>-0.84</v>
      </c>
      <c r="I225" s="31" t="n">
        <v>273958</v>
      </c>
      <c r="J225" s="31" t="n"/>
    </row>
    <row r="226">
      <c r="A226" s="31" t="inlineStr">
        <is>
          <t>GALAPREC</t>
        </is>
      </c>
      <c r="B226" s="31" t="inlineStr">
        <is>
          <t>Gala Precision Engineering Ltd</t>
        </is>
      </c>
      <c r="C226" s="31" t="inlineStr">
        <is>
          <t>industrials</t>
        </is>
      </c>
      <c r="D226" s="31" t="inlineStr">
        <is>
          <t>fasteners</t>
        </is>
      </c>
      <c r="E226" s="31" t="inlineStr">
        <is>
          <t>smallcap</t>
        </is>
      </c>
      <c r="F226" s="31" t="n">
        <v>1474.95</v>
      </c>
      <c r="G226" s="31" t="n">
        <v>1147</v>
      </c>
      <c r="H226" s="31" t="n">
        <v>-0.85</v>
      </c>
      <c r="I226" s="31" t="n">
        <v>22834</v>
      </c>
      <c r="J226" s="31" t="inlineStr">
        <is>
          <t>544244</t>
        </is>
      </c>
    </row>
    <row r="227">
      <c r="A227" s="31" t="inlineStr">
        <is>
          <t>APOLLOPIPE</t>
        </is>
      </c>
      <c r="B227" s="31" t="inlineStr">
        <is>
          <t>Apollo Pipes Ltd</t>
        </is>
      </c>
      <c r="C227" s="31" t="inlineStr">
        <is>
          <t>plastic products</t>
        </is>
      </c>
      <c r="D227" s="31" t="inlineStr">
        <is>
          <t>plastics products</t>
        </is>
      </c>
      <c r="E227" s="31" t="inlineStr">
        <is>
          <t>smallcap</t>
        </is>
      </c>
      <c r="F227" s="31" t="n">
        <v>2252.41</v>
      </c>
      <c r="G227" s="31" t="n">
        <v>507</v>
      </c>
      <c r="H227" s="31" t="n">
        <v>-0.85</v>
      </c>
      <c r="I227" s="31" t="n">
        <v>53639</v>
      </c>
      <c r="J227" s="31" t="inlineStr">
        <is>
          <t>531761</t>
        </is>
      </c>
    </row>
    <row r="228">
      <c r="A228" s="31" t="inlineStr">
        <is>
          <t>OFSS</t>
        </is>
      </c>
      <c r="B228" s="31" t="inlineStr">
        <is>
          <t>Oracle Financial Services Software Limited</t>
        </is>
      </c>
      <c r="C228" s="31" t="inlineStr">
        <is>
          <t>i.t</t>
        </is>
      </c>
      <c r="D228" s="31" t="inlineStr">
        <is>
          <t>computers - software - large</t>
        </is>
      </c>
      <c r="E228" s="31" t="inlineStr">
        <is>
          <t>largecap</t>
        </is>
      </c>
      <c r="F228" s="31" t="n">
        <v>102274.93</v>
      </c>
      <c r="G228" s="31" t="n">
        <v>11646</v>
      </c>
      <c r="H228" s="31" t="n">
        <v>-0.85</v>
      </c>
      <c r="I228" s="31" t="n">
        <v>243718</v>
      </c>
      <c r="J228" s="31" t="inlineStr">
        <is>
          <t>532466</t>
        </is>
      </c>
    </row>
    <row r="229">
      <c r="A229" s="31" t="inlineStr">
        <is>
          <t>HFCL</t>
        </is>
      </c>
      <c r="B229" s="31" t="inlineStr">
        <is>
          <t>HFCL Ltd</t>
        </is>
      </c>
      <c r="C229" s="31" t="inlineStr">
        <is>
          <t>telecom</t>
        </is>
      </c>
      <c r="D229" s="31" t="inlineStr">
        <is>
          <t>cables - telephone</t>
        </is>
      </c>
      <c r="E229" s="31" t="inlineStr">
        <is>
          <t>largecap</t>
        </is>
      </c>
      <c r="F229" s="31" t="n">
        <v>32851.32</v>
      </c>
      <c r="G229" s="31" t="n">
        <v>212.78</v>
      </c>
      <c r="H229" s="31" t="n">
        <v>-0.86</v>
      </c>
      <c r="I229" s="31" t="n">
        <v>12863408</v>
      </c>
      <c r="J229" s="31" t="inlineStr">
        <is>
          <t>500183</t>
        </is>
      </c>
    </row>
    <row r="230">
      <c r="A230" s="31" t="inlineStr">
        <is>
          <t>DIVGIITTS</t>
        </is>
      </c>
      <c r="B230" s="31" t="inlineStr">
        <is>
          <t>Divgi Torqtransfer Systems Ltd</t>
        </is>
      </c>
      <c r="C230" s="31" t="inlineStr">
        <is>
          <t>auto</t>
        </is>
      </c>
      <c r="D230" s="31" t="inlineStr">
        <is>
          <t>auto ancillaries</t>
        </is>
      </c>
      <c r="E230" s="31" t="inlineStr">
        <is>
          <t>smallcap</t>
        </is>
      </c>
      <c r="F230" s="31" t="n">
        <v>2933.97</v>
      </c>
      <c r="G230" s="31" t="n">
        <v>951</v>
      </c>
      <c r="H230" s="31" t="n">
        <v>-0.87</v>
      </c>
      <c r="I230" s="31" t="n">
        <v>30505</v>
      </c>
      <c r="J230" s="31" t="inlineStr">
        <is>
          <t>543812</t>
        </is>
      </c>
    </row>
    <row r="231">
      <c r="A231" s="31" t="inlineStr">
        <is>
          <t>INDIASHLTR</t>
        </is>
      </c>
      <c r="B231" s="31" t="inlineStr">
        <is>
          <t>India Shelter Finance Corporation Ltd</t>
        </is>
      </c>
      <c r="C231" s="31" t="inlineStr">
        <is>
          <t>financials</t>
        </is>
      </c>
      <c r="D231" s="31" t="inlineStr">
        <is>
          <t>finance - housing</t>
        </is>
      </c>
      <c r="E231" s="31" t="inlineStr">
        <is>
          <t>midcap</t>
        </is>
      </c>
      <c r="F231" s="31" t="n">
        <v>8952.450000000001</v>
      </c>
      <c r="G231" s="31" t="n">
        <v>815.95</v>
      </c>
      <c r="H231" s="31" t="n">
        <v>-0.87</v>
      </c>
      <c r="I231" s="31" t="n">
        <v>82870</v>
      </c>
      <c r="J231" s="31" t="inlineStr">
        <is>
          <t>544044</t>
        </is>
      </c>
    </row>
    <row r="232">
      <c r="A232" s="31" t="inlineStr">
        <is>
          <t>MANCREDIT</t>
        </is>
      </c>
      <c r="B232" s="31" t="inlineStr">
        <is>
          <t>Mangal Credit &amp; Fincorp Ltd</t>
        </is>
      </c>
      <c r="C232" s="31" t="inlineStr">
        <is>
          <t>financials</t>
        </is>
      </c>
      <c r="D232" s="31" t="inlineStr">
        <is>
          <t>finance &amp; investments</t>
        </is>
      </c>
      <c r="E232" s="31" t="inlineStr">
        <is>
          <t>smallcap</t>
        </is>
      </c>
      <c r="F232" s="31" t="n">
        <v>508.09</v>
      </c>
      <c r="G232" s="31" t="n">
        <v>238.5</v>
      </c>
      <c r="H232" s="31" t="n">
        <v>-0.89</v>
      </c>
      <c r="I232" s="31" t="n">
        <v>331960</v>
      </c>
      <c r="J232" s="31" t="inlineStr">
        <is>
          <t>505850</t>
        </is>
      </c>
    </row>
    <row r="233">
      <c r="A233" s="31" t="inlineStr">
        <is>
          <t>AETHER</t>
        </is>
      </c>
      <c r="B233" s="31" t="inlineStr">
        <is>
          <t>Aether Industries Ltd</t>
        </is>
      </c>
      <c r="C233" s="31" t="inlineStr">
        <is>
          <t>chemicals</t>
        </is>
      </c>
      <c r="D233" s="31" t="inlineStr">
        <is>
          <t>chemicals</t>
        </is>
      </c>
      <c r="E233" s="31" t="inlineStr">
        <is>
          <t>midcap</t>
        </is>
      </c>
      <c r="F233" s="31" t="n">
        <v>19275.72</v>
      </c>
      <c r="G233" s="31" t="n">
        <v>1439.9</v>
      </c>
      <c r="H233" s="31" t="n">
        <v>-0.89</v>
      </c>
      <c r="I233" s="31" t="n">
        <v>143737</v>
      </c>
      <c r="J233" s="31" t="inlineStr">
        <is>
          <t>543534</t>
        </is>
      </c>
    </row>
    <row r="234">
      <c r="A234" s="31" t="inlineStr">
        <is>
          <t>QUESS</t>
        </is>
      </c>
      <c r="B234" s="31" t="inlineStr">
        <is>
          <t>Quess Corp Limited</t>
        </is>
      </c>
      <c r="C234" s="31" t="inlineStr">
        <is>
          <t>miscellaneous</t>
        </is>
      </c>
      <c r="D234" s="31" t="inlineStr">
        <is>
          <t>diversified - large</t>
        </is>
      </c>
      <c r="E234" s="31" t="inlineStr">
        <is>
          <t>smallcap</t>
        </is>
      </c>
      <c r="F234" s="31" t="n">
        <v>4446.34</v>
      </c>
      <c r="G234" s="31" t="n">
        <v>295.05</v>
      </c>
      <c r="H234" s="31" t="n">
        <v>-0.91</v>
      </c>
      <c r="I234" s="31" t="n">
        <v>184542</v>
      </c>
      <c r="J234" s="31" t="inlineStr">
        <is>
          <t>539978</t>
        </is>
      </c>
    </row>
    <row r="235">
      <c r="A235" s="31" t="inlineStr">
        <is>
          <t>EXIDEIND</t>
        </is>
      </c>
      <c r="B235" s="31" t="inlineStr">
        <is>
          <t>Exide Industries Limited</t>
        </is>
      </c>
      <c r="C235" s="31" t="inlineStr">
        <is>
          <t>auto</t>
        </is>
      </c>
      <c r="D235" s="31" t="inlineStr">
        <is>
          <t>auto ancillaries</t>
        </is>
      </c>
      <c r="E235" s="31" t="inlineStr">
        <is>
          <t>largecap</t>
        </is>
      </c>
      <c r="F235" s="31" t="n">
        <v>35989</v>
      </c>
      <c r="G235" s="31" t="n">
        <v>419.45</v>
      </c>
      <c r="H235" s="31" t="n">
        <v>-0.93</v>
      </c>
      <c r="I235" s="31" t="n">
        <v>1745862</v>
      </c>
      <c r="J235" s="31" t="inlineStr">
        <is>
          <t>500086</t>
        </is>
      </c>
    </row>
    <row r="236">
      <c r="A236" s="31" t="inlineStr">
        <is>
          <t>LUPIN</t>
        </is>
      </c>
      <c r="B236" s="31" t="inlineStr">
        <is>
          <t>Lupin Limited</t>
        </is>
      </c>
      <c r="C236" s="31" t="inlineStr">
        <is>
          <t>healthcare</t>
        </is>
      </c>
      <c r="D236" s="31" t="inlineStr">
        <is>
          <t>pharmaceuticals - indian - bulk drugs &amp; formln</t>
        </is>
      </c>
      <c r="E236" s="31" t="inlineStr">
        <is>
          <t>largecap</t>
        </is>
      </c>
      <c r="F236" s="31" t="n">
        <v>113956.47</v>
      </c>
      <c r="G236" s="31" t="n">
        <v>2469.2</v>
      </c>
      <c r="H236" s="31" t="n">
        <v>-0.9399999999999999</v>
      </c>
      <c r="I236" s="31" t="n">
        <v>811559</v>
      </c>
      <c r="J236" s="31" t="inlineStr">
        <is>
          <t>500257</t>
        </is>
      </c>
    </row>
    <row r="237">
      <c r="A237" s="31" t="inlineStr">
        <is>
          <t>SHILPAMED</t>
        </is>
      </c>
      <c r="B237" s="31" t="inlineStr">
        <is>
          <t>Shilpa Medicare Limited</t>
        </is>
      </c>
      <c r="C237" s="31" t="inlineStr">
        <is>
          <t>healthcare</t>
        </is>
      </c>
      <c r="D237" s="31" t="inlineStr">
        <is>
          <t>pharmaceuticals - indian - formulations</t>
        </is>
      </c>
      <c r="E237" s="31" t="inlineStr">
        <is>
          <t>midcap</t>
        </is>
      </c>
      <c r="F237" s="31" t="n">
        <v>12325.57</v>
      </c>
      <c r="G237" s="31" t="n">
        <v>624.25</v>
      </c>
      <c r="H237" s="31" t="n">
        <v>-0.9399999999999999</v>
      </c>
      <c r="I237" s="31" t="n">
        <v>955122</v>
      </c>
      <c r="J237" s="31" t="inlineStr">
        <is>
          <t>530549</t>
        </is>
      </c>
    </row>
    <row r="238">
      <c r="A238" s="31" t="inlineStr">
        <is>
          <t>SATIN</t>
        </is>
      </c>
      <c r="B238" s="31" t="inlineStr">
        <is>
          <t>Satin Creditcare Network Limited</t>
        </is>
      </c>
      <c r="C238" s="31" t="inlineStr">
        <is>
          <t>financials</t>
        </is>
      </c>
      <c r="D238" s="31" t="inlineStr">
        <is>
          <t>finance &amp; investments</t>
        </is>
      </c>
      <c r="E238" s="31" t="inlineStr">
        <is>
          <t>smallcap</t>
        </is>
      </c>
      <c r="F238" s="31" t="n">
        <v>2951.67</v>
      </c>
      <c r="G238" s="31" t="n">
        <v>264.66</v>
      </c>
      <c r="H238" s="31" t="n">
        <v>-0.95</v>
      </c>
      <c r="I238" s="31" t="n">
        <v>788936</v>
      </c>
      <c r="J238" s="31" t="inlineStr">
        <is>
          <t>539404</t>
        </is>
      </c>
    </row>
    <row r="239">
      <c r="A239" s="31" t="inlineStr">
        <is>
          <t>HEALTHX</t>
        </is>
      </c>
      <c r="B239" s="31" t="inlineStr">
        <is>
          <t>Health X Platform Ltd</t>
        </is>
      </c>
      <c r="C239" s="31" t="inlineStr">
        <is>
          <t>financials</t>
        </is>
      </c>
      <c r="D239" s="31" t="inlineStr">
        <is>
          <t>finance &amp; investments</t>
        </is>
      </c>
      <c r="E239" s="31" t="inlineStr">
        <is>
          <t>smallcap</t>
        </is>
      </c>
      <c r="F239" s="31" t="n">
        <v>1073.92</v>
      </c>
      <c r="G239" s="31" t="n">
        <v>334.35</v>
      </c>
      <c r="H239" s="31" t="n">
        <v>-0.96</v>
      </c>
      <c r="I239" s="31" t="n">
        <v>8486</v>
      </c>
      <c r="J239" s="31" t="inlineStr">
        <is>
          <t>533259</t>
        </is>
      </c>
    </row>
    <row r="240">
      <c r="A240" s="31" t="inlineStr">
        <is>
          <t>KICL</t>
        </is>
      </c>
      <c r="B240" s="31" t="inlineStr">
        <is>
          <t>Kalyani Investment Company Limited</t>
        </is>
      </c>
      <c r="C240" s="31" t="inlineStr">
        <is>
          <t>financials</t>
        </is>
      </c>
      <c r="D240" s="31" t="inlineStr">
        <is>
          <t>finance &amp; investments</t>
        </is>
      </c>
      <c r="E240" s="31" t="inlineStr">
        <is>
          <t>smallcap</t>
        </is>
      </c>
      <c r="F240" s="31" t="n">
        <v>2479.28</v>
      </c>
      <c r="G240" s="31" t="n">
        <v>5625</v>
      </c>
      <c r="H240" s="31" t="n">
        <v>-0.96</v>
      </c>
      <c r="I240" s="31" t="n">
        <v>2718</v>
      </c>
      <c r="J240" s="31" t="inlineStr">
        <is>
          <t>533302</t>
        </is>
      </c>
    </row>
    <row r="241">
      <c r="A241" s="31" t="inlineStr">
        <is>
          <t>TIRUPATIFL</t>
        </is>
      </c>
      <c r="B241" s="31" t="inlineStr">
        <is>
          <t>Tirupati Forge Ltd</t>
        </is>
      </c>
      <c r="C241" s="31" t="inlineStr">
        <is>
          <t>industrials</t>
        </is>
      </c>
      <c r="D241" s="31" t="inlineStr">
        <is>
          <t>castings &amp; forgings</t>
        </is>
      </c>
      <c r="E241" s="31" t="inlineStr">
        <is>
          <t>smallcap</t>
        </is>
      </c>
      <c r="F241" s="31" t="n">
        <v>892.3200000000001</v>
      </c>
      <c r="G241" s="31" t="n">
        <v>68.39</v>
      </c>
      <c r="H241" s="31" t="n">
        <v>-0.98</v>
      </c>
      <c r="I241" s="31" t="n">
        <v>525033</v>
      </c>
      <c r="J241" s="31" t="inlineStr">
        <is>
          <t>535021</t>
        </is>
      </c>
    </row>
    <row r="242">
      <c r="A242" s="31" t="inlineStr">
        <is>
          <t>CENTURYPLY</t>
        </is>
      </c>
      <c r="B242" s="31" t="inlineStr">
        <is>
          <t>Century Plyboards (india) Limited</t>
        </is>
      </c>
      <c r="C242" s="31" t="inlineStr">
        <is>
          <t>building materials</t>
        </is>
      </c>
      <c r="D242" s="31" t="inlineStr">
        <is>
          <t>miscellaneous</t>
        </is>
      </c>
      <c r="E242" s="31" t="inlineStr">
        <is>
          <t>midcap</t>
        </is>
      </c>
      <c r="F242" s="31" t="n">
        <v>17539.45</v>
      </c>
      <c r="G242" s="31" t="n">
        <v>781.65</v>
      </c>
      <c r="H242" s="31" t="n">
        <v>-0.99</v>
      </c>
      <c r="I242" s="31" t="n">
        <v>20861</v>
      </c>
      <c r="J242" s="31" t="inlineStr">
        <is>
          <t>532548</t>
        </is>
      </c>
    </row>
    <row r="243">
      <c r="A243" s="31" t="inlineStr">
        <is>
          <t>PIXTRANS</t>
        </is>
      </c>
      <c r="B243" s="31" t="inlineStr">
        <is>
          <t>Pix Transmission Ltd</t>
        </is>
      </c>
      <c r="C243" s="31" t="inlineStr">
        <is>
          <t>fmcg</t>
        </is>
      </c>
      <c r="D243" s="31" t="inlineStr">
        <is>
          <t>miscellaneous</t>
        </is>
      </c>
      <c r="E243" s="31" t="inlineStr">
        <is>
          <t>smallcap</t>
        </is>
      </c>
      <c r="F243" s="31" t="n">
        <v>2525.29</v>
      </c>
      <c r="G243" s="31" t="n">
        <v>1835</v>
      </c>
      <c r="H243" s="31" t="n">
        <v>-0.99</v>
      </c>
      <c r="I243" s="31" t="n">
        <v>9581</v>
      </c>
      <c r="J243" s="31" t="inlineStr">
        <is>
          <t>500333</t>
        </is>
      </c>
    </row>
    <row r="244">
      <c r="A244" s="31" t="inlineStr">
        <is>
          <t>FDC</t>
        </is>
      </c>
      <c r="B244" s="31" t="inlineStr">
        <is>
          <t>Fdc Limited</t>
        </is>
      </c>
      <c r="C244" s="31" t="inlineStr">
        <is>
          <t>healthcare</t>
        </is>
      </c>
      <c r="D244" s="31" t="inlineStr">
        <is>
          <t>pharmaceuticals - indian - bulk drugs &amp; formln</t>
        </is>
      </c>
      <c r="E244" s="31" t="inlineStr">
        <is>
          <t>midcap</t>
        </is>
      </c>
      <c r="F244" s="31" t="n">
        <v>6968.27</v>
      </c>
      <c r="G244" s="31" t="n">
        <v>423.75</v>
      </c>
      <c r="H244" s="31" t="n">
        <v>-0.99</v>
      </c>
      <c r="I244" s="31" t="n">
        <v>81413</v>
      </c>
      <c r="J244" s="31" t="inlineStr">
        <is>
          <t>531599</t>
        </is>
      </c>
    </row>
    <row r="245">
      <c r="A245" s="31" t="inlineStr">
        <is>
          <t>PHOENIXLTD</t>
        </is>
      </c>
      <c r="B245" s="31" t="inlineStr">
        <is>
          <t>The Phoenix Mills Limited</t>
        </is>
      </c>
      <c r="C245" s="31" t="inlineStr">
        <is>
          <t>realty</t>
        </is>
      </c>
      <c r="D245" s="31" t="inlineStr">
        <is>
          <t>construction</t>
        </is>
      </c>
      <c r="E245" s="31" t="inlineStr">
        <is>
          <t>largecap</t>
        </is>
      </c>
      <c r="F245" s="31" t="n">
        <v>77034.5</v>
      </c>
      <c r="G245" s="31" t="n">
        <v>2132.5</v>
      </c>
      <c r="H245" s="31" t="n">
        <v>-1</v>
      </c>
      <c r="I245" s="31" t="n">
        <v>982205</v>
      </c>
      <c r="J245" s="31" t="inlineStr">
        <is>
          <t>503100</t>
        </is>
      </c>
    </row>
    <row r="246">
      <c r="A246" s="31" t="inlineStr">
        <is>
          <t>RISHABH</t>
        </is>
      </c>
      <c r="B246" s="31" t="inlineStr">
        <is>
          <t>Rishabh Instruments Ltd</t>
        </is>
      </c>
      <c r="C246" s="31" t="inlineStr">
        <is>
          <t>industrials</t>
        </is>
      </c>
      <c r="D246" s="31" t="inlineStr">
        <is>
          <t>electric equipment</t>
        </is>
      </c>
      <c r="E246" s="31" t="inlineStr">
        <is>
          <t>smallcap</t>
        </is>
      </c>
      <c r="F246" s="31" t="n">
        <v>2543.65</v>
      </c>
      <c r="G246" s="31" t="n">
        <v>653.15</v>
      </c>
      <c r="H246" s="31" t="n">
        <v>-1.02</v>
      </c>
      <c r="I246" s="31" t="n">
        <v>99868</v>
      </c>
      <c r="J246" s="31" t="inlineStr">
        <is>
          <t>543977</t>
        </is>
      </c>
    </row>
    <row r="247">
      <c r="A247" s="31" t="inlineStr">
        <is>
          <t>RAYMOND</t>
        </is>
      </c>
      <c r="B247" s="31" t="inlineStr">
        <is>
          <t>Raymond Limited</t>
        </is>
      </c>
      <c r="C247" s="31" t="inlineStr">
        <is>
          <t>transportation</t>
        </is>
      </c>
      <c r="D247" s="31" t="inlineStr">
        <is>
          <t>transport - airlines</t>
        </is>
      </c>
      <c r="E247" s="31" t="inlineStr">
        <is>
          <t>smallcap</t>
        </is>
      </c>
      <c r="F247" s="31" t="n">
        <v>4164.19</v>
      </c>
      <c r="G247" s="31" t="n">
        <v>619.1</v>
      </c>
      <c r="H247" s="31" t="n">
        <v>-1.02</v>
      </c>
      <c r="I247" s="31" t="n">
        <v>740755</v>
      </c>
      <c r="J247" s="31" t="inlineStr">
        <is>
          <t>500330</t>
        </is>
      </c>
    </row>
    <row r="248">
      <c r="A248" s="31" t="inlineStr">
        <is>
          <t>ACUTAAS</t>
        </is>
      </c>
      <c r="B248" s="31" t="inlineStr">
        <is>
          <t>Acutaas Chemicals Ltd</t>
        </is>
      </c>
      <c r="C248" s="31" t="inlineStr">
        <is>
          <t>healthcare</t>
        </is>
      </c>
      <c r="D248" s="31" t="inlineStr">
        <is>
          <t>pharmaceuticals - indian - bulk drugs</t>
        </is>
      </c>
      <c r="E248" s="31" t="inlineStr">
        <is>
          <t>largecap</t>
        </is>
      </c>
      <c r="F248" s="31" t="n">
        <v>28615.59</v>
      </c>
      <c r="G248" s="31" t="n">
        <v>3459.7</v>
      </c>
      <c r="H248" s="31" t="n">
        <v>-1.02</v>
      </c>
      <c r="I248" s="31" t="n">
        <v>173284</v>
      </c>
      <c r="J248" s="31" t="inlineStr">
        <is>
          <t>543349</t>
        </is>
      </c>
    </row>
    <row r="249">
      <c r="A249" s="31" t="inlineStr">
        <is>
          <t>TRIVENI</t>
        </is>
      </c>
      <c r="B249" s="31" t="inlineStr">
        <is>
          <t>Triveni Engineering &amp; Industries Limited</t>
        </is>
      </c>
      <c r="C249" s="31" t="inlineStr">
        <is>
          <t>fmcg</t>
        </is>
      </c>
      <c r="D249" s="31" t="inlineStr">
        <is>
          <t>sugar</t>
        </is>
      </c>
      <c r="E249" s="31" t="inlineStr">
        <is>
          <t>midcap</t>
        </is>
      </c>
      <c r="F249" s="31" t="n">
        <v>10444.72</v>
      </c>
      <c r="G249" s="31" t="n">
        <v>472.25</v>
      </c>
      <c r="H249" s="31" t="n">
        <v>-1.03</v>
      </c>
      <c r="I249" s="31" t="n">
        <v>864740</v>
      </c>
      <c r="J249" s="31" t="inlineStr">
        <is>
          <t>532356</t>
        </is>
      </c>
    </row>
    <row r="250">
      <c r="A250" s="31" t="inlineStr">
        <is>
          <t>KIRLOSBROS</t>
        </is>
      </c>
      <c r="B250" s="31" t="inlineStr">
        <is>
          <t>Kirloskar Brothers Limited</t>
        </is>
      </c>
      <c r="C250" s="31" t="inlineStr">
        <is>
          <t>industrials</t>
        </is>
      </c>
      <c r="D250" s="31" t="inlineStr">
        <is>
          <t>pumps</t>
        </is>
      </c>
      <c r="E250" s="31" t="inlineStr">
        <is>
          <t>midcap</t>
        </is>
      </c>
      <c r="F250" s="31" t="n">
        <v>15484.74</v>
      </c>
      <c r="G250" s="31" t="n">
        <v>1929.9</v>
      </c>
      <c r="H250" s="31" t="n">
        <v>-1.03</v>
      </c>
      <c r="I250" s="31" t="n">
        <v>92516</v>
      </c>
      <c r="J250" s="31" t="inlineStr">
        <is>
          <t>500241</t>
        </is>
      </c>
    </row>
    <row r="251">
      <c r="A251" s="31" t="inlineStr">
        <is>
          <t>VENUSPIPES</t>
        </is>
      </c>
      <c r="B251" s="31" t="inlineStr">
        <is>
          <t>Venus Pipes &amp; Tubes Ltd</t>
        </is>
      </c>
      <c r="C251" s="31" t="inlineStr">
        <is>
          <t>metals &amp; mining</t>
        </is>
      </c>
      <c r="D251" s="31" t="inlineStr">
        <is>
          <t>steel - medium / small</t>
        </is>
      </c>
      <c r="E251" s="31" t="inlineStr">
        <is>
          <t>smallcap</t>
        </is>
      </c>
      <c r="F251" s="31" t="n">
        <v>3724.55</v>
      </c>
      <c r="G251" s="31" t="n">
        <v>1779</v>
      </c>
      <c r="H251" s="31" t="n">
        <v>-1.05</v>
      </c>
      <c r="I251" s="31" t="n">
        <v>57191</v>
      </c>
      <c r="J251" s="31" t="inlineStr">
        <is>
          <t>543528</t>
        </is>
      </c>
    </row>
    <row r="252">
      <c r="A252" s="31" t="inlineStr">
        <is>
          <t>TVSHLTD</t>
        </is>
      </c>
      <c r="B252" s="31" t="inlineStr">
        <is>
          <t>TVS Holdings Ltd</t>
        </is>
      </c>
      <c r="C252" s="31" t="inlineStr">
        <is>
          <t>financials</t>
        </is>
      </c>
      <c r="D252" s="31" t="inlineStr">
        <is>
          <t>finance &amp; investments</t>
        </is>
      </c>
      <c r="E252" s="31" t="inlineStr">
        <is>
          <t>largecap</t>
        </is>
      </c>
      <c r="F252" s="31" t="n">
        <v>28749.82</v>
      </c>
      <c r="G252" s="31" t="n">
        <v>14060</v>
      </c>
      <c r="H252" s="31" t="n">
        <v>-1.06</v>
      </c>
      <c r="I252" s="31" t="n">
        <v>1822</v>
      </c>
      <c r="J252" s="31" t="inlineStr">
        <is>
          <t>520056</t>
        </is>
      </c>
    </row>
    <row r="253">
      <c r="A253" s="31" t="inlineStr">
        <is>
          <t>RBZJEWEL</t>
        </is>
      </c>
      <c r="B253" s="31" t="inlineStr">
        <is>
          <t>RBZ Jewellers Ltd</t>
        </is>
      </c>
      <c r="C253" s="31" t="inlineStr">
        <is>
          <t>consumer discretionary</t>
        </is>
      </c>
      <c r="D253" s="31" t="inlineStr">
        <is>
          <t>diamond cutting / jewellery</t>
        </is>
      </c>
      <c r="E253" s="31" t="inlineStr">
        <is>
          <t>smallcap</t>
        </is>
      </c>
      <c r="F253" s="31" t="n">
        <v>622</v>
      </c>
      <c r="G253" s="31" t="n">
        <v>153.8</v>
      </c>
      <c r="H253" s="31" t="n">
        <v>-1.09</v>
      </c>
      <c r="I253" s="31" t="n">
        <v>596352</v>
      </c>
      <c r="J253" s="31" t="inlineStr">
        <is>
          <t>544060</t>
        </is>
      </c>
    </row>
    <row r="254">
      <c r="A254" s="31" t="inlineStr">
        <is>
          <t>NAZARA</t>
        </is>
      </c>
      <c r="B254" s="31" t="inlineStr">
        <is>
          <t>Nazara Technologies Ltd</t>
        </is>
      </c>
      <c r="C254" s="31" t="inlineStr">
        <is>
          <t>i.t</t>
        </is>
      </c>
      <c r="D254" s="31" t="inlineStr">
        <is>
          <t>telecommunications - service provider</t>
        </is>
      </c>
      <c r="E254" s="31" t="inlineStr">
        <is>
          <t>midcap</t>
        </is>
      </c>
      <c r="F254" s="31" t="n">
        <v>11384.39</v>
      </c>
      <c r="G254" s="31" t="n">
        <v>303.95</v>
      </c>
      <c r="H254" s="31" t="n">
        <v>-1.09</v>
      </c>
      <c r="I254" s="31" t="n">
        <v>1364680</v>
      </c>
      <c r="J254" s="31" t="inlineStr">
        <is>
          <t>543280</t>
        </is>
      </c>
    </row>
    <row r="255">
      <c r="A255" s="31" t="inlineStr">
        <is>
          <t>DIACABS</t>
        </is>
      </c>
      <c r="B255" s="31" t="inlineStr">
        <is>
          <t>Diamond Power Infrastructure Ltd</t>
        </is>
      </c>
      <c r="C255" s="31" t="inlineStr">
        <is>
          <t>industrials</t>
        </is>
      </c>
      <c r="D255" s="31" t="inlineStr">
        <is>
          <t>cables - power</t>
        </is>
      </c>
      <c r="E255" s="31" t="inlineStr">
        <is>
          <t>midcap</t>
        </is>
      </c>
      <c r="F255" s="31" t="n">
        <v>11986.48</v>
      </c>
      <c r="G255" s="31" t="n">
        <v>224.97</v>
      </c>
      <c r="H255" s="31" t="n">
        <v>-1.09</v>
      </c>
      <c r="I255" s="31" t="n">
        <v>3307812</v>
      </c>
      <c r="J255" s="31" t="inlineStr">
        <is>
          <t>522163</t>
        </is>
      </c>
    </row>
    <row r="256">
      <c r="A256" s="31" t="inlineStr">
        <is>
          <t>ESAFSFB</t>
        </is>
      </c>
      <c r="B256" s="31" t="inlineStr">
        <is>
          <t>ESAF Small Finance Bank Ltd</t>
        </is>
      </c>
      <c r="C256" s="31" t="inlineStr">
        <is>
          <t>bank</t>
        </is>
      </c>
      <c r="D256" s="31" t="inlineStr">
        <is>
          <t>banks - private sector</t>
        </is>
      </c>
      <c r="E256" s="31" t="inlineStr">
        <is>
          <t>smallcap</t>
        </is>
      </c>
      <c r="F256" s="31" t="n">
        <v>1826.99</v>
      </c>
      <c r="G256" s="31" t="n">
        <v>35.04</v>
      </c>
      <c r="H256" s="31" t="n">
        <v>-1.1</v>
      </c>
      <c r="I256" s="31" t="n">
        <v>1085731</v>
      </c>
      <c r="J256" s="31" t="inlineStr">
        <is>
          <t>544020</t>
        </is>
      </c>
    </row>
    <row r="257">
      <c r="A257" s="31" t="inlineStr">
        <is>
          <t>SSWL</t>
        </is>
      </c>
      <c r="B257" s="31" t="inlineStr">
        <is>
          <t>Steel Strips Wheels Limited</t>
        </is>
      </c>
      <c r="C257" s="31" t="inlineStr">
        <is>
          <t>auto</t>
        </is>
      </c>
      <c r="D257" s="31" t="inlineStr">
        <is>
          <t>auto ancillaries</t>
        </is>
      </c>
      <c r="E257" s="31" t="inlineStr">
        <is>
          <t>smallcap</t>
        </is>
      </c>
      <c r="F257" s="31" t="n">
        <v>3980.75</v>
      </c>
      <c r="G257" s="31" t="n">
        <v>250.44</v>
      </c>
      <c r="H257" s="31" t="n">
        <v>-1.11</v>
      </c>
      <c r="I257" s="31" t="n">
        <v>540346</v>
      </c>
      <c r="J257" s="31" t="inlineStr">
        <is>
          <t>513262</t>
        </is>
      </c>
    </row>
    <row r="258">
      <c r="A258" s="31" t="inlineStr">
        <is>
          <t>GABRIEL</t>
        </is>
      </c>
      <c r="B258" s="31" t="inlineStr">
        <is>
          <t>Gabriel India Limited</t>
        </is>
      </c>
      <c r="C258" s="31" t="inlineStr">
        <is>
          <t>auto</t>
        </is>
      </c>
      <c r="D258" s="31" t="inlineStr">
        <is>
          <t>auto ancillaries</t>
        </is>
      </c>
      <c r="E258" s="31" t="inlineStr">
        <is>
          <t>largecap</t>
        </is>
      </c>
      <c r="F258" s="31" t="n">
        <v>22419.6</v>
      </c>
      <c r="G258" s="31" t="n">
        <v>1251</v>
      </c>
      <c r="H258" s="31" t="n">
        <v>-1.11</v>
      </c>
      <c r="I258" s="31" t="n">
        <v>195635</v>
      </c>
      <c r="J258" s="31" t="inlineStr">
        <is>
          <t>505714</t>
        </is>
      </c>
    </row>
    <row r="259">
      <c r="A259" s="31" t="inlineStr">
        <is>
          <t>RAMRAT</t>
        </is>
      </c>
      <c r="B259" s="31" t="inlineStr">
        <is>
          <t>Ram Ratna Wires Ltd</t>
        </is>
      </c>
      <c r="C259" s="31" t="inlineStr">
        <is>
          <t>metals &amp; mining</t>
        </is>
      </c>
      <c r="D259" s="31" t="inlineStr">
        <is>
          <t>mining / minerals / metals</t>
        </is>
      </c>
      <c r="E259" s="31" t="inlineStr">
        <is>
          <t>smallcap</t>
        </is>
      </c>
      <c r="F259" s="31" t="n">
        <v>3957.53</v>
      </c>
      <c r="G259" s="31" t="n">
        <v>419.2</v>
      </c>
      <c r="H259" s="31" t="n">
        <v>-1.12</v>
      </c>
      <c r="I259" s="31" t="n">
        <v>96895</v>
      </c>
      <c r="J259" s="31" t="inlineStr">
        <is>
          <t>522281</t>
        </is>
      </c>
    </row>
    <row r="260">
      <c r="A260" s="31" t="inlineStr">
        <is>
          <t>NH</t>
        </is>
      </c>
      <c r="B260" s="31" t="inlineStr">
        <is>
          <t>Narayana Hrudayalaya Ltd.</t>
        </is>
      </c>
      <c r="C260" s="31" t="inlineStr">
        <is>
          <t>healthcare</t>
        </is>
      </c>
      <c r="D260" s="31" t="inlineStr">
        <is>
          <t>healthcare</t>
        </is>
      </c>
      <c r="E260" s="31" t="inlineStr">
        <is>
          <t>largecap</t>
        </is>
      </c>
      <c r="F260" s="31" t="n">
        <v>41644.64</v>
      </c>
      <c r="G260" s="31" t="n">
        <v>2015</v>
      </c>
      <c r="H260" s="31" t="n">
        <v>-1.12</v>
      </c>
      <c r="I260" s="31" t="n">
        <v>185634</v>
      </c>
      <c r="J260" s="31" t="inlineStr">
        <is>
          <t>539551</t>
        </is>
      </c>
    </row>
    <row r="261">
      <c r="A261" s="31" t="inlineStr">
        <is>
          <t>JSWINFRA</t>
        </is>
      </c>
      <c r="B261" s="31" t="inlineStr">
        <is>
          <t>JSW Infrastructure Ltd</t>
        </is>
      </c>
      <c r="C261" s="31" t="inlineStr">
        <is>
          <t>transportation</t>
        </is>
      </c>
      <c r="D261" s="31" t="inlineStr">
        <is>
          <t>miscellaneous</t>
        </is>
      </c>
      <c r="E261" s="31" t="inlineStr">
        <is>
          <t>largecap</t>
        </is>
      </c>
      <c r="F261" s="31" t="n">
        <v>81829.66</v>
      </c>
      <c r="G261" s="31" t="n">
        <v>347.25</v>
      </c>
      <c r="H261" s="31" t="n">
        <v>-1.12</v>
      </c>
      <c r="I261" s="31" t="n">
        <v>4268937</v>
      </c>
      <c r="J261" s="31" t="inlineStr">
        <is>
          <t>543994</t>
        </is>
      </c>
    </row>
    <row r="262">
      <c r="A262" s="31" t="inlineStr">
        <is>
          <t>GMRAIRPORT</t>
        </is>
      </c>
      <c r="B262" s="31" t="inlineStr">
        <is>
          <t>GMR Airports Ltd</t>
        </is>
      </c>
      <c r="C262" s="31" t="inlineStr">
        <is>
          <t>miscellaneous</t>
        </is>
      </c>
      <c r="D262" s="31" t="inlineStr">
        <is>
          <t>miscellaneous</t>
        </is>
      </c>
      <c r="E262" s="31" t="inlineStr">
        <is>
          <t>largecap</t>
        </is>
      </c>
      <c r="F262" s="31" t="n">
        <v>121090.34</v>
      </c>
      <c r="G262" s="31" t="n">
        <v>113.38</v>
      </c>
      <c r="H262" s="31" t="n">
        <v>-1.13</v>
      </c>
      <c r="I262" s="31" t="n">
        <v>13562314</v>
      </c>
      <c r="J262" s="31" t="inlineStr">
        <is>
          <t>532754</t>
        </is>
      </c>
    </row>
    <row r="263">
      <c r="A263" s="31" t="inlineStr">
        <is>
          <t>CHOICEIN</t>
        </is>
      </c>
      <c r="B263" s="31" t="inlineStr">
        <is>
          <t>Choice International Ltd</t>
        </is>
      </c>
      <c r="C263" s="31" t="inlineStr">
        <is>
          <t>financials</t>
        </is>
      </c>
      <c r="D263" s="31" t="inlineStr">
        <is>
          <t>finance &amp; investments</t>
        </is>
      </c>
      <c r="E263" s="31" t="inlineStr">
        <is>
          <t>midcap</t>
        </is>
      </c>
      <c r="F263" s="31" t="n">
        <v>18271.01</v>
      </c>
      <c r="G263" s="31" t="n">
        <v>810.8</v>
      </c>
      <c r="H263" s="31" t="n">
        <v>-1.14</v>
      </c>
      <c r="I263" s="31" t="n">
        <v>678638</v>
      </c>
      <c r="J263" s="31" t="inlineStr">
        <is>
          <t>531358</t>
        </is>
      </c>
    </row>
    <row r="264">
      <c r="A264" s="31" t="inlineStr">
        <is>
          <t>NEOGEN</t>
        </is>
      </c>
      <c r="B264" s="31" t="inlineStr">
        <is>
          <t>Neogen Chemicals Ltd</t>
        </is>
      </c>
      <c r="C264" s="31" t="inlineStr">
        <is>
          <t>chemicals</t>
        </is>
      </c>
      <c r="D264" s="31" t="inlineStr">
        <is>
          <t>chemicals</t>
        </is>
      </c>
      <c r="E264" s="31" t="inlineStr">
        <is>
          <t>midcap</t>
        </is>
      </c>
      <c r="F264" s="31" t="n">
        <v>5887.06</v>
      </c>
      <c r="G264" s="31" t="n">
        <v>2125</v>
      </c>
      <c r="H264" s="31" t="n">
        <v>-1.16</v>
      </c>
      <c r="I264" s="31" t="n">
        <v>113733</v>
      </c>
      <c r="J264" s="31" t="inlineStr">
        <is>
          <t>542665</t>
        </is>
      </c>
    </row>
    <row r="265">
      <c r="A265" s="31" t="inlineStr">
        <is>
          <t>IKS</t>
        </is>
      </c>
      <c r="B265" s="31" t="inlineStr">
        <is>
          <t>Inventurus Knowledge Solutions Ltd</t>
        </is>
      </c>
      <c r="C265" s="31" t="inlineStr">
        <is>
          <t>i.t</t>
        </is>
      </c>
      <c r="D265" s="31" t="inlineStr">
        <is>
          <t>computers - software - medium / small</t>
        </is>
      </c>
      <c r="E265" s="31" t="inlineStr">
        <is>
          <t>largecap</t>
        </is>
      </c>
      <c r="F265" s="31" t="n">
        <v>32657.24</v>
      </c>
      <c r="G265" s="31" t="n">
        <v>1881</v>
      </c>
      <c r="H265" s="31" t="n">
        <v>-1.18</v>
      </c>
      <c r="I265" s="31" t="n">
        <v>69884</v>
      </c>
      <c r="J265" s="31" t="inlineStr">
        <is>
          <t>544309</t>
        </is>
      </c>
    </row>
    <row r="266">
      <c r="A266" s="31" t="inlineStr">
        <is>
          <t>NYKAA</t>
        </is>
      </c>
      <c r="B266" s="31" t="inlineStr">
        <is>
          <t>FSN E-Commerce Ventures Ltd</t>
        </is>
      </c>
      <c r="C266" s="31" t="inlineStr">
        <is>
          <t>i.t</t>
        </is>
      </c>
      <c r="D266" s="31" t="inlineStr">
        <is>
          <t>trading</t>
        </is>
      </c>
      <c r="E266" s="31" t="inlineStr">
        <is>
          <t>largecap</t>
        </is>
      </c>
      <c r="F266" s="31" t="n">
        <v>94028.39</v>
      </c>
      <c r="G266" s="31" t="n">
        <v>324.45</v>
      </c>
      <c r="H266" s="31" t="n">
        <v>-1.2</v>
      </c>
      <c r="I266" s="31" t="n">
        <v>5359003</v>
      </c>
      <c r="J266" s="31" t="inlineStr">
        <is>
          <t>543384</t>
        </is>
      </c>
    </row>
    <row r="267">
      <c r="A267" s="31" t="inlineStr">
        <is>
          <t>BEPL</t>
        </is>
      </c>
      <c r="B267" s="31" t="inlineStr">
        <is>
          <t>Bhansali Engineering Polymers Limited</t>
        </is>
      </c>
      <c r="C267" s="31" t="inlineStr">
        <is>
          <t>energy</t>
        </is>
      </c>
      <c r="D267" s="31" t="inlineStr">
        <is>
          <t>petrochemicals</t>
        </is>
      </c>
      <c r="E267" s="31" t="inlineStr">
        <is>
          <t>smallcap</t>
        </is>
      </c>
      <c r="F267" s="31" t="n">
        <v>2690.16</v>
      </c>
      <c r="G267" s="31" t="n">
        <v>106.8</v>
      </c>
      <c r="H267" s="31" t="n">
        <v>-1.2</v>
      </c>
      <c r="I267" s="31" t="n">
        <v>843963</v>
      </c>
      <c r="J267" s="31" t="inlineStr">
        <is>
          <t>500052</t>
        </is>
      </c>
    </row>
    <row r="268">
      <c r="A268" s="31" t="inlineStr">
        <is>
          <t>LMW</t>
        </is>
      </c>
      <c r="B268" s="31" t="inlineStr">
        <is>
          <t>LMW Ltd</t>
        </is>
      </c>
      <c r="C268" s="31" t="inlineStr">
        <is>
          <t>industrials</t>
        </is>
      </c>
      <c r="D268" s="31" t="inlineStr">
        <is>
          <t>textile machinery</t>
        </is>
      </c>
      <c r="E268" s="31" t="inlineStr">
        <is>
          <t>midcap</t>
        </is>
      </c>
      <c r="F268" s="31" t="n">
        <v>17441.07</v>
      </c>
      <c r="G268" s="31" t="n">
        <v>16125</v>
      </c>
      <c r="H268" s="31" t="n">
        <v>-1.23</v>
      </c>
      <c r="I268" s="31" t="n">
        <v>1478</v>
      </c>
      <c r="J268" s="31" t="inlineStr">
        <is>
          <t>500252</t>
        </is>
      </c>
    </row>
    <row r="269">
      <c r="A269" s="31" t="inlineStr">
        <is>
          <t>RML</t>
        </is>
      </c>
      <c r="B269" s="31" t="inlineStr">
        <is>
          <t>Rane (madras) Limited</t>
        </is>
      </c>
      <c r="C269" s="31" t="inlineStr">
        <is>
          <t>auto</t>
        </is>
      </c>
      <c r="D269" s="31" t="inlineStr">
        <is>
          <t>auto ancillaries</t>
        </is>
      </c>
      <c r="E269" s="31" t="inlineStr">
        <is>
          <t>smallcap</t>
        </is>
      </c>
      <c r="F269" s="31" t="n">
        <v>3466.53</v>
      </c>
      <c r="G269" s="31" t="n">
        <v>1238.9</v>
      </c>
      <c r="H269" s="31" t="n">
        <v>-1.23</v>
      </c>
      <c r="I269" s="31" t="n">
        <v>23814</v>
      </c>
      <c r="J269" s="31" t="inlineStr">
        <is>
          <t>532661</t>
        </is>
      </c>
    </row>
    <row r="270">
      <c r="A270" s="31" t="inlineStr">
        <is>
          <t>RRKABEL</t>
        </is>
      </c>
      <c r="B270" s="31" t="inlineStr">
        <is>
          <t>R R Kabel Ltd</t>
        </is>
      </c>
      <c r="C270" s="31" t="inlineStr">
        <is>
          <t>industrials</t>
        </is>
      </c>
      <c r="D270" s="31" t="inlineStr">
        <is>
          <t>cables - power</t>
        </is>
      </c>
      <c r="E270" s="31" t="inlineStr">
        <is>
          <t>largecap</t>
        </is>
      </c>
      <c r="F270" s="31" t="n">
        <v>26860.3</v>
      </c>
      <c r="G270" s="31" t="n">
        <v>2345.3</v>
      </c>
      <c r="H270" s="31" t="n">
        <v>-1.24</v>
      </c>
      <c r="I270" s="31" t="n">
        <v>419801</v>
      </c>
      <c r="J270" s="31" t="inlineStr">
        <is>
          <t>543981</t>
        </is>
      </c>
    </row>
    <row r="271">
      <c r="A271" s="31" t="inlineStr">
        <is>
          <t>JUBLINGREA</t>
        </is>
      </c>
      <c r="B271" s="31" t="inlineStr">
        <is>
          <t>Jubilant Ingrevia Ltd</t>
        </is>
      </c>
      <c r="C271" s="31" t="inlineStr">
        <is>
          <t>chemicals</t>
        </is>
      </c>
      <c r="D271" s="31" t="inlineStr">
        <is>
          <t>chemicals</t>
        </is>
      </c>
      <c r="E271" s="31" t="inlineStr">
        <is>
          <t>midcap</t>
        </is>
      </c>
      <c r="F271" s="31" t="n">
        <v>11678.49</v>
      </c>
      <c r="G271" s="31" t="n">
        <v>724.05</v>
      </c>
      <c r="H271" s="31" t="n">
        <v>-1.25</v>
      </c>
      <c r="I271" s="31" t="n">
        <v>445465</v>
      </c>
      <c r="J271" s="31" t="inlineStr">
        <is>
          <t>543271</t>
        </is>
      </c>
    </row>
    <row r="272">
      <c r="A272" s="31" t="inlineStr">
        <is>
          <t>NGLFINE</t>
        </is>
      </c>
      <c r="B272" s="31" t="inlineStr">
        <is>
          <t>NGL Fine Chem Ltd</t>
        </is>
      </c>
      <c r="C272" s="31" t="inlineStr">
        <is>
          <t>healthcare</t>
        </is>
      </c>
      <c r="D272" s="31" t="inlineStr">
        <is>
          <t>pharmaceuticals - indian - bulk drugs</t>
        </is>
      </c>
      <c r="E272" s="31" t="inlineStr">
        <is>
          <t>smallcap</t>
        </is>
      </c>
      <c r="F272" s="31" t="n">
        <v>1952.81</v>
      </c>
      <c r="G272" s="31" t="n">
        <v>3121</v>
      </c>
      <c r="H272" s="31" t="n">
        <v>-1.26</v>
      </c>
      <c r="I272" s="31" t="n">
        <v>3019</v>
      </c>
      <c r="J272" s="31" t="inlineStr">
        <is>
          <t>524774</t>
        </is>
      </c>
    </row>
    <row r="273">
      <c r="A273" s="31" t="inlineStr">
        <is>
          <t>SUBEXLTD</t>
        </is>
      </c>
      <c r="B273" s="31" t="inlineStr">
        <is>
          <t>Subex Ltd</t>
        </is>
      </c>
      <c r="C273" s="31" t="inlineStr">
        <is>
          <t>i.t</t>
        </is>
      </c>
      <c r="D273" s="31" t="inlineStr">
        <is>
          <t>computers - software - medium / small</t>
        </is>
      </c>
      <c r="E273" s="31" t="inlineStr">
        <is>
          <t>smallcap</t>
        </is>
      </c>
      <c r="F273" s="31" t="n">
        <v>760.39</v>
      </c>
      <c r="G273" s="31" t="n">
        <v>13.36</v>
      </c>
      <c r="H273" s="31" t="n">
        <v>-1.26</v>
      </c>
      <c r="I273" s="31" t="n">
        <v>1206195</v>
      </c>
      <c r="J273" s="31" t="inlineStr">
        <is>
          <t>532348</t>
        </is>
      </c>
    </row>
    <row r="274">
      <c r="A274" s="31" t="inlineStr">
        <is>
          <t>BALAMINES</t>
        </is>
      </c>
      <c r="B274" s="31" t="inlineStr">
        <is>
          <t>Balaji Amines Limited</t>
        </is>
      </c>
      <c r="C274" s="31" t="inlineStr">
        <is>
          <t>chemicals</t>
        </is>
      </c>
      <c r="D274" s="31" t="inlineStr">
        <is>
          <t>chemicals</t>
        </is>
      </c>
      <c r="E274" s="31" t="inlineStr">
        <is>
          <t>midcap</t>
        </is>
      </c>
      <c r="F274" s="31" t="n">
        <v>7584.75</v>
      </c>
      <c r="G274" s="31" t="n">
        <v>2311.5</v>
      </c>
      <c r="H274" s="31" t="n">
        <v>-1.26</v>
      </c>
      <c r="I274" s="31" t="n">
        <v>154373</v>
      </c>
      <c r="J274" s="31" t="inlineStr">
        <is>
          <t>530999</t>
        </is>
      </c>
    </row>
    <row r="275">
      <c r="A275" s="31" t="inlineStr">
        <is>
          <t>ADOR</t>
        </is>
      </c>
      <c r="B275" s="31" t="inlineStr">
        <is>
          <t>Ador Welding Ltd</t>
        </is>
      </c>
      <c r="C275" s="31" t="inlineStr">
        <is>
          <t>industrials</t>
        </is>
      </c>
      <c r="D275" s="31" t="inlineStr">
        <is>
          <t>electrodes - welding equipment</t>
        </is>
      </c>
      <c r="E275" s="31" t="inlineStr">
        <is>
          <t>smallcap</t>
        </is>
      </c>
      <c r="F275" s="31" t="n">
        <v>2319.8</v>
      </c>
      <c r="G275" s="31" t="n">
        <v>1316.1</v>
      </c>
      <c r="H275" s="31" t="n">
        <v>-1.27</v>
      </c>
      <c r="I275" s="31" t="n">
        <v>33505</v>
      </c>
      <c r="J275" s="31" t="inlineStr">
        <is>
          <t>517041</t>
        </is>
      </c>
    </row>
    <row r="276">
      <c r="A276" s="31" t="inlineStr">
        <is>
          <t>SANSERA</t>
        </is>
      </c>
      <c r="B276" s="31" t="inlineStr">
        <is>
          <t>Sansera Engineering Ltd</t>
        </is>
      </c>
      <c r="C276" s="31" t="inlineStr">
        <is>
          <t>auto</t>
        </is>
      </c>
      <c r="D276" s="31" t="inlineStr">
        <is>
          <t>auto ancillaries</t>
        </is>
      </c>
      <c r="E276" s="31" t="inlineStr">
        <is>
          <t>largecap</t>
        </is>
      </c>
      <c r="F276" s="31" t="n">
        <v>20475.86</v>
      </c>
      <c r="G276" s="31" t="n">
        <v>3238.6</v>
      </c>
      <c r="H276" s="31" t="n">
        <v>-1.3</v>
      </c>
      <c r="I276" s="31" t="n">
        <v>131815</v>
      </c>
      <c r="J276" s="31" t="inlineStr">
        <is>
          <t>543358</t>
        </is>
      </c>
    </row>
    <row r="277">
      <c r="A277" s="31" t="inlineStr">
        <is>
          <t>GREENPLY</t>
        </is>
      </c>
      <c r="B277" s="31" t="inlineStr">
        <is>
          <t>Greenply Industries Limited</t>
        </is>
      </c>
      <c r="C277" s="31" t="inlineStr">
        <is>
          <t>building materials</t>
        </is>
      </c>
      <c r="D277" s="31" t="inlineStr">
        <is>
          <t>miscellaneous</t>
        </is>
      </c>
      <c r="E277" s="31" t="inlineStr">
        <is>
          <t>smallcap</t>
        </is>
      </c>
      <c r="F277" s="31" t="n">
        <v>3959.39</v>
      </c>
      <c r="G277" s="31" t="n">
        <v>312.8</v>
      </c>
      <c r="H277" s="31" t="n">
        <v>-1.32</v>
      </c>
      <c r="I277" s="31" t="n">
        <v>74777</v>
      </c>
      <c r="J277" s="31" t="inlineStr">
        <is>
          <t>526797</t>
        </is>
      </c>
    </row>
    <row r="278">
      <c r="A278" s="31" t="inlineStr">
        <is>
          <t>LLOYDSENT</t>
        </is>
      </c>
      <c r="B278" s="31" t="inlineStr">
        <is>
          <t>Lloyds Enterprises Ltd</t>
        </is>
      </c>
      <c r="C278" s="31" t="inlineStr">
        <is>
          <t>services</t>
        </is>
      </c>
      <c r="D278" s="31" t="inlineStr">
        <is>
          <t>trading</t>
        </is>
      </c>
      <c r="E278" s="31" t="inlineStr">
        <is>
          <t>midcap</t>
        </is>
      </c>
      <c r="F278" s="31" t="n">
        <v>12039.92</v>
      </c>
      <c r="G278" s="31" t="n">
        <v>77.81999999999999</v>
      </c>
      <c r="H278" s="31" t="n">
        <v>-1.33</v>
      </c>
      <c r="I278" s="31" t="n">
        <v>12396021</v>
      </c>
      <c r="J278" s="31" t="inlineStr">
        <is>
          <t>512463</t>
        </is>
      </c>
    </row>
    <row r="279">
      <c r="A279" s="31" t="inlineStr">
        <is>
          <t>SETL</t>
        </is>
      </c>
      <c r="B279" s="31" t="inlineStr">
        <is>
          <t>Standard Enginnering Technology Ltd</t>
        </is>
      </c>
      <c r="C279" s="31" t="inlineStr">
        <is>
          <t>industrials</t>
        </is>
      </c>
      <c r="D279" s="31" t="inlineStr">
        <is>
          <t>engineering</t>
        </is>
      </c>
      <c r="E279" s="31" t="inlineStr">
        <is>
          <t>midcap</t>
        </is>
      </c>
      <c r="F279" s="31" t="n">
        <v>5536.89</v>
      </c>
      <c r="G279" s="31" t="n">
        <v>273.85</v>
      </c>
      <c r="H279" s="31" t="n">
        <v>-1.33</v>
      </c>
      <c r="I279" s="31" t="n">
        <v>1344940</v>
      </c>
      <c r="J279" s="31" t="inlineStr">
        <is>
          <t>544333</t>
        </is>
      </c>
    </row>
    <row r="280">
      <c r="A280" s="31" t="inlineStr">
        <is>
          <t>NAVNETEDUL</t>
        </is>
      </c>
      <c r="B280" s="31" t="inlineStr">
        <is>
          <t>Navneet Education Limited</t>
        </is>
      </c>
      <c r="C280" s="31" t="inlineStr">
        <is>
          <t>miscellaneous</t>
        </is>
      </c>
      <c r="D280" s="31" t="inlineStr">
        <is>
          <t>printing &amp; stationery</t>
        </is>
      </c>
      <c r="E280" s="31" t="inlineStr">
        <is>
          <t>smallcap</t>
        </is>
      </c>
      <c r="F280" s="31" t="n">
        <v>3329.92</v>
      </c>
      <c r="G280" s="31" t="n">
        <v>148.52</v>
      </c>
      <c r="H280" s="31" t="n">
        <v>-1.34</v>
      </c>
      <c r="I280" s="31" t="n">
        <v>279411</v>
      </c>
      <c r="J280" s="31" t="inlineStr">
        <is>
          <t>508989</t>
        </is>
      </c>
    </row>
    <row r="281">
      <c r="A281" s="31" t="inlineStr">
        <is>
          <t>TECHM</t>
        </is>
      </c>
      <c r="B281" s="31" t="inlineStr">
        <is>
          <t>Tech Mahindra Limited</t>
        </is>
      </c>
      <c r="C281" s="31" t="inlineStr">
        <is>
          <t>i.t</t>
        </is>
      </c>
      <c r="D281" s="31" t="inlineStr">
        <is>
          <t>computers - software - large</t>
        </is>
      </c>
      <c r="E281" s="31" t="inlineStr">
        <is>
          <t>largecap</t>
        </is>
      </c>
      <c r="F281" s="31" t="n">
        <v>147417.12</v>
      </c>
      <c r="G281" s="31" t="n">
        <v>1484.3</v>
      </c>
      <c r="H281" s="31" t="n">
        <v>-1.34</v>
      </c>
      <c r="I281" s="31" t="n">
        <v>2011058</v>
      </c>
      <c r="J281" s="31" t="inlineStr">
        <is>
          <t>532755</t>
        </is>
      </c>
    </row>
    <row r="282">
      <c r="A282" s="31" t="inlineStr">
        <is>
          <t>LICI</t>
        </is>
      </c>
      <c r="B282" s="31" t="inlineStr">
        <is>
          <t>Life Insurance Corporation of India Ltd</t>
        </is>
      </c>
      <c r="C282" s="31" t="inlineStr">
        <is>
          <t>financials</t>
        </is>
      </c>
      <c r="D282" s="31" t="inlineStr">
        <is>
          <t>finance &amp; investments</t>
        </is>
      </c>
      <c r="E282" s="31" t="inlineStr">
        <is>
          <t>largecap</t>
        </is>
      </c>
      <c r="F282" s="31" t="n">
        <v>558244.3</v>
      </c>
      <c r="G282" s="31" t="n">
        <v>435.4</v>
      </c>
      <c r="H282" s="31" t="n">
        <v>-1.34</v>
      </c>
      <c r="I282" s="31" t="n">
        <v>3063959</v>
      </c>
      <c r="J282" s="31" t="inlineStr">
        <is>
          <t>543526</t>
        </is>
      </c>
    </row>
    <row r="283">
      <c r="A283" s="31" t="inlineStr">
        <is>
          <t>BHAGCHEM</t>
        </is>
      </c>
      <c r="B283" s="31" t="inlineStr">
        <is>
          <t>Bhagiradha Chemicals &amp; Industries Ltd</t>
        </is>
      </c>
      <c r="C283" s="31" t="inlineStr">
        <is>
          <t>chemicals</t>
        </is>
      </c>
      <c r="D283" s="31" t="inlineStr">
        <is>
          <t>pesticides / agrochemicals - indian</t>
        </is>
      </c>
      <c r="E283" s="31" t="inlineStr">
        <is>
          <t>smallcap</t>
        </is>
      </c>
      <c r="F283" s="31" t="n">
        <v>3810.33</v>
      </c>
      <c r="G283" s="31" t="n">
        <v>289.9</v>
      </c>
      <c r="H283" s="31" t="n">
        <v>-1.34</v>
      </c>
      <c r="I283" s="31" t="n">
        <v>80911</v>
      </c>
      <c r="J283" s="31" t="inlineStr">
        <is>
          <t>531719</t>
        </is>
      </c>
    </row>
    <row r="284">
      <c r="A284" s="31" t="inlineStr">
        <is>
          <t>BHARATFORG</t>
        </is>
      </c>
      <c r="B284" s="31" t="inlineStr">
        <is>
          <t>Bharat Forge Limited</t>
        </is>
      </c>
      <c r="C284" s="31" t="inlineStr">
        <is>
          <t>industrials</t>
        </is>
      </c>
      <c r="D284" s="31" t="inlineStr">
        <is>
          <t>castings &amp; forgings</t>
        </is>
      </c>
      <c r="E284" s="31" t="inlineStr">
        <is>
          <t>largecap</t>
        </is>
      </c>
      <c r="F284" s="31" t="n">
        <v>102578.7</v>
      </c>
      <c r="G284" s="31" t="n">
        <v>2115.8</v>
      </c>
      <c r="H284" s="31" t="n">
        <v>-1.39</v>
      </c>
      <c r="I284" s="31" t="n">
        <v>568854</v>
      </c>
      <c r="J284" s="31" t="inlineStr">
        <is>
          <t>500493</t>
        </is>
      </c>
    </row>
    <row r="285">
      <c r="A285" s="31" t="inlineStr">
        <is>
          <t>TIPSMUSIC</t>
        </is>
      </c>
      <c r="B285" s="31" t="inlineStr">
        <is>
          <t>Tips Music Ltd</t>
        </is>
      </c>
      <c r="C285" s="31" t="inlineStr">
        <is>
          <t>media</t>
        </is>
      </c>
      <c r="D285" s="31" t="inlineStr">
        <is>
          <t>entertainment / electronic media software</t>
        </is>
      </c>
      <c r="E285" s="31" t="inlineStr">
        <is>
          <t>midcap</t>
        </is>
      </c>
      <c r="F285" s="31" t="n">
        <v>9123.98</v>
      </c>
      <c r="G285" s="31" t="n">
        <v>703.8</v>
      </c>
      <c r="H285" s="31" t="n">
        <v>-1.39</v>
      </c>
      <c r="I285" s="31" t="n">
        <v>149425</v>
      </c>
      <c r="J285" s="31" t="inlineStr">
        <is>
          <t>532375</t>
        </is>
      </c>
    </row>
    <row r="286">
      <c r="A286" s="31" t="inlineStr">
        <is>
          <t>MENONBE</t>
        </is>
      </c>
      <c r="B286" s="31" t="inlineStr">
        <is>
          <t>Menon Bearings Limited</t>
        </is>
      </c>
      <c r="C286" s="31" t="inlineStr">
        <is>
          <t>auto</t>
        </is>
      </c>
      <c r="D286" s="31" t="inlineStr">
        <is>
          <t>auto ancillaries</t>
        </is>
      </c>
      <c r="E286" s="31" t="inlineStr">
        <is>
          <t>smallcap</t>
        </is>
      </c>
      <c r="F286" s="31" t="n">
        <v>1006.48</v>
      </c>
      <c r="G286" s="31" t="n">
        <v>177.05</v>
      </c>
      <c r="H286" s="31" t="n">
        <v>-1.42</v>
      </c>
      <c r="I286" s="31" t="n">
        <v>36362</v>
      </c>
      <c r="J286" s="31" t="inlineStr">
        <is>
          <t>523828</t>
        </is>
      </c>
    </row>
    <row r="287">
      <c r="A287" s="31" t="inlineStr">
        <is>
          <t>AGARWALEYE</t>
        </is>
      </c>
      <c r="B287" s="31" t="inlineStr">
        <is>
          <t>Dr Agarwals Health Care Ltd</t>
        </is>
      </c>
      <c r="C287" s="31" t="inlineStr">
        <is>
          <t>healthcare</t>
        </is>
      </c>
      <c r="D287" s="31" t="inlineStr">
        <is>
          <t>healthcare</t>
        </is>
      </c>
      <c r="E287" s="31" t="inlineStr">
        <is>
          <t>midcap</t>
        </is>
      </c>
      <c r="F287" s="31" t="n">
        <v>15781</v>
      </c>
      <c r="G287" s="31" t="n">
        <v>490.7</v>
      </c>
      <c r="H287" s="31" t="n">
        <v>-1.44</v>
      </c>
      <c r="I287" s="31" t="n">
        <v>94207</v>
      </c>
      <c r="J287" s="31" t="inlineStr">
        <is>
          <t>544350</t>
        </is>
      </c>
    </row>
    <row r="288">
      <c r="A288" s="31" t="inlineStr">
        <is>
          <t>MANBA</t>
        </is>
      </c>
      <c r="B288" s="31" t="inlineStr">
        <is>
          <t>Manba Finance Ltd</t>
        </is>
      </c>
      <c r="C288" s="31" t="inlineStr">
        <is>
          <t>financials</t>
        </is>
      </c>
      <c r="D288" s="31" t="inlineStr">
        <is>
          <t>finance &amp; investments</t>
        </is>
      </c>
      <c r="E288" s="31" t="inlineStr">
        <is>
          <t>smallcap</t>
        </is>
      </c>
      <c r="F288" s="31" t="n">
        <v>687.22</v>
      </c>
      <c r="G288" s="31" t="n">
        <v>134.81</v>
      </c>
      <c r="H288" s="31" t="n">
        <v>-1.45</v>
      </c>
      <c r="I288" s="31" t="n">
        <v>82251</v>
      </c>
      <c r="J288" s="31" t="inlineStr">
        <is>
          <t>544262</t>
        </is>
      </c>
    </row>
    <row r="289">
      <c r="A289" s="31" t="inlineStr">
        <is>
          <t>MUNJALAU</t>
        </is>
      </c>
      <c r="B289" s="31" t="inlineStr">
        <is>
          <t>Munjal Auto Industries Limited</t>
        </is>
      </c>
      <c r="C289" s="31" t="inlineStr">
        <is>
          <t>auto</t>
        </is>
      </c>
      <c r="D289" s="31" t="inlineStr">
        <is>
          <t>auto ancillaries</t>
        </is>
      </c>
      <c r="E289" s="31" t="inlineStr">
        <is>
          <t>smallcap</t>
        </is>
      </c>
      <c r="F289" s="31" t="n">
        <v>1056.9</v>
      </c>
      <c r="G289" s="31" t="n">
        <v>104.13</v>
      </c>
      <c r="H289" s="31" t="n">
        <v>-1.48</v>
      </c>
      <c r="I289" s="31" t="n">
        <v>531710</v>
      </c>
      <c r="J289" s="31" t="inlineStr">
        <is>
          <t>520059</t>
        </is>
      </c>
    </row>
    <row r="290">
      <c r="A290" s="31" t="inlineStr">
        <is>
          <t>FEDERALBNK</t>
        </is>
      </c>
      <c r="B290" s="31" t="inlineStr">
        <is>
          <t>The Federal Bank  Limited</t>
        </is>
      </c>
      <c r="C290" s="31" t="inlineStr">
        <is>
          <t>bank</t>
        </is>
      </c>
      <c r="D290" s="31" t="inlineStr">
        <is>
          <t>banks - private sector</t>
        </is>
      </c>
      <c r="E290" s="31" t="inlineStr">
        <is>
          <t>largecap</t>
        </is>
      </c>
      <c r="F290" s="31" t="n">
        <v>81937.39</v>
      </c>
      <c r="G290" s="31" t="n">
        <v>327.5</v>
      </c>
      <c r="H290" s="31" t="n">
        <v>-1.5</v>
      </c>
      <c r="I290" s="31" t="n">
        <v>3477293</v>
      </c>
      <c r="J290" s="31" t="inlineStr">
        <is>
          <t>500469</t>
        </is>
      </c>
    </row>
    <row r="291">
      <c r="A291" s="31" t="inlineStr">
        <is>
          <t>THELEELA</t>
        </is>
      </c>
      <c r="B291" s="31" t="inlineStr">
        <is>
          <t>Leela Palaces Hotels &amp; Resorts Ltd</t>
        </is>
      </c>
      <c r="C291" s="31" t="inlineStr">
        <is>
          <t>services</t>
        </is>
      </c>
      <c r="D291" s="31" t="inlineStr">
        <is>
          <t>hotels</t>
        </is>
      </c>
      <c r="E291" s="31" t="inlineStr">
        <is>
          <t>midcap</t>
        </is>
      </c>
      <c r="F291" s="31" t="n">
        <v>16737.97</v>
      </c>
      <c r="G291" s="31" t="n">
        <v>493.6</v>
      </c>
      <c r="H291" s="31" t="n">
        <v>-1.52</v>
      </c>
      <c r="I291" s="31" t="n">
        <v>192826</v>
      </c>
      <c r="J291" s="31" t="inlineStr">
        <is>
          <t>544408</t>
        </is>
      </c>
    </row>
    <row r="292">
      <c r="A292" s="31" t="inlineStr">
        <is>
          <t>SWANDEF</t>
        </is>
      </c>
      <c r="B292" s="31" t="inlineStr">
        <is>
          <t>Swan Defence and Heavy Industries Ltd</t>
        </is>
      </c>
      <c r="C292" s="31" t="inlineStr">
        <is>
          <t>transportation</t>
        </is>
      </c>
      <c r="D292" s="31" t="inlineStr">
        <is>
          <t>miscellaneous</t>
        </is>
      </c>
      <c r="E292" s="31" t="inlineStr">
        <is>
          <t>midcap</t>
        </is>
      </c>
      <c r="F292" s="31" t="n">
        <v>11877.72</v>
      </c>
      <c r="G292" s="31" t="n">
        <v>2220</v>
      </c>
      <c r="H292" s="31" t="n">
        <v>-1.53</v>
      </c>
      <c r="I292" s="31" t="n">
        <v>5973</v>
      </c>
      <c r="J292" s="31" t="inlineStr">
        <is>
          <t>533107</t>
        </is>
      </c>
    </row>
    <row r="293">
      <c r="A293" s="31" t="inlineStr">
        <is>
          <t>INDUSINDBK</t>
        </is>
      </c>
      <c r="B293" s="31" t="inlineStr">
        <is>
          <t>Indusind Bank Limited</t>
        </is>
      </c>
      <c r="C293" s="31" t="inlineStr">
        <is>
          <t>bank</t>
        </is>
      </c>
      <c r="D293" s="31" t="inlineStr">
        <is>
          <t>banks - private sector</t>
        </is>
      </c>
      <c r="E293" s="31" t="inlineStr">
        <is>
          <t>largecap</t>
        </is>
      </c>
      <c r="F293" s="31" t="n">
        <v>78915.66</v>
      </c>
      <c r="G293" s="31" t="n">
        <v>997.35</v>
      </c>
      <c r="H293" s="31" t="n">
        <v>-1.54</v>
      </c>
      <c r="I293" s="31" t="n">
        <v>767563</v>
      </c>
      <c r="J293" s="31" t="inlineStr">
        <is>
          <t>532187</t>
        </is>
      </c>
    </row>
    <row r="294">
      <c r="A294" s="31" t="inlineStr">
        <is>
          <t>MACPOWER</t>
        </is>
      </c>
      <c r="B294" s="31" t="inlineStr">
        <is>
          <t>Macpower CNC Machines Ltd</t>
        </is>
      </c>
      <c r="C294" s="31" t="inlineStr">
        <is>
          <t>industrials</t>
        </is>
      </c>
      <c r="D294" s="31" t="inlineStr">
        <is>
          <t>engineering</t>
        </is>
      </c>
      <c r="E294" s="31" t="inlineStr">
        <is>
          <t>smallcap</t>
        </is>
      </c>
      <c r="F294" s="31" t="n">
        <v>1347.56</v>
      </c>
      <c r="G294" s="31" t="n">
        <v>1326.3</v>
      </c>
      <c r="H294" s="31" t="n">
        <v>-1.54</v>
      </c>
      <c r="I294" s="31" t="n">
        <v>11576</v>
      </c>
      <c r="J294" s="31" t="inlineStr">
        <is>
          <t>535057</t>
        </is>
      </c>
    </row>
    <row r="295">
      <c r="A295" s="31" t="inlineStr">
        <is>
          <t>UNIPARTS</t>
        </is>
      </c>
      <c r="B295" s="31" t="inlineStr">
        <is>
          <t>Uniparts India Ltd</t>
        </is>
      </c>
      <c r="C295" s="31" t="inlineStr">
        <is>
          <t>industrials</t>
        </is>
      </c>
      <c r="D295" s="31" t="inlineStr">
        <is>
          <t>engineering</t>
        </is>
      </c>
      <c r="E295" s="31" t="inlineStr">
        <is>
          <t>smallcap</t>
        </is>
      </c>
      <c r="F295" s="31" t="n">
        <v>3136.54</v>
      </c>
      <c r="G295" s="31" t="n">
        <v>684</v>
      </c>
      <c r="H295" s="31" t="n">
        <v>-1.55</v>
      </c>
      <c r="I295" s="31" t="n">
        <v>134180</v>
      </c>
      <c r="J295" s="31" t="inlineStr">
        <is>
          <t>543689</t>
        </is>
      </c>
    </row>
    <row r="296">
      <c r="A296" s="31" t="inlineStr">
        <is>
          <t>JASH</t>
        </is>
      </c>
      <c r="B296" s="31" t="inlineStr">
        <is>
          <t>Jash Engineering Ltd</t>
        </is>
      </c>
      <c r="C296" s="31" t="inlineStr">
        <is>
          <t>industrials</t>
        </is>
      </c>
      <c r="D296" s="31" t="inlineStr">
        <is>
          <t>engineering</t>
        </is>
      </c>
      <c r="E296" s="31" t="inlineStr">
        <is>
          <t>smallcap</t>
        </is>
      </c>
      <c r="F296" s="31" t="n">
        <v>3440.27</v>
      </c>
      <c r="G296" s="31" t="n">
        <v>535.9</v>
      </c>
      <c r="H296" s="31" t="n">
        <v>-1.56</v>
      </c>
      <c r="I296" s="31" t="n">
        <v>108295</v>
      </c>
      <c r="J296" s="31" t="inlineStr">
        <is>
          <t>535019</t>
        </is>
      </c>
    </row>
    <row r="297">
      <c r="A297" s="31" t="inlineStr">
        <is>
          <t>HEG</t>
        </is>
      </c>
      <c r="B297" s="31" t="inlineStr">
        <is>
          <t>Heg Limited</t>
        </is>
      </c>
      <c r="C297" s="31" t="inlineStr">
        <is>
          <t>industrials</t>
        </is>
      </c>
      <c r="D297" s="31" t="inlineStr">
        <is>
          <t>electrodes - graphites</t>
        </is>
      </c>
      <c r="E297" s="31" t="inlineStr">
        <is>
          <t>midcap</t>
        </is>
      </c>
      <c r="F297" s="31" t="n">
        <v>11103.93</v>
      </c>
      <c r="G297" s="31" t="n">
        <v>566.45</v>
      </c>
      <c r="H297" s="31" t="n">
        <v>-1.56</v>
      </c>
      <c r="I297" s="31" t="n">
        <v>1339401</v>
      </c>
      <c r="J297" s="31" t="inlineStr">
        <is>
          <t>509631</t>
        </is>
      </c>
    </row>
    <row r="298">
      <c r="A298" s="31" t="inlineStr">
        <is>
          <t>ARE&amp;M</t>
        </is>
      </c>
      <c r="B298" s="31" t="inlineStr">
        <is>
          <t>Amara Raja Energy &amp; Mobility Ltd</t>
        </is>
      </c>
      <c r="C298" s="31" t="inlineStr">
        <is>
          <t>auto</t>
        </is>
      </c>
      <c r="D298" s="31" t="inlineStr">
        <is>
          <t>auto ancillaries</t>
        </is>
      </c>
      <c r="E298" s="31" t="inlineStr">
        <is>
          <t>midcap</t>
        </is>
      </c>
      <c r="F298" s="31" t="n">
        <v>16637.92</v>
      </c>
      <c r="G298" s="31" t="n">
        <v>894.9</v>
      </c>
      <c r="H298" s="31" t="n">
        <v>-1.56</v>
      </c>
      <c r="I298" s="31" t="n">
        <v>961318</v>
      </c>
      <c r="J298" s="31" t="inlineStr">
        <is>
          <t>500008</t>
        </is>
      </c>
    </row>
    <row r="299">
      <c r="A299" s="31" t="inlineStr">
        <is>
          <t>BAJFINANCE</t>
        </is>
      </c>
      <c r="B299" s="31" t="inlineStr">
        <is>
          <t>Bajaj Finance Limited</t>
        </is>
      </c>
      <c r="C299" s="31" t="inlineStr">
        <is>
          <t>financials</t>
        </is>
      </c>
      <c r="D299" s="31" t="inlineStr">
        <is>
          <t>finance &amp; investments</t>
        </is>
      </c>
      <c r="E299" s="31" t="inlineStr">
        <is>
          <t>largecap</t>
        </is>
      </c>
      <c r="F299" s="31" t="n">
        <v>636311</v>
      </c>
      <c r="G299" s="31" t="n">
        <v>1006.6</v>
      </c>
      <c r="H299" s="31" t="n">
        <v>-1.56</v>
      </c>
      <c r="I299" s="31" t="n">
        <v>6458595</v>
      </c>
      <c r="J299" s="31" t="inlineStr">
        <is>
          <t>500034</t>
        </is>
      </c>
    </row>
    <row r="300">
      <c r="A300" s="31" t="inlineStr">
        <is>
          <t>GEOJITFSL</t>
        </is>
      </c>
      <c r="B300" s="31" t="inlineStr">
        <is>
          <t>Geojit Financial Services Ltd</t>
        </is>
      </c>
      <c r="C300" s="31" t="inlineStr">
        <is>
          <t>financials</t>
        </is>
      </c>
      <c r="D300" s="31" t="inlineStr">
        <is>
          <t>finance &amp; investments</t>
        </is>
      </c>
      <c r="E300" s="31" t="inlineStr">
        <is>
          <t>smallcap</t>
        </is>
      </c>
      <c r="F300" s="31" t="n">
        <v>2289.64</v>
      </c>
      <c r="G300" s="31" t="n">
        <v>80.75</v>
      </c>
      <c r="H300" s="31" t="n">
        <v>-1.56</v>
      </c>
      <c r="I300" s="31" t="n">
        <v>342064</v>
      </c>
      <c r="J300" s="31" t="inlineStr">
        <is>
          <t>532285</t>
        </is>
      </c>
    </row>
    <row r="301">
      <c r="A301" s="31" t="inlineStr">
        <is>
          <t>GANDHAR</t>
        </is>
      </c>
      <c r="B301" s="31" t="inlineStr">
        <is>
          <t>Gandhar Oil Refinery (India) Ltd</t>
        </is>
      </c>
      <c r="C301" s="31" t="inlineStr">
        <is>
          <t>energy</t>
        </is>
      </c>
      <c r="D301" s="31" t="inlineStr">
        <is>
          <t>refineries</t>
        </is>
      </c>
      <c r="E301" s="31" t="inlineStr">
        <is>
          <t>smallcap</t>
        </is>
      </c>
      <c r="F301" s="31" t="n">
        <v>2017.49</v>
      </c>
      <c r="G301" s="31" t="n">
        <v>202.89</v>
      </c>
      <c r="H301" s="31" t="n">
        <v>-1.57</v>
      </c>
      <c r="I301" s="31" t="n">
        <v>461951</v>
      </c>
      <c r="J301" s="31" t="inlineStr">
        <is>
          <t>544029</t>
        </is>
      </c>
    </row>
    <row r="302">
      <c r="A302" s="31" t="inlineStr">
        <is>
          <t>SIGMAADV</t>
        </is>
      </c>
      <c r="B302" s="31" t="inlineStr">
        <is>
          <t>Sigma Advanced System Ltd</t>
        </is>
      </c>
      <c r="C302" s="31" t="inlineStr">
        <is>
          <t>aerospace &amp; defence</t>
        </is>
      </c>
      <c r="D302" s="31" t="inlineStr">
        <is>
          <t>electronics - components</t>
        </is>
      </c>
      <c r="E302" s="31" t="inlineStr">
        <is>
          <t>midcap</t>
        </is>
      </c>
      <c r="F302" s="31" t="n">
        <v>10273.89</v>
      </c>
      <c r="G302" s="31" t="n">
        <v>573.65</v>
      </c>
      <c r="H302" s="31" t="n">
        <v>-1.6</v>
      </c>
      <c r="I302" s="31" t="n">
        <v>528479</v>
      </c>
      <c r="J302" s="31" t="inlineStr">
        <is>
          <t>532408</t>
        </is>
      </c>
    </row>
    <row r="303">
      <c r="A303" s="31" t="inlineStr">
        <is>
          <t>MOTILALOFS</t>
        </is>
      </c>
      <c r="B303" s="31" t="inlineStr">
        <is>
          <t>Motilal Oswal Financial Services Limited</t>
        </is>
      </c>
      <c r="C303" s="31" t="inlineStr">
        <is>
          <t>financials</t>
        </is>
      </c>
      <c r="D303" s="31" t="inlineStr">
        <is>
          <t>finance &amp; investments</t>
        </is>
      </c>
      <c r="E303" s="31" t="inlineStr">
        <is>
          <t>largecap</t>
        </is>
      </c>
      <c r="F303" s="31" t="n">
        <v>59153.82</v>
      </c>
      <c r="G303" s="31" t="n">
        <v>967</v>
      </c>
      <c r="H303" s="31" t="n">
        <v>-1.61</v>
      </c>
      <c r="I303" s="31" t="n">
        <v>717868</v>
      </c>
      <c r="J303" s="31" t="inlineStr">
        <is>
          <t>532892</t>
        </is>
      </c>
    </row>
    <row r="304">
      <c r="A304" s="31" t="inlineStr">
        <is>
          <t>GRAVITA</t>
        </is>
      </c>
      <c r="B304" s="31" t="inlineStr">
        <is>
          <t>Gravita India Limited</t>
        </is>
      </c>
      <c r="C304" s="31" t="inlineStr">
        <is>
          <t>metals &amp; mining</t>
        </is>
      </c>
      <c r="D304" s="31" t="inlineStr">
        <is>
          <t>mining / minerals / metals</t>
        </is>
      </c>
      <c r="E304" s="31" t="inlineStr">
        <is>
          <t>midcap</t>
        </is>
      </c>
      <c r="F304" s="31" t="n">
        <v>13625.04</v>
      </c>
      <c r="G304" s="31" t="n">
        <v>1816.1</v>
      </c>
      <c r="H304" s="31" t="n">
        <v>-1.62</v>
      </c>
      <c r="I304" s="31" t="n">
        <v>206428</v>
      </c>
      <c r="J304" s="31" t="inlineStr">
        <is>
          <t>533282</t>
        </is>
      </c>
    </row>
    <row r="305">
      <c r="A305" s="31" t="inlineStr">
        <is>
          <t>HDBFS</t>
        </is>
      </c>
      <c r="B305" s="31" t="inlineStr">
        <is>
          <t>HDB Financial Services Ltd</t>
        </is>
      </c>
      <c r="C305" s="31" t="inlineStr">
        <is>
          <t>financials</t>
        </is>
      </c>
      <c r="D305" s="31" t="inlineStr">
        <is>
          <t>finance &amp; investments</t>
        </is>
      </c>
      <c r="E305" s="31" t="inlineStr">
        <is>
          <t>largecap</t>
        </is>
      </c>
      <c r="F305" s="31" t="n">
        <v>62793.5</v>
      </c>
      <c r="G305" s="31" t="n">
        <v>743.9</v>
      </c>
      <c r="H305" s="31" t="n">
        <v>-1.63</v>
      </c>
      <c r="I305" s="31" t="n">
        <v>292518</v>
      </c>
      <c r="J305" s="31" t="inlineStr">
        <is>
          <t>544429</t>
        </is>
      </c>
    </row>
    <row r="306">
      <c r="A306" s="31" t="inlineStr">
        <is>
          <t>IDFCFIRSTB</t>
        </is>
      </c>
      <c r="B306" s="31" t="inlineStr">
        <is>
          <t>IDFC First Bank Ltd</t>
        </is>
      </c>
      <c r="C306" s="31" t="inlineStr">
        <is>
          <t>bank</t>
        </is>
      </c>
      <c r="D306" s="31" t="inlineStr">
        <is>
          <t>banks - private sector</t>
        </is>
      </c>
      <c r="E306" s="31" t="inlineStr">
        <is>
          <t>largecap</t>
        </is>
      </c>
      <c r="F306" s="31" t="n">
        <v>69312.49000000001</v>
      </c>
      <c r="G306" s="31" t="n">
        <v>79.27</v>
      </c>
      <c r="H306" s="31" t="n">
        <v>-1.63</v>
      </c>
      <c r="I306" s="31" t="n">
        <v>13422071</v>
      </c>
      <c r="J306" s="31" t="inlineStr">
        <is>
          <t>539437</t>
        </is>
      </c>
    </row>
    <row r="307">
      <c r="A307" s="31" t="inlineStr">
        <is>
          <t>GHCLTEXTIL</t>
        </is>
      </c>
      <c r="B307" s="31" t="inlineStr">
        <is>
          <t>GHCL Textiles Ltd</t>
        </is>
      </c>
      <c r="C307" s="31" t="inlineStr">
        <is>
          <t>textiles</t>
        </is>
      </c>
      <c r="D307" s="31" t="inlineStr">
        <is>
          <t>textiles - spinning - synthetic / blended</t>
        </is>
      </c>
      <c r="E307" s="31" t="inlineStr">
        <is>
          <t>smallcap</t>
        </is>
      </c>
      <c r="F307" s="31" t="n">
        <v>1049.25</v>
      </c>
      <c r="G307" s="31" t="n">
        <v>107.97</v>
      </c>
      <c r="H307" s="31" t="n">
        <v>-1.64</v>
      </c>
      <c r="I307" s="31" t="n">
        <v>499654</v>
      </c>
      <c r="J307" s="31" t="inlineStr">
        <is>
          <t>543918</t>
        </is>
      </c>
    </row>
    <row r="308">
      <c r="A308" s="31" t="inlineStr">
        <is>
          <t>JGCHEM</t>
        </is>
      </c>
      <c r="B308" s="31" t="inlineStr">
        <is>
          <t>J.G.Chemicals Ltd</t>
        </is>
      </c>
      <c r="C308" s="31" t="inlineStr">
        <is>
          <t>chemicals</t>
        </is>
      </c>
      <c r="D308" s="31" t="inlineStr">
        <is>
          <t>chemicals</t>
        </is>
      </c>
      <c r="E308" s="31" t="inlineStr">
        <is>
          <t>smallcap</t>
        </is>
      </c>
      <c r="F308" s="31" t="n">
        <v>1780.42</v>
      </c>
      <c r="G308" s="31" t="n">
        <v>446.9</v>
      </c>
      <c r="H308" s="31" t="n">
        <v>-1.64</v>
      </c>
      <c r="I308" s="31" t="n">
        <v>77800</v>
      </c>
      <c r="J308" s="31" t="n"/>
    </row>
    <row r="309">
      <c r="A309" s="31" t="inlineStr">
        <is>
          <t>MAHLIFE</t>
        </is>
      </c>
      <c r="B309" s="31" t="inlineStr">
        <is>
          <t>Mahindra Lifespace Developers Limited</t>
        </is>
      </c>
      <c r="C309" s="31" t="inlineStr">
        <is>
          <t>realty</t>
        </is>
      </c>
      <c r="D309" s="31" t="inlineStr">
        <is>
          <t>construction</t>
        </is>
      </c>
      <c r="E309" s="31" t="inlineStr">
        <is>
          <t>midcap</t>
        </is>
      </c>
      <c r="F309" s="31" t="n">
        <v>8077.16</v>
      </c>
      <c r="G309" s="31" t="n">
        <v>372.4</v>
      </c>
      <c r="H309" s="31" t="n">
        <v>-1.64</v>
      </c>
      <c r="I309" s="31" t="n">
        <v>123276</v>
      </c>
      <c r="J309" s="31" t="inlineStr">
        <is>
          <t>532313</t>
        </is>
      </c>
    </row>
    <row r="310">
      <c r="A310" s="31" t="inlineStr">
        <is>
          <t>CUB</t>
        </is>
      </c>
      <c r="B310" s="31" t="inlineStr">
        <is>
          <t>City Union Bank Limited</t>
        </is>
      </c>
      <c r="C310" s="31" t="inlineStr">
        <is>
          <t>bank</t>
        </is>
      </c>
      <c r="D310" s="31" t="inlineStr">
        <is>
          <t>banks - private sector</t>
        </is>
      </c>
      <c r="E310" s="31" t="inlineStr">
        <is>
          <t>midcap</t>
        </is>
      </c>
      <c r="F310" s="31" t="n">
        <v>16728.22</v>
      </c>
      <c r="G310" s="31" t="n">
        <v>221.3</v>
      </c>
      <c r="H310" s="31" t="n">
        <v>-1.7</v>
      </c>
      <c r="I310" s="31" t="n">
        <v>1175918</v>
      </c>
      <c r="J310" s="31" t="inlineStr">
        <is>
          <t>532210</t>
        </is>
      </c>
    </row>
    <row r="311">
      <c r="A311" s="31" t="inlineStr">
        <is>
          <t>OMAXAUTO</t>
        </is>
      </c>
      <c r="B311" s="31" t="inlineStr">
        <is>
          <t>Omax Autos Limited</t>
        </is>
      </c>
      <c r="C311" s="31" t="inlineStr">
        <is>
          <t>auto</t>
        </is>
      </c>
      <c r="D311" s="31" t="inlineStr">
        <is>
          <t>auto ancillaries</t>
        </is>
      </c>
      <c r="E311" s="31" t="inlineStr">
        <is>
          <t>smallcap</t>
        </is>
      </c>
      <c r="F311" s="31" t="n">
        <v>544.03</v>
      </c>
      <c r="G311" s="31" t="n">
        <v>250</v>
      </c>
      <c r="H311" s="31" t="n">
        <v>-1.71</v>
      </c>
      <c r="I311" s="31" t="n">
        <v>51669</v>
      </c>
      <c r="J311" s="31" t="inlineStr">
        <is>
          <t>520021</t>
        </is>
      </c>
    </row>
    <row r="312">
      <c r="A312" s="31" t="inlineStr">
        <is>
          <t>KTKBANK</t>
        </is>
      </c>
      <c r="B312" s="31" t="inlineStr">
        <is>
          <t>The Karnataka Bank Limited</t>
        </is>
      </c>
      <c r="C312" s="31" t="inlineStr">
        <is>
          <t>bank</t>
        </is>
      </c>
      <c r="D312" s="31" t="inlineStr">
        <is>
          <t>banks - private sector</t>
        </is>
      </c>
      <c r="E312" s="31" t="inlineStr">
        <is>
          <t>midcap</t>
        </is>
      </c>
      <c r="F312" s="31" t="n">
        <v>10548.22</v>
      </c>
      <c r="G312" s="31" t="n">
        <v>274.15</v>
      </c>
      <c r="H312" s="31" t="n">
        <v>-1.72</v>
      </c>
      <c r="I312" s="31" t="n">
        <v>1184953</v>
      </c>
      <c r="J312" s="31" t="inlineStr">
        <is>
          <t>532652</t>
        </is>
      </c>
    </row>
    <row r="313">
      <c r="A313" s="31" t="inlineStr">
        <is>
          <t>ANANDRATHI</t>
        </is>
      </c>
      <c r="B313" s="31" t="inlineStr">
        <is>
          <t>Anand Rathi Wealth Ltd</t>
        </is>
      </c>
      <c r="C313" s="31" t="inlineStr">
        <is>
          <t>financials</t>
        </is>
      </c>
      <c r="D313" s="31" t="inlineStr">
        <is>
          <t>finance &amp; investments</t>
        </is>
      </c>
      <c r="E313" s="31" t="inlineStr">
        <is>
          <t>largecap</t>
        </is>
      </c>
      <c r="F313" s="31" t="n">
        <v>35162.56</v>
      </c>
      <c r="G313" s="31" t="n">
        <v>2080.8</v>
      </c>
      <c r="H313" s="31" t="n">
        <v>-1.74</v>
      </c>
      <c r="I313" s="31" t="n">
        <v>287234</v>
      </c>
      <c r="J313" s="31" t="inlineStr">
        <is>
          <t>543415</t>
        </is>
      </c>
    </row>
    <row r="314">
      <c r="A314" s="31" t="inlineStr">
        <is>
          <t>GOKEX</t>
        </is>
      </c>
      <c r="B314" s="31" t="inlineStr">
        <is>
          <t>Gokaldas Exports Limited</t>
        </is>
      </c>
      <c r="C314" s="31" t="inlineStr">
        <is>
          <t>consumer discretionary</t>
        </is>
      </c>
      <c r="D314" s="31" t="inlineStr">
        <is>
          <t>textiles - products</t>
        </is>
      </c>
      <c r="E314" s="31" t="inlineStr">
        <is>
          <t>midcap</t>
        </is>
      </c>
      <c r="F314" s="31" t="n">
        <v>6275.82</v>
      </c>
      <c r="G314" s="31" t="n">
        <v>841.75</v>
      </c>
      <c r="H314" s="31" t="n">
        <v>-1.76</v>
      </c>
      <c r="I314" s="31" t="n">
        <v>358430</v>
      </c>
      <c r="J314" s="31" t="inlineStr">
        <is>
          <t>532630</t>
        </is>
      </c>
    </row>
    <row r="315">
      <c r="A315" s="31" t="inlineStr">
        <is>
          <t>RAMCOIND</t>
        </is>
      </c>
      <c r="B315" s="31" t="inlineStr">
        <is>
          <t>Ramco Industries Limited</t>
        </is>
      </c>
      <c r="C315" s="31" t="inlineStr">
        <is>
          <t>building materials</t>
        </is>
      </c>
      <c r="D315" s="31" t="inlineStr">
        <is>
          <t>cement products</t>
        </is>
      </c>
      <c r="E315" s="31" t="inlineStr">
        <is>
          <t>smallcap</t>
        </is>
      </c>
      <c r="F315" s="31" t="n">
        <v>3230.51</v>
      </c>
      <c r="G315" s="31" t="n">
        <v>365.45</v>
      </c>
      <c r="H315" s="31" t="n">
        <v>-1.76</v>
      </c>
      <c r="I315" s="31" t="n">
        <v>200101</v>
      </c>
      <c r="J315" s="31" t="inlineStr">
        <is>
          <t>532369</t>
        </is>
      </c>
    </row>
    <row r="316">
      <c r="A316" s="31" t="inlineStr">
        <is>
          <t>PRESTIGE</t>
        </is>
      </c>
      <c r="B316" s="31" t="inlineStr">
        <is>
          <t>Prestige Estates Projects Limited</t>
        </is>
      </c>
      <c r="C316" s="31" t="inlineStr">
        <is>
          <t>realty</t>
        </is>
      </c>
      <c r="D316" s="31" t="inlineStr">
        <is>
          <t>construction</t>
        </is>
      </c>
      <c r="E316" s="31" t="inlineStr">
        <is>
          <t>largecap</t>
        </is>
      </c>
      <c r="F316" s="31" t="n">
        <v>74270.81</v>
      </c>
      <c r="G316" s="31" t="n">
        <v>1693.6</v>
      </c>
      <c r="H316" s="31" t="n">
        <v>-1.78</v>
      </c>
      <c r="I316" s="31" t="n">
        <v>872612</v>
      </c>
      <c r="J316" s="31" t="inlineStr">
        <is>
          <t>533274</t>
        </is>
      </c>
    </row>
    <row r="317">
      <c r="A317" s="31" t="inlineStr">
        <is>
          <t>SOBHA</t>
        </is>
      </c>
      <c r="B317" s="31" t="inlineStr">
        <is>
          <t>Sobha Limited</t>
        </is>
      </c>
      <c r="C317" s="31" t="inlineStr">
        <is>
          <t>realty</t>
        </is>
      </c>
      <c r="D317" s="31" t="inlineStr">
        <is>
          <t>construction</t>
        </is>
      </c>
      <c r="E317" s="31" t="inlineStr">
        <is>
          <t>midcap</t>
        </is>
      </c>
      <c r="F317" s="31" t="n">
        <v>16231.31</v>
      </c>
      <c r="G317" s="31" t="n">
        <v>1490.6</v>
      </c>
      <c r="H317" s="31" t="n">
        <v>-1.78</v>
      </c>
      <c r="I317" s="31" t="n">
        <v>158334</v>
      </c>
      <c r="J317" s="31" t="inlineStr">
        <is>
          <t>532784</t>
        </is>
      </c>
    </row>
    <row r="318">
      <c r="A318" s="31" t="inlineStr">
        <is>
          <t>VISAKAIND</t>
        </is>
      </c>
      <c r="B318" s="31" t="inlineStr">
        <is>
          <t>Visaka Industries Limited</t>
        </is>
      </c>
      <c r="C318" s="31" t="inlineStr">
        <is>
          <t>building materials</t>
        </is>
      </c>
      <c r="D318" s="31" t="inlineStr">
        <is>
          <t>cement products</t>
        </is>
      </c>
      <c r="E318" s="31" t="inlineStr">
        <is>
          <t>smallcap</t>
        </is>
      </c>
      <c r="F318" s="31" t="n">
        <v>739.1900000000001</v>
      </c>
      <c r="G318" s="31" t="n">
        <v>84.01000000000001</v>
      </c>
      <c r="H318" s="31" t="n">
        <v>-1.8</v>
      </c>
      <c r="I318" s="31" t="n">
        <v>163786</v>
      </c>
      <c r="J318" s="31" t="inlineStr">
        <is>
          <t>509055</t>
        </is>
      </c>
    </row>
    <row r="319">
      <c r="A319" s="31" t="inlineStr">
        <is>
          <t>KERNEX</t>
        </is>
      </c>
      <c r="B319" s="31" t="inlineStr">
        <is>
          <t>Kernex Microsystems (india) Limited</t>
        </is>
      </c>
      <c r="C319" s="31" t="inlineStr">
        <is>
          <t>consumer discretionary</t>
        </is>
      </c>
      <c r="D319" s="31" t="inlineStr">
        <is>
          <t>electronics - components</t>
        </is>
      </c>
      <c r="E319" s="31" t="inlineStr">
        <is>
          <t>smallcap</t>
        </is>
      </c>
      <c r="F319" s="31" t="n">
        <v>3752.65</v>
      </c>
      <c r="G319" s="31" t="n">
        <v>2192.9</v>
      </c>
      <c r="H319" s="31" t="n">
        <v>-1.81</v>
      </c>
      <c r="I319" s="31" t="n">
        <v>207022</v>
      </c>
      <c r="J319" s="31" t="inlineStr">
        <is>
          <t>532686</t>
        </is>
      </c>
    </row>
    <row r="320">
      <c r="A320" s="31" t="inlineStr">
        <is>
          <t>KAMDHENU</t>
        </is>
      </c>
      <c r="B320" s="31" t="inlineStr">
        <is>
          <t>Kamdhenu Limited</t>
        </is>
      </c>
      <c r="C320" s="31" t="inlineStr">
        <is>
          <t>metals &amp; mining</t>
        </is>
      </c>
      <c r="D320" s="31" t="inlineStr">
        <is>
          <t>steel - medium / small</t>
        </is>
      </c>
      <c r="E320" s="31" t="inlineStr">
        <is>
          <t>smallcap</t>
        </is>
      </c>
      <c r="F320" s="31" t="n">
        <v>903.4400000000001</v>
      </c>
      <c r="G320" s="31" t="n">
        <v>31.46</v>
      </c>
      <c r="H320" s="31" t="n">
        <v>-1.84</v>
      </c>
      <c r="I320" s="31" t="n">
        <v>375588</v>
      </c>
      <c r="J320" s="31" t="inlineStr">
        <is>
          <t>532741</t>
        </is>
      </c>
    </row>
    <row r="321">
      <c r="A321" s="31" t="inlineStr">
        <is>
          <t>TVSMOTOR</t>
        </is>
      </c>
      <c r="B321" s="31" t="inlineStr">
        <is>
          <t>Tvs Motor Company Limited</t>
        </is>
      </c>
      <c r="C321" s="31" t="inlineStr">
        <is>
          <t>auto</t>
        </is>
      </c>
      <c r="D321" s="31" t="inlineStr">
        <is>
          <t>automobiles - motorcycles / mopeds</t>
        </is>
      </c>
      <c r="E321" s="31" t="inlineStr">
        <is>
          <t>largecap</t>
        </is>
      </c>
      <c r="F321" s="31" t="n">
        <v>174684.78</v>
      </c>
      <c r="G321" s="31" t="n">
        <v>3608.4</v>
      </c>
      <c r="H321" s="31" t="n">
        <v>-1.86</v>
      </c>
      <c r="I321" s="31" t="n">
        <v>636848</v>
      </c>
      <c r="J321" s="31" t="inlineStr">
        <is>
          <t>532343</t>
        </is>
      </c>
    </row>
    <row r="322">
      <c r="A322" s="31" t="inlineStr">
        <is>
          <t>NORTHARC</t>
        </is>
      </c>
      <c r="B322" s="31" t="inlineStr">
        <is>
          <t>Northern ARC Capital Ltd</t>
        </is>
      </c>
      <c r="C322" s="31" t="inlineStr">
        <is>
          <t>financials</t>
        </is>
      </c>
      <c r="D322" s="31" t="inlineStr">
        <is>
          <t>finance &amp; investments</t>
        </is>
      </c>
      <c r="E322" s="31" t="inlineStr">
        <is>
          <t>midcap</t>
        </is>
      </c>
      <c r="F322" s="31" t="n">
        <v>5250.28</v>
      </c>
      <c r="G322" s="31" t="n">
        <v>318.9</v>
      </c>
      <c r="H322" s="31" t="n">
        <v>-1.86</v>
      </c>
      <c r="I322" s="31" t="n">
        <v>629506</v>
      </c>
      <c r="J322" s="31" t="n"/>
    </row>
    <row r="323">
      <c r="A323" s="31" t="inlineStr">
        <is>
          <t>NAM-INDIA</t>
        </is>
      </c>
      <c r="B323" s="31" t="inlineStr">
        <is>
          <t>Nippon Life India Asset Management Ltd</t>
        </is>
      </c>
      <c r="C323" s="31" t="inlineStr">
        <is>
          <t>financials</t>
        </is>
      </c>
      <c r="D323" s="31" t="inlineStr">
        <is>
          <t>finance &amp; investments</t>
        </is>
      </c>
      <c r="E323" s="31" t="inlineStr">
        <is>
          <t>largecap</t>
        </is>
      </c>
      <c r="F323" s="31" t="n">
        <v>77550.24000000001</v>
      </c>
      <c r="G323" s="31" t="n">
        <v>1192.7</v>
      </c>
      <c r="H323" s="31" t="n">
        <v>-1.86</v>
      </c>
      <c r="I323" s="31" t="n">
        <v>527315</v>
      </c>
      <c r="J323" s="31" t="inlineStr">
        <is>
          <t>540767</t>
        </is>
      </c>
    </row>
    <row r="324">
      <c r="A324" s="31" t="inlineStr">
        <is>
          <t>VIYASH</t>
        </is>
      </c>
      <c r="B324" s="31" t="inlineStr">
        <is>
          <t>Viyash Scientific Ltd</t>
        </is>
      </c>
      <c r="C324" s="31" t="inlineStr">
        <is>
          <t>healthcare</t>
        </is>
      </c>
      <c r="D324" s="31" t="inlineStr">
        <is>
          <t>pharmaceuticals - indian - bulk drugs &amp; formln</t>
        </is>
      </c>
      <c r="E324" s="31" t="inlineStr">
        <is>
          <t>midcap</t>
        </is>
      </c>
      <c r="F324" s="31" t="n">
        <v>12421.85</v>
      </c>
      <c r="G324" s="31" t="n">
        <v>278.9</v>
      </c>
      <c r="H324" s="31" t="n">
        <v>-1.92</v>
      </c>
      <c r="I324" s="31" t="n">
        <v>771203</v>
      </c>
      <c r="J324" s="31" t="inlineStr">
        <is>
          <t>512529</t>
        </is>
      </c>
    </row>
    <row r="325">
      <c r="A325" s="31" t="inlineStr">
        <is>
          <t>AVANTEL</t>
        </is>
      </c>
      <c r="B325" s="31" t="inlineStr">
        <is>
          <t>Avantel Ltd</t>
        </is>
      </c>
      <c r="C325" s="31" t="inlineStr">
        <is>
          <t>aerospace &amp; defence</t>
        </is>
      </c>
      <c r="D325" s="31" t="inlineStr">
        <is>
          <t>telecommunications - equipment</t>
        </is>
      </c>
      <c r="E325" s="31" t="inlineStr">
        <is>
          <t>smallcap</t>
        </is>
      </c>
      <c r="F325" s="31" t="n">
        <v>4882.7</v>
      </c>
      <c r="G325" s="31" t="n">
        <v>180.24</v>
      </c>
      <c r="H325" s="31" t="n">
        <v>-1.92</v>
      </c>
      <c r="I325" s="31" t="n">
        <v>2998039</v>
      </c>
      <c r="J325" s="31" t="inlineStr">
        <is>
          <t>532406</t>
        </is>
      </c>
    </row>
    <row r="326">
      <c r="A326" s="31" t="inlineStr">
        <is>
          <t>TINNARUBR</t>
        </is>
      </c>
      <c r="B326" s="31" t="inlineStr">
        <is>
          <t>Tinna Rubber &amp; Infrastructure Ltd</t>
        </is>
      </c>
      <c r="C326" s="31" t="inlineStr">
        <is>
          <t>fmcg</t>
        </is>
      </c>
      <c r="D326" s="31" t="inlineStr">
        <is>
          <t>miscellaneous</t>
        </is>
      </c>
      <c r="E326" s="31" t="inlineStr">
        <is>
          <t>smallcap</t>
        </is>
      </c>
      <c r="F326" s="31" t="n">
        <v>1794.73</v>
      </c>
      <c r="G326" s="31" t="n">
        <v>976.9</v>
      </c>
      <c r="H326" s="31" t="n">
        <v>-1.94</v>
      </c>
      <c r="I326" s="31" t="n">
        <v>62161</v>
      </c>
      <c r="J326" s="31" t="inlineStr">
        <is>
          <t>530475</t>
        </is>
      </c>
    </row>
    <row r="327">
      <c r="A327" s="31" t="inlineStr">
        <is>
          <t>BORORENEW</t>
        </is>
      </c>
      <c r="B327" s="31" t="inlineStr">
        <is>
          <t>Borosil Renewables Ltd</t>
        </is>
      </c>
      <c r="C327" s="31" t="inlineStr">
        <is>
          <t>building materials</t>
        </is>
      </c>
      <c r="D327" s="31" t="inlineStr">
        <is>
          <t>glass &amp; glass products</t>
        </is>
      </c>
      <c r="E327" s="31" t="inlineStr">
        <is>
          <t>midcap</t>
        </is>
      </c>
      <c r="F327" s="31" t="n">
        <v>9074.42</v>
      </c>
      <c r="G327" s="31" t="n">
        <v>634.6</v>
      </c>
      <c r="H327" s="31" t="n">
        <v>-1.96</v>
      </c>
      <c r="I327" s="31" t="n">
        <v>475955</v>
      </c>
      <c r="J327" s="31" t="inlineStr">
        <is>
          <t>502219</t>
        </is>
      </c>
    </row>
    <row r="328">
      <c r="A328" s="31" t="inlineStr">
        <is>
          <t>SUPRAJIT</t>
        </is>
      </c>
      <c r="B328" s="31" t="inlineStr">
        <is>
          <t>Suprajit Engineering Limited</t>
        </is>
      </c>
      <c r="C328" s="31" t="inlineStr">
        <is>
          <t>auto</t>
        </is>
      </c>
      <c r="D328" s="31" t="inlineStr">
        <is>
          <t>auto ancillaries</t>
        </is>
      </c>
      <c r="E328" s="31" t="inlineStr">
        <is>
          <t>midcap</t>
        </is>
      </c>
      <c r="F328" s="31" t="n">
        <v>6827.69</v>
      </c>
      <c r="G328" s="31" t="n">
        <v>487.85</v>
      </c>
      <c r="H328" s="31" t="n">
        <v>-1.99</v>
      </c>
      <c r="I328" s="31" t="n">
        <v>86329</v>
      </c>
      <c r="J328" s="31" t="inlineStr">
        <is>
          <t>532509</t>
        </is>
      </c>
    </row>
    <row r="329">
      <c r="A329" s="31" t="inlineStr">
        <is>
          <t>VAIBHAVGBL</t>
        </is>
      </c>
      <c r="B329" s="31" t="inlineStr">
        <is>
          <t>Vaibhav Global Limited</t>
        </is>
      </c>
      <c r="C329" s="31" t="inlineStr">
        <is>
          <t>consumer discretionary</t>
        </is>
      </c>
      <c r="D329" s="31" t="inlineStr">
        <is>
          <t>diamond cutting / jewellery</t>
        </is>
      </c>
      <c r="E329" s="31" t="inlineStr">
        <is>
          <t>smallcap</t>
        </is>
      </c>
      <c r="F329" s="31" t="n">
        <v>4274.93</v>
      </c>
      <c r="G329" s="31" t="n">
        <v>250.75</v>
      </c>
      <c r="H329" s="31" t="n">
        <v>-2</v>
      </c>
      <c r="I329" s="31" t="n">
        <v>330773</v>
      </c>
      <c r="J329" s="31" t="inlineStr">
        <is>
          <t>532156</t>
        </is>
      </c>
    </row>
    <row r="330">
      <c r="A330" s="31" t="inlineStr">
        <is>
          <t>ABCAPITAL</t>
        </is>
      </c>
      <c r="B330" s="31" t="inlineStr">
        <is>
          <t>Aditya Birla Capital Ltd</t>
        </is>
      </c>
      <c r="C330" s="31" t="inlineStr">
        <is>
          <t>financials</t>
        </is>
      </c>
      <c r="D330" s="31" t="inlineStr">
        <is>
          <t>finance &amp; investments</t>
        </is>
      </c>
      <c r="E330" s="31" t="inlineStr">
        <is>
          <t>largecap</t>
        </is>
      </c>
      <c r="F330" s="31" t="n">
        <v>111405.24</v>
      </c>
      <c r="G330" s="31" t="n">
        <v>399.25</v>
      </c>
      <c r="H330" s="31" t="n">
        <v>-2.01</v>
      </c>
      <c r="I330" s="31" t="n">
        <v>5398809</v>
      </c>
      <c r="J330" s="31" t="inlineStr">
        <is>
          <t>540691</t>
        </is>
      </c>
    </row>
    <row r="331">
      <c r="A331" s="31" t="inlineStr">
        <is>
          <t>XPROINDIA</t>
        </is>
      </c>
      <c r="B331" s="31" t="inlineStr">
        <is>
          <t>Xpro India Limited</t>
        </is>
      </c>
      <c r="C331" s="31" t="inlineStr">
        <is>
          <t>industrials</t>
        </is>
      </c>
      <c r="D331" s="31" t="inlineStr">
        <is>
          <t>packaging</t>
        </is>
      </c>
      <c r="E331" s="31" t="inlineStr">
        <is>
          <t>smallcap</t>
        </is>
      </c>
      <c r="F331" s="31" t="n">
        <v>3347.82</v>
      </c>
      <c r="G331" s="31" t="n">
        <v>1396</v>
      </c>
      <c r="H331" s="31" t="n">
        <v>-2.13</v>
      </c>
      <c r="I331" s="31" t="n">
        <v>23044</v>
      </c>
      <c r="J331" s="31" t="inlineStr">
        <is>
          <t>590013</t>
        </is>
      </c>
    </row>
    <row r="332">
      <c r="A332" s="31" t="inlineStr">
        <is>
          <t>CCAVENUE</t>
        </is>
      </c>
      <c r="B332" s="31" t="inlineStr">
        <is>
          <t>AvenuesAI Ltd</t>
        </is>
      </c>
      <c r="C332" s="31" t="inlineStr">
        <is>
          <t>i.t</t>
        </is>
      </c>
      <c r="D332" s="31" t="inlineStr">
        <is>
          <t>miscellaneous</t>
        </is>
      </c>
      <c r="E332" s="31" t="inlineStr">
        <is>
          <t>midcap</t>
        </is>
      </c>
      <c r="F332" s="31" t="n">
        <v>6366.98</v>
      </c>
      <c r="G332" s="31" t="n">
        <v>17.82</v>
      </c>
      <c r="H332" s="31" t="n">
        <v>-2.14</v>
      </c>
      <c r="I332" s="31" t="n">
        <v>12796829</v>
      </c>
      <c r="J332" s="31" t="inlineStr">
        <is>
          <t>539807</t>
        </is>
      </c>
    </row>
    <row r="333">
      <c r="A333" s="31" t="inlineStr">
        <is>
          <t>INDNIPPON</t>
        </is>
      </c>
      <c r="B333" s="31" t="inlineStr">
        <is>
          <t>India Nippon Electricals Limited</t>
        </is>
      </c>
      <c r="C333" s="31" t="inlineStr">
        <is>
          <t>auto</t>
        </is>
      </c>
      <c r="D333" s="31" t="inlineStr">
        <is>
          <t>auto ancillaries</t>
        </is>
      </c>
      <c r="E333" s="31" t="inlineStr">
        <is>
          <t>smallcap</t>
        </is>
      </c>
      <c r="F333" s="31" t="n">
        <v>2796.23</v>
      </c>
      <c r="G333" s="31" t="n">
        <v>1209.6</v>
      </c>
      <c r="H333" s="31" t="n">
        <v>-2.14</v>
      </c>
      <c r="I333" s="31" t="n">
        <v>76883</v>
      </c>
      <c r="J333" s="31" t="inlineStr">
        <is>
          <t>532240</t>
        </is>
      </c>
    </row>
    <row r="334">
      <c r="A334" s="31" t="inlineStr">
        <is>
          <t>ADFFOODS</t>
        </is>
      </c>
      <c r="B334" s="31" t="inlineStr">
        <is>
          <t>Adf Foods Limited</t>
        </is>
      </c>
      <c r="C334" s="31" t="inlineStr">
        <is>
          <t>fmcg</t>
        </is>
      </c>
      <c r="D334" s="31" t="inlineStr">
        <is>
          <t>food - processing - indian</t>
        </is>
      </c>
      <c r="E334" s="31" t="inlineStr">
        <is>
          <t>smallcap</t>
        </is>
      </c>
      <c r="F334" s="31" t="n">
        <v>3509.59</v>
      </c>
      <c r="G334" s="31" t="n">
        <v>312.55</v>
      </c>
      <c r="H334" s="31" t="n">
        <v>-2.16</v>
      </c>
      <c r="I334" s="31" t="n">
        <v>149859</v>
      </c>
      <c r="J334" s="31" t="inlineStr">
        <is>
          <t>519183</t>
        </is>
      </c>
    </row>
    <row r="335">
      <c r="A335" s="31" t="inlineStr">
        <is>
          <t>CHOLAFIN</t>
        </is>
      </c>
      <c r="B335" s="31" t="inlineStr">
        <is>
          <t>Cholamandalam Investment And Finance Company Limited</t>
        </is>
      </c>
      <c r="C335" s="31" t="inlineStr">
        <is>
          <t>financials</t>
        </is>
      </c>
      <c r="D335" s="31" t="inlineStr">
        <is>
          <t>finance &amp; investments</t>
        </is>
      </c>
      <c r="E335" s="31" t="inlineStr">
        <is>
          <t>largecap</t>
        </is>
      </c>
      <c r="F335" s="31" t="n">
        <v>154295.41</v>
      </c>
      <c r="G335" s="31" t="n">
        <v>1771.5</v>
      </c>
      <c r="H335" s="31" t="n">
        <v>-2.18</v>
      </c>
      <c r="I335" s="31" t="n">
        <v>1288818</v>
      </c>
      <c r="J335" s="31" t="inlineStr">
        <is>
          <t>511243</t>
        </is>
      </c>
    </row>
    <row r="336">
      <c r="A336" s="31" t="inlineStr">
        <is>
          <t>SURYODAY</t>
        </is>
      </c>
      <c r="B336" s="31" t="inlineStr">
        <is>
          <t>Suryoday Small Finance Bank Ltd</t>
        </is>
      </c>
      <c r="C336" s="31" t="inlineStr">
        <is>
          <t>bank</t>
        </is>
      </c>
      <c r="D336" s="31" t="inlineStr">
        <is>
          <t>banks - private sector</t>
        </is>
      </c>
      <c r="E336" s="31" t="inlineStr">
        <is>
          <t>smallcap</t>
        </is>
      </c>
      <c r="F336" s="31" t="n">
        <v>2036.19</v>
      </c>
      <c r="G336" s="31" t="n">
        <v>187.27</v>
      </c>
      <c r="H336" s="31" t="n">
        <v>-2.24</v>
      </c>
      <c r="I336" s="31" t="n">
        <v>445129</v>
      </c>
      <c r="J336" s="31" t="inlineStr">
        <is>
          <t>543279</t>
        </is>
      </c>
    </row>
    <row r="337">
      <c r="A337" s="31" t="inlineStr">
        <is>
          <t>GANESHHOU</t>
        </is>
      </c>
      <c r="B337" s="31" t="inlineStr">
        <is>
          <t>Ganesh Housing Ltd</t>
        </is>
      </c>
      <c r="C337" s="31" t="inlineStr">
        <is>
          <t>realty</t>
        </is>
      </c>
      <c r="D337" s="31" t="inlineStr">
        <is>
          <t>construction</t>
        </is>
      </c>
      <c r="E337" s="31" t="inlineStr">
        <is>
          <t>midcap</t>
        </is>
      </c>
      <c r="F337" s="31" t="n">
        <v>7278.86</v>
      </c>
      <c r="G337" s="31" t="n">
        <v>853</v>
      </c>
      <c r="H337" s="31" t="n">
        <v>-2.28</v>
      </c>
      <c r="I337" s="31" t="n">
        <v>34035</v>
      </c>
      <c r="J337" s="31" t="inlineStr">
        <is>
          <t>526367</t>
        </is>
      </c>
    </row>
    <row r="338">
      <c r="A338" s="31" t="inlineStr">
        <is>
          <t>PNBHOUSING</t>
        </is>
      </c>
      <c r="B338" s="31" t="inlineStr">
        <is>
          <t>Pnb Housing Finance Limited</t>
        </is>
      </c>
      <c r="C338" s="31" t="inlineStr">
        <is>
          <t>financials</t>
        </is>
      </c>
      <c r="D338" s="31" t="inlineStr">
        <is>
          <t>finance - housing</t>
        </is>
      </c>
      <c r="E338" s="31" t="inlineStr">
        <is>
          <t>largecap</t>
        </is>
      </c>
      <c r="F338" s="31" t="n">
        <v>29236.88</v>
      </c>
      <c r="G338" s="31" t="n">
        <v>1095.5</v>
      </c>
      <c r="H338" s="31" t="n">
        <v>-2.39</v>
      </c>
      <c r="I338" s="31" t="n">
        <v>714326</v>
      </c>
      <c r="J338" s="31" t="inlineStr">
        <is>
          <t>540173</t>
        </is>
      </c>
    </row>
    <row r="339">
      <c r="A339" s="31" t="inlineStr">
        <is>
          <t>SKMEGGPROD</t>
        </is>
      </c>
      <c r="B339" s="31" t="inlineStr">
        <is>
          <t>Skm Egg Products Export (india) Limited</t>
        </is>
      </c>
      <c r="C339" s="31" t="inlineStr">
        <is>
          <t>fmcg</t>
        </is>
      </c>
      <c r="D339" s="31" t="inlineStr">
        <is>
          <t>food - processing - indian</t>
        </is>
      </c>
      <c r="E339" s="31" t="inlineStr">
        <is>
          <t>smallcap</t>
        </is>
      </c>
      <c r="F339" s="31" t="n">
        <v>1900.5</v>
      </c>
      <c r="G339" s="31" t="n">
        <v>352.25</v>
      </c>
      <c r="H339" s="31" t="n">
        <v>-2.4</v>
      </c>
      <c r="I339" s="31" t="n">
        <v>978837</v>
      </c>
      <c r="J339" s="31" t="inlineStr">
        <is>
          <t>532143</t>
        </is>
      </c>
    </row>
    <row r="340">
      <c r="A340" s="31" t="inlineStr">
        <is>
          <t>STOVEKRAFT</t>
        </is>
      </c>
      <c r="B340" s="31" t="inlineStr">
        <is>
          <t>Stove Kraft Ltd</t>
        </is>
      </c>
      <c r="C340" s="31" t="inlineStr">
        <is>
          <t>consumer discretionary</t>
        </is>
      </c>
      <c r="D340" s="31" t="inlineStr">
        <is>
          <t>domestic appliances</t>
        </is>
      </c>
      <c r="E340" s="31" t="inlineStr">
        <is>
          <t>smallcap</t>
        </is>
      </c>
      <c r="F340" s="31" t="n">
        <v>2619.29</v>
      </c>
      <c r="G340" s="31" t="n">
        <v>772.05</v>
      </c>
      <c r="H340" s="31" t="n">
        <v>-2.41</v>
      </c>
      <c r="I340" s="31" t="n">
        <v>93404</v>
      </c>
      <c r="J340" s="31" t="inlineStr">
        <is>
          <t>543260</t>
        </is>
      </c>
    </row>
    <row r="341">
      <c r="A341" s="31" t="inlineStr">
        <is>
          <t>PGIL</t>
        </is>
      </c>
      <c r="B341" s="31" t="inlineStr">
        <is>
          <t>Pearl Global Industries Limited</t>
        </is>
      </c>
      <c r="C341" s="31" t="inlineStr">
        <is>
          <t>consumer discretionary</t>
        </is>
      </c>
      <c r="D341" s="31" t="inlineStr">
        <is>
          <t>textiles - products</t>
        </is>
      </c>
      <c r="E341" s="31" t="inlineStr">
        <is>
          <t>midcap</t>
        </is>
      </c>
      <c r="F341" s="31" t="n">
        <v>9457.16</v>
      </c>
      <c r="G341" s="31" t="n">
        <v>1997.3</v>
      </c>
      <c r="H341" s="31" t="n">
        <v>-2.54</v>
      </c>
      <c r="I341" s="31" t="n">
        <v>33289</v>
      </c>
      <c r="J341" s="31" t="inlineStr">
        <is>
          <t>532808</t>
        </is>
      </c>
    </row>
    <row r="342">
      <c r="A342" s="31" t="inlineStr">
        <is>
          <t>GODREJPROP</t>
        </is>
      </c>
      <c r="B342" s="31" t="inlineStr">
        <is>
          <t>Godrej Properties Limited</t>
        </is>
      </c>
      <c r="C342" s="31" t="inlineStr">
        <is>
          <t>realty</t>
        </is>
      </c>
      <c r="D342" s="31" t="inlineStr">
        <is>
          <t>construction</t>
        </is>
      </c>
      <c r="E342" s="31" t="inlineStr">
        <is>
          <t>largecap</t>
        </is>
      </c>
      <c r="F342" s="31" t="n">
        <v>65138.88</v>
      </c>
      <c r="G342" s="31" t="n">
        <v>2107.4</v>
      </c>
      <c r="H342" s="31" t="n">
        <v>-2.55</v>
      </c>
      <c r="I342" s="31" t="n">
        <v>936136</v>
      </c>
      <c r="J342" s="31" t="inlineStr">
        <is>
          <t>533150</t>
        </is>
      </c>
    </row>
    <row r="343">
      <c r="A343" s="31" t="inlineStr">
        <is>
          <t>UJJIVANSFB</t>
        </is>
      </c>
      <c r="B343" s="31" t="inlineStr">
        <is>
          <t>Ujjivan Small Finance Bank Ltd</t>
        </is>
      </c>
      <c r="C343" s="31" t="inlineStr">
        <is>
          <t>bank</t>
        </is>
      </c>
      <c r="D343" s="31" t="inlineStr">
        <is>
          <t>banks - private sector</t>
        </is>
      </c>
      <c r="E343" s="31" t="inlineStr">
        <is>
          <t>midcap</t>
        </is>
      </c>
      <c r="F343" s="31" t="n">
        <v>13007.93</v>
      </c>
      <c r="G343" s="31" t="n">
        <v>65.14</v>
      </c>
      <c r="H343" s="31" t="n">
        <v>-2.59</v>
      </c>
      <c r="I343" s="31" t="n">
        <v>22165903</v>
      </c>
      <c r="J343" s="31" t="inlineStr">
        <is>
          <t>542904</t>
        </is>
      </c>
    </row>
    <row r="344">
      <c r="A344" s="31" t="inlineStr">
        <is>
          <t>TMB</t>
        </is>
      </c>
      <c r="B344" s="31" t="inlineStr">
        <is>
          <t>Tamilnad Mercantile Bank Ltd</t>
        </is>
      </c>
      <c r="C344" s="31" t="inlineStr">
        <is>
          <t>bank</t>
        </is>
      </c>
      <c r="D344" s="31" t="inlineStr">
        <is>
          <t>banks - private sector</t>
        </is>
      </c>
      <c r="E344" s="31" t="inlineStr">
        <is>
          <t>midcap</t>
        </is>
      </c>
      <c r="F344" s="31" t="n">
        <v>12685.54</v>
      </c>
      <c r="G344" s="31" t="n">
        <v>780.35</v>
      </c>
      <c r="H344" s="31" t="n">
        <v>-2.59</v>
      </c>
      <c r="I344" s="31" t="n">
        <v>98285</v>
      </c>
      <c r="J344" s="31" t="inlineStr">
        <is>
          <t>543596</t>
        </is>
      </c>
    </row>
    <row r="345">
      <c r="A345" s="31" t="inlineStr">
        <is>
          <t>UNICHEMLAB</t>
        </is>
      </c>
      <c r="B345" s="31" t="inlineStr">
        <is>
          <t>Unichem Laboratories Limited</t>
        </is>
      </c>
      <c r="C345" s="31" t="inlineStr">
        <is>
          <t>healthcare</t>
        </is>
      </c>
      <c r="D345" s="31" t="inlineStr">
        <is>
          <t>pharmaceuticals - indian - bulk drugs &amp; formln</t>
        </is>
      </c>
      <c r="E345" s="31" t="inlineStr">
        <is>
          <t>smallcap</t>
        </is>
      </c>
      <c r="F345" s="31" t="n">
        <v>4202.87</v>
      </c>
      <c r="G345" s="31" t="n">
        <v>581.35</v>
      </c>
      <c r="H345" s="31" t="n">
        <v>-2.61</v>
      </c>
      <c r="I345" s="31" t="n">
        <v>360603</v>
      </c>
      <c r="J345" s="31" t="inlineStr">
        <is>
          <t>506690</t>
        </is>
      </c>
    </row>
    <row r="346">
      <c r="A346" s="31" t="inlineStr">
        <is>
          <t>HITECHCORP</t>
        </is>
      </c>
      <c r="B346" s="31" t="inlineStr">
        <is>
          <t>Hitech Corporation</t>
        </is>
      </c>
      <c r="C346" s="31" t="inlineStr">
        <is>
          <t>industrials</t>
        </is>
      </c>
      <c r="D346" s="31" t="inlineStr">
        <is>
          <t>packaging</t>
        </is>
      </c>
      <c r="E346" s="31" t="inlineStr">
        <is>
          <t>smallcap</t>
        </is>
      </c>
      <c r="F346" s="31" t="n">
        <v>560.1900000000001</v>
      </c>
      <c r="G346" s="31" t="n">
        <v>317.6</v>
      </c>
      <c r="H346" s="31" t="n">
        <v>-2.62</v>
      </c>
      <c r="I346" s="31" t="n">
        <v>58178</v>
      </c>
      <c r="J346" s="31" t="inlineStr">
        <is>
          <t>526217</t>
        </is>
      </c>
    </row>
    <row r="347">
      <c r="A347" s="31" t="inlineStr">
        <is>
          <t>BUTTERFLY</t>
        </is>
      </c>
      <c r="B347" s="31" t="inlineStr">
        <is>
          <t>Butterfly Gandhimathi Appliances Limited</t>
        </is>
      </c>
      <c r="C347" s="31" t="inlineStr">
        <is>
          <t>consumer discretionary</t>
        </is>
      </c>
      <c r="D347" s="31" t="inlineStr">
        <is>
          <t>domestic appliances</t>
        </is>
      </c>
      <c r="E347" s="31" t="inlineStr">
        <is>
          <t>smallcap</t>
        </is>
      </c>
      <c r="F347" s="31" t="n">
        <v>1394.96</v>
      </c>
      <c r="G347" s="31" t="n">
        <v>759.5</v>
      </c>
      <c r="H347" s="31" t="n">
        <v>-2.65</v>
      </c>
      <c r="I347" s="31" t="n">
        <v>133807</v>
      </c>
      <c r="J347" s="31" t="inlineStr">
        <is>
          <t>517421</t>
        </is>
      </c>
    </row>
    <row r="348">
      <c r="A348" s="31" t="inlineStr">
        <is>
          <t>TPLPLASTEH</t>
        </is>
      </c>
      <c r="B348" s="31" t="inlineStr">
        <is>
          <t>Tpl Plastech Limited</t>
        </is>
      </c>
      <c r="C348" s="31" t="inlineStr">
        <is>
          <t>industrials</t>
        </is>
      </c>
      <c r="D348" s="31" t="inlineStr">
        <is>
          <t>packaging</t>
        </is>
      </c>
      <c r="E348" s="31" t="inlineStr">
        <is>
          <t>smallcap</t>
        </is>
      </c>
      <c r="F348" s="31" t="n">
        <v>645.3200000000001</v>
      </c>
      <c r="G348" s="31" t="n">
        <v>80.5</v>
      </c>
      <c r="H348" s="31" t="n">
        <v>-2.7</v>
      </c>
      <c r="I348" s="31" t="n">
        <v>126986</v>
      </c>
      <c r="J348" s="31" t="inlineStr">
        <is>
          <t>526582</t>
        </is>
      </c>
    </row>
    <row r="349">
      <c r="A349" s="31" t="inlineStr">
        <is>
          <t>POLYPLEX</t>
        </is>
      </c>
      <c r="B349" s="31" t="inlineStr">
        <is>
          <t>Polyplex Corporation Limited</t>
        </is>
      </c>
      <c r="C349" s="31" t="inlineStr">
        <is>
          <t>industrials</t>
        </is>
      </c>
      <c r="D349" s="31" t="inlineStr">
        <is>
          <t>packaging</t>
        </is>
      </c>
      <c r="E349" s="31" t="inlineStr">
        <is>
          <t>smallcap</t>
        </is>
      </c>
      <c r="F349" s="31" t="n">
        <v>3430.41</v>
      </c>
      <c r="G349" s="31" t="n">
        <v>1062.7</v>
      </c>
      <c r="H349" s="31" t="n">
        <v>-2.75</v>
      </c>
      <c r="I349" s="31" t="n">
        <v>64414</v>
      </c>
      <c r="J349" s="31" t="inlineStr">
        <is>
          <t>524051</t>
        </is>
      </c>
    </row>
    <row r="350">
      <c r="A350" s="31" t="inlineStr">
        <is>
          <t>IIFL</t>
        </is>
      </c>
      <c r="B350" s="31" t="inlineStr">
        <is>
          <t>IIFL Finance Ltd</t>
        </is>
      </c>
      <c r="C350" s="31" t="inlineStr">
        <is>
          <t>financials</t>
        </is>
      </c>
      <c r="D350" s="31" t="inlineStr">
        <is>
          <t>finance &amp; investments</t>
        </is>
      </c>
      <c r="E350" s="31" t="inlineStr">
        <is>
          <t>largecap</t>
        </is>
      </c>
      <c r="F350" s="31" t="n">
        <v>23684.38</v>
      </c>
      <c r="G350" s="31" t="n">
        <v>541.5</v>
      </c>
      <c r="H350" s="31" t="n">
        <v>-2.77</v>
      </c>
      <c r="I350" s="31" t="n">
        <v>1091476</v>
      </c>
      <c r="J350" s="31" t="inlineStr">
        <is>
          <t>532636</t>
        </is>
      </c>
    </row>
    <row r="351">
      <c r="A351" s="31" t="inlineStr">
        <is>
          <t>KDDL</t>
        </is>
      </c>
      <c r="B351" s="31" t="inlineStr">
        <is>
          <t>Kddl Limited</t>
        </is>
      </c>
      <c r="C351" s="31" t="inlineStr">
        <is>
          <t>consumer discretionary</t>
        </is>
      </c>
      <c r="D351" s="31" t="inlineStr">
        <is>
          <t>miscellaneous</t>
        </is>
      </c>
      <c r="E351" s="31" t="inlineStr">
        <is>
          <t>smallcap</t>
        </is>
      </c>
      <c r="F351" s="31" t="n">
        <v>4136.49</v>
      </c>
      <c r="G351" s="31" t="n">
        <v>3269</v>
      </c>
      <c r="H351" s="31" t="n">
        <v>-2.8</v>
      </c>
      <c r="I351" s="31" t="n">
        <v>13011</v>
      </c>
      <c r="J351" s="31" t="inlineStr">
        <is>
          <t>532054</t>
        </is>
      </c>
    </row>
    <row r="352">
      <c r="A352" s="31" t="inlineStr">
        <is>
          <t>ZYDUSWELL</t>
        </is>
      </c>
      <c r="B352" s="31" t="inlineStr">
        <is>
          <t>Zydus Wellness Limited</t>
        </is>
      </c>
      <c r="C352" s="31" t="inlineStr">
        <is>
          <t>fmcg</t>
        </is>
      </c>
      <c r="D352" s="31" t="inlineStr">
        <is>
          <t>food - processing - indian</t>
        </is>
      </c>
      <c r="E352" s="31" t="inlineStr">
        <is>
          <t>midcap</t>
        </is>
      </c>
      <c r="F352" s="31" t="n">
        <v>18855.8</v>
      </c>
      <c r="G352" s="31" t="n">
        <v>575.9</v>
      </c>
      <c r="H352" s="31" t="n">
        <v>-2.83</v>
      </c>
      <c r="I352" s="31" t="n">
        <v>178704</v>
      </c>
      <c r="J352" s="31" t="inlineStr">
        <is>
          <t>531335</t>
        </is>
      </c>
    </row>
    <row r="353">
      <c r="A353" s="31" t="inlineStr">
        <is>
          <t>NOVARTIND</t>
        </is>
      </c>
      <c r="B353" s="31" t="inlineStr">
        <is>
          <t>Novartis India Ltd</t>
        </is>
      </c>
      <c r="C353" s="31" t="inlineStr">
        <is>
          <t>healthcare</t>
        </is>
      </c>
      <c r="D353" s="31" t="inlineStr">
        <is>
          <t>pharmaceuticals - multinational</t>
        </is>
      </c>
      <c r="E353" s="31" t="inlineStr">
        <is>
          <t>smallcap</t>
        </is>
      </c>
      <c r="F353" s="31" t="n">
        <v>4110.52</v>
      </c>
      <c r="G353" s="31" t="n">
        <v>1617.6</v>
      </c>
      <c r="H353" s="31" t="n">
        <v>-2.84</v>
      </c>
      <c r="I353" s="31" t="n">
        <v>94637</v>
      </c>
      <c r="J353" s="31" t="inlineStr">
        <is>
          <t>500672</t>
        </is>
      </c>
    </row>
    <row r="354">
      <c r="A354" s="31" t="inlineStr">
        <is>
          <t>J&amp;KBANK</t>
        </is>
      </c>
      <c r="B354" s="31" t="inlineStr">
        <is>
          <t>The Jammu &amp; Kashmir Bank Limited</t>
        </is>
      </c>
      <c r="C354" s="31" t="inlineStr">
        <is>
          <t>bank</t>
        </is>
      </c>
      <c r="D354" s="31" t="inlineStr">
        <is>
          <t>banks - private sector</t>
        </is>
      </c>
      <c r="E354" s="31" t="inlineStr">
        <is>
          <t>largecap</t>
        </is>
      </c>
      <c r="F354" s="31" t="n">
        <v>20107.59</v>
      </c>
      <c r="G354" s="31" t="n">
        <v>177.4</v>
      </c>
      <c r="H354" s="31" t="n">
        <v>-2.85</v>
      </c>
      <c r="I354" s="31" t="n">
        <v>3442412</v>
      </c>
      <c r="J354" s="31" t="inlineStr">
        <is>
          <t>532209</t>
        </is>
      </c>
    </row>
    <row r="355">
      <c r="A355" s="31" t="inlineStr">
        <is>
          <t>HOMEFIRST</t>
        </is>
      </c>
      <c r="B355" s="31" t="inlineStr">
        <is>
          <t>Home First Finance Company India Ltd</t>
        </is>
      </c>
      <c r="C355" s="31" t="inlineStr">
        <is>
          <t>financials</t>
        </is>
      </c>
      <c r="D355" s="31" t="inlineStr">
        <is>
          <t>finance - housing</t>
        </is>
      </c>
      <c r="E355" s="31" t="inlineStr">
        <is>
          <t>midcap</t>
        </is>
      </c>
      <c r="F355" s="31" t="n">
        <v>13155.76</v>
      </c>
      <c r="G355" s="31" t="n">
        <v>1225</v>
      </c>
      <c r="H355" s="31" t="n">
        <v>-2.85</v>
      </c>
      <c r="I355" s="31" t="n">
        <v>160522</v>
      </c>
      <c r="J355" s="31" t="inlineStr">
        <is>
          <t>543259</t>
        </is>
      </c>
    </row>
    <row r="356">
      <c r="A356" s="31" t="inlineStr">
        <is>
          <t>GODREJIND</t>
        </is>
      </c>
      <c r="B356" s="31" t="inlineStr">
        <is>
          <t>Godrej Industries Limited</t>
        </is>
      </c>
      <c r="C356" s="31" t="inlineStr">
        <is>
          <t>chemicals</t>
        </is>
      </c>
      <c r="D356" s="31" t="inlineStr">
        <is>
          <t>chemicals</t>
        </is>
      </c>
      <c r="E356" s="31" t="inlineStr">
        <is>
          <t>largecap</t>
        </is>
      </c>
      <c r="F356" s="31" t="n">
        <v>46559.9</v>
      </c>
      <c r="G356" s="31" t="n">
        <v>1342.6</v>
      </c>
      <c r="H356" s="31" t="n">
        <v>-2.88</v>
      </c>
      <c r="I356" s="31" t="n">
        <v>189505</v>
      </c>
      <c r="J356" s="31" t="inlineStr">
        <is>
          <t>500164</t>
        </is>
      </c>
    </row>
    <row r="357">
      <c r="A357" s="31" t="inlineStr">
        <is>
          <t>LTF</t>
        </is>
      </c>
      <c r="B357" s="31" t="inlineStr">
        <is>
          <t>L&amp;T Finance Ltd</t>
        </is>
      </c>
      <c r="C357" s="31" t="inlineStr">
        <is>
          <t>financials</t>
        </is>
      </c>
      <c r="D357" s="31" t="inlineStr">
        <is>
          <t>finance &amp; investments</t>
        </is>
      </c>
      <c r="E357" s="31" t="inlineStr">
        <is>
          <t>largecap</t>
        </is>
      </c>
      <c r="F357" s="31" t="n">
        <v>81353.78999999999</v>
      </c>
      <c r="G357" s="31" t="n">
        <v>315.3</v>
      </c>
      <c r="H357" s="31" t="n">
        <v>-2.9</v>
      </c>
      <c r="I357" s="31" t="n">
        <v>11572636</v>
      </c>
      <c r="J357" s="31" t="inlineStr">
        <is>
          <t>533519</t>
        </is>
      </c>
    </row>
    <row r="358">
      <c r="A358" s="31" t="inlineStr">
        <is>
          <t>VINCOFE</t>
        </is>
      </c>
      <c r="B358" s="31" t="inlineStr">
        <is>
          <t>Vintage Coffee &amp; Beverages Ltd</t>
        </is>
      </c>
      <c r="C358" s="31" t="inlineStr">
        <is>
          <t>consumer discretionary</t>
        </is>
      </c>
      <c r="D358" s="31" t="inlineStr">
        <is>
          <t>trading</t>
        </is>
      </c>
      <c r="E358" s="31" t="inlineStr">
        <is>
          <t>smallcap</t>
        </is>
      </c>
      <c r="F358" s="31" t="n">
        <v>2409.83</v>
      </c>
      <c r="G358" s="31" t="n">
        <v>160.6</v>
      </c>
      <c r="H358" s="31" t="n">
        <v>-2.91</v>
      </c>
      <c r="I358" s="31" t="n">
        <v>1950003</v>
      </c>
      <c r="J358" s="31" t="inlineStr">
        <is>
          <t>538920</t>
        </is>
      </c>
    </row>
    <row r="359">
      <c r="A359" s="31" t="inlineStr">
        <is>
          <t>RPGLIFE</t>
        </is>
      </c>
      <c r="B359" s="31" t="inlineStr">
        <is>
          <t>Rpg Life Sciences Limited</t>
        </is>
      </c>
      <c r="C359" s="31" t="inlineStr">
        <is>
          <t>healthcare</t>
        </is>
      </c>
      <c r="D359" s="31" t="inlineStr">
        <is>
          <t>pharmaceuticals - indian - bulk drugs &amp; formln</t>
        </is>
      </c>
      <c r="E359" s="31" t="inlineStr">
        <is>
          <t>smallcap</t>
        </is>
      </c>
      <c r="F359" s="31" t="n">
        <v>4668.8</v>
      </c>
      <c r="G359" s="31" t="n">
        <v>2740</v>
      </c>
      <c r="H359" s="31" t="n">
        <v>-2.94</v>
      </c>
      <c r="I359" s="31" t="n">
        <v>20012</v>
      </c>
      <c r="J359" s="31" t="inlineStr">
        <is>
          <t>532983</t>
        </is>
      </c>
    </row>
    <row r="360">
      <c r="A360" s="31" t="inlineStr">
        <is>
          <t>MUTHOOTMF</t>
        </is>
      </c>
      <c r="B360" s="31" t="inlineStr">
        <is>
          <t>Muthoot Microfin Ltd</t>
        </is>
      </c>
      <c r="C360" s="31" t="inlineStr">
        <is>
          <t>financials</t>
        </is>
      </c>
      <c r="D360" s="31" t="inlineStr">
        <is>
          <t>finance &amp; investments</t>
        </is>
      </c>
      <c r="E360" s="31" t="inlineStr">
        <is>
          <t>smallcap</t>
        </is>
      </c>
      <c r="F360" s="31" t="n">
        <v>4199.39</v>
      </c>
      <c r="G360" s="31" t="n">
        <v>239.01</v>
      </c>
      <c r="H360" s="31" t="n">
        <v>-2.96</v>
      </c>
      <c r="I360" s="31" t="n">
        <v>628293</v>
      </c>
      <c r="J360" s="31" t="inlineStr">
        <is>
          <t>544055</t>
        </is>
      </c>
    </row>
    <row r="361">
      <c r="A361" s="31" t="inlineStr">
        <is>
          <t>ITDC</t>
        </is>
      </c>
      <c r="B361" s="31" t="inlineStr">
        <is>
          <t>India Tourism Development Corporation Ltd</t>
        </is>
      </c>
      <c r="C361" s="31" t="inlineStr">
        <is>
          <t>services</t>
        </is>
      </c>
      <c r="D361" s="31" t="inlineStr">
        <is>
          <t>hotels</t>
        </is>
      </c>
      <c r="E361" s="31" t="inlineStr">
        <is>
          <t>midcap</t>
        </is>
      </c>
      <c r="F361" s="31" t="n">
        <v>6041.6</v>
      </c>
      <c r="G361" s="31" t="n">
        <v>683.45</v>
      </c>
      <c r="H361" s="31" t="n">
        <v>-2.97</v>
      </c>
      <c r="I361" s="31" t="n">
        <v>384016</v>
      </c>
      <c r="J361" s="31" t="inlineStr">
        <is>
          <t>532189</t>
        </is>
      </c>
    </row>
    <row r="362">
      <c r="A362" s="31" t="inlineStr">
        <is>
          <t>FUSION</t>
        </is>
      </c>
      <c r="B362" s="31" t="inlineStr">
        <is>
          <t>Fusion Micro Finance Ltd</t>
        </is>
      </c>
      <c r="C362" s="31" t="inlineStr">
        <is>
          <t>financials</t>
        </is>
      </c>
      <c r="D362" s="31" t="inlineStr">
        <is>
          <t>finance &amp; investments</t>
        </is>
      </c>
      <c r="E362" s="31" t="inlineStr">
        <is>
          <t>smallcap</t>
        </is>
      </c>
      <c r="F362" s="31" t="n">
        <v>3843.62</v>
      </c>
      <c r="G362" s="31" t="n">
        <v>230.09</v>
      </c>
      <c r="H362" s="31" t="n">
        <v>-2.97</v>
      </c>
      <c r="I362" s="31" t="n">
        <v>556918</v>
      </c>
      <c r="J362" s="31" t="inlineStr">
        <is>
          <t>543652</t>
        </is>
      </c>
    </row>
    <row r="363">
      <c r="A363" s="31" t="inlineStr">
        <is>
          <t>SOTL</t>
        </is>
      </c>
      <c r="B363" s="31" t="inlineStr">
        <is>
          <t>Savita Oil Technologies Limited</t>
        </is>
      </c>
      <c r="C363" s="31" t="inlineStr">
        <is>
          <t>energy</t>
        </is>
      </c>
      <c r="D363" s="31" t="inlineStr">
        <is>
          <t>petrochemicals</t>
        </is>
      </c>
      <c r="E363" s="31" t="inlineStr">
        <is>
          <t>smallcap</t>
        </is>
      </c>
      <c r="F363" s="31" t="n">
        <v>4096.14</v>
      </c>
      <c r="G363" s="31" t="n">
        <v>579.55</v>
      </c>
      <c r="H363" s="31" t="n">
        <v>-3</v>
      </c>
      <c r="I363" s="31" t="n">
        <v>183431</v>
      </c>
      <c r="J363" s="31" t="inlineStr">
        <is>
          <t>524667</t>
        </is>
      </c>
    </row>
    <row r="364">
      <c r="A364" s="31" t="inlineStr">
        <is>
          <t>SAREGAMA</t>
        </is>
      </c>
      <c r="B364" s="31" t="inlineStr">
        <is>
          <t>Saregama India Limited</t>
        </is>
      </c>
      <c r="C364" s="31" t="inlineStr">
        <is>
          <t>media</t>
        </is>
      </c>
      <c r="D364" s="31" t="inlineStr">
        <is>
          <t>entertainment / electronic media software</t>
        </is>
      </c>
      <c r="E364" s="31" t="inlineStr">
        <is>
          <t>midcap</t>
        </is>
      </c>
      <c r="F364" s="31" t="n">
        <v>9611.549999999999</v>
      </c>
      <c r="G364" s="31" t="n">
        <v>483.5</v>
      </c>
      <c r="H364" s="31" t="n">
        <v>-3.01</v>
      </c>
      <c r="I364" s="31" t="n">
        <v>451766</v>
      </c>
      <c r="J364" s="31" t="inlineStr">
        <is>
          <t>532163</t>
        </is>
      </c>
    </row>
    <row r="365">
      <c r="A365" s="31" t="inlineStr">
        <is>
          <t>KIRLOSENG</t>
        </is>
      </c>
      <c r="B365" s="31" t="inlineStr">
        <is>
          <t>Kirloskar Oil Engines Limited</t>
        </is>
      </c>
      <c r="C365" s="31" t="inlineStr">
        <is>
          <t>industrials</t>
        </is>
      </c>
      <c r="D365" s="31" t="inlineStr">
        <is>
          <t>engines</t>
        </is>
      </c>
      <c r="E365" s="31" t="inlineStr">
        <is>
          <t>largecap</t>
        </is>
      </c>
      <c r="F365" s="31" t="n">
        <v>35412.41</v>
      </c>
      <c r="G365" s="31" t="n">
        <v>2362.3</v>
      </c>
      <c r="H365" s="31" t="n">
        <v>-3.03</v>
      </c>
      <c r="I365" s="31" t="n">
        <v>401455</v>
      </c>
      <c r="J365" s="31" t="inlineStr">
        <is>
          <t>533293</t>
        </is>
      </c>
    </row>
    <row r="366">
      <c r="A366" s="31" t="inlineStr">
        <is>
          <t>GOODLUCK</t>
        </is>
      </c>
      <c r="B366" s="31" t="inlineStr">
        <is>
          <t>Goodluck India Limited</t>
        </is>
      </c>
      <c r="C366" s="31" t="inlineStr">
        <is>
          <t>metals &amp; mining</t>
        </is>
      </c>
      <c r="D366" s="31" t="inlineStr">
        <is>
          <t>steel - medium / small</t>
        </is>
      </c>
      <c r="E366" s="31" t="inlineStr">
        <is>
          <t>midcap</t>
        </is>
      </c>
      <c r="F366" s="31" t="n">
        <v>5415.88</v>
      </c>
      <c r="G366" s="31" t="n">
        <v>1579.5</v>
      </c>
      <c r="H366" s="31" t="n">
        <v>-3.06</v>
      </c>
      <c r="I366" s="31" t="n">
        <v>122209</v>
      </c>
      <c r="J366" s="31" t="inlineStr">
        <is>
          <t>530655</t>
        </is>
      </c>
    </row>
    <row r="367">
      <c r="A367" s="31" t="inlineStr">
        <is>
          <t>BLUSPRING</t>
        </is>
      </c>
      <c r="B367" s="31" t="inlineStr">
        <is>
          <t>Bluspring Enterprises Ltd</t>
        </is>
      </c>
      <c r="C367" s="31" t="inlineStr">
        <is>
          <t>miscellaneous</t>
        </is>
      </c>
      <c r="D367" s="31" t="inlineStr">
        <is>
          <t>diversified - large</t>
        </is>
      </c>
      <c r="E367" s="31" t="inlineStr">
        <is>
          <t>smallcap</t>
        </is>
      </c>
      <c r="F367" s="31" t="n">
        <v>1741.87</v>
      </c>
      <c r="G367" s="31" t="n">
        <v>113.16</v>
      </c>
      <c r="H367" s="31" t="n">
        <v>-3.12</v>
      </c>
      <c r="I367" s="31" t="n">
        <v>467100</v>
      </c>
      <c r="J367" s="31" t="inlineStr">
        <is>
          <t>544414</t>
        </is>
      </c>
    </row>
    <row r="368">
      <c r="A368" s="31" t="inlineStr">
        <is>
          <t>SUVEN</t>
        </is>
      </c>
      <c r="B368" s="31" t="inlineStr">
        <is>
          <t>Suven Life Sciences Limited</t>
        </is>
      </c>
      <c r="C368" s="31" t="inlineStr">
        <is>
          <t>healthcare</t>
        </is>
      </c>
      <c r="D368" s="31" t="inlineStr">
        <is>
          <t>miscellaneous</t>
        </is>
      </c>
      <c r="E368" s="31" t="inlineStr">
        <is>
          <t>midcap</t>
        </is>
      </c>
      <c r="F368" s="31" t="n">
        <v>9482.07</v>
      </c>
      <c r="G368" s="31" t="n">
        <v>348.2</v>
      </c>
      <c r="H368" s="31" t="n">
        <v>-3.16</v>
      </c>
      <c r="I368" s="31" t="n">
        <v>762735</v>
      </c>
      <c r="J368" s="31" t="inlineStr">
        <is>
          <t>530239</t>
        </is>
      </c>
    </row>
    <row r="369">
      <c r="A369" s="31" t="inlineStr">
        <is>
          <t>POONAWALLA</t>
        </is>
      </c>
      <c r="B369" s="31" t="inlineStr">
        <is>
          <t>Poonawalla Fincorp Ltd</t>
        </is>
      </c>
      <c r="C369" s="31" t="inlineStr">
        <is>
          <t>financials</t>
        </is>
      </c>
      <c r="D369" s="31" t="inlineStr">
        <is>
          <t>finance &amp; investments</t>
        </is>
      </c>
      <c r="E369" s="31" t="inlineStr">
        <is>
          <t>largecap</t>
        </is>
      </c>
      <c r="F369" s="31" t="n">
        <v>42712.99</v>
      </c>
      <c r="G369" s="31" t="n">
        <v>469.25</v>
      </c>
      <c r="H369" s="31" t="n">
        <v>-3.27</v>
      </c>
      <c r="I369" s="31" t="n">
        <v>767401</v>
      </c>
      <c r="J369" s="31" t="inlineStr">
        <is>
          <t>524000</t>
        </is>
      </c>
    </row>
    <row r="370">
      <c r="A370" s="31" t="inlineStr">
        <is>
          <t>INDSWFTLAB</t>
        </is>
      </c>
      <c r="B370" s="31" t="inlineStr">
        <is>
          <t>Ind-swift Laboratories Limited</t>
        </is>
      </c>
      <c r="C370" s="31" t="inlineStr">
        <is>
          <t>healthcare</t>
        </is>
      </c>
      <c r="D370" s="31" t="inlineStr">
        <is>
          <t>pharmaceuticals - indian - bulk drugs &amp; formln</t>
        </is>
      </c>
      <c r="E370" s="31" t="inlineStr">
        <is>
          <t>smallcap</t>
        </is>
      </c>
      <c r="F370" s="31" t="n">
        <v>2064.11</v>
      </c>
      <c r="G370" s="31" t="n">
        <v>229.86</v>
      </c>
      <c r="H370" s="31" t="n">
        <v>-3.3</v>
      </c>
      <c r="I370" s="31" t="n">
        <v>780710</v>
      </c>
      <c r="J370" s="31" t="inlineStr">
        <is>
          <t>532305</t>
        </is>
      </c>
    </row>
    <row r="371">
      <c r="A371" s="31" t="inlineStr">
        <is>
          <t>ARROWGREEN</t>
        </is>
      </c>
      <c r="B371" s="31" t="inlineStr">
        <is>
          <t>Arrow Greentech Limited</t>
        </is>
      </c>
      <c r="C371" s="31" t="inlineStr">
        <is>
          <t>plastic products</t>
        </is>
      </c>
      <c r="D371" s="31" t="inlineStr">
        <is>
          <t>plastics products</t>
        </is>
      </c>
      <c r="E371" s="31" t="inlineStr">
        <is>
          <t>smallcap</t>
        </is>
      </c>
      <c r="F371" s="31" t="n">
        <v>1049.67</v>
      </c>
      <c r="G371" s="31" t="n">
        <v>672</v>
      </c>
      <c r="H371" s="31" t="n">
        <v>-3.41</v>
      </c>
      <c r="I371" s="31" t="n">
        <v>16716</v>
      </c>
      <c r="J371" s="31" t="inlineStr">
        <is>
          <t>516064</t>
        </is>
      </c>
    </row>
    <row r="372">
      <c r="A372" s="31" t="inlineStr">
        <is>
          <t>KMEW</t>
        </is>
      </c>
      <c r="B372" s="31" t="inlineStr">
        <is>
          <t>Knowledge Marine &amp; Engineering Works Ltd</t>
        </is>
      </c>
      <c r="C372" s="31" t="inlineStr">
        <is>
          <t>transportation</t>
        </is>
      </c>
      <c r="D372" s="31" t="inlineStr">
        <is>
          <t>miscellaneous</t>
        </is>
      </c>
      <c r="E372" s="31" t="inlineStr">
        <is>
          <t>midcap</t>
        </is>
      </c>
      <c r="F372" s="31" t="n">
        <v>5928.67</v>
      </c>
      <c r="G372" s="31" t="n">
        <v>2341.9</v>
      </c>
      <c r="H372" s="31" t="n">
        <v>-3.44</v>
      </c>
      <c r="I372" s="31" t="n">
        <v>58178</v>
      </c>
      <c r="J372" s="31" t="inlineStr">
        <is>
          <t>543273</t>
        </is>
      </c>
    </row>
    <row r="373">
      <c r="A373" s="31" t="inlineStr">
        <is>
          <t>ONMOBILE</t>
        </is>
      </c>
      <c r="B373" s="31" t="inlineStr">
        <is>
          <t>Onmobile Global Limited</t>
        </is>
      </c>
      <c r="C373" s="31" t="inlineStr">
        <is>
          <t>telecom-service</t>
        </is>
      </c>
      <c r="D373" s="31" t="inlineStr">
        <is>
          <t>telecommunications - service provider</t>
        </is>
      </c>
      <c r="E373" s="31" t="inlineStr">
        <is>
          <t>smallcap</t>
        </is>
      </c>
      <c r="F373" s="31" t="n">
        <v>756.37</v>
      </c>
      <c r="G373" s="31" t="n">
        <v>68.65000000000001</v>
      </c>
      <c r="H373" s="31" t="n">
        <v>-3.5</v>
      </c>
      <c r="I373" s="31" t="n">
        <v>55716</v>
      </c>
      <c r="J373" s="31" t="inlineStr">
        <is>
          <t>532944</t>
        </is>
      </c>
    </row>
    <row r="374">
      <c r="A374" s="31" t="inlineStr">
        <is>
          <t>LLOYDSENGG</t>
        </is>
      </c>
      <c r="B374" s="31" t="inlineStr">
        <is>
          <t>Lloyds Engineering Works Ltd</t>
        </is>
      </c>
      <c r="C374" s="31" t="inlineStr">
        <is>
          <t>industrials</t>
        </is>
      </c>
      <c r="D374" s="31" t="inlineStr">
        <is>
          <t>engineering</t>
        </is>
      </c>
      <c r="E374" s="31" t="inlineStr">
        <is>
          <t>midcap</t>
        </is>
      </c>
      <c r="F374" s="31" t="n">
        <v>13444.05</v>
      </c>
      <c r="G374" s="31" t="n">
        <v>87.63</v>
      </c>
      <c r="H374" s="31" t="n">
        <v>-3.51</v>
      </c>
      <c r="I374" s="31" t="n">
        <v>7363016</v>
      </c>
      <c r="J374" s="31" t="inlineStr">
        <is>
          <t>539992</t>
        </is>
      </c>
    </row>
    <row r="375">
      <c r="A375" s="31" t="inlineStr">
        <is>
          <t>RAIN</t>
        </is>
      </c>
      <c r="B375" s="31" t="inlineStr">
        <is>
          <t>Rain Industries Limited</t>
        </is>
      </c>
      <c r="C375" s="31" t="inlineStr">
        <is>
          <t>miscellaneous</t>
        </is>
      </c>
      <c r="D375" s="31" t="inlineStr">
        <is>
          <t>miscellaneous</t>
        </is>
      </c>
      <c r="E375" s="31" t="inlineStr">
        <is>
          <t>midcap</t>
        </is>
      </c>
      <c r="F375" s="31" t="n">
        <v>7177.95</v>
      </c>
      <c r="G375" s="31" t="n">
        <v>205.46</v>
      </c>
      <c r="H375" s="31" t="n">
        <v>-3.73</v>
      </c>
      <c r="I375" s="31" t="n">
        <v>4659682</v>
      </c>
      <c r="J375" s="31" t="inlineStr">
        <is>
          <t>500339</t>
        </is>
      </c>
    </row>
    <row r="376">
      <c r="A376" s="31" t="inlineStr">
        <is>
          <t>EQUITASBNK</t>
        </is>
      </c>
      <c r="B376" s="31" t="inlineStr">
        <is>
          <t>Equitas Small Finance Bank Ltd</t>
        </is>
      </c>
      <c r="C376" s="31" t="inlineStr">
        <is>
          <t>bank</t>
        </is>
      </c>
      <c r="D376" s="31" t="inlineStr">
        <is>
          <t>banks - private sector</t>
        </is>
      </c>
      <c r="E376" s="31" t="inlineStr">
        <is>
          <t>midcap</t>
        </is>
      </c>
      <c r="F376" s="31" t="n">
        <v>9478.639999999999</v>
      </c>
      <c r="G376" s="31" t="n">
        <v>79.94</v>
      </c>
      <c r="H376" s="31" t="n">
        <v>-3.77</v>
      </c>
      <c r="I376" s="31" t="n">
        <v>2820533</v>
      </c>
      <c r="J376" s="31" t="inlineStr">
        <is>
          <t>543243</t>
        </is>
      </c>
    </row>
    <row r="377">
      <c r="A377" s="31" t="inlineStr">
        <is>
          <t>CEATLTD</t>
        </is>
      </c>
      <c r="B377" s="31" t="inlineStr">
        <is>
          <t>Ceat Limited</t>
        </is>
      </c>
      <c r="C377" s="31" t="inlineStr">
        <is>
          <t>auto</t>
        </is>
      </c>
      <c r="D377" s="31" t="inlineStr">
        <is>
          <t>tyres</t>
        </is>
      </c>
      <c r="E377" s="31" t="inlineStr">
        <is>
          <t>midcap</t>
        </is>
      </c>
      <c r="F377" s="31" t="n">
        <v>15644.88</v>
      </c>
      <c r="G377" s="31" t="n">
        <v>3719.8</v>
      </c>
      <c r="H377" s="31" t="n">
        <v>-3.82</v>
      </c>
      <c r="I377" s="31" t="n">
        <v>135458</v>
      </c>
      <c r="J377" s="31" t="inlineStr">
        <is>
          <t>500878</t>
        </is>
      </c>
    </row>
    <row r="378">
      <c r="A378" s="31" t="inlineStr">
        <is>
          <t>WABAG</t>
        </is>
      </c>
      <c r="B378" s="31" t="inlineStr">
        <is>
          <t>Va Tech Wabag Limited</t>
        </is>
      </c>
      <c r="C378" s="31" t="inlineStr">
        <is>
          <t>realty</t>
        </is>
      </c>
      <c r="D378" s="31" t="inlineStr">
        <is>
          <t>engineering - turnkey services</t>
        </is>
      </c>
      <c r="E378" s="31" t="inlineStr">
        <is>
          <t>midcap</t>
        </is>
      </c>
      <c r="F378" s="31" t="n">
        <v>13743.63</v>
      </c>
      <c r="G378" s="31" t="n">
        <v>2120</v>
      </c>
      <c r="H378" s="31" t="n">
        <v>-3.89</v>
      </c>
      <c r="I378" s="31" t="n">
        <v>571610</v>
      </c>
      <c r="J378" s="31" t="inlineStr">
        <is>
          <t>533269</t>
        </is>
      </c>
    </row>
    <row r="379">
      <c r="A379" s="31" t="inlineStr">
        <is>
          <t>RPEL</t>
        </is>
      </c>
      <c r="B379" s="31" t="inlineStr">
        <is>
          <t>Raghav Productivity Enhancers Ltd</t>
        </is>
      </c>
      <c r="C379" s="31" t="inlineStr">
        <is>
          <t>building materials</t>
        </is>
      </c>
      <c r="D379" s="31" t="inlineStr">
        <is>
          <t>refractories / intermediates</t>
        </is>
      </c>
      <c r="E379" s="31" t="inlineStr">
        <is>
          <t>midcap</t>
        </is>
      </c>
      <c r="F379" s="31" t="n">
        <v>6045.17</v>
      </c>
      <c r="G379" s="31" t="n">
        <v>1263.3</v>
      </c>
      <c r="H379" s="31" t="n">
        <v>-4.03</v>
      </c>
      <c r="I379" s="31" t="n">
        <v>64819</v>
      </c>
      <c r="J379" s="31" t="inlineStr">
        <is>
          <t>539837</t>
        </is>
      </c>
    </row>
    <row r="380">
      <c r="A380" s="31" t="inlineStr">
        <is>
          <t>KIRLOSIND</t>
        </is>
      </c>
      <c r="B380" s="31" t="inlineStr">
        <is>
          <t>Kirloskar Industries Limited</t>
        </is>
      </c>
      <c r="C380" s="31" t="inlineStr">
        <is>
          <t>financials</t>
        </is>
      </c>
      <c r="D380" s="31" t="inlineStr">
        <is>
          <t>finance &amp; investments</t>
        </is>
      </c>
      <c r="E380" s="31" t="inlineStr">
        <is>
          <t>smallcap</t>
        </is>
      </c>
      <c r="F380" s="31" t="n">
        <v>4320.3</v>
      </c>
      <c r="G380" s="31" t="n">
        <v>3939.4</v>
      </c>
      <c r="H380" s="31" t="n">
        <v>-4.17</v>
      </c>
      <c r="I380" s="31" t="n">
        <v>15850</v>
      </c>
      <c r="J380" s="31" t="inlineStr">
        <is>
          <t>500243</t>
        </is>
      </c>
    </row>
    <row r="381">
      <c r="A381" s="31" t="inlineStr">
        <is>
          <t>FILATEX</t>
        </is>
      </c>
      <c r="B381" s="31" t="inlineStr">
        <is>
          <t>Filatex India Limited</t>
        </is>
      </c>
      <c r="C381" s="31" t="inlineStr">
        <is>
          <t>textiles</t>
        </is>
      </c>
      <c r="D381" s="31" t="inlineStr">
        <is>
          <t>textiles - manmade</t>
        </is>
      </c>
      <c r="E381" s="31" t="inlineStr">
        <is>
          <t>smallcap</t>
        </is>
      </c>
      <c r="F381" s="31" t="n">
        <v>2858.85</v>
      </c>
      <c r="G381" s="31" t="n">
        <v>61.69</v>
      </c>
      <c r="H381" s="31" t="n">
        <v>-4.18</v>
      </c>
      <c r="I381" s="31" t="n">
        <v>2863533</v>
      </c>
      <c r="J381" s="31" t="inlineStr">
        <is>
          <t>526227</t>
        </is>
      </c>
    </row>
    <row r="382">
      <c r="A382" s="31" t="inlineStr">
        <is>
          <t>SPARC</t>
        </is>
      </c>
      <c r="B382" s="31" t="inlineStr">
        <is>
          <t>Sun Pharma Advanced Research Company Limited</t>
        </is>
      </c>
      <c r="C382" s="31" t="inlineStr">
        <is>
          <t>healthcare</t>
        </is>
      </c>
      <c r="D382" s="31" t="inlineStr">
        <is>
          <t>miscellaneous</t>
        </is>
      </c>
      <c r="E382" s="31" t="inlineStr">
        <is>
          <t>midcap</t>
        </is>
      </c>
      <c r="F382" s="31" t="n">
        <v>8418.74</v>
      </c>
      <c r="G382" s="31" t="n">
        <v>247.83</v>
      </c>
      <c r="H382" s="31" t="n">
        <v>-4.47</v>
      </c>
      <c r="I382" s="31" t="n">
        <v>1942992</v>
      </c>
      <c r="J382" s="31" t="inlineStr">
        <is>
          <t>532872</t>
        </is>
      </c>
    </row>
    <row r="383">
      <c r="A383" s="31" t="inlineStr">
        <is>
          <t>BHARATSE</t>
        </is>
      </c>
      <c r="B383" s="31" t="inlineStr">
        <is>
          <t>Bharat Seats Ltd</t>
        </is>
      </c>
      <c r="C383" s="31" t="inlineStr">
        <is>
          <t>auto</t>
        </is>
      </c>
      <c r="D383" s="31" t="inlineStr">
        <is>
          <t>auto ancillaries</t>
        </is>
      </c>
      <c r="E383" s="31" t="inlineStr">
        <is>
          <t>smallcap</t>
        </is>
      </c>
      <c r="F383" s="31" t="n">
        <v>1599.01</v>
      </c>
      <c r="G383" s="31" t="n">
        <v>243.07</v>
      </c>
      <c r="H383" s="31" t="n">
        <v>-4.54</v>
      </c>
      <c r="I383" s="31" t="n">
        <v>519479</v>
      </c>
      <c r="J383" s="31" t="inlineStr">
        <is>
          <t>523229</t>
        </is>
      </c>
    </row>
    <row r="384">
      <c r="A384" s="31" t="inlineStr">
        <is>
          <t>KSL</t>
        </is>
      </c>
      <c r="B384" s="31" t="inlineStr">
        <is>
          <t>Kalyani Steels Limited</t>
        </is>
      </c>
      <c r="C384" s="31" t="inlineStr">
        <is>
          <t>metals &amp; mining</t>
        </is>
      </c>
      <c r="D384" s="31" t="inlineStr">
        <is>
          <t>steel - medium / small</t>
        </is>
      </c>
      <c r="E384" s="31" t="inlineStr">
        <is>
          <t>smallcap</t>
        </is>
      </c>
      <c r="F384" s="31" t="n">
        <v>4244.39</v>
      </c>
      <c r="G384" s="31" t="n">
        <v>925</v>
      </c>
      <c r="H384" s="31" t="n">
        <v>-4.86</v>
      </c>
      <c r="I384" s="31" t="n">
        <v>97213</v>
      </c>
      <c r="J384" s="31" t="inlineStr">
        <is>
          <t>500235</t>
        </is>
      </c>
    </row>
    <row r="385">
      <c r="A385" s="31" t="inlineStr">
        <is>
          <t>AEGISLOG</t>
        </is>
      </c>
      <c r="B385" s="31" t="inlineStr">
        <is>
          <t>Aegis Logistics Ltd</t>
        </is>
      </c>
      <c r="C385" s="31" t="inlineStr">
        <is>
          <t>services</t>
        </is>
      </c>
      <c r="D385" s="31" t="inlineStr">
        <is>
          <t>trading</t>
        </is>
      </c>
      <c r="E385" s="31" t="inlineStr">
        <is>
          <t>largecap</t>
        </is>
      </c>
      <c r="F385" s="31" t="n">
        <v>45405.36</v>
      </c>
      <c r="G385" s="31" t="n">
        <v>1222.5</v>
      </c>
      <c r="H385" s="31" t="n">
        <v>-5.5</v>
      </c>
      <c r="I385" s="31" t="n">
        <v>1730912</v>
      </c>
      <c r="J385" s="31" t="inlineStr">
        <is>
          <t>500003</t>
        </is>
      </c>
    </row>
    <row r="386">
      <c r="A386" s="31" t="inlineStr">
        <is>
          <t>HESTERBIO</t>
        </is>
      </c>
      <c r="B386" s="31" t="inlineStr">
        <is>
          <t>Hester Biosciences Limited</t>
        </is>
      </c>
      <c r="C386" s="31" t="inlineStr">
        <is>
          <t>healthcare</t>
        </is>
      </c>
      <c r="D386" s="31" t="inlineStr">
        <is>
          <t>pharmaceuticals - indian - formulations</t>
        </is>
      </c>
      <c r="E386" s="31" t="inlineStr">
        <is>
          <t>smallcap</t>
        </is>
      </c>
      <c r="F386" s="31" t="n">
        <v>2165</v>
      </c>
      <c r="G386" s="31" t="n">
        <v>2386.8</v>
      </c>
      <c r="H386" s="31" t="n">
        <v>-6.22</v>
      </c>
      <c r="I386" s="31" t="n">
        <v>290142</v>
      </c>
      <c r="J386" s="31" t="inlineStr">
        <is>
          <t>524669</t>
        </is>
      </c>
    </row>
    <row r="387">
      <c r="A387" s="31" t="inlineStr">
        <is>
          <t>MBAPL</t>
        </is>
      </c>
      <c r="B387" s="31" t="inlineStr">
        <is>
          <t>Madhya Bharat Agro Products Ltd</t>
        </is>
      </c>
      <c r="C387" s="31" t="inlineStr">
        <is>
          <t>chemicals</t>
        </is>
      </c>
      <c r="D387" s="31" t="inlineStr">
        <is>
          <t>fertilizers</t>
        </is>
      </c>
      <c r="E387" s="31" t="inlineStr">
        <is>
          <t>smallcap</t>
        </is>
      </c>
      <c r="F387" s="31" t="n">
        <v>1164.12</v>
      </c>
      <c r="G387" s="31" t="n">
        <v>124</v>
      </c>
      <c r="H387" s="31" t="n">
        <v>-6.66</v>
      </c>
      <c r="I387" s="31" t="n">
        <v>1613310</v>
      </c>
      <c r="J387" s="31" t="inlineStr">
        <is>
          <t>538370</t>
        </is>
      </c>
    </row>
    <row r="388">
      <c r="A388" s="31" t="inlineStr">
        <is>
          <t>AEGISVOPAK</t>
        </is>
      </c>
      <c r="B388" s="31" t="inlineStr">
        <is>
          <t>Aegis Vopak Terminals Ltd</t>
        </is>
      </c>
      <c r="C388" s="31" t="inlineStr">
        <is>
          <t>transportation</t>
        </is>
      </c>
      <c r="D388" s="31" t="inlineStr">
        <is>
          <t>miscellaneous</t>
        </is>
      </c>
      <c r="E388" s="31" t="inlineStr">
        <is>
          <t>largecap</t>
        </is>
      </c>
      <c r="F388" s="31" t="n">
        <v>33605.38</v>
      </c>
      <c r="G388" s="31" t="n">
        <v>280.64</v>
      </c>
      <c r="H388" s="31" t="n">
        <v>-7.47</v>
      </c>
      <c r="I388" s="31" t="n">
        <v>3344209</v>
      </c>
      <c r="J388" s="31" t="inlineStr">
        <is>
          <t>544407</t>
        </is>
      </c>
    </row>
    <row r="389">
      <c r="A389" s="31" t="inlineStr">
        <is>
          <t>RAMCOSYS</t>
        </is>
      </c>
      <c r="B389" s="31" t="inlineStr">
        <is>
          <t>Ramco Systems Limited</t>
        </is>
      </c>
      <c r="C389" s="31" t="inlineStr">
        <is>
          <t>i.t</t>
        </is>
      </c>
      <c r="D389" s="31" t="inlineStr">
        <is>
          <t>computers - software - medium / small</t>
        </is>
      </c>
      <c r="E389" s="31" t="inlineStr">
        <is>
          <t>smallcap</t>
        </is>
      </c>
      <c r="F389" s="31" t="n">
        <v>3315.26</v>
      </c>
      <c r="G389" s="31" t="n">
        <v>816.65</v>
      </c>
      <c r="H389" s="31" t="n">
        <v>-7.84</v>
      </c>
      <c r="I389" s="31" t="n">
        <v>1892166</v>
      </c>
      <c r="J389" s="31" t="inlineStr">
        <is>
          <t>532370</t>
        </is>
      </c>
    </row>
    <row r="390">
      <c r="A390" s="31" t="inlineStr">
        <is>
          <t>BFINVEST</t>
        </is>
      </c>
      <c r="B390" s="31" t="inlineStr">
        <is>
          <t>Bf Investment Limited</t>
        </is>
      </c>
      <c r="C390" s="31" t="inlineStr">
        <is>
          <t>financials</t>
        </is>
      </c>
      <c r="D390" s="31" t="inlineStr">
        <is>
          <t>finance &amp; investments</t>
        </is>
      </c>
      <c r="E390" s="31" t="inlineStr">
        <is>
          <t>smallcap</t>
        </is>
      </c>
      <c r="F390" s="31" t="n">
        <v>2016.16</v>
      </c>
      <c r="G390" s="31" t="n">
        <v>488.45</v>
      </c>
      <c r="H390" s="31" t="n">
        <v>-8.74</v>
      </c>
      <c r="I390" s="31" t="n">
        <v>555626</v>
      </c>
      <c r="J390" s="31" t="inlineStr">
        <is>
          <t>533303</t>
        </is>
      </c>
    </row>
    <row r="391">
      <c r="A391" s="31" t="inlineStr">
        <is>
          <t>PPAP</t>
        </is>
      </c>
      <c r="B391" s="31" t="inlineStr">
        <is>
          <t>Ppap Automotive Limited</t>
        </is>
      </c>
      <c r="C391" s="31" t="inlineStr">
        <is>
          <t>auto</t>
        </is>
      </c>
      <c r="D391" s="31" t="inlineStr">
        <is>
          <t>auto ancillaries</t>
        </is>
      </c>
      <c r="E391" s="31" t="inlineStr">
        <is>
          <t>smallcap</t>
        </is>
      </c>
      <c r="F391" s="31" t="n">
        <v>525.28</v>
      </c>
      <c r="G391" s="31" t="n">
        <v>338.02</v>
      </c>
      <c r="H391" s="31" t="n">
        <v>-9.17</v>
      </c>
      <c r="I391" s="31" t="n">
        <v>529685</v>
      </c>
      <c r="J391" s="31" t="inlineStr">
        <is>
          <t>532934</t>
        </is>
      </c>
    </row>
  </sheetData>
  <autoFilter ref="A1:J3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INDOBORAX</t>
        </is>
      </c>
      <c r="E2" s="31" t="inlineStr">
        <is>
          <t>Indo Borax &amp; Chemicals Ltd</t>
        </is>
      </c>
      <c r="F2" s="31" t="inlineStr">
        <is>
          <t>Chemicals - Inorganic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18</v>
      </c>
      <c r="K2" s="31" t="n">
        <v>30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IOLCP</t>
        </is>
      </c>
      <c r="E3" s="31" t="inlineStr">
        <is>
          <t>Iol Chemicals And Pharmaceuticals Limited</t>
        </is>
      </c>
      <c r="F3" s="31" t="inlineStr">
        <is>
          <t>Pharma - API &amp; CRAMS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24</v>
      </c>
      <c r="K3" s="31" t="n">
        <v>28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GNA</t>
        </is>
      </c>
      <c r="E4" s="31" t="inlineStr">
        <is>
          <t>Gna Axles Limited</t>
        </is>
      </c>
      <c r="F4" s="31" t="inlineStr">
        <is>
          <t>Auto &amp; Auto Ancl - CV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18</v>
      </c>
      <c r="K4" s="31" t="n">
        <v>20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CEMPRO</t>
        </is>
      </c>
      <c r="E5" s="31" t="inlineStr">
        <is>
          <t>Cemindia Projects Ltd</t>
        </is>
      </c>
      <c r="F5" s="31" t="inlineStr">
        <is>
          <t>Infra - Construction &amp; Contracting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20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CGCL</t>
        </is>
      </c>
      <c r="E6" s="31" t="inlineStr">
        <is>
          <t>Capri Global Capital Limited</t>
        </is>
      </c>
      <c r="F6" s="31" t="inlineStr">
        <is>
          <t>Finance &amp; Investments - Gold Loan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24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WELCORP</t>
        </is>
      </c>
      <c r="E7" s="31" t="inlineStr">
        <is>
          <t>Welspun Corp Limited</t>
        </is>
      </c>
      <c r="F7" s="31" t="inlineStr">
        <is>
          <t>DI Pipes/Saw Pipes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21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RATEGAIN</t>
        </is>
      </c>
      <c r="E8" s="31" t="inlineStr">
        <is>
          <t>Rategain Travel Technologies Ltd</t>
        </is>
      </c>
      <c r="F8" s="31" t="inlineStr">
        <is>
          <t>IT Product Companies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16</v>
      </c>
      <c r="K8" s="31" t="n">
        <v>30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SHYAMMETL</t>
        </is>
      </c>
      <c r="E9" s="31" t="inlineStr">
        <is>
          <t>Shyam Metalics &amp; Energy Ltd</t>
        </is>
      </c>
      <c r="F9" s="31" t="inlineStr">
        <is>
          <t>Steel Products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18</v>
      </c>
      <c r="K9" s="31" t="n">
        <v>15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VENUSREM</t>
        </is>
      </c>
      <c r="E10" s="31" t="inlineStr">
        <is>
          <t>Venus Remedies Limited</t>
        </is>
      </c>
      <c r="F10" s="31" t="inlineStr">
        <is>
          <t>Pharmaceuticals - I V Fluids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16</v>
      </c>
      <c r="K10" s="31" t="n">
        <v>26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SATIN</t>
        </is>
      </c>
      <c r="E11" s="31" t="inlineStr">
        <is>
          <t>Satin Creditcare Network Limited</t>
        </is>
      </c>
      <c r="F11" s="31" t="inlineStr">
        <is>
          <t>Finance &amp; Investments - Microfinance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21</v>
      </c>
      <c r="K11" s="31" t="n">
        <v>27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UJJIVANSFB</t>
        </is>
      </c>
      <c r="E12" s="31" t="inlineStr">
        <is>
          <t>Ujjivan Small Finance Bank Ltd</t>
        </is>
      </c>
      <c r="F12" s="31" t="inlineStr">
        <is>
          <t>Banks - Small Finance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21</v>
      </c>
      <c r="K12" s="31" t="n">
        <v>17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PAISALO</t>
        </is>
      </c>
      <c r="E13" s="31" t="inlineStr">
        <is>
          <t>Paisalo Digital Ltd</t>
        </is>
      </c>
      <c r="F13" s="31" t="inlineStr">
        <is>
          <t>Finance - Capital Markets - Brokers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20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ATHERENERG</t>
        </is>
      </c>
      <c r="E14" s="31" t="inlineStr">
        <is>
          <t>Ather Energy Ltd</t>
        </is>
      </c>
      <c r="F14" s="31" t="inlineStr">
        <is>
          <t>Auto - 2 &amp; 3 Wheelers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15</v>
      </c>
      <c r="K14" s="31" t="n">
        <v>23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IBULLSLTD</t>
        </is>
      </c>
      <c r="E15" s="31" t="inlineStr">
        <is>
          <t>Indiabulls Limited</t>
        </is>
      </c>
      <c r="F15" s="31" t="inlineStr">
        <is>
          <t>Diversified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20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ADFFOODS</t>
        </is>
      </c>
      <c r="E16" s="31" t="inlineStr">
        <is>
          <t>Adf Foods Limited</t>
        </is>
      </c>
      <c r="F16" s="31" t="inlineStr">
        <is>
          <t>FMCG - Contract Mfg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17</v>
      </c>
      <c r="K16" s="31" t="n">
        <v>29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SKMEGGPROD</t>
        </is>
      </c>
      <c r="E17" s="31" t="inlineStr">
        <is>
          <t>Skm Egg Products Export (india) Limited</t>
        </is>
      </c>
      <c r="F17" s="31" t="inlineStr">
        <is>
          <t>FMCG - Animal/Polutry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21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FUSION</t>
        </is>
      </c>
      <c r="E18" s="31" t="inlineStr">
        <is>
          <t>Fusion Micro Finance Ltd</t>
        </is>
      </c>
      <c r="F18" s="31" t="inlineStr">
        <is>
          <t>Finance &amp; Investments - Microfinance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15</v>
      </c>
      <c r="K18" s="31" t="n">
        <v>14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SURYODAY</t>
        </is>
      </c>
      <c r="E19" s="31" t="inlineStr">
        <is>
          <t>Suryoday Small Finance Bank Ltd</t>
        </is>
      </c>
      <c r="F19" s="31" t="inlineStr">
        <is>
          <t>Banks - Small Finance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19</v>
      </c>
      <c r="K19" s="31" t="n">
        <v>28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SAKAR</t>
        </is>
      </c>
      <c r="E20" s="31" t="inlineStr">
        <is>
          <t>Sakar Healthcare Ltd</t>
        </is>
      </c>
      <c r="F20" s="31" t="inlineStr">
        <is>
          <t>Hospitals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18</v>
      </c>
      <c r="K20" s="31" t="n">
        <v>25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RADICO</t>
        </is>
      </c>
      <c r="E21" s="31" t="inlineStr">
        <is>
          <t>Radico Khaitan Limited</t>
        </is>
      </c>
      <c r="F21" s="31" t="inlineStr">
        <is>
          <t>Alcoholic Beverages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15</v>
      </c>
      <c r="K21" s="31" t="n">
        <v>28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RISHABH</t>
        </is>
      </c>
      <c r="E22" s="31" t="inlineStr">
        <is>
          <t>Rishabh Instruments Ltd</t>
        </is>
      </c>
      <c r="F22" s="31" t="inlineStr">
        <is>
          <t>Capital Goods - Electric General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17</v>
      </c>
      <c r="K22" s="31" t="n">
        <v>26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RPTECH</t>
        </is>
      </c>
      <c r="E23" s="31" t="inlineStr">
        <is>
          <t>Rashi Peripherals Ltd</t>
        </is>
      </c>
      <c r="F23" s="31" t="inlineStr">
        <is>
          <t>Trading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21</v>
      </c>
      <c r="K23" s="31" t="n">
        <v>28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TIPSMUSIC</t>
        </is>
      </c>
      <c r="E24" s="31" t="inlineStr">
        <is>
          <t>Tips Music Ltd</t>
        </is>
      </c>
      <c r="F24" s="31" t="inlineStr">
        <is>
          <t>Music Licensing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21</v>
      </c>
      <c r="K24" s="31" t="n">
        <v>12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BLISSGVS</t>
        </is>
      </c>
      <c r="E25" s="31" t="inlineStr">
        <is>
          <t>Bliss Gvs Pharma Limited</t>
        </is>
      </c>
      <c r="F25" s="31" t="inlineStr">
        <is>
          <t>Pharma - Formulators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17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MARKSANS</t>
        </is>
      </c>
      <c r="E26" s="31" t="inlineStr">
        <is>
          <t>Marksans Pharma Limited</t>
        </is>
      </c>
      <c r="F26" s="31" t="inlineStr">
        <is>
          <t>Pharma - Formulators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17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CUPID</t>
        </is>
      </c>
      <c r="E27" s="31" t="inlineStr">
        <is>
          <t>Cupid Limited</t>
        </is>
      </c>
      <c r="F27" s="31" t="inlineStr">
        <is>
          <t>Contraceptives/Protectives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22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PGHL</t>
        </is>
      </c>
      <c r="E28" s="31" t="inlineStr">
        <is>
          <t>Procter &amp; Gamble Health Ltd</t>
        </is>
      </c>
      <c r="F28" s="31" t="inlineStr">
        <is>
          <t>Pharma - MNC bulk Drugs</t>
        </is>
      </c>
      <c r="G28" s="31" t="n">
        <v>2</v>
      </c>
      <c r="H28" s="31" t="inlineStr">
        <is>
          <t>52W Breakout</t>
        </is>
      </c>
      <c r="I28" s="31" t="inlineStr">
        <is>
          <t>Yes</t>
        </is>
      </c>
      <c r="J28" s="31" t="n">
        <v>15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THANGAMAYL</t>
        </is>
      </c>
      <c r="E29" s="31" t="inlineStr">
        <is>
          <t>Thangamayil Jewellery Limited</t>
        </is>
      </c>
      <c r="F29" s="31" t="inlineStr">
        <is>
          <t>Diamond, Gems &amp; Jewellery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20</v>
      </c>
      <c r="K29" s="31" t="n">
        <v>30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NAM-INDIA</t>
        </is>
      </c>
      <c r="E30" s="31" t="inlineStr">
        <is>
          <t>Nippon Life India Asset Management Ltd</t>
        </is>
      </c>
      <c r="F30" s="31" t="inlineStr">
        <is>
          <t>Finance - AMC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17</v>
      </c>
      <c r="K30" s="31" t="n">
        <v>22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VADILALIND</t>
        </is>
      </c>
      <c r="E31" s="31" t="inlineStr">
        <is>
          <t>Vadilal Industries Limited</t>
        </is>
      </c>
      <c r="F31" s="31" t="inlineStr">
        <is>
          <t>FMCG - Dairy Products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17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MUTHOOTMF</t>
        </is>
      </c>
      <c r="E32" s="31" t="inlineStr">
        <is>
          <t>Muthoot Microfin Ltd</t>
        </is>
      </c>
      <c r="F32" s="31" t="inlineStr">
        <is>
          <t>Finance &amp; Investments - Microfinance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16</v>
      </c>
      <c r="K32" s="31" t="n">
        <v>23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GRANULES</t>
        </is>
      </c>
      <c r="E33" s="31" t="inlineStr">
        <is>
          <t>Granules India Limited</t>
        </is>
      </c>
      <c r="F33" s="31" t="inlineStr">
        <is>
          <t>Pharma - API &amp; CRAMS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18</v>
      </c>
      <c r="K33" s="31" t="n">
        <v>23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CONSOFINVT</t>
        </is>
      </c>
      <c r="E34" s="31" t="inlineStr">
        <is>
          <t>Consolidated Finvest &amp; Holdings Limited</t>
        </is>
      </c>
      <c r="F34" s="31" t="inlineStr">
        <is>
          <t>Finance &amp; Investments - Others</t>
        </is>
      </c>
      <c r="G34" s="31" t="n">
        <v>2</v>
      </c>
      <c r="H34" s="31" t="inlineStr">
        <is>
          <t>52W Breakout</t>
        </is>
      </c>
      <c r="I34" s="31" t="inlineStr">
        <is>
          <t>Yes</t>
        </is>
      </c>
      <c r="J34" s="31" t="n">
        <v>2</v>
      </c>
      <c r="K34" s="31" t="n">
        <v>10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GHCLTEXTIL</t>
        </is>
      </c>
      <c r="E35" s="31" t="inlineStr">
        <is>
          <t>GHCL Textiles Ltd</t>
        </is>
      </c>
      <c r="F35" s="31" t="inlineStr">
        <is>
          <t>Textiles - General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17</v>
      </c>
      <c r="K35" s="31" t="n">
        <v>17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FILATEX</t>
        </is>
      </c>
      <c r="E36" s="31" t="inlineStr">
        <is>
          <t>Filatex India Limited</t>
        </is>
      </c>
      <c r="F36" s="31" t="inlineStr">
        <is>
          <t>Textiles - Manmade Fibre - PFY/PSF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16</v>
      </c>
      <c r="K36" s="31" t="n">
        <v>17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BHARATSE</t>
        </is>
      </c>
      <c r="E37" s="31" t="inlineStr">
        <is>
          <t>Bharat Seats Ltd</t>
        </is>
      </c>
      <c r="F37" s="31" t="inlineStr">
        <is>
          <t>Auto Ancillaries - Seats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15</v>
      </c>
      <c r="K37" s="31" t="n">
        <v>10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GODREJIND</t>
        </is>
      </c>
      <c r="E38" s="31" t="inlineStr">
        <is>
          <t>Godrej Industries Limited</t>
        </is>
      </c>
      <c r="F38" s="31" t="inlineStr">
        <is>
          <t>Finance - Holding Company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16</v>
      </c>
      <c r="K38" s="31" t="n">
        <v>19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SPANDANA</t>
        </is>
      </c>
      <c r="E39" s="31" t="inlineStr">
        <is>
          <t>Spandana Sphoorty Financial Ltd</t>
        </is>
      </c>
      <c r="F39" s="31" t="inlineStr">
        <is>
          <t>Finance &amp; Investments - Microfinance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16</v>
      </c>
      <c r="K39" s="31" t="n">
        <v>16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SIGNPOST</t>
        </is>
      </c>
      <c r="E40" s="31" t="inlineStr">
        <is>
          <t>Signpost India Ltd</t>
        </is>
      </c>
      <c r="F40" s="31" t="inlineStr">
        <is>
          <t>Advertisement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19</v>
      </c>
      <c r="K40" s="31" t="n">
        <v>10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RPEL</t>
        </is>
      </c>
      <c r="E41" s="31" t="inlineStr">
        <is>
          <t>Raghav Productivity Enhancers Ltd</t>
        </is>
      </c>
      <c r="F41" s="31" t="inlineStr">
        <is>
          <t>Steel Products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16</v>
      </c>
      <c r="K41" s="31" t="n">
        <v>30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INDNIPPON</t>
        </is>
      </c>
      <c r="E42" s="31" t="inlineStr">
        <is>
          <t>India Nippon Electricals Limited</t>
        </is>
      </c>
      <c r="F42" s="31" t="inlineStr">
        <is>
          <t>Auto Ancillaries - Engine Parts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26</v>
      </c>
      <c r="K42" s="31" t="n">
        <v>28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PSPPROJECT</t>
        </is>
      </c>
      <c r="E43" s="31" t="inlineStr">
        <is>
          <t>PSP Projects Ltd</t>
        </is>
      </c>
      <c r="F43" s="31" t="inlineStr">
        <is>
          <t>Construction &amp; Contracting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15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WABAG</t>
        </is>
      </c>
      <c r="E44" s="31" t="inlineStr">
        <is>
          <t>Va Tech Wabag Limited</t>
        </is>
      </c>
      <c r="F44" s="31" t="inlineStr">
        <is>
          <t>Water Treatment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16</v>
      </c>
      <c r="K44" s="31" t="n">
        <v>29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AEGISLOG</t>
        </is>
      </c>
      <c r="E45" s="31" t="inlineStr">
        <is>
          <t>Aegis Logistics Ltd</t>
        </is>
      </c>
      <c r="F45" s="31" t="inlineStr">
        <is>
          <t>Logistics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16</v>
      </c>
      <c r="K45" s="31" t="n">
        <v>29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HESTERBIO</t>
        </is>
      </c>
      <c r="E46" s="31" t="inlineStr">
        <is>
          <t>Hester Biosciences Limited</t>
        </is>
      </c>
      <c r="F46" s="31" t="inlineStr">
        <is>
          <t>Pharma - Animal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16</v>
      </c>
      <c r="K46" s="31" t="n">
        <v>27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ACUTAAS</t>
        </is>
      </c>
      <c r="E47" s="31" t="inlineStr">
        <is>
          <t>Acutaas Chemicals Ltd</t>
        </is>
      </c>
      <c r="F47" s="31" t="inlineStr">
        <is>
          <t>Pharma - API &amp; CRAMS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18</v>
      </c>
      <c r="K47" s="31" t="n">
        <v>28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SANGAMIND</t>
        </is>
      </c>
      <c r="E48" s="31" t="inlineStr">
        <is>
          <t>Sangam (india) Limited</t>
        </is>
      </c>
      <c r="F48" s="31" t="inlineStr">
        <is>
          <t>Textiles - Spinning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18</v>
      </c>
      <c r="K48" s="31" t="n">
        <v>28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HONASA</t>
        </is>
      </c>
      <c r="E49" s="31" t="inlineStr">
        <is>
          <t>Honasa Consumer Ltd</t>
        </is>
      </c>
      <c r="F49" s="31" t="inlineStr">
        <is>
          <t>New age - Platform - E-Retail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15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SPECTRUM</t>
        </is>
      </c>
      <c r="E50" s="31" t="inlineStr">
        <is>
          <t>Spectrum Electrical Industries Ltd</t>
        </is>
      </c>
      <c r="F50" s="31" t="inlineStr">
        <is>
          <t>Capital Goods - Electric General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17</v>
      </c>
      <c r="K50" s="31" t="n">
        <v>30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SENORES</t>
        </is>
      </c>
      <c r="E51" s="31" t="inlineStr">
        <is>
          <t>Senores Pharmaceuticals Ltd</t>
        </is>
      </c>
      <c r="F51" s="31" t="inlineStr">
        <is>
          <t>Pharma - API</t>
        </is>
      </c>
      <c r="G51" s="31" t="n">
        <v>2</v>
      </c>
      <c r="H51" s="31" t="inlineStr">
        <is>
          <t>52W Breakout</t>
        </is>
      </c>
      <c r="I51" s="31" t="inlineStr">
        <is>
          <t>Yes</t>
        </is>
      </c>
      <c r="J51" s="31" t="n">
        <v>15</v>
      </c>
      <c r="K51" s="31" t="n">
        <v>26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NYKAA</t>
        </is>
      </c>
      <c r="E52" s="31" t="inlineStr">
        <is>
          <t>FSN E-Commerce Ventures Ltd</t>
        </is>
      </c>
      <c r="F52" s="31" t="inlineStr">
        <is>
          <t>New age - Platform - E-Retail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15</v>
      </c>
      <c r="K52" s="31" t="n">
        <v>23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SKIPPER</t>
        </is>
      </c>
      <c r="E53" s="31" t="inlineStr">
        <is>
          <t>Skipper Limited</t>
        </is>
      </c>
      <c r="F53" s="31" t="inlineStr">
        <is>
          <t>Electrical Equipments/HVDC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15</v>
      </c>
      <c r="K53" s="31" t="n">
        <v>22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LAURUSLABS</t>
        </is>
      </c>
      <c r="E54" s="31" t="inlineStr">
        <is>
          <t>Laurus Labs Limited</t>
        </is>
      </c>
      <c r="F54" s="31" t="inlineStr">
        <is>
          <t>Pharma - API &amp; CRAMS</t>
        </is>
      </c>
      <c r="G54" s="31" t="n">
        <v>2</v>
      </c>
      <c r="H54" s="31" t="inlineStr">
        <is>
          <t>52W Breakout</t>
        </is>
      </c>
      <c r="I54" s="31" t="inlineStr">
        <is>
          <t>Yes</t>
        </is>
      </c>
      <c r="J54" s="31" t="n">
        <v>14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INDOTECH</t>
        </is>
      </c>
      <c r="E55" s="31" t="inlineStr">
        <is>
          <t>Indo Tech Transformers Limited</t>
        </is>
      </c>
      <c r="F55" s="31" t="inlineStr">
        <is>
          <t>Capital Goods - Transformers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18</v>
      </c>
      <c r="K55" s="31" t="n">
        <v>23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JAYBARMARU</t>
        </is>
      </c>
      <c r="E56" s="31" t="inlineStr">
        <is>
          <t>Jay Bharat Maruti Limited</t>
        </is>
      </c>
      <c r="F56" s="31" t="inlineStr">
        <is>
          <t>Auto Ancillaries - Diversified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18</v>
      </c>
      <c r="K56" s="31" t="n">
        <v>30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KMEW</t>
        </is>
      </c>
      <c r="E57" s="31" t="inlineStr">
        <is>
          <t>Knowledge Marine &amp; Engineering Works Ltd</t>
        </is>
      </c>
      <c r="F57" s="31" t="inlineStr">
        <is>
          <t>Shipping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20</v>
      </c>
      <c r="K57" s="31" t="n">
        <v>20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NOVARTIND</t>
        </is>
      </c>
      <c r="E58" s="31" t="inlineStr">
        <is>
          <t>Novartis India Ltd</t>
        </is>
      </c>
      <c r="F58" s="31" t="inlineStr">
        <is>
          <t>Pharma - MNC bulk Drugs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21</v>
      </c>
      <c r="K58" s="31" t="n">
        <v>26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TRIVENI</t>
        </is>
      </c>
      <c r="E59" s="31" t="inlineStr">
        <is>
          <t>Triveni Engineering &amp; Industries Limited</t>
        </is>
      </c>
      <c r="F59" s="31" t="inlineStr">
        <is>
          <t>Sugar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18</v>
      </c>
      <c r="K59" s="31" t="n">
        <v>22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IPCALAB</t>
        </is>
      </c>
      <c r="E60" s="31" t="inlineStr">
        <is>
          <t>Ipca Laboratories Limited</t>
        </is>
      </c>
      <c r="F60" s="31" t="inlineStr">
        <is>
          <t>Pharma - Formulators</t>
        </is>
      </c>
      <c r="G60" s="31" t="n">
        <v>2</v>
      </c>
      <c r="H60" s="31" t="inlineStr">
        <is>
          <t>52W Breakout</t>
        </is>
      </c>
      <c r="I60" s="31" t="inlineStr">
        <is>
          <t>Yes</t>
        </is>
      </c>
      <c r="J60" s="31" t="n">
        <v>11</v>
      </c>
      <c r="K60" s="31" t="n">
        <v>23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AEGISVOPAK</t>
        </is>
      </c>
      <c r="E61" s="31" t="inlineStr">
        <is>
          <t>Aegis Vopak Terminals Ltd</t>
        </is>
      </c>
      <c r="F61" s="31" t="inlineStr">
        <is>
          <t>Miscellaneous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19</v>
      </c>
      <c r="K61" s="31" t="n">
        <v>10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JSWINFRA</t>
        </is>
      </c>
      <c r="E62" s="31" t="inlineStr">
        <is>
          <t>JSW Infrastructure Ltd</t>
        </is>
      </c>
      <c r="F62" s="31" t="inlineStr">
        <is>
          <t>Marine Port &amp; Services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16</v>
      </c>
      <c r="K62" s="31" t="n">
        <v>24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SKYGOLD</t>
        </is>
      </c>
      <c r="E63" s="31" t="inlineStr">
        <is>
          <t>Sky Gold Ltd</t>
        </is>
      </c>
      <c r="F63" s="31" t="inlineStr">
        <is>
          <t>Diamond, Gems &amp; Jewellery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25</v>
      </c>
      <c r="K63" s="31" t="n">
        <v>19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HFCL</t>
        </is>
      </c>
      <c r="E64" s="31" t="inlineStr">
        <is>
          <t>HFCL Ltd</t>
        </is>
      </c>
      <c r="F64" s="31" t="inlineStr">
        <is>
          <t>Telecom Services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17</v>
      </c>
      <c r="K64" s="31" t="n">
        <v>29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KABRAEXTRU</t>
        </is>
      </c>
      <c r="E65" s="31" t="inlineStr">
        <is>
          <t>Kabra Extrusion Technik Limited</t>
        </is>
      </c>
      <c r="F65" s="31" t="inlineStr">
        <is>
          <t>Capital Goods - Engineering Heavy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16</v>
      </c>
      <c r="K65" s="31" t="n">
        <v>11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AURUM</t>
        </is>
      </c>
      <c r="E66" s="31" t="inlineStr">
        <is>
          <t>Aurum Proptech Ltd</t>
        </is>
      </c>
      <c r="F66" s="31" t="inlineStr">
        <is>
          <t>IT Enabled Services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18</v>
      </c>
      <c r="K66" s="31" t="n">
        <v>27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YASHO</t>
        </is>
      </c>
      <c r="E67" s="31" t="inlineStr">
        <is>
          <t>Yasho Industries Ltd</t>
        </is>
      </c>
      <c r="F67" s="31" t="inlineStr">
        <is>
          <t>Speciality Chemicals</t>
        </is>
      </c>
      <c r="G67" s="31" t="n">
        <v>2</v>
      </c>
      <c r="H67" s="31" t="inlineStr">
        <is>
          <t>52W Breakout</t>
        </is>
      </c>
      <c r="I67" s="31" t="inlineStr">
        <is>
          <t>Yes</t>
        </is>
      </c>
      <c r="J67" s="31" t="n">
        <v>11</v>
      </c>
      <c r="K67" s="31" t="n">
        <v>30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CCAVENUE</t>
        </is>
      </c>
      <c r="E68" s="31" t="inlineStr">
        <is>
          <t>AvenuesAI Ltd</t>
        </is>
      </c>
      <c r="F68" s="31" t="inlineStr">
        <is>
          <t>IT - Software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16</v>
      </c>
      <c r="K68" s="31" t="n">
        <v>7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LALPATHLAB</t>
        </is>
      </c>
      <c r="E69" s="31" t="inlineStr">
        <is>
          <t>Dr. Lal Path Labs Ltd.</t>
        </is>
      </c>
      <c r="F69" s="31" t="inlineStr">
        <is>
          <t>Diagnostics</t>
        </is>
      </c>
      <c r="G69" s="31" t="n">
        <v>2</v>
      </c>
      <c r="H69" s="31" t="inlineStr">
        <is>
          <t>52W Breakout</t>
        </is>
      </c>
      <c r="I69" s="31" t="inlineStr">
        <is>
          <t>Yes</t>
        </is>
      </c>
      <c r="J69" s="31" t="n">
        <v>12</v>
      </c>
      <c r="K69" s="31" t="n">
        <v>20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SUNPHARMA</t>
        </is>
      </c>
      <c r="E70" s="31" t="inlineStr">
        <is>
          <t>Sun Pharmaceuticals Industries Limited</t>
        </is>
      </c>
      <c r="F70" s="31" t="inlineStr">
        <is>
          <t>Pharma - Formulators</t>
        </is>
      </c>
      <c r="G70" s="31" t="n">
        <v>2</v>
      </c>
      <c r="H70" s="31" t="inlineStr">
        <is>
          <t>52W Breakout</t>
        </is>
      </c>
      <c r="I70" s="31" t="inlineStr">
        <is>
          <t>Yes</t>
        </is>
      </c>
      <c r="J70" s="31" t="n">
        <v>10</v>
      </c>
      <c r="K70" s="31" t="n">
        <v>19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SIGMAADV</t>
        </is>
      </c>
      <c r="E71" s="31" t="inlineStr">
        <is>
          <t>Sigma Advanced System Ltd</t>
        </is>
      </c>
      <c r="F71" s="31" t="inlineStr">
        <is>
          <t>Aerospace &amp; Defence - Equipments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22</v>
      </c>
      <c r="K71" s="31" t="n">
        <v>30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KERNEX</t>
        </is>
      </c>
      <c r="E72" s="31" t="inlineStr">
        <is>
          <t>Kernex Microsystems (india) Limited</t>
        </is>
      </c>
      <c r="F72" s="31" t="inlineStr">
        <is>
          <t>Railways - Kavach/Springs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15</v>
      </c>
      <c r="K72" s="31" t="n">
        <v>29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IKIO</t>
        </is>
      </c>
      <c r="E73" s="31" t="inlineStr">
        <is>
          <t>IKIO Lighting Ltd</t>
        </is>
      </c>
      <c r="F73" s="31" t="inlineStr">
        <is>
          <t>Capital Goods - Electric General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17</v>
      </c>
      <c r="K73" s="31" t="n">
        <v>5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IKS</t>
        </is>
      </c>
      <c r="E74" s="31" t="inlineStr">
        <is>
          <t>Inventurus Knowledge Solutions Ltd</t>
        </is>
      </c>
      <c r="F74" s="31" t="inlineStr">
        <is>
          <t>IT Enabled Services/Business Process Outsourcing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20</v>
      </c>
      <c r="K74" s="31" t="n">
        <v>20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OBEROIRLTY</t>
        </is>
      </c>
      <c r="E75" s="31" t="inlineStr">
        <is>
          <t>Oberoi Realty Limited</t>
        </is>
      </c>
      <c r="F75" s="31" t="inlineStr">
        <is>
          <t>Realty - Regional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18</v>
      </c>
      <c r="K75" s="31" t="n">
        <v>21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CAPLIPOINT</t>
        </is>
      </c>
      <c r="E76" s="31" t="inlineStr">
        <is>
          <t>Caplin Point Laboratories Limited</t>
        </is>
      </c>
      <c r="F76" s="31" t="inlineStr">
        <is>
          <t>Pharma - Formulators</t>
        </is>
      </c>
      <c r="G76" s="31" t="n">
        <v>2</v>
      </c>
      <c r="H76" s="31" t="inlineStr">
        <is>
          <t>52W Breakout</t>
        </is>
      </c>
      <c r="I76" s="31" t="inlineStr">
        <is>
          <t>Yes</t>
        </is>
      </c>
      <c r="J76" s="31" t="n">
        <v>12</v>
      </c>
      <c r="K76" s="31" t="n">
        <v>30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ADANIENSOL</t>
        </is>
      </c>
      <c r="E77" s="31" t="inlineStr">
        <is>
          <t>Adani Energy Solutions Ltd</t>
        </is>
      </c>
      <c r="F77" s="31" t="inlineStr">
        <is>
          <t>Power - Transmission/Equipment</t>
        </is>
      </c>
      <c r="G77" s="31" t="n">
        <v>2</v>
      </c>
      <c r="H77" s="31" t="inlineStr">
        <is>
          <t>52W Breakout</t>
        </is>
      </c>
      <c r="I77" s="31" t="inlineStr">
        <is>
          <t>Yes</t>
        </is>
      </c>
      <c r="J77" s="31" t="n">
        <v>12</v>
      </c>
      <c r="K77" s="31" t="n">
        <v>25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POONAWALLA</t>
        </is>
      </c>
      <c r="E78" s="31" t="inlineStr">
        <is>
          <t>Poonawalla Fincorp Ltd</t>
        </is>
      </c>
      <c r="F78" s="31" t="inlineStr">
        <is>
          <t>Conglomerate Backed NBFC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15</v>
      </c>
      <c r="K78" s="31" t="n">
        <v>9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CHOICEIN</t>
        </is>
      </c>
      <c r="E79" s="31" t="inlineStr">
        <is>
          <t>Choice International Ltd</t>
        </is>
      </c>
      <c r="F79" s="31" t="inlineStr">
        <is>
          <t>Finance - Capital Markets - Brokers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18</v>
      </c>
      <c r="K79" s="31" t="n">
        <v>21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AZAD</t>
        </is>
      </c>
      <c r="E80" s="31" t="inlineStr">
        <is>
          <t>Azad Engineering Ltd</t>
        </is>
      </c>
      <c r="F80" s="31" t="inlineStr">
        <is>
          <t>Aerospace &amp; Defence - Equipments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17</v>
      </c>
      <c r="K80" s="31" t="n">
        <v>15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TBZ</t>
        </is>
      </c>
      <c r="E81" s="31" t="inlineStr">
        <is>
          <t>Tribhovandas Bhimji Zaveri Limited</t>
        </is>
      </c>
      <c r="F81" s="31" t="inlineStr">
        <is>
          <t>Diamond, Gems &amp; Jewellery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22</v>
      </c>
      <c r="K81" s="31" t="n">
        <v>23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PDSL</t>
        </is>
      </c>
      <c r="E82" s="31" t="inlineStr">
        <is>
          <t>PDS Ltd</t>
        </is>
      </c>
      <c r="F82" s="31" t="inlineStr">
        <is>
          <t>Services - Others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15</v>
      </c>
      <c r="K82" s="31" t="n">
        <v>16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RML</t>
        </is>
      </c>
      <c r="E83" s="31" t="inlineStr">
        <is>
          <t>Rane (madras) Limited</t>
        </is>
      </c>
      <c r="F83" s="31" t="inlineStr">
        <is>
          <t>Auto Ancillaries - Gears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16</v>
      </c>
      <c r="K83" s="31" t="n">
        <v>28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JNKINDIA</t>
        </is>
      </c>
      <c r="E84" s="31" t="inlineStr">
        <is>
          <t>JNK India Ltd</t>
        </is>
      </c>
      <c r="F84" s="31" t="inlineStr">
        <is>
          <t>Capital Goods - Engineering Heavy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21</v>
      </c>
      <c r="K84" s="31" t="n">
        <v>29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GREAVESCOT</t>
        </is>
      </c>
      <c r="E85" s="31" t="inlineStr">
        <is>
          <t>Greaves Cotton Limited</t>
        </is>
      </c>
      <c r="F85" s="31" t="inlineStr">
        <is>
          <t>Engines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17</v>
      </c>
      <c r="K85" s="31" t="n">
        <v>18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JBCHEPHARM</t>
        </is>
      </c>
      <c r="E86" s="31" t="inlineStr">
        <is>
          <t>Jb Chemicals &amp; Pharmaceuticals Limited</t>
        </is>
      </c>
      <c r="F86" s="31" t="inlineStr">
        <is>
          <t>Pharma - Formulators</t>
        </is>
      </c>
      <c r="G86" s="31" t="n">
        <v>2</v>
      </c>
      <c r="H86" s="31" t="inlineStr">
        <is>
          <t>52W Breakout</t>
        </is>
      </c>
      <c r="I86" s="31" t="inlineStr">
        <is>
          <t>Yes</t>
        </is>
      </c>
      <c r="J86" s="31" t="n">
        <v>10</v>
      </c>
      <c r="K86" s="31" t="n">
        <v>26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BLSE</t>
        </is>
      </c>
      <c r="E87" s="31" t="inlineStr">
        <is>
          <t>BLS E-Services Ltd</t>
        </is>
      </c>
      <c r="F87" s="31" t="inlineStr">
        <is>
          <t>IT - Software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16</v>
      </c>
      <c r="K87" s="31" t="n">
        <v>30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RPGLIFE</t>
        </is>
      </c>
      <c r="E88" s="31" t="inlineStr">
        <is>
          <t>Rpg Life Sciences Limited</t>
        </is>
      </c>
      <c r="F88" s="31" t="inlineStr">
        <is>
          <t>Pharma - Formulators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15</v>
      </c>
      <c r="K88" s="31" t="n">
        <v>19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APOLLOHOSP</t>
        </is>
      </c>
      <c r="E89" s="31" t="inlineStr">
        <is>
          <t>Apollo Hospitals Enterprise Limited</t>
        </is>
      </c>
      <c r="F89" s="31" t="inlineStr">
        <is>
          <t>Hospitals</t>
        </is>
      </c>
      <c r="G89" s="31" t="n">
        <v>2</v>
      </c>
      <c r="H89" s="31" t="inlineStr">
        <is>
          <t>52W Breakout</t>
        </is>
      </c>
      <c r="I89" s="31" t="inlineStr">
        <is>
          <t>Yes</t>
        </is>
      </c>
      <c r="J89" s="31" t="n">
        <v>8</v>
      </c>
      <c r="K89" s="31" t="n">
        <v>30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TORNTPHARM</t>
        </is>
      </c>
      <c r="E90" s="31" t="inlineStr">
        <is>
          <t>Torrent Pharmaceuticals Limited</t>
        </is>
      </c>
      <c r="F90" s="31" t="inlineStr">
        <is>
          <t>Pharma - Formulators</t>
        </is>
      </c>
      <c r="G90" s="31" t="n">
        <v>2</v>
      </c>
      <c r="H90" s="31" t="inlineStr">
        <is>
          <t>52W Breakout</t>
        </is>
      </c>
      <c r="I90" s="31" t="inlineStr">
        <is>
          <t>Yes</t>
        </is>
      </c>
      <c r="J90" s="31" t="n">
        <v>6</v>
      </c>
      <c r="K90" s="31" t="n">
        <v>21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DIVISLAB</t>
        </is>
      </c>
      <c r="E91" s="31" t="inlineStr">
        <is>
          <t>Divi's Laboratories Limited</t>
        </is>
      </c>
      <c r="F91" s="31" t="inlineStr">
        <is>
          <t>Pharma - API &amp; CRAMS</t>
        </is>
      </c>
      <c r="G91" s="31" t="n">
        <v>2</v>
      </c>
      <c r="H91" s="31" t="inlineStr">
        <is>
          <t>52W Breakout</t>
        </is>
      </c>
      <c r="I91" s="31" t="inlineStr">
        <is>
          <t>Yes</t>
        </is>
      </c>
      <c r="J91" s="31" t="n">
        <v>10</v>
      </c>
      <c r="K91" s="31" t="n">
        <v>11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KSL</t>
        </is>
      </c>
      <c r="E92" s="31" t="inlineStr">
        <is>
          <t>Kalyani Steels Limited</t>
        </is>
      </c>
      <c r="F92" s="31" t="inlineStr">
        <is>
          <t>Steel Products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15</v>
      </c>
      <c r="K92" s="31" t="n">
        <v>13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PAYTM</t>
        </is>
      </c>
      <c r="E93" s="31" t="inlineStr">
        <is>
          <t>One 97 Communications Ltd</t>
        </is>
      </c>
      <c r="F93" s="31" t="inlineStr">
        <is>
          <t>E-Commerce - Platform - Utility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16</v>
      </c>
      <c r="K93" s="31" t="n">
        <v>14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KAPSTON</t>
        </is>
      </c>
      <c r="E94" s="31" t="inlineStr">
        <is>
          <t>Kapston Services Ltd</t>
        </is>
      </c>
      <c r="F94" s="31" t="inlineStr">
        <is>
          <t>Services - Others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18</v>
      </c>
      <c r="K94" s="31" t="n">
        <v>22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SILVERTUC</t>
        </is>
      </c>
      <c r="E95" s="31" t="inlineStr">
        <is>
          <t>Silver Touch Technologies Ltd</t>
        </is>
      </c>
      <c r="F95" s="31" t="inlineStr">
        <is>
          <t>IT - Software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17</v>
      </c>
      <c r="K95" s="31" t="n">
        <v>20</v>
      </c>
    </row>
  </sheetData>
  <autoFilter ref="A1:K95"/>
  <conditionalFormatting sqref="G2:G9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3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IF(B2=0,"",RANK(B2,$B$2:$B$335,0))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OMAXAUTO</t>
        </is>
      </c>
      <c r="D2" s="31" t="inlineStr">
        <is>
          <t>Omax Autos Limited</t>
        </is>
      </c>
      <c r="E2" s="31" t="inlineStr">
        <is>
          <t>auto</t>
        </is>
      </c>
      <c r="F2" s="31" t="inlineStr">
        <is>
          <t>auto ancillaries</t>
        </is>
      </c>
      <c r="G2" s="31" t="inlineStr">
        <is>
          <t>smallcap</t>
        </is>
      </c>
      <c r="H2" s="32" t="n">
        <v>544.03</v>
      </c>
      <c r="I2" s="32" t="n">
        <v>250</v>
      </c>
      <c r="J2" s="32" t="n">
        <v>-1.71</v>
      </c>
      <c r="K2" s="32" t="n">
        <v>51669</v>
      </c>
      <c r="L2" s="31" t="n">
        <v>97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73.14</v>
      </c>
      <c r="P2" s="32" t="n">
        <v>56.73</v>
      </c>
      <c r="Q2" s="32" t="n">
        <v>180.62</v>
      </c>
      <c r="R2" s="31" t="inlineStr">
        <is>
          <t>Near 52W High Breakout</t>
        </is>
      </c>
      <c r="S2" s="31" t="inlineStr">
        <is>
          <t>Nifty Auto</t>
        </is>
      </c>
      <c r="T2" s="32" t="n">
        <v>11.1</v>
      </c>
      <c r="U2" s="32" t="n">
        <v>128.56</v>
      </c>
      <c r="V2" s="32" t="n">
        <v>105.72</v>
      </c>
      <c r="W2" s="32" t="n">
        <v>48.35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IF(B3=0,"",RANK(B3,$B$2:$B$335,0))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VENUSREM</t>
        </is>
      </c>
      <c r="D3" s="31" t="inlineStr">
        <is>
          <t>Venus Remedies Limited</t>
        </is>
      </c>
      <c r="E3" s="31" t="inlineStr">
        <is>
          <t>healthcare</t>
        </is>
      </c>
      <c r="F3" s="31" t="inlineStr">
        <is>
          <t>pharmaceuticals - indian - formulations</t>
        </is>
      </c>
      <c r="G3" s="31" t="inlineStr">
        <is>
          <t>smallcap</t>
        </is>
      </c>
      <c r="H3" s="32" t="n">
        <v>2413.28</v>
      </c>
      <c r="I3" s="32" t="n">
        <v>1895.6</v>
      </c>
      <c r="J3" s="32" t="n">
        <v>5</v>
      </c>
      <c r="K3" s="32" t="n">
        <v>65314</v>
      </c>
      <c r="L3" s="31" t="n">
        <v>97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73.54000000000001</v>
      </c>
      <c r="P3" s="32" t="n">
        <v>59.82</v>
      </c>
      <c r="Q3" s="32" t="n">
        <v>1427.28</v>
      </c>
      <c r="R3" s="31" t="inlineStr">
        <is>
          <t>Near 52W High Breakout</t>
        </is>
      </c>
      <c r="S3" s="31" t="inlineStr">
        <is>
          <t>Nifty Pharma</t>
        </is>
      </c>
      <c r="T3" s="32" t="n">
        <v>14.67</v>
      </c>
      <c r="U3" s="32" t="n">
        <v>243.03</v>
      </c>
      <c r="V3" s="32" t="n">
        <v>199.15</v>
      </c>
      <c r="W3" s="32" t="n">
        <v>50.29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IF(B4=0,"",RANK(B4,$B$2:$B$335,0))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INDOBORAX</t>
        </is>
      </c>
      <c r="D4" s="31" t="inlineStr">
        <is>
          <t>Indo Borax &amp; Chemicals Ltd</t>
        </is>
      </c>
      <c r="E4" s="31" t="inlineStr">
        <is>
          <t>chemicals</t>
        </is>
      </c>
      <c r="F4" s="31" t="inlineStr">
        <is>
          <t>chemicals</t>
        </is>
      </c>
      <c r="G4" s="31" t="inlineStr">
        <is>
          <t>smallcap</t>
        </is>
      </c>
      <c r="H4" s="32" t="n">
        <v>1516.73</v>
      </c>
      <c r="I4" s="32" t="n">
        <v>486.7</v>
      </c>
      <c r="J4" s="32" t="n">
        <v>2.97</v>
      </c>
      <c r="K4" s="32" t="n">
        <v>452210</v>
      </c>
      <c r="L4" s="31" t="n">
        <v>94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88.59999999999999</v>
      </c>
      <c r="P4" s="32" t="n">
        <v>67.27</v>
      </c>
      <c r="Q4" s="32" t="n">
        <v>387.92</v>
      </c>
      <c r="R4" s="31" t="inlineStr">
        <is>
          <t>Near 52W High Breakout</t>
        </is>
      </c>
      <c r="S4" s="31" t="inlineStr">
        <is>
          <t>Nifty 50</t>
        </is>
      </c>
      <c r="T4" s="32" t="n">
        <v>-3.67</v>
      </c>
      <c r="U4" s="32" t="n">
        <v>98.22</v>
      </c>
      <c r="V4" s="32" t="n">
        <v>105.77</v>
      </c>
      <c r="W4" s="32" t="n">
        <v>37.34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IF(B5=0,"",RANK(B5,$B$2:$B$335,0))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IOLCP</t>
        </is>
      </c>
      <c r="D5" s="31" t="inlineStr">
        <is>
          <t>Iol Chemicals And Pharmaceuticals Limited</t>
        </is>
      </c>
      <c r="E5" s="31" t="inlineStr">
        <is>
          <t>healthcare</t>
        </is>
      </c>
      <c r="F5" s="31" t="inlineStr">
        <is>
          <t>pharmaceuticals - indian - bulk drugs &amp; formln</t>
        </is>
      </c>
      <c r="G5" s="31" t="inlineStr">
        <is>
          <t>smallcap</t>
        </is>
      </c>
      <c r="H5" s="32" t="n">
        <v>4963.26</v>
      </c>
      <c r="I5" s="32" t="n">
        <v>173.78</v>
      </c>
      <c r="J5" s="32" t="n">
        <v>2.77</v>
      </c>
      <c r="K5" s="32" t="n">
        <v>9033619</v>
      </c>
      <c r="L5" s="31" t="n">
        <v>94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86.88</v>
      </c>
      <c r="P5" s="32" t="n">
        <v>63.82</v>
      </c>
      <c r="Q5" s="32" t="n">
        <v>133.59</v>
      </c>
      <c r="R5" s="31" t="inlineStr">
        <is>
          <t>Near 52W High Breakout</t>
        </is>
      </c>
      <c r="S5" s="31" t="inlineStr">
        <is>
          <t>Nifty Pharma</t>
        </is>
      </c>
      <c r="T5" s="32" t="n">
        <v>14.67</v>
      </c>
      <c r="U5" s="32" t="n">
        <v>91.87</v>
      </c>
      <c r="V5" s="32" t="n">
        <v>67.31999999999999</v>
      </c>
      <c r="W5" s="32" t="n">
        <v>37.59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IF(B6=0,"",RANK(B6,$B$2:$B$335,0))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INDIAGLYCO</t>
        </is>
      </c>
      <c r="D6" s="31" t="inlineStr">
        <is>
          <t>India Glycols Limited</t>
        </is>
      </c>
      <c r="E6" s="31" t="inlineStr">
        <is>
          <t>fmcg</t>
        </is>
      </c>
      <c r="F6" s="31" t="inlineStr">
        <is>
          <t>breweries &amp; distilleries</t>
        </is>
      </c>
      <c r="G6" s="31" t="inlineStr">
        <is>
          <t>midcap</t>
        </is>
      </c>
      <c r="H6" s="32" t="n">
        <v>7293.85</v>
      </c>
      <c r="I6" s="32" t="n">
        <v>1102.65</v>
      </c>
      <c r="J6" s="32" t="n">
        <v>1.33</v>
      </c>
      <c r="K6" s="32" t="n">
        <v>269893</v>
      </c>
      <c r="L6" s="31" t="n">
        <v>31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61.7</v>
      </c>
      <c r="P6" s="32" t="n">
        <v>20.61</v>
      </c>
      <c r="Q6" s="32" t="n">
        <v>911.89</v>
      </c>
      <c r="R6" s="31" t="inlineStr">
        <is>
          <t>Near 52W High Breakout</t>
        </is>
      </c>
      <c r="S6" s="31" t="inlineStr">
        <is>
          <t>Nifty FMCG</t>
        </is>
      </c>
      <c r="T6" s="32" t="n">
        <v>-14.13</v>
      </c>
      <c r="U6" s="32" t="n">
        <v>16.46</v>
      </c>
      <c r="V6" s="32" t="n">
        <v>35.62</v>
      </c>
      <c r="W6" s="32" t="n">
        <v>5.9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IF(B7=0,"",RANK(B7,$B$2:$B$335,0))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ATHERENERG</t>
        </is>
      </c>
      <c r="D7" s="31" t="inlineStr">
        <is>
          <t>Ather Energy Ltd</t>
        </is>
      </c>
      <c r="E7" s="31" t="inlineStr">
        <is>
          <t>auto</t>
        </is>
      </c>
      <c r="F7" s="31" t="inlineStr">
        <is>
          <t>automobiles - scooters and 3 - wheelers</t>
        </is>
      </c>
      <c r="G7" s="31" t="inlineStr">
        <is>
          <t>largecap</t>
        </is>
      </c>
      <c r="H7" s="32" t="n">
        <v>45384.51</v>
      </c>
      <c r="I7" s="32" t="n">
        <v>1201.8</v>
      </c>
      <c r="J7" s="32" t="n">
        <v>1.45</v>
      </c>
      <c r="K7" s="32" t="n">
        <v>3483819</v>
      </c>
      <c r="L7" s="31" t="n">
        <v>95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74.84</v>
      </c>
      <c r="P7" s="32" t="n">
        <v>54.35</v>
      </c>
      <c r="Q7" s="32" t="n">
        <v>947.63</v>
      </c>
      <c r="R7" s="31" t="inlineStr">
        <is>
          <t>Near 52W High Breakout</t>
        </is>
      </c>
      <c r="S7" s="31" t="inlineStr">
        <is>
          <t>Nifty Auto</t>
        </is>
      </c>
      <c r="T7" s="32" t="n">
        <v>11.1</v>
      </c>
      <c r="U7" s="32" t="n">
        <v>252.12</v>
      </c>
      <c r="V7" s="32" t="n">
        <v>216.93</v>
      </c>
      <c r="W7" s="32" t="n">
        <v>42.47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Negative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IF(B8=0,"",RANK(B8,$B$2:$B$335,0))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IBULLSLTD</t>
        </is>
      </c>
      <c r="D8" s="31" t="inlineStr">
        <is>
          <t>Indiabulls Limited</t>
        </is>
      </c>
      <c r="E8" s="31" t="inlineStr">
        <is>
          <t>miscellaneous</t>
        </is>
      </c>
      <c r="F8" s="31" t="inlineStr">
        <is>
          <t>diversified - medium / small</t>
        </is>
      </c>
      <c r="G8" s="31" t="inlineStr">
        <is>
          <t>midcap</t>
        </is>
      </c>
      <c r="H8" s="32" t="n">
        <v>7228.83</v>
      </c>
      <c r="I8" s="32" t="n">
        <v>30.9</v>
      </c>
      <c r="J8" s="32" t="n">
        <v>-0.64</v>
      </c>
      <c r="K8" s="32" t="n">
        <v>12388994</v>
      </c>
      <c r="L8" s="31" t="n">
        <v>92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79.84</v>
      </c>
      <c r="P8" s="32" t="n">
        <v>44.18</v>
      </c>
      <c r="Q8" s="32" t="n">
        <v>22.9</v>
      </c>
      <c r="R8" s="31" t="inlineStr">
        <is>
          <t>Near 52W High Breakout</t>
        </is>
      </c>
      <c r="S8" s="31" t="inlineStr">
        <is>
          <t>Nifty 50</t>
        </is>
      </c>
      <c r="T8" s="32" t="n">
        <v>-3.67</v>
      </c>
      <c r="U8" s="32" t="n">
        <v>98.2</v>
      </c>
      <c r="V8" s="32" t="n">
        <v>105.76</v>
      </c>
      <c r="W8" s="32" t="n">
        <v>34.79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Between 50% to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IF(B9=0,"",RANK(B9,$B$2:$B$335,0))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PGIL</t>
        </is>
      </c>
      <c r="D9" s="31" t="inlineStr">
        <is>
          <t>Pearl Global Industries Limited</t>
        </is>
      </c>
      <c r="E9" s="31" t="inlineStr">
        <is>
          <t>consumer discretionary</t>
        </is>
      </c>
      <c r="F9" s="31" t="inlineStr">
        <is>
          <t>textiles - products</t>
        </is>
      </c>
      <c r="G9" s="31" t="inlineStr">
        <is>
          <t>midcap</t>
        </is>
      </c>
      <c r="H9" s="32" t="n">
        <v>9457.16</v>
      </c>
      <c r="I9" s="32" t="n">
        <v>1997.3</v>
      </c>
      <c r="J9" s="32" t="n">
        <v>-2.54</v>
      </c>
      <c r="K9" s="32" t="n">
        <v>33289</v>
      </c>
      <c r="L9" s="31" t="n">
        <v>52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66</v>
      </c>
      <c r="P9" s="32" t="n">
        <v>43.59</v>
      </c>
      <c r="Q9" s="32" t="n">
        <v>1586.02</v>
      </c>
      <c r="R9" s="31" t="inlineStr">
        <is>
          <t>Near 52W High Breakout</t>
        </is>
      </c>
      <c r="S9" s="31" t="inlineStr">
        <is>
          <t>Nifty 50</t>
        </is>
      </c>
      <c r="T9" s="32" t="n">
        <v>-3.67</v>
      </c>
      <c r="U9" s="32" t="n">
        <v>28.77</v>
      </c>
      <c r="V9" s="32" t="n">
        <v>33.67</v>
      </c>
      <c r="W9" s="32" t="n">
        <v>10.36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Between 1.5 to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IF(B10=0,"",RANK(B10,$B$2:$B$335,0))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SAKAR</t>
        </is>
      </c>
      <c r="D10" s="31" t="inlineStr">
        <is>
          <t>Sakar Healthcare Ltd</t>
        </is>
      </c>
      <c r="E10" s="31" t="inlineStr">
        <is>
          <t>healthcare</t>
        </is>
      </c>
      <c r="F10" s="31" t="inlineStr">
        <is>
          <t>pharmaceuticals - indian - bulk drugs &amp; formln</t>
        </is>
      </c>
      <c r="G10" s="31" t="inlineStr">
        <is>
          <t>smallcap</t>
        </is>
      </c>
      <c r="H10" s="32" t="n">
        <v>1921.28</v>
      </c>
      <c r="I10" s="32" t="n">
        <v>919.9</v>
      </c>
      <c r="J10" s="32" t="n">
        <v>6.53</v>
      </c>
      <c r="K10" s="32" t="n">
        <v>798161</v>
      </c>
      <c r="L10" s="31" t="n">
        <v>91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76.31999999999999</v>
      </c>
      <c r="P10" s="32" t="n">
        <v>56.2</v>
      </c>
      <c r="Q10" s="32" t="n">
        <v>647.96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14.67</v>
      </c>
      <c r="U10" s="32" t="n">
        <v>155.93</v>
      </c>
      <c r="V10" s="32" t="n">
        <v>123.19</v>
      </c>
      <c r="W10" s="32" t="n">
        <v>33.19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IF(B11=0,"",RANK(B11,$B$2:$B$335,0))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GLAND</t>
        </is>
      </c>
      <c r="D11" s="31" t="inlineStr">
        <is>
          <t>Gland Pharma Ltd</t>
        </is>
      </c>
      <c r="E11" s="31" t="inlineStr">
        <is>
          <t>healthcare</t>
        </is>
      </c>
      <c r="F11" s="31" t="inlineStr">
        <is>
          <t>pharmaceuticals - indian - formulations</t>
        </is>
      </c>
      <c r="G11" s="31" t="inlineStr">
        <is>
          <t>largecap</t>
        </is>
      </c>
      <c r="H11" s="32" t="n">
        <v>40549.85</v>
      </c>
      <c r="I11" s="32" t="n">
        <v>2488.3</v>
      </c>
      <c r="J11" s="32" t="n">
        <v>1.1</v>
      </c>
      <c r="K11" s="32" t="n">
        <v>492111</v>
      </c>
      <c r="L11" s="31" t="n">
        <v>65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72.76000000000001</v>
      </c>
      <c r="P11" s="32" t="n">
        <v>48.61</v>
      </c>
      <c r="Q11" s="32" t="n">
        <v>2022.52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14.67</v>
      </c>
      <c r="U11" s="32" t="n">
        <v>25.56</v>
      </c>
      <c r="V11" s="32" t="n">
        <v>9.49</v>
      </c>
      <c r="W11" s="32" t="n">
        <v>13.61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IF(B12=0,"",RANK(B12,$B$2:$B$335,0))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RADICO</t>
        </is>
      </c>
      <c r="D12" s="31" t="inlineStr">
        <is>
          <t>Radico Khaitan Limited</t>
        </is>
      </c>
      <c r="E12" s="31" t="inlineStr">
        <is>
          <t>fmcg</t>
        </is>
      </c>
      <c r="F12" s="31" t="inlineStr">
        <is>
          <t>breweries &amp; distilleries</t>
        </is>
      </c>
      <c r="G12" s="31" t="inlineStr">
        <is>
          <t>largecap</t>
        </is>
      </c>
      <c r="H12" s="32" t="n">
        <v>54167.07</v>
      </c>
      <c r="I12" s="32" t="n">
        <v>4051.2</v>
      </c>
      <c r="J12" s="32" t="n">
        <v>0.14</v>
      </c>
      <c r="K12" s="32" t="n">
        <v>367386</v>
      </c>
      <c r="L12" s="31" t="n">
        <v>67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78.15000000000001</v>
      </c>
      <c r="P12" s="32" t="n">
        <v>52.26</v>
      </c>
      <c r="Q12" s="32" t="n">
        <v>3442.76</v>
      </c>
      <c r="R12" s="31" t="inlineStr">
        <is>
          <t>Near 52W High Breakout</t>
        </is>
      </c>
      <c r="S12" s="31" t="inlineStr">
        <is>
          <t>Nifty FMCG</t>
        </is>
      </c>
      <c r="T12" s="32" t="n">
        <v>-14.13</v>
      </c>
      <c r="U12" s="32" t="n">
        <v>49.25</v>
      </c>
      <c r="V12" s="32" t="n">
        <v>73.8</v>
      </c>
      <c r="W12" s="32" t="n">
        <v>14.4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IF(B13=0,"",RANK(B13,$B$2:$B$335,0))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TIPSMUSIC</t>
        </is>
      </c>
      <c r="D13" s="31" t="inlineStr">
        <is>
          <t>Tips Music Ltd</t>
        </is>
      </c>
      <c r="E13" s="31" t="inlineStr">
        <is>
          <t>media</t>
        </is>
      </c>
      <c r="F13" s="31" t="inlineStr">
        <is>
          <t>entertainment / electronic media software</t>
        </is>
      </c>
      <c r="G13" s="31" t="inlineStr">
        <is>
          <t>midcap</t>
        </is>
      </c>
      <c r="H13" s="32" t="n">
        <v>9123.98</v>
      </c>
      <c r="I13" s="32" t="n">
        <v>703.8</v>
      </c>
      <c r="J13" s="32" t="n">
        <v>-1.39</v>
      </c>
      <c r="K13" s="32" t="n">
        <v>149425</v>
      </c>
      <c r="L13" s="31" t="n">
        <v>39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63.59</v>
      </c>
      <c r="P13" s="32" t="n">
        <v>41.09</v>
      </c>
      <c r="Q13" s="32" t="n">
        <v>559.24</v>
      </c>
      <c r="R13" s="31" t="inlineStr">
        <is>
          <t>Near 52W High Breakout</t>
        </is>
      </c>
      <c r="S13" s="31" t="inlineStr">
        <is>
          <t>Nifty IT</t>
        </is>
      </c>
      <c r="T13" s="32" t="n">
        <v>-22.66</v>
      </c>
      <c r="U13" s="32" t="n">
        <v>13.31</v>
      </c>
      <c r="V13" s="32" t="n">
        <v>46.51</v>
      </c>
      <c r="W13" s="32" t="n">
        <v>7.45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IF(B14=0,"",RANK(B14,$B$2:$B$335,0))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TINNARUBR</t>
        </is>
      </c>
      <c r="D14" s="31" t="inlineStr">
        <is>
          <t>Tinna Rubber &amp; Infrastructure Ltd</t>
        </is>
      </c>
      <c r="E14" s="31" t="inlineStr">
        <is>
          <t>fmcg</t>
        </is>
      </c>
      <c r="F14" s="31" t="inlineStr">
        <is>
          <t>miscellaneous</t>
        </is>
      </c>
      <c r="G14" s="31" t="inlineStr">
        <is>
          <t>smallcap</t>
        </is>
      </c>
      <c r="H14" s="32" t="n">
        <v>1794.73</v>
      </c>
      <c r="I14" s="32" t="n">
        <v>976.9</v>
      </c>
      <c r="J14" s="32" t="n">
        <v>-1.94</v>
      </c>
      <c r="K14" s="32" t="n">
        <v>62161</v>
      </c>
      <c r="L14" s="31" t="n">
        <v>46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65.45</v>
      </c>
      <c r="P14" s="32" t="n">
        <v>26.88</v>
      </c>
      <c r="Q14" s="32" t="n">
        <v>725.83</v>
      </c>
      <c r="R14" s="31" t="inlineStr">
        <is>
          <t>Near 52W High Breakout</t>
        </is>
      </c>
      <c r="S14" s="31" t="inlineStr">
        <is>
          <t>Nifty FMCG</t>
        </is>
      </c>
      <c r="T14" s="32" t="n">
        <v>-14.13</v>
      </c>
      <c r="U14" s="32" t="n">
        <v>-0.26</v>
      </c>
      <c r="V14" s="32" t="n">
        <v>16.15</v>
      </c>
      <c r="W14" s="32" t="n">
        <v>8.970000000000001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IF(B15=0,"",RANK(B15,$B$2:$B$335,0))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ADFFOODS</t>
        </is>
      </c>
      <c r="D15" s="31" t="inlineStr">
        <is>
          <t>Adf Foods Limited</t>
        </is>
      </c>
      <c r="E15" s="31" t="inlineStr">
        <is>
          <t>fmcg</t>
        </is>
      </c>
      <c r="F15" s="31" t="inlineStr">
        <is>
          <t>food - processing - indian</t>
        </is>
      </c>
      <c r="G15" s="31" t="inlineStr">
        <is>
          <t>smallcap</t>
        </is>
      </c>
      <c r="H15" s="32" t="n">
        <v>3509.59</v>
      </c>
      <c r="I15" s="32" t="n">
        <v>312.55</v>
      </c>
      <c r="J15" s="32" t="n">
        <v>-2.16</v>
      </c>
      <c r="K15" s="32" t="n">
        <v>149859</v>
      </c>
      <c r="L15" s="31" t="n">
        <v>61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66.59999999999999</v>
      </c>
      <c r="P15" s="32" t="n">
        <v>41.23</v>
      </c>
      <c r="Q15" s="32" t="n">
        <v>236.06</v>
      </c>
      <c r="R15" s="31" t="inlineStr">
        <is>
          <t>Near 52W High Breakout</t>
        </is>
      </c>
      <c r="S15" s="31" t="inlineStr">
        <is>
          <t>Nifty FMCG</t>
        </is>
      </c>
      <c r="T15" s="32" t="n">
        <v>-14.13</v>
      </c>
      <c r="U15" s="32" t="n">
        <v>15.05</v>
      </c>
      <c r="V15" s="32" t="n">
        <v>33.98</v>
      </c>
      <c r="W15" s="32" t="n">
        <v>12.56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Less than 50%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IF(B16=0,"",RANK(B16,$B$2:$B$335,0))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SKMEGGPROD</t>
        </is>
      </c>
      <c r="D16" s="31" t="inlineStr">
        <is>
          <t>Skm Egg Products Export (india) Limited</t>
        </is>
      </c>
      <c r="E16" s="31" t="inlineStr">
        <is>
          <t>fmcg</t>
        </is>
      </c>
      <c r="F16" s="31" t="inlineStr">
        <is>
          <t>food - processing - indian</t>
        </is>
      </c>
      <c r="G16" s="31" t="inlineStr">
        <is>
          <t>smallcap</t>
        </is>
      </c>
      <c r="H16" s="32" t="n">
        <v>1900.5</v>
      </c>
      <c r="I16" s="32" t="n">
        <v>352.25</v>
      </c>
      <c r="J16" s="32" t="n">
        <v>-2.4</v>
      </c>
      <c r="K16" s="32" t="n">
        <v>978837</v>
      </c>
      <c r="L16" s="31" t="n">
        <v>96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83.06999999999999</v>
      </c>
      <c r="P16" s="32" t="n">
        <v>40.24</v>
      </c>
      <c r="Q16" s="32" t="n">
        <v>260.22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-14.13</v>
      </c>
      <c r="U16" s="32" t="n">
        <v>140.94</v>
      </c>
      <c r="V16" s="32" t="n">
        <v>180.58</v>
      </c>
      <c r="W16" s="32" t="n">
        <v>43.16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IF(B17=0,"",RANK(B17,$B$2:$B$335,0))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SUVEN</t>
        </is>
      </c>
      <c r="D17" s="31" t="inlineStr">
        <is>
          <t>Suven Life Sciences Limited</t>
        </is>
      </c>
      <c r="E17" s="31" t="inlineStr">
        <is>
          <t>healthcare</t>
        </is>
      </c>
      <c r="F17" s="31" t="inlineStr">
        <is>
          <t>miscellaneous</t>
        </is>
      </c>
      <c r="G17" s="31" t="inlineStr">
        <is>
          <t>midcap</t>
        </is>
      </c>
      <c r="H17" s="32" t="n">
        <v>9482.07</v>
      </c>
      <c r="I17" s="32" t="n">
        <v>348.2</v>
      </c>
      <c r="J17" s="32" t="n">
        <v>-3.16</v>
      </c>
      <c r="K17" s="32" t="n">
        <v>762735</v>
      </c>
      <c r="L17" s="31" t="n">
        <v>85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74.42</v>
      </c>
      <c r="P17" s="32" t="n">
        <v>45.32</v>
      </c>
      <c r="Q17" s="32" t="n">
        <v>258.38</v>
      </c>
      <c r="R17" s="31" t="inlineStr">
        <is>
          <t>Near 52W High Breakout</t>
        </is>
      </c>
      <c r="S17" s="31" t="inlineStr">
        <is>
          <t>Nifty Pharma</t>
        </is>
      </c>
      <c r="T17" s="32" t="n">
        <v>14.67</v>
      </c>
      <c r="U17" s="32" t="n">
        <v>19.65</v>
      </c>
      <c r="V17" s="32" t="n">
        <v>4.34</v>
      </c>
      <c r="W17" s="32" t="n">
        <v>25.98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IF(B18=0,"",RANK(B18,$B$2:$B$335,0))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RPTECH</t>
        </is>
      </c>
      <c r="D18" s="31" t="inlineStr">
        <is>
          <t>Rashi Peripherals Ltd</t>
        </is>
      </c>
      <c r="E18" s="31" t="inlineStr">
        <is>
          <t>services</t>
        </is>
      </c>
      <c r="F18" s="31" t="inlineStr">
        <is>
          <t>trading</t>
        </is>
      </c>
      <c r="G18" s="31" t="inlineStr">
        <is>
          <t>midcap</t>
        </is>
      </c>
      <c r="H18" s="32" t="n">
        <v>5129.3</v>
      </c>
      <c r="I18" s="32" t="n">
        <v>777.7</v>
      </c>
      <c r="J18" s="32" t="n">
        <v>-0.08</v>
      </c>
      <c r="K18" s="32" t="n">
        <v>398642</v>
      </c>
      <c r="L18" s="31" t="n">
        <v>93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84.04000000000001</v>
      </c>
      <c r="P18" s="32" t="n">
        <v>71.56</v>
      </c>
      <c r="Q18" s="32" t="n">
        <v>609.38</v>
      </c>
      <c r="R18" s="31" t="inlineStr">
        <is>
          <t>Near 52W High Breakout</t>
        </is>
      </c>
      <c r="S18" s="31" t="inlineStr">
        <is>
          <t>Nifty 50</t>
        </is>
      </c>
      <c r="T18" s="32" t="n">
        <v>-3.67</v>
      </c>
      <c r="U18" s="32" t="n">
        <v>146.59</v>
      </c>
      <c r="V18" s="32" t="n">
        <v>155.98</v>
      </c>
      <c r="W18" s="32" t="n">
        <v>36.25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IF(B19=0,"",RANK(B19,$B$2:$B$335,0))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PRECOT</t>
        </is>
      </c>
      <c r="D19" s="31" t="inlineStr">
        <is>
          <t>Precot Meridian Limited</t>
        </is>
      </c>
      <c r="E19" s="31" t="inlineStr">
        <is>
          <t>textiles</t>
        </is>
      </c>
      <c r="F19" s="31" t="inlineStr">
        <is>
          <t>textiles - cotton/blended</t>
        </is>
      </c>
      <c r="G19" s="31" t="inlineStr">
        <is>
          <t>smallcap</t>
        </is>
      </c>
      <c r="H19" s="32" t="n">
        <v>955.8</v>
      </c>
      <c r="I19" s="32" t="n">
        <v>794.45</v>
      </c>
      <c r="J19" s="32" t="n">
        <v>-0.26</v>
      </c>
      <c r="K19" s="32" t="n">
        <v>6229</v>
      </c>
      <c r="L19" s="31" t="n">
        <v>78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67.34</v>
      </c>
      <c r="P19" s="32" t="n">
        <v>43.84</v>
      </c>
      <c r="Q19" s="32" t="n">
        <v>577.17</v>
      </c>
      <c r="R19" s="31" t="inlineStr">
        <is>
          <t>Near 52W High Breakout</t>
        </is>
      </c>
      <c r="S19" s="31" t="inlineStr">
        <is>
          <t>Nifty 50</t>
        </is>
      </c>
      <c r="T19" s="32" t="n">
        <v>-3.67</v>
      </c>
      <c r="U19" s="32" t="n">
        <v>29.22</v>
      </c>
      <c r="V19" s="32" t="n">
        <v>34.14</v>
      </c>
      <c r="W19" s="32" t="n">
        <v>19.59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Between 0.7 to 1.2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IF(B20=0,"",RANK(B20,$B$2:$B$335,0))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KANORICHEM</t>
        </is>
      </c>
      <c r="D20" s="31" t="inlineStr">
        <is>
          <t>Kanoria Chemicals &amp; Industries Limited</t>
        </is>
      </c>
      <c r="E20" s="31" t="inlineStr">
        <is>
          <t>chemicals</t>
        </is>
      </c>
      <c r="F20" s="31" t="inlineStr">
        <is>
          <t>chemicals</t>
        </is>
      </c>
      <c r="G20" s="31" t="inlineStr">
        <is>
          <t>smallcap</t>
        </is>
      </c>
      <c r="H20" s="32" t="n">
        <v>582.6900000000001</v>
      </c>
      <c r="I20" s="32" t="n">
        <v>132.63</v>
      </c>
      <c r="J20" s="32" t="n">
        <v>-0.55</v>
      </c>
      <c r="K20" s="32" t="n">
        <v>13440</v>
      </c>
      <c r="L20" s="31" t="n">
        <v>85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73.15000000000001</v>
      </c>
      <c r="P20" s="32" t="n">
        <v>41.16</v>
      </c>
      <c r="Q20" s="32" t="n">
        <v>102.01</v>
      </c>
      <c r="R20" s="31" t="inlineStr">
        <is>
          <t>Near 52W High Breakout</t>
        </is>
      </c>
      <c r="S20" s="31" t="inlineStr">
        <is>
          <t>Nifty 50</t>
        </is>
      </c>
      <c r="T20" s="32" t="n">
        <v>-3.67</v>
      </c>
      <c r="U20" s="32" t="n">
        <v>46.12</v>
      </c>
      <c r="V20" s="32" t="n">
        <v>51.68</v>
      </c>
      <c r="W20" s="32" t="n">
        <v>25.62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IF(B21=0,"",RANK(B21,$B$2:$B$335,0))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SYRMA</t>
        </is>
      </c>
      <c r="D21" s="31" t="inlineStr">
        <is>
          <t>Syrma SGS Technology Ltd</t>
        </is>
      </c>
      <c r="E21" s="31" t="inlineStr">
        <is>
          <t>consumer discretionary</t>
        </is>
      </c>
      <c r="F21" s="31" t="inlineStr">
        <is>
          <t>electronics - components</t>
        </is>
      </c>
      <c r="G21" s="31" t="inlineStr">
        <is>
          <t>largecap</t>
        </is>
      </c>
      <c r="H21" s="32" t="n">
        <v>27607.54</v>
      </c>
      <c r="I21" s="32" t="n">
        <v>1421.8</v>
      </c>
      <c r="J21" s="32" t="n">
        <v>-0.6899999999999999</v>
      </c>
      <c r="K21" s="32" t="n">
        <v>528629</v>
      </c>
      <c r="L21" s="31" t="n">
        <v>86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73.06</v>
      </c>
      <c r="P21" s="32" t="n">
        <v>55.55</v>
      </c>
      <c r="Q21" s="32" t="n">
        <v>1152.8</v>
      </c>
      <c r="R21" s="31" t="inlineStr">
        <is>
          <t>Near 52W High Breakout</t>
        </is>
      </c>
      <c r="S21" s="31" t="inlineStr">
        <is>
          <t>Nifty 50</t>
        </is>
      </c>
      <c r="T21" s="32" t="n">
        <v>-3.67</v>
      </c>
      <c r="U21" s="32" t="n">
        <v>102</v>
      </c>
      <c r="V21" s="32" t="n">
        <v>109.7</v>
      </c>
      <c r="W21" s="32" t="n">
        <v>26.13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Between 1.5 to 2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IF(B22=0,"",RANK(B22,$B$2:$B$335,0))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RISHABH</t>
        </is>
      </c>
      <c r="D22" s="31" t="inlineStr">
        <is>
          <t>Rishabh Instruments Ltd</t>
        </is>
      </c>
      <c r="E22" s="31" t="inlineStr">
        <is>
          <t>industrials</t>
        </is>
      </c>
      <c r="F22" s="31" t="inlineStr">
        <is>
          <t>electric equipment</t>
        </is>
      </c>
      <c r="G22" s="31" t="inlineStr">
        <is>
          <t>smallcap</t>
        </is>
      </c>
      <c r="H22" s="32" t="n">
        <v>2543.65</v>
      </c>
      <c r="I22" s="32" t="n">
        <v>653.15</v>
      </c>
      <c r="J22" s="32" t="n">
        <v>-1.02</v>
      </c>
      <c r="K22" s="32" t="n">
        <v>99868</v>
      </c>
      <c r="L22" s="31" t="n">
        <v>86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71.31999999999999</v>
      </c>
      <c r="P22" s="32" t="n">
        <v>41.41</v>
      </c>
      <c r="Q22" s="32" t="n">
        <v>490.59</v>
      </c>
      <c r="R22" s="31" t="inlineStr">
        <is>
          <t>Near 52W High Breakout</t>
        </is>
      </c>
      <c r="S22" s="31" t="inlineStr">
        <is>
          <t>Nifty 50</t>
        </is>
      </c>
      <c r="T22" s="32" t="n">
        <v>-3.67</v>
      </c>
      <c r="U22" s="32" t="n">
        <v>117.83</v>
      </c>
      <c r="V22" s="32" t="n">
        <v>126.12</v>
      </c>
      <c r="W22" s="32" t="n">
        <v>26.42</v>
      </c>
      <c r="X22" s="31" t="inlineStr">
        <is>
          <t>Cyclical in an Upturn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IF(B23=0,"",RANK(B23,$B$2:$B$335,0))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MENONBE</t>
        </is>
      </c>
      <c r="D23" s="31" t="inlineStr">
        <is>
          <t>Menon Bearings Limited</t>
        </is>
      </c>
      <c r="E23" s="31" t="inlineStr">
        <is>
          <t>auto</t>
        </is>
      </c>
      <c r="F23" s="31" t="inlineStr">
        <is>
          <t>auto ancillaries</t>
        </is>
      </c>
      <c r="G23" s="31" t="inlineStr">
        <is>
          <t>smallcap</t>
        </is>
      </c>
      <c r="H23" s="32" t="n">
        <v>1006.48</v>
      </c>
      <c r="I23" s="32" t="n">
        <v>177.05</v>
      </c>
      <c r="J23" s="32" t="n">
        <v>-1.42</v>
      </c>
      <c r="K23" s="32" t="n">
        <v>36362</v>
      </c>
      <c r="L23" s="31" t="n">
        <v>74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68.7</v>
      </c>
      <c r="P23" s="32" t="n">
        <v>41.95</v>
      </c>
      <c r="Q23" s="32" t="n">
        <v>131.69</v>
      </c>
      <c r="R23" s="31" t="inlineStr">
        <is>
          <t>Near 52W High Breakout</t>
        </is>
      </c>
      <c r="S23" s="31" t="inlineStr">
        <is>
          <t>Nifty Auto</t>
        </is>
      </c>
      <c r="T23" s="32" t="n">
        <v>11.1</v>
      </c>
      <c r="U23" s="32" t="n">
        <v>42.77</v>
      </c>
      <c r="V23" s="32" t="n">
        <v>28.51</v>
      </c>
      <c r="W23" s="32" t="n">
        <v>17.02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Less than 50%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IF(B24=0,"",RANK(B24,$B$2:$B$335,0))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UNIPARTS</t>
        </is>
      </c>
      <c r="D24" s="31" t="inlineStr">
        <is>
          <t>Uniparts India Ltd</t>
        </is>
      </c>
      <c r="E24" s="31" t="inlineStr">
        <is>
          <t>industrials</t>
        </is>
      </c>
      <c r="F24" s="31" t="inlineStr">
        <is>
          <t>engineering</t>
        </is>
      </c>
      <c r="G24" s="31" t="inlineStr">
        <is>
          <t>smallcap</t>
        </is>
      </c>
      <c r="H24" s="32" t="n">
        <v>3136.54</v>
      </c>
      <c r="I24" s="32" t="n">
        <v>684</v>
      </c>
      <c r="J24" s="32" t="n">
        <v>-1.55</v>
      </c>
      <c r="K24" s="32" t="n">
        <v>134180</v>
      </c>
      <c r="L24" s="31" t="n">
        <v>80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68.84999999999999</v>
      </c>
      <c r="P24" s="32" t="n">
        <v>52.95</v>
      </c>
      <c r="Q24" s="32" t="n">
        <v>553.63</v>
      </c>
      <c r="R24" s="31" t="inlineStr">
        <is>
          <t>Near 52W High Breakout</t>
        </is>
      </c>
      <c r="S24" s="31" t="inlineStr">
        <is>
          <t>Nifty 50</t>
        </is>
      </c>
      <c r="T24" s="32" t="n">
        <v>-3.67</v>
      </c>
      <c r="U24" s="32" t="n">
        <v>90.76000000000001</v>
      </c>
      <c r="V24" s="32" t="n">
        <v>98.03</v>
      </c>
      <c r="W24" s="32" t="n">
        <v>21.76</v>
      </c>
      <c r="X24" s="31" t="inlineStr">
        <is>
          <t>Cyclical in an Upturn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IF(B25=0,"",RANK(B25,$B$2:$B$335,0))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STOVEKRAFT</t>
        </is>
      </c>
      <c r="D25" s="31" t="inlineStr">
        <is>
          <t>Stove Kraft Ltd</t>
        </is>
      </c>
      <c r="E25" s="31" t="inlineStr">
        <is>
          <t>consumer discretionary</t>
        </is>
      </c>
      <c r="F25" s="31" t="inlineStr">
        <is>
          <t>domestic appliances</t>
        </is>
      </c>
      <c r="G25" s="31" t="inlineStr">
        <is>
          <t>smallcap</t>
        </is>
      </c>
      <c r="H25" s="32" t="n">
        <v>2619.29</v>
      </c>
      <c r="I25" s="32" t="n">
        <v>772.05</v>
      </c>
      <c r="J25" s="32" t="n">
        <v>-2.41</v>
      </c>
      <c r="K25" s="32" t="n">
        <v>93404</v>
      </c>
      <c r="L25" s="31" t="n">
        <v>68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71.55</v>
      </c>
      <c r="P25" s="32" t="n">
        <v>40.93</v>
      </c>
      <c r="Q25" s="32" t="n">
        <v>629.02</v>
      </c>
      <c r="R25" s="31" t="inlineStr">
        <is>
          <t>Near 52W High Breakout</t>
        </is>
      </c>
      <c r="S25" s="31" t="inlineStr">
        <is>
          <t>Nifty 50</t>
        </is>
      </c>
      <c r="T25" s="32" t="n">
        <v>-3.67</v>
      </c>
      <c r="U25" s="32" t="n">
        <v>25.95</v>
      </c>
      <c r="V25" s="32" t="n">
        <v>30.75</v>
      </c>
      <c r="W25" s="32" t="n">
        <v>14.63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IF(B26=0,"",RANK(B26,$B$2:$B$335,0))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PPAP</t>
        </is>
      </c>
      <c r="D26" s="31" t="inlineStr">
        <is>
          <t>Ppap Automotive Limited</t>
        </is>
      </c>
      <c r="E26" s="31" t="inlineStr">
        <is>
          <t>auto</t>
        </is>
      </c>
      <c r="F26" s="31" t="inlineStr">
        <is>
          <t>auto ancillaries</t>
        </is>
      </c>
      <c r="G26" s="31" t="inlineStr">
        <is>
          <t>smallcap</t>
        </is>
      </c>
      <c r="H26" s="32" t="n">
        <v>525.28</v>
      </c>
      <c r="I26" s="32" t="n">
        <v>338.02</v>
      </c>
      <c r="J26" s="32" t="n">
        <v>-9.17</v>
      </c>
      <c r="K26" s="32" t="n">
        <v>529685</v>
      </c>
      <c r="L26" s="31" t="n">
        <v>82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73.92</v>
      </c>
      <c r="P26" s="32" t="n">
        <v>27.92</v>
      </c>
      <c r="Q26" s="32" t="n">
        <v>239.95</v>
      </c>
      <c r="R26" s="31" t="inlineStr">
        <is>
          <t>Volume Spike &amp; Near 52W High Breakout</t>
        </is>
      </c>
      <c r="S26" s="31" t="inlineStr">
        <is>
          <t>Nifty Auto</t>
        </is>
      </c>
      <c r="T26" s="32" t="n">
        <v>11.1</v>
      </c>
      <c r="U26" s="32" t="n">
        <v>50.6</v>
      </c>
      <c r="V26" s="32" t="n">
        <v>35.55</v>
      </c>
      <c r="W26" s="32" t="n">
        <v>23.25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IF(B27=0,"",RANK(B27,$B$2:$B$335,0))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CUPID</t>
        </is>
      </c>
      <c r="D27" s="31" t="inlineStr">
        <is>
          <t>Cupid Limited</t>
        </is>
      </c>
      <c r="E27" s="31" t="inlineStr">
        <is>
          <t>fmcg</t>
        </is>
      </c>
      <c r="F27" s="31" t="inlineStr">
        <is>
          <t>personal care - indian</t>
        </is>
      </c>
      <c r="G27" s="31" t="inlineStr">
        <is>
          <t>largecap</t>
        </is>
      </c>
      <c r="H27" s="32" t="n">
        <v>27811.62</v>
      </c>
      <c r="I27" s="32" t="n">
        <v>216.77</v>
      </c>
      <c r="J27" s="32" t="n">
        <v>4.81</v>
      </c>
      <c r="K27" s="32" t="n">
        <v>61486978</v>
      </c>
      <c r="L27" s="31" t="n">
        <v>99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89.06999999999999</v>
      </c>
      <c r="P27" s="32" t="n">
        <v>63.35</v>
      </c>
      <c r="Q27" s="32" t="n">
        <v>170.59</v>
      </c>
      <c r="R27" s="31" t="inlineStr">
        <is>
          <t>Near 52W High Breakout</t>
        </is>
      </c>
      <c r="S27" s="31" t="inlineStr">
        <is>
          <t>Nifty FMCG</t>
        </is>
      </c>
      <c r="T27" s="32" t="n">
        <v>-14.13</v>
      </c>
      <c r="U27" s="32" t="n">
        <v>638.47</v>
      </c>
      <c r="V27" s="32" t="n">
        <v>759.9400000000001</v>
      </c>
      <c r="W27" s="32" t="n">
        <v>77.28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IF(B28=0,"",RANK(B28,$B$2:$B$335,0))</f>
        <v/>
      </c>
      <c r="B28" s="32">
        <f>SUM(N28,Y28,AA28,AC28,AE28,AG28,AI28,AK28,AM28,AO28,AQ28,AS28,AU28,AW28,AY28,BA28,BC28,BE28,BG28,BI28,BK28,BM28,BO28,BQ28,BS28,BU28,BW28,BY28,CA28,CC28,CE28)</f>
        <v/>
      </c>
      <c r="C28" s="33" t="inlineStr">
        <is>
          <t>MARKSANS</t>
        </is>
      </c>
      <c r="D28" s="33" t="inlineStr">
        <is>
          <t>Marksans Pharma Limited</t>
        </is>
      </c>
      <c r="E28" s="31" t="inlineStr">
        <is>
          <t>healthcare</t>
        </is>
      </c>
      <c r="F28" s="31" t="inlineStr">
        <is>
          <t>pharmaceuticals - indian - formulations</t>
        </is>
      </c>
      <c r="G28" s="31" t="inlineStr">
        <is>
          <t>midcap</t>
        </is>
      </c>
      <c r="H28" s="32" t="n">
        <v>12203.7</v>
      </c>
      <c r="I28" s="32" t="n">
        <v>270.95</v>
      </c>
      <c r="J28" s="32" t="n">
        <v>0.61</v>
      </c>
      <c r="K28" s="32" t="n">
        <v>1442967</v>
      </c>
      <c r="L28" s="31" t="n">
        <v>68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74.03</v>
      </c>
      <c r="P28" s="32" t="n">
        <v>47.29</v>
      </c>
      <c r="Q28" s="32" t="n">
        <v>213.68</v>
      </c>
      <c r="R28" s="31" t="inlineStr">
        <is>
          <t>Near 52W High Breakout</t>
        </is>
      </c>
      <c r="S28" s="31" t="inlineStr">
        <is>
          <t>Nifty Pharma</t>
        </is>
      </c>
      <c r="T28" s="32" t="n">
        <v>14.67</v>
      </c>
      <c r="U28" s="32" t="n">
        <v>6.32</v>
      </c>
      <c r="V28" s="32" t="n">
        <v>-7.28</v>
      </c>
      <c r="W28" s="32" t="n">
        <v>14.63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IF(B29=0,"",RANK(B29,$B$2:$B$335,0))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PGHL</t>
        </is>
      </c>
      <c r="D29" s="31" t="inlineStr">
        <is>
          <t>Procter &amp; Gamble Health Ltd</t>
        </is>
      </c>
      <c r="E29" s="31" t="inlineStr">
        <is>
          <t>healthcare</t>
        </is>
      </c>
      <c r="F29" s="31" t="inlineStr">
        <is>
          <t>pharmaceuticals - multinational</t>
        </is>
      </c>
      <c r="G29" s="31" t="inlineStr">
        <is>
          <t>midcap</t>
        </is>
      </c>
      <c r="H29" s="32" t="n">
        <v>11398.8</v>
      </c>
      <c r="I29" s="32" t="n">
        <v>6900</v>
      </c>
      <c r="J29" s="32" t="n">
        <v>0.48</v>
      </c>
      <c r="K29" s="32" t="n">
        <v>42343</v>
      </c>
      <c r="L29" s="31" t="n">
        <v>63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82.72</v>
      </c>
      <c r="P29" s="32" t="n">
        <v>61.02</v>
      </c>
      <c r="Q29" s="32" t="n">
        <v>5941.03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14.67</v>
      </c>
      <c r="U29" s="32" t="n">
        <v>22.43</v>
      </c>
      <c r="V29" s="32" t="n">
        <v>6.77</v>
      </c>
      <c r="W29" s="32" t="n">
        <v>13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IF(B30=0,"",RANK(B30,$B$2:$B$335,0))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CCL</t>
        </is>
      </c>
      <c r="D30" s="31" t="inlineStr">
        <is>
          <t>Ccl Products (india) Limited</t>
        </is>
      </c>
      <c r="E30" s="31" t="inlineStr">
        <is>
          <t>fmcg</t>
        </is>
      </c>
      <c r="F30" s="31" t="inlineStr">
        <is>
          <t>tea</t>
        </is>
      </c>
      <c r="G30" s="31" t="inlineStr">
        <is>
          <t>midcap</t>
        </is>
      </c>
      <c r="H30" s="32" t="n">
        <v>16419.93</v>
      </c>
      <c r="I30" s="32" t="n">
        <v>1229.5</v>
      </c>
      <c r="J30" s="32" t="n">
        <v>-0.02</v>
      </c>
      <c r="K30" s="32" t="n">
        <v>192787</v>
      </c>
      <c r="L30" s="31" t="n">
        <v>51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72.36</v>
      </c>
      <c r="P30" s="32" t="n">
        <v>46.59</v>
      </c>
      <c r="Q30" s="32" t="n">
        <v>1002.12</v>
      </c>
      <c r="R30" s="31" t="inlineStr">
        <is>
          <t>Near 52W High Breakout</t>
        </is>
      </c>
      <c r="S30" s="31" t="inlineStr">
        <is>
          <t>Nifty FMCG</t>
        </is>
      </c>
      <c r="T30" s="32" t="n">
        <v>-14.13</v>
      </c>
      <c r="U30" s="32" t="n">
        <v>42.27</v>
      </c>
      <c r="V30" s="32" t="n">
        <v>65.67</v>
      </c>
      <c r="W30" s="32" t="n">
        <v>10.17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B2C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Between 12 to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IF(B31=0,"",RANK(B31,$B$2:$B$335,0))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ASTERDM</t>
        </is>
      </c>
      <c r="D31" s="31" t="inlineStr">
        <is>
          <t>Aster DM Healthcare Ltd</t>
        </is>
      </c>
      <c r="E31" s="31" t="inlineStr">
        <is>
          <t>healthcare</t>
        </is>
      </c>
      <c r="F31" s="31" t="inlineStr">
        <is>
          <t>healthcare</t>
        </is>
      </c>
      <c r="G31" s="31" t="inlineStr">
        <is>
          <t>largecap</t>
        </is>
      </c>
      <c r="H31" s="32" t="n">
        <v>42221.68</v>
      </c>
      <c r="I31" s="32" t="n">
        <v>813.2</v>
      </c>
      <c r="J31" s="32" t="n">
        <v>-0.21</v>
      </c>
      <c r="K31" s="32" t="n">
        <v>521787</v>
      </c>
      <c r="L31" s="31" t="n">
        <v>55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67</v>
      </c>
      <c r="P31" s="32" t="n">
        <v>47.66</v>
      </c>
      <c r="Q31" s="32" t="n">
        <v>666.99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14.67</v>
      </c>
      <c r="U31" s="32" t="n">
        <v>37.58</v>
      </c>
      <c r="V31" s="32" t="n">
        <v>19.98</v>
      </c>
      <c r="W31" s="32" t="n">
        <v>11.06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Between 1.5 to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IF(B32=0,"",RANK(B32,$B$2:$B$335,0))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BLISSGVS</t>
        </is>
      </c>
      <c r="D32" s="31" t="inlineStr">
        <is>
          <t>Bliss Gvs Pharma Limited</t>
        </is>
      </c>
      <c r="E32" s="31" t="inlineStr">
        <is>
          <t>healthcare</t>
        </is>
      </c>
      <c r="F32" s="31" t="inlineStr">
        <is>
          <t>pharmaceuticals - indian - formulations</t>
        </is>
      </c>
      <c r="G32" s="31" t="inlineStr">
        <is>
          <t>midcap</t>
        </is>
      </c>
      <c r="H32" s="32" t="n">
        <v>5544.4</v>
      </c>
      <c r="I32" s="32" t="n">
        <v>521</v>
      </c>
      <c r="J32" s="32" t="n">
        <v>-0.59</v>
      </c>
      <c r="K32" s="32" t="n">
        <v>110942</v>
      </c>
      <c r="L32" s="31" t="n">
        <v>97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90.48</v>
      </c>
      <c r="P32" s="32" t="n">
        <v>74.76000000000001</v>
      </c>
      <c r="Q32" s="32" t="n">
        <v>405.4</v>
      </c>
      <c r="R32" s="31" t="inlineStr">
        <is>
          <t>Near 52W High Breakout</t>
        </is>
      </c>
      <c r="S32" s="31" t="inlineStr">
        <is>
          <t>Nifty Pharma</t>
        </is>
      </c>
      <c r="T32" s="32" t="n">
        <v>14.67</v>
      </c>
      <c r="U32" s="32" t="n">
        <v>226.57</v>
      </c>
      <c r="V32" s="32" t="n">
        <v>184.79</v>
      </c>
      <c r="W32" s="32" t="n">
        <v>52.57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IF(B33=0,"",RANK(B33,$B$2:$B$335,0))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THANGAMAYL</t>
        </is>
      </c>
      <c r="D33" s="31" t="inlineStr">
        <is>
          <t>Thangamayil Jewellery Limited</t>
        </is>
      </c>
      <c r="E33" s="31" t="inlineStr">
        <is>
          <t>consumer discretionary</t>
        </is>
      </c>
      <c r="F33" s="31" t="inlineStr">
        <is>
          <t>diamond cutting / jewellery</t>
        </is>
      </c>
      <c r="G33" s="31" t="inlineStr">
        <is>
          <t>midcap</t>
        </is>
      </c>
      <c r="H33" s="32" t="n">
        <v>19373.42</v>
      </c>
      <c r="I33" s="32" t="n">
        <v>6459</v>
      </c>
      <c r="J33" s="32" t="n">
        <v>3.63</v>
      </c>
      <c r="K33" s="32" t="n">
        <v>314025</v>
      </c>
      <c r="L33" s="31" t="n">
        <v>95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76.29000000000001</v>
      </c>
      <c r="P33" s="32" t="n">
        <v>47.66</v>
      </c>
      <c r="Q33" s="32" t="n">
        <v>4901.13</v>
      </c>
      <c r="R33" s="31" t="inlineStr">
        <is>
          <t>Near 52W High Breakout</t>
        </is>
      </c>
      <c r="S33" s="31" t="inlineStr">
        <is>
          <t>Nifty 50</t>
        </is>
      </c>
      <c r="T33" s="32" t="n">
        <v>-3.67</v>
      </c>
      <c r="U33" s="32" t="n">
        <v>243.89</v>
      </c>
      <c r="V33" s="32" t="n">
        <v>256.99</v>
      </c>
      <c r="W33" s="32" t="n">
        <v>42.99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IF(B34=0,"",RANK(B34,$B$2:$B$335,0))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CENTENKA</t>
        </is>
      </c>
      <c r="D34" s="31" t="inlineStr">
        <is>
          <t>Century Enka Limited</t>
        </is>
      </c>
      <c r="E34" s="31" t="inlineStr">
        <is>
          <t>textiles</t>
        </is>
      </c>
      <c r="F34" s="31" t="inlineStr">
        <is>
          <t>textiles - manmade</t>
        </is>
      </c>
      <c r="G34" s="31" t="inlineStr">
        <is>
          <t>smallcap</t>
        </is>
      </c>
      <c r="H34" s="32" t="n">
        <v>1157.32</v>
      </c>
      <c r="I34" s="32" t="n">
        <v>531</v>
      </c>
      <c r="J34" s="32" t="n">
        <v>0.25</v>
      </c>
      <c r="K34" s="32" t="n">
        <v>23623</v>
      </c>
      <c r="L34" s="31" t="n">
        <v>30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60.97</v>
      </c>
      <c r="P34" s="32" t="n">
        <v>47.45</v>
      </c>
      <c r="Q34" s="32" t="n">
        <v>422.76</v>
      </c>
      <c r="R34" s="31" t="inlineStr">
        <is>
          <t>Near 52W High Breakout</t>
        </is>
      </c>
      <c r="S34" s="31" t="inlineStr">
        <is>
          <t>Nifty 50</t>
        </is>
      </c>
      <c r="T34" s="32" t="n">
        <v>-3.67</v>
      </c>
      <c r="U34" s="32" t="n">
        <v>4.9</v>
      </c>
      <c r="V34" s="32" t="n">
        <v>8.9</v>
      </c>
      <c r="W34" s="32" t="n">
        <v>5.7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IF(B35=0,"",RANK(B35,$B$2:$B$335,0))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SIS</t>
        </is>
      </c>
      <c r="D35" s="31" t="inlineStr">
        <is>
          <t>Security &amp; Intelligence Services India</t>
        </is>
      </c>
      <c r="E35" s="31" t="inlineStr">
        <is>
          <t>miscellaneous</t>
        </is>
      </c>
      <c r="F35" s="31" t="inlineStr">
        <is>
          <t>miscellaneous</t>
        </is>
      </c>
      <c r="G35" s="31" t="inlineStr">
        <is>
          <t>midcap</t>
        </is>
      </c>
      <c r="H35" s="32" t="n">
        <v>6138.98</v>
      </c>
      <c r="I35" s="32" t="n">
        <v>434.6</v>
      </c>
      <c r="J35" s="32" t="n">
        <v>0.01</v>
      </c>
      <c r="K35" s="32" t="n">
        <v>161429</v>
      </c>
      <c r="L35" s="31" t="n">
        <v>55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73.78</v>
      </c>
      <c r="P35" s="32" t="n">
        <v>52.58</v>
      </c>
      <c r="Q35" s="32" t="n">
        <v>347.44</v>
      </c>
      <c r="R35" s="31" t="inlineStr">
        <is>
          <t>Near 52W High Breakout</t>
        </is>
      </c>
      <c r="S35" s="31" t="inlineStr">
        <is>
          <t>Nifty 50</t>
        </is>
      </c>
      <c r="T35" s="32" t="n">
        <v>-3.67</v>
      </c>
      <c r="U35" s="32" t="n">
        <v>16.32</v>
      </c>
      <c r="V35" s="32" t="n">
        <v>20.75</v>
      </c>
      <c r="W35" s="32" t="n">
        <v>11.02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Between 0.7 to 1.2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IF(B36=0,"",RANK(B36,$B$2:$B$335,0))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GRWRHITECH</t>
        </is>
      </c>
      <c r="D36" s="31" t="inlineStr">
        <is>
          <t>Garware Hi Tech Films Ltd</t>
        </is>
      </c>
      <c r="E36" s="31" t="inlineStr">
        <is>
          <t>industrials</t>
        </is>
      </c>
      <c r="F36" s="31" t="inlineStr">
        <is>
          <t>packaging</t>
        </is>
      </c>
      <c r="G36" s="31" t="inlineStr">
        <is>
          <t>midcap</t>
        </is>
      </c>
      <c r="H36" s="32" t="n">
        <v>16357.93</v>
      </c>
      <c r="I36" s="32" t="n">
        <v>7037</v>
      </c>
      <c r="J36" s="32" t="n">
        <v>-0.06</v>
      </c>
      <c r="K36" s="32" t="n">
        <v>34884</v>
      </c>
      <c r="L36" s="31" t="n">
        <v>91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78.22</v>
      </c>
      <c r="P36" s="32" t="n">
        <v>48.41</v>
      </c>
      <c r="Q36" s="32" t="n">
        <v>5437.66</v>
      </c>
      <c r="R36" s="31" t="inlineStr">
        <is>
          <t>Near 52W High Breakout</t>
        </is>
      </c>
      <c r="S36" s="31" t="inlineStr">
        <is>
          <t>Nifty 50</t>
        </is>
      </c>
      <c r="T36" s="32" t="n">
        <v>-3.67</v>
      </c>
      <c r="U36" s="32" t="n">
        <v>90.5</v>
      </c>
      <c r="V36" s="32" t="n">
        <v>97.76000000000001</v>
      </c>
      <c r="W36" s="32" t="n">
        <v>33.64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Between 50% to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IF(B37=0,"",RANK(B37,$B$2:$B$335,0))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QUESS</t>
        </is>
      </c>
      <c r="D37" s="31" t="inlineStr">
        <is>
          <t>Quess Corp Limited</t>
        </is>
      </c>
      <c r="E37" s="31" t="inlineStr">
        <is>
          <t>miscellaneous</t>
        </is>
      </c>
      <c r="F37" s="31" t="inlineStr">
        <is>
          <t>diversified - large</t>
        </is>
      </c>
      <c r="G37" s="31" t="inlineStr">
        <is>
          <t>smallcap</t>
        </is>
      </c>
      <c r="H37" s="32" t="n">
        <v>4446.34</v>
      </c>
      <c r="I37" s="32" t="n">
        <v>295.05</v>
      </c>
      <c r="J37" s="32" t="n">
        <v>-0.91</v>
      </c>
      <c r="K37" s="32" t="n">
        <v>184542</v>
      </c>
      <c r="L37" s="31" t="n">
        <v>62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72.81999999999999</v>
      </c>
      <c r="P37" s="32" t="n">
        <v>35.02</v>
      </c>
      <c r="Q37" s="32" t="n">
        <v>230.96</v>
      </c>
      <c r="R37" s="31" t="inlineStr">
        <is>
          <t>Near 52W High Breakout</t>
        </is>
      </c>
      <c r="S37" s="31" t="inlineStr">
        <is>
          <t>Nifty 50</t>
        </is>
      </c>
      <c r="T37" s="32" t="n">
        <v>-3.67</v>
      </c>
      <c r="U37" s="32" t="n">
        <v>-0.89</v>
      </c>
      <c r="V37" s="32" t="n">
        <v>2.89</v>
      </c>
      <c r="W37" s="32" t="n">
        <v>12.59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IF(B38=0,"",RANK(B38,$B$2:$B$335,0))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HITECHCORP</t>
        </is>
      </c>
      <c r="D38" s="31" t="inlineStr">
        <is>
          <t>Hitech Corporation</t>
        </is>
      </c>
      <c r="E38" s="31" t="inlineStr">
        <is>
          <t>industrials</t>
        </is>
      </c>
      <c r="F38" s="31" t="inlineStr">
        <is>
          <t>packaging</t>
        </is>
      </c>
      <c r="G38" s="31" t="inlineStr">
        <is>
          <t>smallcap</t>
        </is>
      </c>
      <c r="H38" s="32" t="n">
        <v>560.1900000000001</v>
      </c>
      <c r="I38" s="32" t="n">
        <v>317.6</v>
      </c>
      <c r="J38" s="32" t="n">
        <v>-2.62</v>
      </c>
      <c r="K38" s="32" t="n">
        <v>58178</v>
      </c>
      <c r="L38" s="31" t="n">
        <v>95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79.86</v>
      </c>
      <c r="P38" s="32" t="n">
        <v>45.36</v>
      </c>
      <c r="Q38" s="32" t="n">
        <v>248.8</v>
      </c>
      <c r="R38" s="31" t="inlineStr">
        <is>
          <t>Near 52W High Breakout</t>
        </is>
      </c>
      <c r="S38" s="31" t="inlineStr">
        <is>
          <t>Nifty 50</t>
        </is>
      </c>
      <c r="T38" s="32" t="n">
        <v>-3.67</v>
      </c>
      <c r="U38" s="32" t="n">
        <v>51.41</v>
      </c>
      <c r="V38" s="32" t="n">
        <v>57.18</v>
      </c>
      <c r="W38" s="32" t="n">
        <v>41.32</v>
      </c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IF(B39=0,"",RANK(B39,$B$2:$B$335,0))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BUTTERFLY</t>
        </is>
      </c>
      <c r="D39" s="31" t="inlineStr">
        <is>
          <t>Butterfly Gandhimathi Appliances Limited</t>
        </is>
      </c>
      <c r="E39" s="31" t="inlineStr">
        <is>
          <t>consumer discretionary</t>
        </is>
      </c>
      <c r="F39" s="31" t="inlineStr">
        <is>
          <t>domestic appliances</t>
        </is>
      </c>
      <c r="G39" s="31" t="inlineStr">
        <is>
          <t>smallcap</t>
        </is>
      </c>
      <c r="H39" s="32" t="n">
        <v>1394.96</v>
      </c>
      <c r="I39" s="32" t="n">
        <v>759.5</v>
      </c>
      <c r="J39" s="32" t="n">
        <v>-2.65</v>
      </c>
      <c r="K39" s="32" t="n">
        <v>133807</v>
      </c>
      <c r="L39" s="31" t="n">
        <v>28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65.95999999999999</v>
      </c>
      <c r="P39" s="32" t="n">
        <v>38.02</v>
      </c>
      <c r="Q39" s="32" t="n">
        <v>583.38</v>
      </c>
      <c r="R39" s="31" t="inlineStr">
        <is>
          <t>Near 52W High Breakout</t>
        </is>
      </c>
      <c r="S39" s="31" t="inlineStr">
        <is>
          <t>Nifty 50</t>
        </is>
      </c>
      <c r="T39" s="32" t="n">
        <v>-3.67</v>
      </c>
      <c r="U39" s="32" t="n">
        <v>1.46</v>
      </c>
      <c r="V39" s="32" t="n">
        <v>5.32</v>
      </c>
      <c r="W39" s="32" t="n">
        <v>5.17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IF(B40=0,"",RANK(B40,$B$2:$B$335,0))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BLUSPRING</t>
        </is>
      </c>
      <c r="D40" s="31" t="inlineStr">
        <is>
          <t>Bluspring Enterprises Ltd</t>
        </is>
      </c>
      <c r="E40" s="31" t="inlineStr">
        <is>
          <t>miscellaneous</t>
        </is>
      </c>
      <c r="F40" s="31" t="inlineStr">
        <is>
          <t>diversified - large</t>
        </is>
      </c>
      <c r="G40" s="31" t="inlineStr">
        <is>
          <t>smallcap</t>
        </is>
      </c>
      <c r="H40" s="32" t="n">
        <v>1741.87</v>
      </c>
      <c r="I40" s="32" t="n">
        <v>113.16</v>
      </c>
      <c r="J40" s="32" t="n">
        <v>-3.12</v>
      </c>
      <c r="K40" s="32" t="n">
        <v>467100</v>
      </c>
      <c r="L40" s="31" t="n">
        <v>82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69.34</v>
      </c>
      <c r="P40" s="32" t="n">
        <v>48.63</v>
      </c>
      <c r="Q40" s="32" t="n">
        <v>86.39</v>
      </c>
      <c r="R40" s="31" t="inlineStr">
        <is>
          <t>Earnings / Momentum Support</t>
        </is>
      </c>
      <c r="S40" s="31" t="inlineStr">
        <is>
          <t>Nifty 50</t>
        </is>
      </c>
      <c r="T40" s="32" t="n">
        <v>-3.67</v>
      </c>
      <c r="U40" s="32" t="n">
        <v>29.76</v>
      </c>
      <c r="V40" s="32" t="n">
        <v>34.7</v>
      </c>
      <c r="W40" s="32" t="n">
        <v>22.75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No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IF(B41=0,"",RANK(B41,$B$2:$B$335,0))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VADILALIND</t>
        </is>
      </c>
      <c r="D41" s="31" t="inlineStr">
        <is>
          <t>Vadilal Industries Limited</t>
        </is>
      </c>
      <c r="E41" s="31" t="inlineStr">
        <is>
          <t>fmcg</t>
        </is>
      </c>
      <c r="F41" s="31" t="inlineStr">
        <is>
          <t>food - processing - indian</t>
        </is>
      </c>
      <c r="G41" s="31" t="inlineStr">
        <is>
          <t>smallcap</t>
        </is>
      </c>
      <c r="H41" s="32" t="n">
        <v>4620.7</v>
      </c>
      <c r="I41" s="32" t="n">
        <v>6796.5</v>
      </c>
      <c r="J41" s="32" t="n">
        <v>5.72</v>
      </c>
      <c r="K41" s="32" t="n">
        <v>53784</v>
      </c>
      <c r="L41" s="31" t="n">
        <v>73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73.40000000000001</v>
      </c>
      <c r="P41" s="32" t="n">
        <v>25.69</v>
      </c>
      <c r="Q41" s="32" t="n">
        <v>5431.05</v>
      </c>
      <c r="R41" s="31" t="inlineStr">
        <is>
          <t>Near 52W High Breakout</t>
        </is>
      </c>
      <c r="S41" s="31" t="inlineStr">
        <is>
          <t>Nifty FMCG</t>
        </is>
      </c>
      <c r="T41" s="32" t="n">
        <v>-14.13</v>
      </c>
      <c r="U41" s="32" t="n">
        <v>28.52</v>
      </c>
      <c r="V41" s="32" t="n">
        <v>49.66</v>
      </c>
      <c r="W41" s="32" t="n">
        <v>16.77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B2C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Between 50% to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IF(B42=0,"",RANK(B42,$B$2:$B$335,0))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KOPRAN</t>
        </is>
      </c>
      <c r="D42" s="31" t="inlineStr">
        <is>
          <t>Kopran Limited</t>
        </is>
      </c>
      <c r="E42" s="31" t="inlineStr">
        <is>
          <t>healthcare</t>
        </is>
      </c>
      <c r="F42" s="31" t="inlineStr">
        <is>
          <t>pharmaceuticals - indian - bulk drugs &amp; formln</t>
        </is>
      </c>
      <c r="G42" s="31" t="inlineStr">
        <is>
          <t>smallcap</t>
        </is>
      </c>
      <c r="H42" s="32" t="n">
        <v>997.87</v>
      </c>
      <c r="I42" s="32" t="n">
        <v>207.28</v>
      </c>
      <c r="J42" s="32" t="n">
        <v>0.3</v>
      </c>
      <c r="K42" s="32" t="n">
        <v>256151</v>
      </c>
      <c r="L42" s="31" t="n">
        <v>53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66.15000000000001</v>
      </c>
      <c r="P42" s="32" t="n">
        <v>35.38</v>
      </c>
      <c r="Q42" s="32" t="n">
        <v>148.6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14.67</v>
      </c>
      <c r="U42" s="32" t="n">
        <v>18.49</v>
      </c>
      <c r="V42" s="32" t="n">
        <v>3.33</v>
      </c>
      <c r="W42" s="32" t="n">
        <v>10.47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IF(B43=0,"",RANK(B43,$B$2:$B$335,0))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NEULANDLAB</t>
        </is>
      </c>
      <c r="D43" s="31" t="inlineStr">
        <is>
          <t>Neuland Laboratories Limited</t>
        </is>
      </c>
      <c r="E43" s="31" t="inlineStr">
        <is>
          <t>healthcare</t>
        </is>
      </c>
      <c r="F43" s="31" t="inlineStr">
        <is>
          <t>pharmaceuticals - indian - bulk drugs</t>
        </is>
      </c>
      <c r="G43" s="31" t="inlineStr">
        <is>
          <t>largecap</t>
        </is>
      </c>
      <c r="H43" s="32" t="n">
        <v>24401.17</v>
      </c>
      <c r="I43" s="32" t="n">
        <v>19001</v>
      </c>
      <c r="J43" s="32" t="n">
        <v>-0.09</v>
      </c>
      <c r="K43" s="32" t="n">
        <v>16957</v>
      </c>
      <c r="L43" s="31" t="n">
        <v>57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67.01000000000001</v>
      </c>
      <c r="P43" s="32" t="n">
        <v>41.75</v>
      </c>
      <c r="Q43" s="32" t="n">
        <v>15647.93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14.67</v>
      </c>
      <c r="U43" s="32" t="n">
        <v>33.2</v>
      </c>
      <c r="V43" s="32" t="n">
        <v>16.16</v>
      </c>
      <c r="W43" s="32" t="n">
        <v>11.54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IF(B44=0,"",RANK(B44,$B$2:$B$335,0))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GRANULES</t>
        </is>
      </c>
      <c r="D44" s="31" t="inlineStr">
        <is>
          <t>Granules India Limited</t>
        </is>
      </c>
      <c r="E44" s="31" t="inlineStr">
        <is>
          <t>healthcare</t>
        </is>
      </c>
      <c r="F44" s="31" t="inlineStr">
        <is>
          <t>pharmaceuticals - indian - bulk drugs &amp; formln</t>
        </is>
      </c>
      <c r="G44" s="31" t="inlineStr">
        <is>
          <t>largecap</t>
        </is>
      </c>
      <c r="H44" s="32" t="n">
        <v>22243.49</v>
      </c>
      <c r="I44" s="32" t="n">
        <v>895.1</v>
      </c>
      <c r="J44" s="32" t="n">
        <v>-0.28</v>
      </c>
      <c r="K44" s="32" t="n">
        <v>896781</v>
      </c>
      <c r="L44" s="31" t="n">
        <v>78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78.69</v>
      </c>
      <c r="P44" s="32" t="n">
        <v>47.72</v>
      </c>
      <c r="Q44" s="32" t="n">
        <v>755.97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14.67</v>
      </c>
      <c r="U44" s="32" t="n">
        <v>80.95999999999999</v>
      </c>
      <c r="V44" s="32" t="n">
        <v>57.81</v>
      </c>
      <c r="W44" s="32" t="n">
        <v>20.6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Between 50% to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IF(B45=0,"",RANK(B45,$B$2:$B$335,0))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VIJAYA</t>
        </is>
      </c>
      <c r="D45" s="31" t="inlineStr">
        <is>
          <t>Vijaya Diagnostic Centre Ltd</t>
        </is>
      </c>
      <c r="E45" s="31" t="inlineStr">
        <is>
          <t>healthcare</t>
        </is>
      </c>
      <c r="F45" s="31" t="inlineStr">
        <is>
          <t>healthcare</t>
        </is>
      </c>
      <c r="G45" s="31" t="inlineStr">
        <is>
          <t>midcap</t>
        </is>
      </c>
      <c r="H45" s="32" t="n">
        <v>14290.3</v>
      </c>
      <c r="I45" s="32" t="n">
        <v>1382.6</v>
      </c>
      <c r="J45" s="32" t="n">
        <v>-0.45</v>
      </c>
      <c r="K45" s="32" t="n">
        <v>173750</v>
      </c>
      <c r="L45" s="31" t="n">
        <v>66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67.23</v>
      </c>
      <c r="P45" s="32" t="n">
        <v>46.73</v>
      </c>
      <c r="Q45" s="32" t="n">
        <v>1098.95</v>
      </c>
      <c r="R45" s="31" t="inlineStr">
        <is>
          <t>Near 52W High Breakout</t>
        </is>
      </c>
      <c r="S45" s="31" t="inlineStr">
        <is>
          <t>Nifty Pharma</t>
        </is>
      </c>
      <c r="T45" s="32" t="n">
        <v>14.67</v>
      </c>
      <c r="U45" s="32" t="n">
        <v>34.75</v>
      </c>
      <c r="V45" s="32" t="n">
        <v>17.51</v>
      </c>
      <c r="W45" s="32" t="n">
        <v>14.04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IF(B46=0,"",RANK(B46,$B$2:$B$335,0))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GNA</t>
        </is>
      </c>
      <c r="D46" s="31" t="inlineStr">
        <is>
          <t>Gna Axles Limited</t>
        </is>
      </c>
      <c r="E46" s="31" t="inlineStr">
        <is>
          <t>auto</t>
        </is>
      </c>
      <c r="F46" s="31" t="inlineStr">
        <is>
          <t>auto ancillaries</t>
        </is>
      </c>
      <c r="G46" s="31" t="inlineStr">
        <is>
          <t>smallcap</t>
        </is>
      </c>
      <c r="H46" s="32" t="n">
        <v>2272.11</v>
      </c>
      <c r="I46" s="32" t="n">
        <v>555.7</v>
      </c>
      <c r="J46" s="32" t="n">
        <v>5</v>
      </c>
      <c r="K46" s="32" t="n">
        <v>1495245</v>
      </c>
      <c r="L46" s="31" t="n">
        <v>74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76.09</v>
      </c>
      <c r="P46" s="32" t="n">
        <v>23.13</v>
      </c>
      <c r="Q46" s="32" t="n">
        <v>423.34</v>
      </c>
      <c r="R46" s="31" t="inlineStr">
        <is>
          <t>Volume Spike &amp; Near 52W High Breakout</t>
        </is>
      </c>
      <c r="S46" s="31" t="inlineStr">
        <is>
          <t>Nifty Auto</t>
        </is>
      </c>
      <c r="T46" s="32" t="n">
        <v>11.1</v>
      </c>
      <c r="U46" s="32" t="n">
        <v>65.31999999999999</v>
      </c>
      <c r="V46" s="32" t="n">
        <v>48.8</v>
      </c>
      <c r="W46" s="32" t="n">
        <v>17.19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IF(B47=0,"",RANK(B47,$B$2:$B$335,0))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AVALON</t>
        </is>
      </c>
      <c r="D47" s="31" t="inlineStr">
        <is>
          <t>Avalon Technologies Ltd</t>
        </is>
      </c>
      <c r="E47" s="31" t="inlineStr">
        <is>
          <t>consumer discretionary</t>
        </is>
      </c>
      <c r="F47" s="31" t="inlineStr">
        <is>
          <t>electronics - components</t>
        </is>
      </c>
      <c r="G47" s="31" t="inlineStr">
        <is>
          <t>midcap</t>
        </is>
      </c>
      <c r="H47" s="32" t="n">
        <v>11489.79</v>
      </c>
      <c r="I47" s="32" t="n">
        <v>1748.1</v>
      </c>
      <c r="J47" s="32" t="n">
        <v>1.58</v>
      </c>
      <c r="K47" s="32" t="n">
        <v>225100</v>
      </c>
      <c r="L47" s="31" t="n">
        <v>88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75.08</v>
      </c>
      <c r="P47" s="32" t="n">
        <v>53.55</v>
      </c>
      <c r="Q47" s="32" t="n">
        <v>1352.14</v>
      </c>
      <c r="R47" s="31" t="inlineStr">
        <is>
          <t>Near 52W High Breakout</t>
        </is>
      </c>
      <c r="S47" s="31" t="inlineStr">
        <is>
          <t>Nifty 50</t>
        </is>
      </c>
      <c r="T47" s="32" t="n">
        <v>-3.67</v>
      </c>
      <c r="U47" s="32" t="n">
        <v>101.94</v>
      </c>
      <c r="V47" s="32" t="n">
        <v>109.63</v>
      </c>
      <c r="W47" s="32" t="n">
        <v>29.75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Less than 50%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IF(B48=0,"",RANK(B48,$B$2:$B$335,0))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CEMPRO</t>
        </is>
      </c>
      <c r="D48" s="31" t="inlineStr">
        <is>
          <t>Cemindia Projects Ltd</t>
        </is>
      </c>
      <c r="E48" s="31" t="inlineStr">
        <is>
          <t>realty</t>
        </is>
      </c>
      <c r="F48" s="31" t="inlineStr">
        <is>
          <t>construction</t>
        </is>
      </c>
      <c r="G48" s="31" t="inlineStr">
        <is>
          <t>largecap</t>
        </is>
      </c>
      <c r="H48" s="32" t="n">
        <v>27206</v>
      </c>
      <c r="I48" s="32" t="n">
        <v>1596.6</v>
      </c>
      <c r="J48" s="32" t="n">
        <v>0.8100000000000001</v>
      </c>
      <c r="K48" s="32" t="n">
        <v>694804</v>
      </c>
      <c r="L48" s="31" t="n">
        <v>98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84.14</v>
      </c>
      <c r="P48" s="32" t="n">
        <v>51.36</v>
      </c>
      <c r="Q48" s="32" t="n">
        <v>1262.05</v>
      </c>
      <c r="R48" s="31" t="inlineStr">
        <is>
          <t>Near 52W High Breakout</t>
        </is>
      </c>
      <c r="S48" s="31" t="inlineStr">
        <is>
          <t>Nifty Realty</t>
        </is>
      </c>
      <c r="T48" s="32" t="n">
        <v>-8.130000000000001</v>
      </c>
      <c r="U48" s="32" t="n">
        <v>98.59</v>
      </c>
      <c r="V48" s="32" t="n">
        <v>116.15</v>
      </c>
      <c r="W48" s="32" t="n">
        <v>54.62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Less than 50%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IF(B49=0,"",RANK(B49,$B$2:$B$335,0))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HAPPYFORGE</t>
        </is>
      </c>
      <c r="D49" s="31" t="inlineStr">
        <is>
          <t>Happy Forgings Ltd</t>
        </is>
      </c>
      <c r="E49" s="31" t="inlineStr">
        <is>
          <t>industrials</t>
        </is>
      </c>
      <c r="F49" s="31" t="inlineStr">
        <is>
          <t>castings &amp; forgings</t>
        </is>
      </c>
      <c r="G49" s="31" t="inlineStr">
        <is>
          <t>midcap</t>
        </is>
      </c>
      <c r="H49" s="32" t="n">
        <v>15034.53</v>
      </c>
      <c r="I49" s="32" t="n">
        <v>1591.9</v>
      </c>
      <c r="J49" s="32" t="n">
        <v>-0.07000000000000001</v>
      </c>
      <c r="K49" s="32" t="n">
        <v>50081</v>
      </c>
      <c r="L49" s="31" t="n">
        <v>70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71.5</v>
      </c>
      <c r="P49" s="32" t="n">
        <v>43.56</v>
      </c>
      <c r="Q49" s="32" t="n">
        <v>1284.76</v>
      </c>
      <c r="R49" s="31" t="inlineStr">
        <is>
          <t>Near 52W High Breakout</t>
        </is>
      </c>
      <c r="S49" s="31" t="inlineStr">
        <is>
          <t>Nifty 50</t>
        </is>
      </c>
      <c r="T49" s="32" t="n">
        <v>-3.67</v>
      </c>
      <c r="U49" s="32" t="n">
        <v>69.83</v>
      </c>
      <c r="V49" s="32" t="n">
        <v>76.3</v>
      </c>
      <c r="W49" s="32" t="n">
        <v>15.35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IF(B50=0,"",RANK(B50,$B$2:$B$335,0))</f>
        <v/>
      </c>
      <c r="B50" s="32">
        <f>SUM(N50,Y50,AA50,AC50,AE50,AG50,AI50,AK50,AM50,AO50,AQ50,AS50,AU50,AW50,AY50,BA50,BC50,BE50,BG50,BI50,BK50,BM50,BO50,BQ50,BS50,BU50,BW50,BY50,CA50,CC50,CE50)</f>
        <v/>
      </c>
      <c r="C50" s="33" t="inlineStr">
        <is>
          <t>SOMANYCERA</t>
        </is>
      </c>
      <c r="D50" s="33" t="inlineStr">
        <is>
          <t>Somany Ceramics Limited</t>
        </is>
      </c>
      <c r="E50" s="31" t="inlineStr">
        <is>
          <t>building materials</t>
        </is>
      </c>
      <c r="F50" s="31" t="inlineStr">
        <is>
          <t>ceramics - tiles / sanitaryware</t>
        </is>
      </c>
      <c r="G50" s="31" t="inlineStr">
        <is>
          <t>smallcap</t>
        </is>
      </c>
      <c r="H50" s="32" t="n">
        <v>2201.77</v>
      </c>
      <c r="I50" s="32" t="n">
        <v>535.2</v>
      </c>
      <c r="J50" s="32" t="n">
        <v>-0.31</v>
      </c>
      <c r="K50" s="32" t="n">
        <v>120986</v>
      </c>
      <c r="L50" s="31" t="n">
        <v>25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63.6</v>
      </c>
      <c r="P50" s="32" t="n">
        <v>27.85</v>
      </c>
      <c r="Q50" s="32" t="n">
        <v>415.34</v>
      </c>
      <c r="R50" s="31" t="inlineStr">
        <is>
          <t>Near 52W High Breakout</t>
        </is>
      </c>
      <c r="S50" s="31" t="inlineStr">
        <is>
          <t>Nifty Infra</t>
        </is>
      </c>
      <c r="T50" s="32" t="n">
        <v>1.45</v>
      </c>
      <c r="U50" s="32" t="n">
        <v>-3.38</v>
      </c>
      <c r="V50" s="32" t="n">
        <v>-4.77</v>
      </c>
      <c r="W50" s="32" t="n">
        <v>4.8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IF(B51=0,"",RANK(B51,$B$2:$B$335,0))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ADOR</t>
        </is>
      </c>
      <c r="D51" s="31" t="inlineStr">
        <is>
          <t>Ador Welding Ltd</t>
        </is>
      </c>
      <c r="E51" s="31" t="inlineStr">
        <is>
          <t>industrials</t>
        </is>
      </c>
      <c r="F51" s="31" t="inlineStr">
        <is>
          <t>electrodes - welding equipment</t>
        </is>
      </c>
      <c r="G51" s="31" t="inlineStr">
        <is>
          <t>smallcap</t>
        </is>
      </c>
      <c r="H51" s="32" t="n">
        <v>2319.8</v>
      </c>
      <c r="I51" s="32" t="n">
        <v>1316.1</v>
      </c>
      <c r="J51" s="32" t="n">
        <v>-1.27</v>
      </c>
      <c r="K51" s="32" t="n">
        <v>33505</v>
      </c>
      <c r="L51" s="31" t="n">
        <v>53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72.55</v>
      </c>
      <c r="P51" s="32" t="n">
        <v>33.3</v>
      </c>
      <c r="Q51" s="32" t="n">
        <v>1070.9</v>
      </c>
      <c r="R51" s="31" t="inlineStr">
        <is>
          <t>Near 52W High Breakout</t>
        </is>
      </c>
      <c r="S51" s="31" t="inlineStr">
        <is>
          <t>Nifty Infra</t>
        </is>
      </c>
      <c r="T51" s="32" t="n">
        <v>1.45</v>
      </c>
      <c r="U51" s="32" t="n">
        <v>18.39</v>
      </c>
      <c r="V51" s="32" t="n">
        <v>16.69</v>
      </c>
      <c r="W51" s="32" t="n">
        <v>10.58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IF(B52=0,"",RANK(B52,$B$2:$B$335,0))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GHCLTEXTIL</t>
        </is>
      </c>
      <c r="D52" s="31" t="inlineStr">
        <is>
          <t>GHCL Textiles Ltd</t>
        </is>
      </c>
      <c r="E52" s="31" t="inlineStr">
        <is>
          <t>textiles</t>
        </is>
      </c>
      <c r="F52" s="31" t="inlineStr">
        <is>
          <t>textiles - spinning - synthetic / blended</t>
        </is>
      </c>
      <c r="G52" s="31" t="inlineStr">
        <is>
          <t>smallcap</t>
        </is>
      </c>
      <c r="H52" s="32" t="n">
        <v>1049.25</v>
      </c>
      <c r="I52" s="32" t="n">
        <v>107.97</v>
      </c>
      <c r="J52" s="32" t="n">
        <v>-1.64</v>
      </c>
      <c r="K52" s="32" t="n">
        <v>499654</v>
      </c>
      <c r="L52" s="31" t="n">
        <v>44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67.09</v>
      </c>
      <c r="P52" s="32" t="n">
        <v>23.33</v>
      </c>
      <c r="Q52" s="32" t="n">
        <v>84.29000000000001</v>
      </c>
      <c r="R52" s="31" t="inlineStr">
        <is>
          <t>Near 52W High Breakout</t>
        </is>
      </c>
      <c r="S52" s="31" t="inlineStr">
        <is>
          <t>Nifty 50</t>
        </is>
      </c>
      <c r="T52" s="32" t="n">
        <v>-3.67</v>
      </c>
      <c r="U52" s="32" t="n">
        <v>16.33</v>
      </c>
      <c r="V52" s="32" t="n">
        <v>20.77</v>
      </c>
      <c r="W52" s="32" t="n">
        <v>8.609999999999999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IF(B53=0,"",RANK(B53,$B$2:$B$335,0))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KDDL</t>
        </is>
      </c>
      <c r="D53" s="31" t="inlineStr">
        <is>
          <t>Kddl Limited</t>
        </is>
      </c>
      <c r="E53" s="31" t="inlineStr">
        <is>
          <t>consumer discretionary</t>
        </is>
      </c>
      <c r="F53" s="31" t="inlineStr">
        <is>
          <t>miscellaneous</t>
        </is>
      </c>
      <c r="G53" s="31" t="inlineStr">
        <is>
          <t>smallcap</t>
        </is>
      </c>
      <c r="H53" s="32" t="n">
        <v>4136.49</v>
      </c>
      <c r="I53" s="32" t="n">
        <v>3269</v>
      </c>
      <c r="J53" s="32" t="n">
        <v>-2.8</v>
      </c>
      <c r="K53" s="32" t="n">
        <v>13011</v>
      </c>
      <c r="L53" s="31" t="n">
        <v>59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69.36</v>
      </c>
      <c r="P53" s="32" t="n">
        <v>27.29</v>
      </c>
      <c r="Q53" s="32" t="n">
        <v>2471.26</v>
      </c>
      <c r="R53" s="31" t="inlineStr">
        <is>
          <t>Near 52W High Breakout</t>
        </is>
      </c>
      <c r="S53" s="31" t="inlineStr">
        <is>
          <t>Nifty 50</t>
        </is>
      </c>
      <c r="T53" s="32" t="n">
        <v>-3.67</v>
      </c>
      <c r="U53" s="32" t="n">
        <v>20.26</v>
      </c>
      <c r="V53" s="32" t="n">
        <v>24.84</v>
      </c>
      <c r="W53" s="32" t="n">
        <v>12.01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IF(B54=0,"",RANK(B54,$B$2:$B$335,0))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FILATEX</t>
        </is>
      </c>
      <c r="D54" s="31" t="inlineStr">
        <is>
          <t>Filatex India Limited</t>
        </is>
      </c>
      <c r="E54" s="31" t="inlineStr">
        <is>
          <t>textiles</t>
        </is>
      </c>
      <c r="F54" s="31" t="inlineStr">
        <is>
          <t>textiles - manmade</t>
        </is>
      </c>
      <c r="G54" s="31" t="inlineStr">
        <is>
          <t>smallcap</t>
        </is>
      </c>
      <c r="H54" s="32" t="n">
        <v>2858.85</v>
      </c>
      <c r="I54" s="32" t="n">
        <v>61.69</v>
      </c>
      <c r="J54" s="32" t="n">
        <v>-4.18</v>
      </c>
      <c r="K54" s="32" t="n">
        <v>2863533</v>
      </c>
      <c r="L54" s="31" t="n">
        <v>50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68</v>
      </c>
      <c r="P54" s="32" t="n">
        <v>20.18</v>
      </c>
      <c r="Q54" s="32" t="n">
        <v>47.24</v>
      </c>
      <c r="R54" s="31" t="inlineStr">
        <is>
          <t>Near 52W High Breakout</t>
        </is>
      </c>
      <c r="S54" s="31" t="inlineStr">
        <is>
          <t>Nifty 50</t>
        </is>
      </c>
      <c r="T54" s="32" t="n">
        <v>-3.67</v>
      </c>
      <c r="U54" s="32" t="n">
        <v>5.3</v>
      </c>
      <c r="V54" s="32" t="n">
        <v>9.32</v>
      </c>
      <c r="W54" s="32" t="n">
        <v>10.01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Between 12 to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IF(B55=0,"",RANK(B55,$B$2:$B$335,0))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BHARATSE</t>
        </is>
      </c>
      <c r="D55" s="31" t="inlineStr">
        <is>
          <t>Bharat Seats Ltd</t>
        </is>
      </c>
      <c r="E55" s="31" t="inlineStr">
        <is>
          <t>auto</t>
        </is>
      </c>
      <c r="F55" s="31" t="inlineStr">
        <is>
          <t>auto ancillaries</t>
        </is>
      </c>
      <c r="G55" s="31" t="inlineStr">
        <is>
          <t>smallcap</t>
        </is>
      </c>
      <c r="H55" s="32" t="n">
        <v>1599.01</v>
      </c>
      <c r="I55" s="32" t="n">
        <v>243.07</v>
      </c>
      <c r="J55" s="32" t="n">
        <v>-4.54</v>
      </c>
      <c r="K55" s="32" t="n">
        <v>519479</v>
      </c>
      <c r="L55" s="31" t="n">
        <v>89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68.31999999999999</v>
      </c>
      <c r="P55" s="32" t="n">
        <v>28.73</v>
      </c>
      <c r="Q55" s="32" t="n">
        <v>168.91</v>
      </c>
      <c r="R55" s="31" t="inlineStr">
        <is>
          <t>Near 52W High Breakout</t>
        </is>
      </c>
      <c r="S55" s="31" t="inlineStr">
        <is>
          <t>Nifty Auto</t>
        </is>
      </c>
      <c r="T55" s="32" t="n">
        <v>11.1</v>
      </c>
      <c r="U55" s="32" t="n">
        <v>124.21</v>
      </c>
      <c r="V55" s="32" t="n">
        <v>101.81</v>
      </c>
      <c r="W55" s="32" t="n">
        <v>30.7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Between 12 to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IF(B56=0,"",RANK(B56,$B$2:$B$335,0))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NINSYS</t>
        </is>
      </c>
      <c r="D56" s="31" t="inlineStr">
        <is>
          <t>NINtec Systems Ltd</t>
        </is>
      </c>
      <c r="E56" s="31" t="inlineStr">
        <is>
          <t>i.t</t>
        </is>
      </c>
      <c r="F56" s="31" t="inlineStr">
        <is>
          <t>computers - software - medium / small</t>
        </is>
      </c>
      <c r="G56" s="31" t="inlineStr">
        <is>
          <t>smallcap</t>
        </is>
      </c>
      <c r="H56" s="32" t="n">
        <v>1615.65</v>
      </c>
      <c r="I56" s="32" t="n">
        <v>874</v>
      </c>
      <c r="J56" s="32" t="n">
        <v>0.49</v>
      </c>
      <c r="K56" s="32" t="n">
        <v>2387</v>
      </c>
      <c r="L56" s="31" t="n">
        <v>93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83.67</v>
      </c>
      <c r="P56" s="32" t="n">
        <v>66.42</v>
      </c>
      <c r="Q56" s="32" t="n">
        <v>683.1900000000001</v>
      </c>
      <c r="R56" s="31" t="inlineStr">
        <is>
          <t>Near 52W High Breakout</t>
        </is>
      </c>
      <c r="S56" s="31" t="inlineStr">
        <is>
          <t>Nifty IT</t>
        </is>
      </c>
      <c r="T56" s="32" t="n">
        <v>-22.66</v>
      </c>
      <c r="U56" s="32" t="n">
        <v>90.23999999999999</v>
      </c>
      <c r="V56" s="32" t="n">
        <v>145.99</v>
      </c>
      <c r="W56" s="32" t="n">
        <v>36.33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Between 12 to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Between 50% to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IF(B57=0,"",RANK(B57,$B$2:$B$335,0))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MARICO</t>
        </is>
      </c>
      <c r="D57" s="31" t="inlineStr">
        <is>
          <t>Marico Limited</t>
        </is>
      </c>
      <c r="E57" s="31" t="inlineStr">
        <is>
          <t>fmcg</t>
        </is>
      </c>
      <c r="F57" s="31" t="inlineStr">
        <is>
          <t>solvent extraction</t>
        </is>
      </c>
      <c r="G57" s="31" t="inlineStr">
        <is>
          <t>largecap</t>
        </is>
      </c>
      <c r="H57" s="32" t="n">
        <v>109920.76</v>
      </c>
      <c r="I57" s="32" t="n">
        <v>848.25</v>
      </c>
      <c r="J57" s="32" t="n">
        <v>0.18</v>
      </c>
      <c r="K57" s="32" t="n">
        <v>1442244</v>
      </c>
      <c r="L57" s="31" t="n">
        <v>32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66.44</v>
      </c>
      <c r="P57" s="32" t="n">
        <v>25.93</v>
      </c>
      <c r="Q57" s="32" t="n">
        <v>757.6900000000001</v>
      </c>
      <c r="R57" s="31" t="inlineStr">
        <is>
          <t>Near 52W High Breakout</t>
        </is>
      </c>
      <c r="S57" s="31" t="inlineStr">
        <is>
          <t>Nifty FMCG</t>
        </is>
      </c>
      <c r="T57" s="32" t="n">
        <v>-14.13</v>
      </c>
      <c r="U57" s="32" t="n">
        <v>18.95</v>
      </c>
      <c r="V57" s="32" t="n">
        <v>38.52</v>
      </c>
      <c r="W57" s="32" t="n">
        <v>6.03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B2C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Between 12 to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IF(B58=0,"",RANK(B58,$B$2:$B$335,0))</f>
        <v/>
      </c>
      <c r="B58" s="32">
        <f>SUM(N58,Y58,AA58,AC58,AE58,AG58,AI58,AK58,AM58,AO58,AQ58,AS58,AU58,AW58,AY58,BA58,BC58,BE58,BG58,BI58,BK58,BM58,BO58,BQ58,BS58,BU58,BW58,BY58,CA58,CC58,CE58)</f>
        <v/>
      </c>
      <c r="C58" s="33" t="inlineStr">
        <is>
          <t>GLENMARK</t>
        </is>
      </c>
      <c r="D58" s="33" t="inlineStr">
        <is>
          <t>Glenmark Pharmaceuticals Limited</t>
        </is>
      </c>
      <c r="E58" s="31" t="inlineStr">
        <is>
          <t>healthcare</t>
        </is>
      </c>
      <c r="F58" s="31" t="inlineStr">
        <is>
          <t>pharmaceuticals - indian - bulk drugs &amp; formln</t>
        </is>
      </c>
      <c r="G58" s="31" t="inlineStr">
        <is>
          <t>largecap</t>
        </is>
      </c>
      <c r="H58" s="32" t="n">
        <v>64942.87</v>
      </c>
      <c r="I58" s="32" t="n">
        <v>2305.1</v>
      </c>
      <c r="J58" s="32" t="n">
        <v>0.17</v>
      </c>
      <c r="K58" s="32" t="n">
        <v>708684</v>
      </c>
      <c r="L58" s="31" t="n">
        <v>10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60.04</v>
      </c>
      <c r="P58" s="32" t="n">
        <v>25.13</v>
      </c>
      <c r="Q58" s="32" t="n">
        <v>2024.39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14.67</v>
      </c>
      <c r="U58" s="32" t="n">
        <v>3.83</v>
      </c>
      <c r="V58" s="32" t="n">
        <v>-9.449999999999999</v>
      </c>
      <c r="W58" s="32" t="n">
        <v>1.74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IF(B59=0,"",RANK(B59,$B$2:$B$335,0))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DIAMONDYD</t>
        </is>
      </c>
      <c r="D59" s="31" t="inlineStr">
        <is>
          <t>Prataap Snacks Ltd</t>
        </is>
      </c>
      <c r="E59" s="31" t="inlineStr">
        <is>
          <t>fmcg</t>
        </is>
      </c>
      <c r="F59" s="31" t="inlineStr">
        <is>
          <t>food - processing - indian</t>
        </is>
      </c>
      <c r="G59" s="31" t="inlineStr">
        <is>
          <t>smallcap</t>
        </is>
      </c>
      <c r="H59" s="32" t="n">
        <v>2861.49</v>
      </c>
      <c r="I59" s="32" t="n">
        <v>1191.2</v>
      </c>
      <c r="J59" s="32" t="n">
        <v>-0.49</v>
      </c>
      <c r="K59" s="32" t="n">
        <v>8058</v>
      </c>
      <c r="L59" s="31" t="n">
        <v>40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64.23999999999999</v>
      </c>
      <c r="P59" s="32" t="n">
        <v>23.72</v>
      </c>
      <c r="Q59" s="32" t="n">
        <v>975.61</v>
      </c>
      <c r="R59" s="31" t="inlineStr">
        <is>
          <t>Near 52W High Breakout</t>
        </is>
      </c>
      <c r="S59" s="31" t="inlineStr">
        <is>
          <t>Nifty FMCG</t>
        </is>
      </c>
      <c r="T59" s="32" t="n">
        <v>-14.13</v>
      </c>
      <c r="U59" s="32" t="n">
        <v>12.59</v>
      </c>
      <c r="V59" s="32" t="n">
        <v>31.11</v>
      </c>
      <c r="W59" s="32" t="n">
        <v>7.73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IF(B60=0,"",RANK(B60,$B$2:$B$335,0))</f>
        <v/>
      </c>
      <c r="B60" s="32">
        <f>SUM(N60,Y60,AA60,AC60,AE60,AG60,AI60,AK60,AM60,AO60,AQ60,AS60,AU60,AW60,AY60,BA60,BC60,BE60,BG60,BI60,BK60,BM60,BO60,BQ60,BS60,BU60,BW60,BY60,CA60,CC60,CE60)</f>
        <v/>
      </c>
      <c r="C60" s="33" t="inlineStr">
        <is>
          <t>INNOVACAP</t>
        </is>
      </c>
      <c r="D60" s="33" t="inlineStr">
        <is>
          <t>Innova Captab Ltd</t>
        </is>
      </c>
      <c r="E60" s="31" t="inlineStr">
        <is>
          <t>healthcare</t>
        </is>
      </c>
      <c r="F60" s="31" t="inlineStr">
        <is>
          <t>pharmaceuticals - indian - bulk drugs &amp; formln</t>
        </is>
      </c>
      <c r="G60" s="31" t="inlineStr">
        <is>
          <t>midcap</t>
        </is>
      </c>
      <c r="H60" s="32" t="n">
        <v>5723.07</v>
      </c>
      <c r="I60" s="32" t="n">
        <v>993.55</v>
      </c>
      <c r="J60" s="32" t="n">
        <v>-0.65</v>
      </c>
      <c r="K60" s="32" t="n">
        <v>24600</v>
      </c>
      <c r="L60" s="31" t="n">
        <v>52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74.55</v>
      </c>
      <c r="P60" s="32" t="n">
        <v>49.94</v>
      </c>
      <c r="Q60" s="32" t="n">
        <v>788.14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14.67</v>
      </c>
      <c r="U60" s="32" t="n">
        <v>10.56</v>
      </c>
      <c r="V60" s="32" t="n">
        <v>-3.58</v>
      </c>
      <c r="W60" s="32" t="n">
        <v>10.24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IF(B61=0,"",RANK(B61,$B$2:$B$335,0))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SUBEXLTD</t>
        </is>
      </c>
      <c r="D61" s="31" t="inlineStr">
        <is>
          <t>Subex Ltd</t>
        </is>
      </c>
      <c r="E61" s="31" t="inlineStr">
        <is>
          <t>i.t</t>
        </is>
      </c>
      <c r="F61" s="31" t="inlineStr">
        <is>
          <t>computers - software - medium / small</t>
        </is>
      </c>
      <c r="G61" s="31" t="inlineStr">
        <is>
          <t>smallcap</t>
        </is>
      </c>
      <c r="H61" s="32" t="n">
        <v>760.39</v>
      </c>
      <c r="I61" s="32" t="n">
        <v>13.36</v>
      </c>
      <c r="J61" s="32" t="n">
        <v>-1.26</v>
      </c>
      <c r="K61" s="32" t="n">
        <v>1206195</v>
      </c>
      <c r="L61" s="31" t="n">
        <v>42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64.20999999999999</v>
      </c>
      <c r="P61" s="32" t="n">
        <v>20.19</v>
      </c>
      <c r="Q61" s="32" t="n">
        <v>9.460000000000001</v>
      </c>
      <c r="R61" s="31" t="inlineStr">
        <is>
          <t>Near 52W High Breakout</t>
        </is>
      </c>
      <c r="S61" s="31" t="inlineStr">
        <is>
          <t>Nifty IT</t>
        </is>
      </c>
      <c r="T61" s="32" t="n">
        <v>-22.66</v>
      </c>
      <c r="U61" s="32" t="n">
        <v>-5.05</v>
      </c>
      <c r="V61" s="32" t="n">
        <v>22.78</v>
      </c>
      <c r="W61" s="32" t="n">
        <v>8.140000000000001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IF(B62=0,"",RANK(B62,$B$2:$B$335,0))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RAMCOSYS</t>
        </is>
      </c>
      <c r="D62" s="31" t="inlineStr">
        <is>
          <t>Ramco Systems Limited</t>
        </is>
      </c>
      <c r="E62" s="31" t="inlineStr">
        <is>
          <t>i.t</t>
        </is>
      </c>
      <c r="F62" s="31" t="inlineStr">
        <is>
          <t>computers - software - medium / small</t>
        </is>
      </c>
      <c r="G62" s="31" t="inlineStr">
        <is>
          <t>smallcap</t>
        </is>
      </c>
      <c r="H62" s="32" t="n">
        <v>3315.26</v>
      </c>
      <c r="I62" s="32" t="n">
        <v>816.65</v>
      </c>
      <c r="J62" s="32" t="n">
        <v>-7.84</v>
      </c>
      <c r="K62" s="32" t="n">
        <v>1892166</v>
      </c>
      <c r="L62" s="31" t="n">
        <v>94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76.54000000000001</v>
      </c>
      <c r="P62" s="32" t="n">
        <v>27.02</v>
      </c>
      <c r="Q62" s="32" t="n">
        <v>563.13</v>
      </c>
      <c r="R62" s="31" t="inlineStr">
        <is>
          <t>Near 52W High Breakout</t>
        </is>
      </c>
      <c r="S62" s="31" t="inlineStr">
        <is>
          <t>Nifty IT</t>
        </is>
      </c>
      <c r="T62" s="32" t="n">
        <v>-22.66</v>
      </c>
      <c r="U62" s="32" t="n">
        <v>106.3</v>
      </c>
      <c r="V62" s="32" t="n">
        <v>166.76</v>
      </c>
      <c r="W62" s="32" t="n">
        <v>38.66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IF(B63=0,"",RANK(B63,$B$2:$B$335,0))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CARTRADE</t>
        </is>
      </c>
      <c r="D63" s="31" t="inlineStr">
        <is>
          <t>Cartrade Tech Ltd</t>
        </is>
      </c>
      <c r="E63" s="31" t="inlineStr">
        <is>
          <t>consumer discretionary</t>
        </is>
      </c>
      <c r="F63" s="31" t="inlineStr">
        <is>
          <t>miscellaneous</t>
        </is>
      </c>
      <c r="G63" s="31" t="inlineStr">
        <is>
          <t>midcap</t>
        </is>
      </c>
      <c r="H63" s="32" t="n">
        <v>13402.5</v>
      </c>
      <c r="I63" s="32" t="n">
        <v>2895</v>
      </c>
      <c r="J63" s="32" t="n">
        <v>3.42</v>
      </c>
      <c r="K63" s="32" t="n">
        <v>3742971</v>
      </c>
      <c r="L63" s="31" t="n">
        <v>83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68.47</v>
      </c>
      <c r="P63" s="32" t="n">
        <v>26.55</v>
      </c>
      <c r="Q63" s="32" t="n">
        <v>2106.2</v>
      </c>
      <c r="R63" s="31" t="inlineStr">
        <is>
          <t>Earnings / Momentum Support</t>
        </is>
      </c>
      <c r="S63" s="31" t="inlineStr">
        <is>
          <t>Nifty 50</t>
        </is>
      </c>
      <c r="T63" s="32" t="n">
        <v>-3.67</v>
      </c>
      <c r="U63" s="32" t="n">
        <v>52.55</v>
      </c>
      <c r="V63" s="32" t="n">
        <v>58.36</v>
      </c>
      <c r="W63" s="32" t="n">
        <v>24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IF(B64=0,"",RANK(B64,$B$2:$B$335,0))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NRL</t>
        </is>
      </c>
      <c r="D64" s="31" t="inlineStr">
        <is>
          <t>Nupur Recyclers Ltd</t>
        </is>
      </c>
      <c r="E64" s="31" t="inlineStr">
        <is>
          <t>services</t>
        </is>
      </c>
      <c r="F64" s="31" t="inlineStr">
        <is>
          <t>trading</t>
        </is>
      </c>
      <c r="G64" s="31" t="inlineStr">
        <is>
          <t>smallcap</t>
        </is>
      </c>
      <c r="H64" s="32" t="n">
        <v>727.3</v>
      </c>
      <c r="I64" s="32" t="n">
        <v>108.02</v>
      </c>
      <c r="J64" s="32" t="n">
        <v>2.58</v>
      </c>
      <c r="K64" s="32" t="n">
        <v>173371</v>
      </c>
      <c r="L64" s="31" t="n">
        <v>90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85.92</v>
      </c>
      <c r="P64" s="32" t="n">
        <v>35.98</v>
      </c>
      <c r="Q64" s="32" t="n">
        <v>88.66</v>
      </c>
      <c r="R64" s="31" t="inlineStr">
        <is>
          <t>Near 52W High Breakout</t>
        </is>
      </c>
      <c r="S64" s="31" t="inlineStr">
        <is>
          <t>Nifty 50</t>
        </is>
      </c>
      <c r="T64" s="32" t="n">
        <v>-3.67</v>
      </c>
      <c r="U64" s="32" t="n">
        <v>41.47</v>
      </c>
      <c r="V64" s="32" t="n">
        <v>46.86</v>
      </c>
      <c r="W64" s="32" t="n">
        <v>32.93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Between 1.5 to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IF(B65=0,"",RANK(B65,$B$2:$B$335,0))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SPORTKING</t>
        </is>
      </c>
      <c r="D65" s="31" t="inlineStr">
        <is>
          <t>Sportking India Ltd</t>
        </is>
      </c>
      <c r="E65" s="31" t="inlineStr">
        <is>
          <t>textiles</t>
        </is>
      </c>
      <c r="F65" s="31" t="inlineStr">
        <is>
          <t>textiles - spinning - synthetic / blended</t>
        </is>
      </c>
      <c r="G65" s="31" t="inlineStr">
        <is>
          <t>smallcap</t>
        </is>
      </c>
      <c r="H65" s="32" t="n">
        <v>2446.52</v>
      </c>
      <c r="I65" s="32" t="n">
        <v>196.85</v>
      </c>
      <c r="J65" s="32" t="n">
        <v>2.24</v>
      </c>
      <c r="K65" s="32" t="n">
        <v>3521113</v>
      </c>
      <c r="L65" s="31" t="n">
        <v>80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81.34999999999999</v>
      </c>
      <c r="P65" s="32" t="n">
        <v>66.34999999999999</v>
      </c>
      <c r="Q65" s="32" t="n">
        <v>145.9</v>
      </c>
      <c r="R65" s="31" t="inlineStr">
        <is>
          <t>Volume Spike &amp; Near 52W High Breakout</t>
        </is>
      </c>
      <c r="S65" s="31" t="inlineStr">
        <is>
          <t>Nifty 50</t>
        </is>
      </c>
      <c r="T65" s="32" t="n">
        <v>-3.67</v>
      </c>
      <c r="U65" s="32" t="n">
        <v>49.34</v>
      </c>
      <c r="V65" s="32" t="n">
        <v>55.03</v>
      </c>
      <c r="W65" s="32" t="n">
        <v>21.55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Less than 12%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IF(B66=0,"",RANK(B66,$B$2:$B$335,0))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PLASTIBLEN</t>
        </is>
      </c>
      <c r="D66" s="31" t="inlineStr">
        <is>
          <t>Plastiblends India Limited</t>
        </is>
      </c>
      <c r="E66" s="31" t="inlineStr">
        <is>
          <t>chemicals</t>
        </is>
      </c>
      <c r="F66" s="31" t="inlineStr">
        <is>
          <t>chemicals</t>
        </is>
      </c>
      <c r="G66" s="31" t="inlineStr">
        <is>
          <t>smallcap</t>
        </is>
      </c>
      <c r="H66" s="32" t="n">
        <v>508.84</v>
      </c>
      <c r="I66" s="32" t="n">
        <v>199.82</v>
      </c>
      <c r="J66" s="32" t="n">
        <v>2.06</v>
      </c>
      <c r="K66" s="32" t="n">
        <v>1105978</v>
      </c>
      <c r="L66" s="31" t="n">
        <v>37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71.23</v>
      </c>
      <c r="P66" s="32" t="n">
        <v>20.9</v>
      </c>
      <c r="Q66" s="32" t="n">
        <v>157.04</v>
      </c>
      <c r="R66" s="31" t="inlineStr">
        <is>
          <t>Volume Spike &amp; Near 52W High Breakout</t>
        </is>
      </c>
      <c r="S66" s="31" t="inlineStr">
        <is>
          <t>Nifty 50</t>
        </is>
      </c>
      <c r="T66" s="32" t="n">
        <v>-3.67</v>
      </c>
      <c r="U66" s="32" t="n">
        <v>-0.29</v>
      </c>
      <c r="V66" s="32" t="n">
        <v>3.51</v>
      </c>
      <c r="W66" s="32" t="n">
        <v>7.07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Less than 50%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IF(B67=0,"",RANK(B67,$B$2:$B$335,0))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PRIVISCL</t>
        </is>
      </c>
      <c r="D67" s="31" t="inlineStr">
        <is>
          <t>Privi Speciality Chemicals Ltd</t>
        </is>
      </c>
      <c r="E67" s="31" t="inlineStr">
        <is>
          <t>chemicals</t>
        </is>
      </c>
      <c r="F67" s="31" t="inlineStr">
        <is>
          <t>chemicals</t>
        </is>
      </c>
      <c r="G67" s="31" t="inlineStr">
        <is>
          <t>midcap</t>
        </is>
      </c>
      <c r="H67" s="32" t="n">
        <v>14147.73</v>
      </c>
      <c r="I67" s="32" t="n">
        <v>3682</v>
      </c>
      <c r="J67" s="32" t="n">
        <v>1.66</v>
      </c>
      <c r="K67" s="32" t="n">
        <v>79820</v>
      </c>
      <c r="L67" s="31" t="n">
        <v>60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66.55</v>
      </c>
      <c r="P67" s="32" t="n">
        <v>26.66</v>
      </c>
      <c r="Q67" s="32" t="n">
        <v>3038.07</v>
      </c>
      <c r="R67" s="31" t="inlineStr">
        <is>
          <t>Near 52W High Breakout</t>
        </is>
      </c>
      <c r="S67" s="31" t="inlineStr">
        <is>
          <t>Nifty 50</t>
        </is>
      </c>
      <c r="T67" s="32" t="n">
        <v>-3.67</v>
      </c>
      <c r="U67" s="32" t="n">
        <v>50.58</v>
      </c>
      <c r="V67" s="32" t="n">
        <v>56.32</v>
      </c>
      <c r="W67" s="32" t="n">
        <v>12.35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IF(B68=0,"",RANK(B68,$B$2:$B$335,0))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UFBL</t>
        </is>
      </c>
      <c r="D68" s="31" t="inlineStr">
        <is>
          <t>United Foodbrands Ltd</t>
        </is>
      </c>
      <c r="E68" s="31" t="inlineStr">
        <is>
          <t>consumer discretionary</t>
        </is>
      </c>
      <c r="F68" s="31" t="inlineStr">
        <is>
          <t>hotels</t>
        </is>
      </c>
      <c r="G68" s="31" t="inlineStr">
        <is>
          <t>smallcap</t>
        </is>
      </c>
      <c r="H68" s="32" t="n">
        <v>2897.86</v>
      </c>
      <c r="I68" s="32" t="n">
        <v>750</v>
      </c>
      <c r="J68" s="32" t="n">
        <v>1.16</v>
      </c>
      <c r="K68" s="32" t="n">
        <v>82583</v>
      </c>
      <c r="L68" s="31" t="n">
        <v>98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84.20999999999999</v>
      </c>
      <c r="P68" s="32" t="n">
        <v>54.43</v>
      </c>
      <c r="Q68" s="32" t="n">
        <v>574.85</v>
      </c>
      <c r="R68" s="31" t="inlineStr">
        <is>
          <t>Near 52W High Breakout</t>
        </is>
      </c>
      <c r="S68" s="31" t="inlineStr">
        <is>
          <t>Nifty 50</t>
        </is>
      </c>
      <c r="T68" s="32" t="n">
        <v>-3.67</v>
      </c>
      <c r="U68" s="32" t="n">
        <v>129.66</v>
      </c>
      <c r="V68" s="32" t="n">
        <v>138.41</v>
      </c>
      <c r="W68" s="32" t="n">
        <v>56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More than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IF(B69=0,"",RANK(B69,$B$2:$B$335,0))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AIAENG</t>
        </is>
      </c>
      <c r="D69" s="31" t="inlineStr">
        <is>
          <t>Aia Engineering Limited</t>
        </is>
      </c>
      <c r="E69" s="31" t="inlineStr">
        <is>
          <t>industrials</t>
        </is>
      </c>
      <c r="F69" s="31" t="inlineStr">
        <is>
          <t>castings &amp; forgings</t>
        </is>
      </c>
      <c r="G69" s="31" t="inlineStr">
        <is>
          <t>largecap</t>
        </is>
      </c>
      <c r="H69" s="32" t="n">
        <v>44159.2</v>
      </c>
      <c r="I69" s="32" t="n">
        <v>4775</v>
      </c>
      <c r="J69" s="32" t="n">
        <v>0.91</v>
      </c>
      <c r="K69" s="32" t="n">
        <v>47520</v>
      </c>
      <c r="L69" s="31" t="n">
        <v>58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65.98999999999999</v>
      </c>
      <c r="P69" s="32" t="n">
        <v>30.38</v>
      </c>
      <c r="Q69" s="32" t="n">
        <v>3928.4</v>
      </c>
      <c r="R69" s="31" t="inlineStr">
        <is>
          <t>Near 52W High Breakout</t>
        </is>
      </c>
      <c r="S69" s="31" t="inlineStr">
        <is>
          <t>Nifty 50</t>
        </is>
      </c>
      <c r="T69" s="32" t="n">
        <v>-3.67</v>
      </c>
      <c r="U69" s="32" t="n">
        <v>42.07</v>
      </c>
      <c r="V69" s="32" t="n">
        <v>47.48</v>
      </c>
      <c r="W69" s="32" t="n">
        <v>11.75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IF(B70=0,"",RANK(B70,$B$2:$B$335,0))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RUBYMILLS</t>
        </is>
      </c>
      <c r="D70" s="31" t="inlineStr">
        <is>
          <t>The Ruby Mills Limited</t>
        </is>
      </c>
      <c r="E70" s="31" t="inlineStr">
        <is>
          <t>textiles</t>
        </is>
      </c>
      <c r="F70" s="31" t="inlineStr">
        <is>
          <t>textiles - composite</t>
        </is>
      </c>
      <c r="G70" s="31" t="inlineStr">
        <is>
          <t>smallcap</t>
        </is>
      </c>
      <c r="H70" s="32" t="n">
        <v>1274.4</v>
      </c>
      <c r="I70" s="32" t="n">
        <v>382.95</v>
      </c>
      <c r="J70" s="32" t="n">
        <v>0.49</v>
      </c>
      <c r="K70" s="32" t="n">
        <v>43849</v>
      </c>
      <c r="L70" s="31" t="n">
        <v>82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78.67</v>
      </c>
      <c r="P70" s="32" t="n">
        <v>50.14</v>
      </c>
      <c r="Q70" s="32" t="n">
        <v>291.58</v>
      </c>
      <c r="R70" s="31" t="inlineStr">
        <is>
          <t>Near 52W High Breakout</t>
        </is>
      </c>
      <c r="S70" s="31" t="inlineStr">
        <is>
          <t>Nifty 50</t>
        </is>
      </c>
      <c r="T70" s="32" t="n">
        <v>-3.67</v>
      </c>
      <c r="U70" s="32" t="n">
        <v>55.22</v>
      </c>
      <c r="V70" s="32" t="n">
        <v>61.14</v>
      </c>
      <c r="W70" s="32" t="n">
        <v>23.78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Less than 12%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IF(B71=0,"",RANK(B71,$B$2:$B$335,0))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PSPPROJECT</t>
        </is>
      </c>
      <c r="D71" s="31" t="inlineStr">
        <is>
          <t>PSP Projects Ltd</t>
        </is>
      </c>
      <c r="E71" s="31" t="inlineStr">
        <is>
          <t>realty</t>
        </is>
      </c>
      <c r="F71" s="31" t="inlineStr">
        <is>
          <t>construction</t>
        </is>
      </c>
      <c r="G71" s="31" t="inlineStr">
        <is>
          <t>smallcap</t>
        </is>
      </c>
      <c r="H71" s="32" t="n">
        <v>4225.81</v>
      </c>
      <c r="I71" s="32" t="n">
        <v>1069.4</v>
      </c>
      <c r="J71" s="32" t="n">
        <v>0.32</v>
      </c>
      <c r="K71" s="32" t="n">
        <v>153776</v>
      </c>
      <c r="L71" s="31" t="n">
        <v>73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72.72</v>
      </c>
      <c r="P71" s="32" t="n">
        <v>28.06</v>
      </c>
      <c r="Q71" s="32" t="n">
        <v>822.6799999999999</v>
      </c>
      <c r="R71" s="31" t="inlineStr">
        <is>
          <t>Near 52W High Breakout</t>
        </is>
      </c>
      <c r="S71" s="31" t="inlineStr">
        <is>
          <t>Nifty Realty</t>
        </is>
      </c>
      <c r="T71" s="32" t="n">
        <v>-8.130000000000001</v>
      </c>
      <c r="U71" s="32" t="n">
        <v>30.8</v>
      </c>
      <c r="V71" s="32" t="n">
        <v>42.37</v>
      </c>
      <c r="W71" s="32" t="n">
        <v>16.77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IF(B72=0,"",RANK(B72,$B$2:$B$335,0))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SIGNPOST</t>
        </is>
      </c>
      <c r="D72" s="31" t="inlineStr">
        <is>
          <t>Signpost India Ltd</t>
        </is>
      </c>
      <c r="E72" s="31" t="inlineStr">
        <is>
          <t>miscellaneous</t>
        </is>
      </c>
      <c r="F72" s="31" t="inlineStr">
        <is>
          <t>miscellaneous</t>
        </is>
      </c>
      <c r="G72" s="31" t="inlineStr">
        <is>
          <t>smallcap</t>
        </is>
      </c>
      <c r="H72" s="32" t="n">
        <v>1716.55</v>
      </c>
      <c r="I72" s="32" t="n">
        <v>322.05</v>
      </c>
      <c r="J72" s="32" t="n">
        <v>0.28</v>
      </c>
      <c r="K72" s="32" t="n">
        <v>312592</v>
      </c>
      <c r="L72" s="31" t="n">
        <v>64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66.67</v>
      </c>
      <c r="P72" s="32" t="n">
        <v>31.84</v>
      </c>
      <c r="Q72" s="32" t="n">
        <v>225.04</v>
      </c>
      <c r="R72" s="31" t="inlineStr">
        <is>
          <t>Near 52W High Breakout</t>
        </is>
      </c>
      <c r="S72" s="31" t="inlineStr">
        <is>
          <t>Nifty 50</t>
        </is>
      </c>
      <c r="T72" s="32" t="n">
        <v>-3.67</v>
      </c>
      <c r="U72" s="32" t="n">
        <v>35.83</v>
      </c>
      <c r="V72" s="32" t="n">
        <v>41</v>
      </c>
      <c r="W72" s="32" t="n">
        <v>13.17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Less than 50%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IF(B73=0,"",RANK(B73,$B$2:$B$335,0))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ASTRAMICRO</t>
        </is>
      </c>
      <c r="D73" s="31" t="inlineStr">
        <is>
          <t>Astra Microwave Products Limited</t>
        </is>
      </c>
      <c r="E73" s="31" t="inlineStr">
        <is>
          <t>aerospace &amp; defence</t>
        </is>
      </c>
      <c r="F73" s="31" t="inlineStr">
        <is>
          <t>telecommunications - equipment</t>
        </is>
      </c>
      <c r="G73" s="31" t="inlineStr">
        <is>
          <t>midcap</t>
        </is>
      </c>
      <c r="H73" s="32" t="n">
        <v>16327.69</v>
      </c>
      <c r="I73" s="32" t="n">
        <v>1720</v>
      </c>
      <c r="J73" s="32" t="n">
        <v>0.02</v>
      </c>
      <c r="K73" s="32" t="n">
        <v>479676</v>
      </c>
      <c r="L73" s="31" t="n">
        <v>85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74.11</v>
      </c>
      <c r="P73" s="32" t="n">
        <v>50.99</v>
      </c>
      <c r="Q73" s="32" t="n">
        <v>1482.26</v>
      </c>
      <c r="R73" s="31" t="inlineStr">
        <is>
          <t>Earnings / Momentum Support</t>
        </is>
      </c>
      <c r="S73" s="31" t="inlineStr">
        <is>
          <t>Nifty 50</t>
        </is>
      </c>
      <c r="T73" s="32" t="n">
        <v>-3.67</v>
      </c>
      <c r="U73" s="32" t="n">
        <v>77.87</v>
      </c>
      <c r="V73" s="32" t="n">
        <v>84.65000000000001</v>
      </c>
      <c r="W73" s="32" t="n">
        <v>25.95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Oligopoly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Between 1.5 to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IF(B74=0,"",RANK(B74,$B$2:$B$335,0))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GMRAIRPORT</t>
        </is>
      </c>
      <c r="D74" s="31" t="inlineStr">
        <is>
          <t>GMR Airports Ltd</t>
        </is>
      </c>
      <c r="E74" s="31" t="inlineStr">
        <is>
          <t>miscellaneous</t>
        </is>
      </c>
      <c r="F74" s="31" t="inlineStr">
        <is>
          <t>miscellaneous</t>
        </is>
      </c>
      <c r="G74" s="31" t="inlineStr">
        <is>
          <t>largecap</t>
        </is>
      </c>
      <c r="H74" s="32" t="n">
        <v>121090.34</v>
      </c>
      <c r="I74" s="32" t="n">
        <v>113.38</v>
      </c>
      <c r="J74" s="32" t="n">
        <v>-1.13</v>
      </c>
      <c r="K74" s="32" t="n">
        <v>13562314</v>
      </c>
      <c r="L74" s="31" t="n">
        <v>39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67.28</v>
      </c>
      <c r="P74" s="32" t="n">
        <v>20.84</v>
      </c>
      <c r="Q74" s="32" t="n">
        <v>95.02</v>
      </c>
      <c r="R74" s="31" t="inlineStr">
        <is>
          <t>Near 52W High Breakout</t>
        </is>
      </c>
      <c r="S74" s="31" t="inlineStr">
        <is>
          <t>Nifty 500</t>
        </is>
      </c>
      <c r="T74" s="32" t="n">
        <v>-0.33</v>
      </c>
      <c r="U74" s="32" t="n">
        <v>20.21</v>
      </c>
      <c r="V74" s="32" t="n">
        <v>20.6</v>
      </c>
      <c r="W74" s="32" t="n">
        <v>7.5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IF(B75=0,"",RANK(B75,$B$2:$B$335,0))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SANSERA</t>
        </is>
      </c>
      <c r="D75" s="31" t="inlineStr">
        <is>
          <t>Sansera Engineering Ltd</t>
        </is>
      </c>
      <c r="E75" s="31" t="inlineStr">
        <is>
          <t>auto</t>
        </is>
      </c>
      <c r="F75" s="31" t="inlineStr">
        <is>
          <t>auto ancillaries</t>
        </is>
      </c>
      <c r="G75" s="31" t="inlineStr">
        <is>
          <t>largecap</t>
        </is>
      </c>
      <c r="H75" s="32" t="n">
        <v>20475.86</v>
      </c>
      <c r="I75" s="32" t="n">
        <v>3238.6</v>
      </c>
      <c r="J75" s="32" t="n">
        <v>-1.3</v>
      </c>
      <c r="K75" s="32" t="n">
        <v>131815</v>
      </c>
      <c r="L75" s="31" t="n">
        <v>87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75.93000000000001</v>
      </c>
      <c r="P75" s="32" t="n">
        <v>49.84</v>
      </c>
      <c r="Q75" s="32" t="n">
        <v>2637.04</v>
      </c>
      <c r="R75" s="31" t="inlineStr">
        <is>
          <t>Near 52W High Breakout</t>
        </is>
      </c>
      <c r="S75" s="31" t="inlineStr">
        <is>
          <t>Nifty Auto</t>
        </is>
      </c>
      <c r="T75" s="32" t="n">
        <v>11.1</v>
      </c>
      <c r="U75" s="32" t="n">
        <v>139.12</v>
      </c>
      <c r="V75" s="32" t="n">
        <v>115.22</v>
      </c>
      <c r="W75" s="32" t="n">
        <v>27.14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IF(B76=0,"",RANK(B76,$B$2:$B$335,0))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BORORENEW</t>
        </is>
      </c>
      <c r="D76" s="31" t="inlineStr">
        <is>
          <t>Borosil Renewables Ltd</t>
        </is>
      </c>
      <c r="E76" s="31" t="inlineStr">
        <is>
          <t>building materials</t>
        </is>
      </c>
      <c r="F76" s="31" t="inlineStr">
        <is>
          <t>glass &amp; glass products</t>
        </is>
      </c>
      <c r="G76" s="31" t="inlineStr">
        <is>
          <t>midcap</t>
        </is>
      </c>
      <c r="H76" s="32" t="n">
        <v>9074.42</v>
      </c>
      <c r="I76" s="32" t="n">
        <v>634.6</v>
      </c>
      <c r="J76" s="32" t="n">
        <v>-1.96</v>
      </c>
      <c r="K76" s="32" t="n">
        <v>475955</v>
      </c>
      <c r="L76" s="31" t="n">
        <v>42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65.34999999999999</v>
      </c>
      <c r="P76" s="32" t="n">
        <v>26.04</v>
      </c>
      <c r="Q76" s="32" t="n">
        <v>497.04</v>
      </c>
      <c r="R76" s="31" t="inlineStr">
        <is>
          <t>Near 52W High Breakout</t>
        </is>
      </c>
      <c r="S76" s="31" t="inlineStr">
        <is>
          <t>Nifty Infra</t>
        </is>
      </c>
      <c r="T76" s="32" t="n">
        <v>1.45</v>
      </c>
      <c r="U76" s="32" t="n">
        <v>8.289999999999999</v>
      </c>
      <c r="V76" s="32" t="n">
        <v>6.74</v>
      </c>
      <c r="W76" s="32" t="n">
        <v>8.140000000000001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IF(B77=0,"",RANK(B77,$B$2:$B$335,0))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INDNIPPON</t>
        </is>
      </c>
      <c r="D77" s="31" t="inlineStr">
        <is>
          <t>India Nippon Electricals Limited</t>
        </is>
      </c>
      <c r="E77" s="31" t="inlineStr">
        <is>
          <t>auto</t>
        </is>
      </c>
      <c r="F77" s="31" t="inlineStr">
        <is>
          <t>auto ancillaries</t>
        </is>
      </c>
      <c r="G77" s="31" t="inlineStr">
        <is>
          <t>smallcap</t>
        </is>
      </c>
      <c r="H77" s="32" t="n">
        <v>2796.23</v>
      </c>
      <c r="I77" s="32" t="n">
        <v>1209.6</v>
      </c>
      <c r="J77" s="32" t="n">
        <v>-2.14</v>
      </c>
      <c r="K77" s="32" t="n">
        <v>76883</v>
      </c>
      <c r="L77" s="31" t="n">
        <v>82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77.67</v>
      </c>
      <c r="P77" s="32" t="n">
        <v>27.86</v>
      </c>
      <c r="Q77" s="32" t="n">
        <v>977.4400000000001</v>
      </c>
      <c r="R77" s="31" t="inlineStr">
        <is>
          <t>Near 52W High Breakout</t>
        </is>
      </c>
      <c r="S77" s="31" t="inlineStr">
        <is>
          <t>Nifty Auto</t>
        </is>
      </c>
      <c r="T77" s="32" t="n">
        <v>11.1</v>
      </c>
      <c r="U77" s="32" t="n">
        <v>58.14</v>
      </c>
      <c r="V77" s="32" t="n">
        <v>42.34</v>
      </c>
      <c r="W77" s="32" t="n">
        <v>23.51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Less than 50%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IF(B78=0,"",RANK(B78,$B$2:$B$335,0))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WABAG</t>
        </is>
      </c>
      <c r="D78" s="31" t="inlineStr">
        <is>
          <t>Va Tech Wabag Limited</t>
        </is>
      </c>
      <c r="E78" s="31" t="inlineStr">
        <is>
          <t>realty</t>
        </is>
      </c>
      <c r="F78" s="31" t="inlineStr">
        <is>
          <t>engineering - turnkey services</t>
        </is>
      </c>
      <c r="G78" s="31" t="inlineStr">
        <is>
          <t>midcap</t>
        </is>
      </c>
      <c r="H78" s="32" t="n">
        <v>13743.63</v>
      </c>
      <c r="I78" s="32" t="n">
        <v>2120</v>
      </c>
      <c r="J78" s="32" t="n">
        <v>-3.89</v>
      </c>
      <c r="K78" s="32" t="n">
        <v>571610</v>
      </c>
      <c r="L78" s="31" t="n">
        <v>78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73.52</v>
      </c>
      <c r="P78" s="32" t="n">
        <v>28.4</v>
      </c>
      <c r="Q78" s="32" t="n">
        <v>1764.88</v>
      </c>
      <c r="R78" s="31" t="inlineStr">
        <is>
          <t>Near 52W High Breakout</t>
        </is>
      </c>
      <c r="S78" s="31" t="inlineStr">
        <is>
          <t>Nifty Realty</t>
        </is>
      </c>
      <c r="T78" s="32" t="n">
        <v>-8.130000000000001</v>
      </c>
      <c r="U78" s="32" t="n">
        <v>43.04</v>
      </c>
      <c r="V78" s="32" t="n">
        <v>55.69</v>
      </c>
      <c r="W78" s="32" t="n">
        <v>20.25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IF(B79=0,"",RANK(B79,$B$2:$B$335,0))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RPEL</t>
        </is>
      </c>
      <c r="D79" s="31" t="inlineStr">
        <is>
          <t>Raghav Productivity Enhancers Ltd</t>
        </is>
      </c>
      <c r="E79" s="31" t="inlineStr">
        <is>
          <t>building materials</t>
        </is>
      </c>
      <c r="F79" s="31" t="inlineStr">
        <is>
          <t>refractories / intermediates</t>
        </is>
      </c>
      <c r="G79" s="31" t="inlineStr">
        <is>
          <t>midcap</t>
        </is>
      </c>
      <c r="H79" s="32" t="n">
        <v>6045.17</v>
      </c>
      <c r="I79" s="32" t="n">
        <v>1263.3</v>
      </c>
      <c r="J79" s="32" t="n">
        <v>-4.03</v>
      </c>
      <c r="K79" s="32" t="n">
        <v>64819</v>
      </c>
      <c r="L79" s="31" t="n">
        <v>90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74.98</v>
      </c>
      <c r="P79" s="32" t="n">
        <v>39.7</v>
      </c>
      <c r="Q79" s="32" t="n">
        <v>1012.75</v>
      </c>
      <c r="R79" s="31" t="inlineStr">
        <is>
          <t>Near 52W High Breakout</t>
        </is>
      </c>
      <c r="S79" s="31" t="inlineStr">
        <is>
          <t>Nifty Infra</t>
        </is>
      </c>
      <c r="T79" s="32" t="n">
        <v>1.45</v>
      </c>
      <c r="U79" s="32" t="n">
        <v>82.55</v>
      </c>
      <c r="V79" s="32" t="n">
        <v>79.94</v>
      </c>
      <c r="W79" s="32" t="n">
        <v>32.2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IF(B80=0,"",RANK(B80,$B$2:$B$335,0))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AEGISLOG</t>
        </is>
      </c>
      <c r="D80" s="31" t="inlineStr">
        <is>
          <t>Aegis Logistics Ltd</t>
        </is>
      </c>
      <c r="E80" s="31" t="inlineStr">
        <is>
          <t>services</t>
        </is>
      </c>
      <c r="F80" s="31" t="inlineStr">
        <is>
          <t>trading</t>
        </is>
      </c>
      <c r="G80" s="31" t="inlineStr">
        <is>
          <t>largecap</t>
        </is>
      </c>
      <c r="H80" s="32" t="n">
        <v>45405.36</v>
      </c>
      <c r="I80" s="32" t="n">
        <v>1222.5</v>
      </c>
      <c r="J80" s="32" t="n">
        <v>-5.5</v>
      </c>
      <c r="K80" s="32" t="n">
        <v>1730912</v>
      </c>
      <c r="L80" s="31" t="n">
        <v>88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75.02</v>
      </c>
      <c r="P80" s="32" t="n">
        <v>40.58</v>
      </c>
      <c r="Q80" s="32" t="n">
        <v>1002.49</v>
      </c>
      <c r="R80" s="31" t="inlineStr">
        <is>
          <t>Earnings / Momentum Support</t>
        </is>
      </c>
      <c r="S80" s="31" t="inlineStr">
        <is>
          <t>Nifty 50</t>
        </is>
      </c>
      <c r="T80" s="32" t="n">
        <v>-3.67</v>
      </c>
      <c r="U80" s="32" t="n">
        <v>65.83</v>
      </c>
      <c r="V80" s="32" t="n">
        <v>72.14</v>
      </c>
      <c r="W80" s="32" t="n">
        <v>28.67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IF(B81=0,"",RANK(B81,$B$2:$B$335,0))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SENORES</t>
        </is>
      </c>
      <c r="D81" s="31" t="inlineStr">
        <is>
          <t>Senores Pharmaceuticals Ltd</t>
        </is>
      </c>
      <c r="E81" s="31" t="inlineStr">
        <is>
          <t>healthcare</t>
        </is>
      </c>
      <c r="F81" s="31" t="inlineStr">
        <is>
          <t>pharmaceuticals - indian - formulations</t>
        </is>
      </c>
      <c r="G81" s="31" t="inlineStr">
        <is>
          <t>midcap</t>
        </is>
      </c>
      <c r="H81" s="32" t="n">
        <v>6610.99</v>
      </c>
      <c r="I81" s="32" t="n">
        <v>1451.8</v>
      </c>
      <c r="J81" s="32" t="n">
        <v>1.14</v>
      </c>
      <c r="K81" s="32" t="n">
        <v>219960</v>
      </c>
      <c r="L81" s="31" t="n">
        <v>90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79.22</v>
      </c>
      <c r="P81" s="32" t="n">
        <v>60.93</v>
      </c>
      <c r="Q81" s="32" t="n">
        <v>1135.17</v>
      </c>
      <c r="R81" s="31" t="inlineStr">
        <is>
          <t>Near 52W High Breakout</t>
        </is>
      </c>
      <c r="S81" s="31" t="inlineStr">
        <is>
          <t>Nifty Pharma</t>
        </is>
      </c>
      <c r="T81" s="32" t="n">
        <v>14.67</v>
      </c>
      <c r="U81" s="32" t="n">
        <v>132.53</v>
      </c>
      <c r="V81" s="32" t="n">
        <v>102.78</v>
      </c>
      <c r="W81" s="32" t="n">
        <v>32.6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Less than 50%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IF(B82=0,"",RANK(B82,$B$2:$B$335,0))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LAURUSLABS</t>
        </is>
      </c>
      <c r="D82" s="31" t="inlineStr">
        <is>
          <t>Laurus Labs Limited</t>
        </is>
      </c>
      <c r="E82" s="31" t="inlineStr">
        <is>
          <t>healthcare</t>
        </is>
      </c>
      <c r="F82" s="31" t="inlineStr">
        <is>
          <t>pharmaceuticals - indian - bulk drugs &amp; formln</t>
        </is>
      </c>
      <c r="G82" s="31" t="inlineStr">
        <is>
          <t>largecap</t>
        </is>
      </c>
      <c r="H82" s="32" t="n">
        <v>84142.05</v>
      </c>
      <c r="I82" s="32" t="n">
        <v>1560.7</v>
      </c>
      <c r="J82" s="32" t="n">
        <v>0.13</v>
      </c>
      <c r="K82" s="32" t="n">
        <v>1288969</v>
      </c>
      <c r="L82" s="31" t="n">
        <v>81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79.38</v>
      </c>
      <c r="P82" s="32" t="n">
        <v>51.82</v>
      </c>
      <c r="Q82" s="32" t="n">
        <v>1328.45</v>
      </c>
      <c r="R82" s="31" t="inlineStr">
        <is>
          <t>Near 52W High Breakout</t>
        </is>
      </c>
      <c r="S82" s="31" t="inlineStr">
        <is>
          <t>Nifty Pharma</t>
        </is>
      </c>
      <c r="T82" s="32" t="n">
        <v>14.67</v>
      </c>
      <c r="U82" s="32" t="n">
        <v>89.06</v>
      </c>
      <c r="V82" s="32" t="n">
        <v>64.87</v>
      </c>
      <c r="W82" s="32" t="n">
        <v>21.83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Between 12 to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IF(B83=0,"",RANK(B83,$B$2:$B$335,0))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LUPIN</t>
        </is>
      </c>
      <c r="D83" s="31" t="inlineStr">
        <is>
          <t>Lupin Limited</t>
        </is>
      </c>
      <c r="E83" s="31" t="inlineStr">
        <is>
          <t>healthcare</t>
        </is>
      </c>
      <c r="F83" s="31" t="inlineStr">
        <is>
          <t>pharmaceuticals - indian - bulk drugs &amp; formln</t>
        </is>
      </c>
      <c r="G83" s="31" t="inlineStr">
        <is>
          <t>largecap</t>
        </is>
      </c>
      <c r="H83" s="32" t="n">
        <v>113956.47</v>
      </c>
      <c r="I83" s="32" t="n">
        <v>2469.2</v>
      </c>
      <c r="J83" s="32" t="n">
        <v>-0.9399999999999999</v>
      </c>
      <c r="K83" s="32" t="n">
        <v>811559</v>
      </c>
      <c r="L83" s="31" t="n">
        <v>35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67.56</v>
      </c>
      <c r="P83" s="32" t="n">
        <v>15.76</v>
      </c>
      <c r="Q83" s="32" t="n">
        <v>2211.74</v>
      </c>
      <c r="R83" s="31" t="inlineStr">
        <is>
          <t>Near 52W High Breakout</t>
        </is>
      </c>
      <c r="S83" s="31" t="inlineStr">
        <is>
          <t>Nifty Pharma</t>
        </is>
      </c>
      <c r="T83" s="32" t="n">
        <v>14.67</v>
      </c>
      <c r="U83" s="32" t="n">
        <v>28.59</v>
      </c>
      <c r="V83" s="32" t="n">
        <v>12.14</v>
      </c>
      <c r="W83" s="32" t="n">
        <v>6.48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IF(B84=0,"",RANK(B84,$B$2:$B$335,0))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SHILPAMED</t>
        </is>
      </c>
      <c r="D84" s="31" t="inlineStr">
        <is>
          <t>Shilpa Medicare Limited</t>
        </is>
      </c>
      <c r="E84" s="31" t="inlineStr">
        <is>
          <t>healthcare</t>
        </is>
      </c>
      <c r="F84" s="31" t="inlineStr">
        <is>
          <t>pharmaceuticals - indian - formulations</t>
        </is>
      </c>
      <c r="G84" s="31" t="inlineStr">
        <is>
          <t>midcap</t>
        </is>
      </c>
      <c r="H84" s="32" t="n">
        <v>12325.57</v>
      </c>
      <c r="I84" s="32" t="n">
        <v>624.25</v>
      </c>
      <c r="J84" s="32" t="n">
        <v>-0.9399999999999999</v>
      </c>
      <c r="K84" s="32" t="n">
        <v>955122</v>
      </c>
      <c r="L84" s="31" t="n">
        <v>79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84.40000000000001</v>
      </c>
      <c r="P84" s="32" t="n">
        <v>65.23</v>
      </c>
      <c r="Q84" s="32" t="n">
        <v>495.49</v>
      </c>
      <c r="R84" s="31" t="inlineStr">
        <is>
          <t>Near 52W High Breakout</t>
        </is>
      </c>
      <c r="S84" s="31" t="inlineStr">
        <is>
          <t>Nifty Pharma</t>
        </is>
      </c>
      <c r="T84" s="32" t="n">
        <v>14.67</v>
      </c>
      <c r="U84" s="32" t="n">
        <v>36.51</v>
      </c>
      <c r="V84" s="32" t="n">
        <v>19.05</v>
      </c>
      <c r="W84" s="32" t="n">
        <v>20.92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IF(B85=0,"",RANK(B85,$B$2:$B$335,0))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PIXTRANS</t>
        </is>
      </c>
      <c r="D85" s="31" t="inlineStr">
        <is>
          <t>Pix Transmission Ltd</t>
        </is>
      </c>
      <c r="E85" s="31" t="inlineStr">
        <is>
          <t>fmcg</t>
        </is>
      </c>
      <c r="F85" s="31" t="inlineStr">
        <is>
          <t>miscellaneous</t>
        </is>
      </c>
      <c r="G85" s="31" t="inlineStr">
        <is>
          <t>smallcap</t>
        </is>
      </c>
      <c r="H85" s="32" t="n">
        <v>2525.29</v>
      </c>
      <c r="I85" s="32" t="n">
        <v>1835</v>
      </c>
      <c r="J85" s="32" t="n">
        <v>-0.99</v>
      </c>
      <c r="K85" s="32" t="n">
        <v>9581</v>
      </c>
      <c r="L85" s="31" t="n">
        <v>45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73.31</v>
      </c>
      <c r="P85" s="32" t="n">
        <v>38.77</v>
      </c>
      <c r="Q85" s="32" t="n">
        <v>1501.74</v>
      </c>
      <c r="R85" s="31" t="inlineStr">
        <is>
          <t>Near 52W High Breakout</t>
        </is>
      </c>
      <c r="S85" s="31" t="inlineStr">
        <is>
          <t>Nifty FMCG</t>
        </is>
      </c>
      <c r="T85" s="32" t="n">
        <v>-14.13</v>
      </c>
      <c r="U85" s="32" t="n">
        <v>20.36</v>
      </c>
      <c r="V85" s="32" t="n">
        <v>40.16</v>
      </c>
      <c r="W85" s="32" t="n">
        <v>8.720000000000001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B2C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IF(B86=0,"",RANK(B86,$B$2:$B$335,0))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ACUTAAS</t>
        </is>
      </c>
      <c r="D86" s="31" t="inlineStr">
        <is>
          <t>Acutaas Chemicals Ltd</t>
        </is>
      </c>
      <c r="E86" s="31" t="inlineStr">
        <is>
          <t>healthcare</t>
        </is>
      </c>
      <c r="F86" s="31" t="inlineStr">
        <is>
          <t>pharmaceuticals - indian - bulk drugs</t>
        </is>
      </c>
      <c r="G86" s="31" t="inlineStr">
        <is>
          <t>largecap</t>
        </is>
      </c>
      <c r="H86" s="32" t="n">
        <v>28615.59</v>
      </c>
      <c r="I86" s="32" t="n">
        <v>3459.7</v>
      </c>
      <c r="J86" s="32" t="n">
        <v>-1.02</v>
      </c>
      <c r="K86" s="32" t="n">
        <v>173284</v>
      </c>
      <c r="L86" s="31" t="n">
        <v>92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69.36</v>
      </c>
      <c r="P86" s="32" t="n">
        <v>68.48999999999999</v>
      </c>
      <c r="Q86" s="32" t="n">
        <v>2896.86</v>
      </c>
      <c r="R86" s="31" t="inlineStr">
        <is>
          <t>Earnings / Momentum Support</t>
        </is>
      </c>
      <c r="S86" s="31" t="inlineStr">
        <is>
          <t>Nifty Pharma</t>
        </is>
      </c>
      <c r="T86" s="32" t="n">
        <v>14.67</v>
      </c>
      <c r="U86" s="32" t="n">
        <v>187.83</v>
      </c>
      <c r="V86" s="32" t="n">
        <v>151.01</v>
      </c>
      <c r="W86" s="32" t="n">
        <v>34.43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Between 50% to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IF(B87=0,"",RANK(B87,$B$2:$B$335,0))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NGLFINE</t>
        </is>
      </c>
      <c r="D87" s="31" t="inlineStr">
        <is>
          <t>NGL Fine Chem Ltd</t>
        </is>
      </c>
      <c r="E87" s="31" t="inlineStr">
        <is>
          <t>healthcare</t>
        </is>
      </c>
      <c r="F87" s="31" t="inlineStr">
        <is>
          <t>pharmaceuticals - indian - bulk drugs</t>
        </is>
      </c>
      <c r="G87" s="31" t="inlineStr">
        <is>
          <t>smallcap</t>
        </is>
      </c>
      <c r="H87" s="32" t="n">
        <v>1952.81</v>
      </c>
      <c r="I87" s="32" t="n">
        <v>3121</v>
      </c>
      <c r="J87" s="32" t="n">
        <v>-1.26</v>
      </c>
      <c r="K87" s="32" t="n">
        <v>3019</v>
      </c>
      <c r="L87" s="31" t="n">
        <v>88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75.12</v>
      </c>
      <c r="P87" s="32" t="n">
        <v>68.28</v>
      </c>
      <c r="Q87" s="32" t="n">
        <v>2244.08</v>
      </c>
      <c r="R87" s="31" t="inlineStr">
        <is>
          <t>Near 52W High Breakout</t>
        </is>
      </c>
      <c r="S87" s="31" t="inlineStr">
        <is>
          <t>Nifty Pharma</t>
        </is>
      </c>
      <c r="T87" s="32" t="n">
        <v>14.67</v>
      </c>
      <c r="U87" s="32" t="n">
        <v>127.92</v>
      </c>
      <c r="V87" s="32" t="n">
        <v>98.76000000000001</v>
      </c>
      <c r="W87" s="32" t="n">
        <v>27.87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Between 50% to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IF(B88=0,"",RANK(B88,$B$2:$B$335,0))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ZYDUSWELL</t>
        </is>
      </c>
      <c r="D88" s="31" t="inlineStr">
        <is>
          <t>Zydus Wellness Limited</t>
        </is>
      </c>
      <c r="E88" s="31" t="inlineStr">
        <is>
          <t>fmcg</t>
        </is>
      </c>
      <c r="F88" s="31" t="inlineStr">
        <is>
          <t>food - processing - indian</t>
        </is>
      </c>
      <c r="G88" s="31" t="inlineStr">
        <is>
          <t>midcap</t>
        </is>
      </c>
      <c r="H88" s="32" t="n">
        <v>18855.8</v>
      </c>
      <c r="I88" s="32" t="n">
        <v>575.9</v>
      </c>
      <c r="J88" s="32" t="n">
        <v>-2.83</v>
      </c>
      <c r="K88" s="32" t="n">
        <v>178704</v>
      </c>
      <c r="L88" s="31" t="n">
        <v>50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68.18000000000001</v>
      </c>
      <c r="P88" s="32" t="n">
        <v>50.59</v>
      </c>
      <c r="Q88" s="32" t="n">
        <v>473.7</v>
      </c>
      <c r="R88" s="31" t="inlineStr">
        <is>
          <t>Near 52W High Breakout</t>
        </is>
      </c>
      <c r="S88" s="31" t="inlineStr">
        <is>
          <t>Nifty FMCG</t>
        </is>
      </c>
      <c r="T88" s="32" t="n">
        <v>-14.13</v>
      </c>
      <c r="U88" s="32" t="n">
        <v>37.51</v>
      </c>
      <c r="V88" s="32" t="n">
        <v>60.13</v>
      </c>
      <c r="W88" s="32" t="n">
        <v>9.94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Less than 12%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Less than 50%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IF(B89=0,"",RANK(B89,$B$2:$B$335,0))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HESTERBIO</t>
        </is>
      </c>
      <c r="D89" s="31" t="inlineStr">
        <is>
          <t>Hester Biosciences Limited</t>
        </is>
      </c>
      <c r="E89" s="31" t="inlineStr">
        <is>
          <t>healthcare</t>
        </is>
      </c>
      <c r="F89" s="31" t="inlineStr">
        <is>
          <t>pharmaceuticals - indian - formulations</t>
        </is>
      </c>
      <c r="G89" s="31" t="inlineStr">
        <is>
          <t>smallcap</t>
        </is>
      </c>
      <c r="H89" s="32" t="n">
        <v>2165</v>
      </c>
      <c r="I89" s="32" t="n">
        <v>2386.8</v>
      </c>
      <c r="J89" s="32" t="n">
        <v>-6.22</v>
      </c>
      <c r="K89" s="32" t="n">
        <v>290142</v>
      </c>
      <c r="L89" s="31" t="n">
        <v>78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75.04000000000001</v>
      </c>
      <c r="P89" s="32" t="n">
        <v>45.92</v>
      </c>
      <c r="Q89" s="32" t="n">
        <v>1809.97</v>
      </c>
      <c r="R89" s="31" t="inlineStr">
        <is>
          <t>Volume Spike &amp; Near 52W High Breakout</t>
        </is>
      </c>
      <c r="S89" s="31" t="inlineStr">
        <is>
          <t>Nifty Pharma</t>
        </is>
      </c>
      <c r="T89" s="32" t="n">
        <v>14.67</v>
      </c>
      <c r="U89" s="32" t="n">
        <v>24.77</v>
      </c>
      <c r="V89" s="32" t="n">
        <v>8.81</v>
      </c>
      <c r="W89" s="32" t="n">
        <v>19.52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IF(B90=0,"",RANK(B90,$B$2:$B$335,0))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WELCORP</t>
        </is>
      </c>
      <c r="D90" s="31" t="inlineStr">
        <is>
          <t>Welspun Corp Limited</t>
        </is>
      </c>
      <c r="E90" s="31" t="inlineStr">
        <is>
          <t>industrials</t>
        </is>
      </c>
      <c r="F90" s="31" t="inlineStr">
        <is>
          <t>steel - large</t>
        </is>
      </c>
      <c r="G90" s="31" t="inlineStr">
        <is>
          <t>largecap</t>
        </is>
      </c>
      <c r="H90" s="32" t="n">
        <v>42731.45</v>
      </c>
      <c r="I90" s="32" t="n">
        <v>1683.4</v>
      </c>
      <c r="J90" s="32" t="n">
        <v>3.92</v>
      </c>
      <c r="K90" s="32" t="n">
        <v>4340539</v>
      </c>
      <c r="L90" s="31" t="n">
        <v>87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88.18000000000001</v>
      </c>
      <c r="P90" s="32" t="n">
        <v>66.95</v>
      </c>
      <c r="Q90" s="32" t="n">
        <v>1394.84</v>
      </c>
      <c r="R90" s="31" t="inlineStr">
        <is>
          <t>Near 52W High Breakout</t>
        </is>
      </c>
      <c r="S90" s="31" t="inlineStr">
        <is>
          <t>Nifty Metal</t>
        </is>
      </c>
      <c r="T90" s="32" t="n">
        <v>34.04</v>
      </c>
      <c r="U90" s="32" t="n">
        <v>82.89</v>
      </c>
      <c r="V90" s="32" t="n">
        <v>36.45</v>
      </c>
      <c r="W90" s="32" t="n">
        <v>27.69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IF(B91=0,"",RANK(B91,$B$2:$B$335,0))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INDOTECH</t>
        </is>
      </c>
      <c r="D91" s="31" t="inlineStr">
        <is>
          <t>Indo Tech Transformers Limited</t>
        </is>
      </c>
      <c r="E91" s="31" t="inlineStr">
        <is>
          <t>industrials</t>
        </is>
      </c>
      <c r="F91" s="31" t="inlineStr">
        <is>
          <t>electric equipment</t>
        </is>
      </c>
      <c r="G91" s="31" t="inlineStr">
        <is>
          <t>smallcap</t>
        </is>
      </c>
      <c r="H91" s="32" t="n">
        <v>3606.98</v>
      </c>
      <c r="I91" s="32" t="n">
        <v>3450</v>
      </c>
      <c r="J91" s="32" t="n">
        <v>1.58</v>
      </c>
      <c r="K91" s="32" t="n">
        <v>30819</v>
      </c>
      <c r="L91" s="31" t="n">
        <v>93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76.05</v>
      </c>
      <c r="P91" s="32" t="n">
        <v>46.69</v>
      </c>
      <c r="Q91" s="32" t="n">
        <v>2553.43</v>
      </c>
      <c r="R91" s="31" t="inlineStr">
        <is>
          <t>Near 52W High Breakout</t>
        </is>
      </c>
      <c r="S91" s="31" t="inlineStr">
        <is>
          <t>Nifty 50</t>
        </is>
      </c>
      <c r="T91" s="32" t="n">
        <v>-3.67</v>
      </c>
      <c r="U91" s="32" t="n">
        <v>84.58</v>
      </c>
      <c r="V91" s="32" t="n">
        <v>91.61</v>
      </c>
      <c r="W91" s="32" t="n">
        <v>35.95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Between 12 to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IF(B92=0,"",RANK(B92,$B$2:$B$335,0))</f>
        <v/>
      </c>
      <c r="B92" s="32">
        <f>SUM(N92,Y92,AA92,AC92,AE92,AG92,AI92,AK92,AM92,AO92,AQ92,AS92,AU92,AW92,AY92,BA92,BC92,BE92,BG92,BI92,BK92,BM92,BO92,BQ92,BS92,BU92,BW92,BY92,CA92,CC92,CE92)</f>
        <v/>
      </c>
      <c r="C92" s="33" t="inlineStr">
        <is>
          <t>OCCLLTD</t>
        </is>
      </c>
      <c r="D92" s="33" t="inlineStr">
        <is>
          <t>OCCL Ltd</t>
        </is>
      </c>
      <c r="E92" s="31" t="inlineStr">
        <is>
          <t>chemicals</t>
        </is>
      </c>
      <c r="F92" s="31" t="inlineStr">
        <is>
          <t>chemicals</t>
        </is>
      </c>
      <c r="G92" s="31" t="inlineStr">
        <is>
          <t>smallcap</t>
        </is>
      </c>
      <c r="H92" s="32" t="n">
        <v>640.86</v>
      </c>
      <c r="I92" s="32" t="n">
        <v>130.25</v>
      </c>
      <c r="J92" s="32" t="n">
        <v>1.52</v>
      </c>
      <c r="K92" s="32" t="n">
        <v>31681</v>
      </c>
      <c r="L92" s="31" t="n">
        <v>41</v>
      </c>
      <c r="M92" s="31" t="inlineStr">
        <is>
          <t>Underperforming</t>
        </is>
      </c>
      <c r="N92" s="32">
        <f>IF(M92="Underperforming",-5,IF(L92&gt;=95,15,IF(L92&gt;=90,10,IF(L92&gt;=80,5,0))))</f>
        <v/>
      </c>
      <c r="O92" s="32" t="n">
        <v>67.83</v>
      </c>
      <c r="P92" s="32" t="n">
        <v>24.48</v>
      </c>
      <c r="Q92" s="32" t="n">
        <v>94.78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-3.67</v>
      </c>
      <c r="U92" s="32" t="n">
        <v>-5.73</v>
      </c>
      <c r="V92" s="32" t="n">
        <v>-2.14</v>
      </c>
      <c r="W92" s="32" t="n">
        <v>7.9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IF(B93=0,"",RANK(B93,$B$2:$B$335,0))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SPECTRUM</t>
        </is>
      </c>
      <c r="D93" s="31" t="inlineStr">
        <is>
          <t>Spectrum Electrical Industries Ltd</t>
        </is>
      </c>
      <c r="E93" s="31" t="inlineStr">
        <is>
          <t>industrials</t>
        </is>
      </c>
      <c r="F93" s="31" t="inlineStr">
        <is>
          <t>electric equipment</t>
        </is>
      </c>
      <c r="G93" s="31" t="inlineStr">
        <is>
          <t>smallcap</t>
        </is>
      </c>
      <c r="H93" s="32" t="n">
        <v>3151.41</v>
      </c>
      <c r="I93" s="32" t="n">
        <v>2035</v>
      </c>
      <c r="J93" s="32" t="n">
        <v>1.47</v>
      </c>
      <c r="K93" s="32" t="n">
        <v>17420</v>
      </c>
      <c r="L93" s="31" t="n">
        <v>81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69.19</v>
      </c>
      <c r="P93" s="32" t="n">
        <v>37.92</v>
      </c>
      <c r="Q93" s="32" t="n">
        <v>1395.89</v>
      </c>
      <c r="R93" s="31" t="inlineStr">
        <is>
          <t>Near 52W High Breakout</t>
        </is>
      </c>
      <c r="S93" s="31" t="inlineStr">
        <is>
          <t>Nifty Infra</t>
        </is>
      </c>
      <c r="T93" s="32" t="n">
        <v>1.45</v>
      </c>
      <c r="U93" s="32" t="n">
        <v>30.1</v>
      </c>
      <c r="V93" s="32" t="n">
        <v>28.24</v>
      </c>
      <c r="W93" s="32" t="n">
        <v>22.35</v>
      </c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IF(B94=0,"",RANK(B94,$B$2:$B$335,0))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PANSARI</t>
        </is>
      </c>
      <c r="D94" s="31" t="inlineStr">
        <is>
          <t>Pansari Developers Ltd</t>
        </is>
      </c>
      <c r="E94" s="31" t="inlineStr">
        <is>
          <t>realty</t>
        </is>
      </c>
      <c r="F94" s="31" t="inlineStr">
        <is>
          <t>construction</t>
        </is>
      </c>
      <c r="G94" s="31" t="inlineStr">
        <is>
          <t>smallcap</t>
        </is>
      </c>
      <c r="H94" s="32" t="n">
        <v>626.08</v>
      </c>
      <c r="I94" s="32" t="n">
        <v>363</v>
      </c>
      <c r="J94" s="32" t="n">
        <v>1.16</v>
      </c>
      <c r="K94" s="32" t="n">
        <v>2886</v>
      </c>
      <c r="L94" s="31" t="n">
        <v>66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63.75</v>
      </c>
      <c r="P94" s="32" t="n">
        <v>29.41</v>
      </c>
      <c r="Q94" s="32" t="n">
        <v>247.7</v>
      </c>
      <c r="R94" s="31" t="inlineStr">
        <is>
          <t>Near 52W High Breakout</t>
        </is>
      </c>
      <c r="S94" s="31" t="inlineStr">
        <is>
          <t>Nifty Realty</t>
        </is>
      </c>
      <c r="T94" s="32" t="n">
        <v>-8.130000000000001</v>
      </c>
      <c r="U94" s="32" t="n">
        <v>43.07</v>
      </c>
      <c r="V94" s="32" t="n">
        <v>55.72</v>
      </c>
      <c r="W94" s="32" t="n">
        <v>13.95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Negative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IF(B95=0,"",RANK(B95,$B$2:$B$335,0))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VARROC</t>
        </is>
      </c>
      <c r="D95" s="31" t="inlineStr">
        <is>
          <t>Varroc Engineering Ltd</t>
        </is>
      </c>
      <c r="E95" s="31" t="inlineStr">
        <is>
          <t>auto</t>
        </is>
      </c>
      <c r="F95" s="31" t="inlineStr">
        <is>
          <t>auto ancillaries</t>
        </is>
      </c>
      <c r="G95" s="31" t="inlineStr">
        <is>
          <t>midcap</t>
        </is>
      </c>
      <c r="H95" s="32" t="n">
        <v>10081.61</v>
      </c>
      <c r="I95" s="32" t="n">
        <v>666.7</v>
      </c>
      <c r="J95" s="32" t="n">
        <v>1.04</v>
      </c>
      <c r="K95" s="32" t="n">
        <v>103242</v>
      </c>
      <c r="L95" s="31" t="n">
        <v>46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68.31</v>
      </c>
      <c r="P95" s="32" t="n">
        <v>25.36</v>
      </c>
      <c r="Q95" s="32" t="n">
        <v>540.83</v>
      </c>
      <c r="R95" s="31" t="inlineStr">
        <is>
          <t>Near 52W High Breakout</t>
        </is>
      </c>
      <c r="S95" s="31" t="inlineStr">
        <is>
          <t>Nifty Auto</t>
        </is>
      </c>
      <c r="T95" s="32" t="n">
        <v>11.1</v>
      </c>
      <c r="U95" s="32" t="n">
        <v>19.43</v>
      </c>
      <c r="V95" s="32" t="n">
        <v>7.49</v>
      </c>
      <c r="W95" s="32" t="n">
        <v>8.949999999999999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Between 50% to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IF(B96=0,"",RANK(B96,$B$2:$B$335,0))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JAYBARMARU</t>
        </is>
      </c>
      <c r="D96" s="31" t="inlineStr">
        <is>
          <t>Jay Bharat Maruti Limited</t>
        </is>
      </c>
      <c r="E96" s="31" t="inlineStr">
        <is>
          <t>auto</t>
        </is>
      </c>
      <c r="F96" s="31" t="inlineStr">
        <is>
          <t>auto ancillaries</t>
        </is>
      </c>
      <c r="G96" s="31" t="inlineStr">
        <is>
          <t>smallcap</t>
        </is>
      </c>
      <c r="H96" s="32" t="n">
        <v>2134.15</v>
      </c>
      <c r="I96" s="32" t="n">
        <v>199.18</v>
      </c>
      <c r="J96" s="32" t="n">
        <v>1.03</v>
      </c>
      <c r="K96" s="32" t="n">
        <v>2204261</v>
      </c>
      <c r="L96" s="31" t="n">
        <v>96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80.12</v>
      </c>
      <c r="P96" s="32" t="n">
        <v>38.85</v>
      </c>
      <c r="Q96" s="32" t="n">
        <v>151.59</v>
      </c>
      <c r="R96" s="31" t="inlineStr">
        <is>
          <t>Near 52W High Breakout</t>
        </is>
      </c>
      <c r="S96" s="31" t="inlineStr">
        <is>
          <t>Nifty Auto</t>
        </is>
      </c>
      <c r="T96" s="32" t="n">
        <v>11.1</v>
      </c>
      <c r="U96" s="32" t="n">
        <v>163.65</v>
      </c>
      <c r="V96" s="32" t="n">
        <v>137.3</v>
      </c>
      <c r="W96" s="32" t="n">
        <v>46.63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Between 50% to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Between 0.7 to 1.2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IF(B97=0,"",RANK(B97,$B$2:$B$335,0))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NAHARSPING</t>
        </is>
      </c>
      <c r="D97" s="31" t="inlineStr">
        <is>
          <t>Nahar Spinning Mills Limited</t>
        </is>
      </c>
      <c r="E97" s="31" t="inlineStr">
        <is>
          <t>textiles</t>
        </is>
      </c>
      <c r="F97" s="31" t="inlineStr">
        <is>
          <t>textiles - cotton/blended</t>
        </is>
      </c>
      <c r="G97" s="31" t="inlineStr">
        <is>
          <t>smallcap</t>
        </is>
      </c>
      <c r="H97" s="32" t="n">
        <v>978.09</v>
      </c>
      <c r="I97" s="32" t="n">
        <v>274</v>
      </c>
      <c r="J97" s="32" t="n">
        <v>1.03</v>
      </c>
      <c r="K97" s="32" t="n">
        <v>10316</v>
      </c>
      <c r="L97" s="31" t="n">
        <v>25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61.89</v>
      </c>
      <c r="P97" s="32" t="n">
        <v>21.6</v>
      </c>
      <c r="Q97" s="32" t="n">
        <v>218.32</v>
      </c>
      <c r="R97" s="31" t="inlineStr">
        <is>
          <t>Near 52W High Breakout</t>
        </is>
      </c>
      <c r="S97" s="31" t="inlineStr">
        <is>
          <t>Nifty 50</t>
        </is>
      </c>
      <c r="T97" s="32" t="n">
        <v>-3.67</v>
      </c>
      <c r="U97" s="32" t="n">
        <v>3.62</v>
      </c>
      <c r="V97" s="32" t="n">
        <v>7.56</v>
      </c>
      <c r="W97" s="32" t="n">
        <v>4.79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Between 12 to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IF(B98=0,"",RANK(B98,$B$2:$B$335,0))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SANGAMIND</t>
        </is>
      </c>
      <c r="D98" s="31" t="inlineStr">
        <is>
          <t>Sangam (india) Limited</t>
        </is>
      </c>
      <c r="E98" s="31" t="inlineStr">
        <is>
          <t>textiles</t>
        </is>
      </c>
      <c r="F98" s="31" t="inlineStr">
        <is>
          <t>textiles - spinning - synthetic / blended</t>
        </is>
      </c>
      <c r="G98" s="31" t="inlineStr">
        <is>
          <t>smallcap</t>
        </is>
      </c>
      <c r="H98" s="32" t="n">
        <v>3128.1</v>
      </c>
      <c r="I98" s="32" t="n">
        <v>624.95</v>
      </c>
      <c r="J98" s="32" t="n">
        <v>0.39</v>
      </c>
      <c r="K98" s="32" t="n">
        <v>602757</v>
      </c>
      <c r="L98" s="31" t="n">
        <v>68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78.25</v>
      </c>
      <c r="P98" s="32" t="n">
        <v>43.49</v>
      </c>
      <c r="Q98" s="32" t="n">
        <v>491.69</v>
      </c>
      <c r="R98" s="31" t="inlineStr">
        <is>
          <t>Volume Spike &amp; Near 52W High Breakout</t>
        </is>
      </c>
      <c r="S98" s="31" t="inlineStr">
        <is>
          <t>Nifty 50</t>
        </is>
      </c>
      <c r="T98" s="32" t="n">
        <v>-3.67</v>
      </c>
      <c r="U98" s="32" t="n">
        <v>35.11</v>
      </c>
      <c r="V98" s="32" t="n">
        <v>40.25</v>
      </c>
      <c r="W98" s="32" t="n">
        <v>14.56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Between 0.7 to 1.2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IF(B99=0,"",RANK(B99,$B$2:$B$335,0))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SHRIPISTON</t>
        </is>
      </c>
      <c r="D99" s="31" t="inlineStr">
        <is>
          <t>Shriram Pistons &amp; Rings Limited</t>
        </is>
      </c>
      <c r="E99" s="31" t="inlineStr">
        <is>
          <t>auto</t>
        </is>
      </c>
      <c r="F99" s="31" t="inlineStr">
        <is>
          <t>auto ancillaries</t>
        </is>
      </c>
      <c r="G99" s="31" t="inlineStr">
        <is>
          <t>midcap</t>
        </is>
      </c>
      <c r="H99" s="32" t="n">
        <v>18435.29</v>
      </c>
      <c r="I99" s="32" t="n">
        <v>4198</v>
      </c>
      <c r="J99" s="32" t="n">
        <v>0.31</v>
      </c>
      <c r="K99" s="32" t="n">
        <v>34743</v>
      </c>
      <c r="L99" s="31" t="n">
        <v>67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70.02</v>
      </c>
      <c r="P99" s="32" t="n">
        <v>36.75</v>
      </c>
      <c r="Q99" s="32" t="n">
        <v>3359.02</v>
      </c>
      <c r="R99" s="31" t="inlineStr">
        <is>
          <t>Near 52W High Breakout</t>
        </is>
      </c>
      <c r="S99" s="31" t="inlineStr">
        <is>
          <t>Nifty Auto</t>
        </is>
      </c>
      <c r="T99" s="32" t="n">
        <v>11.1</v>
      </c>
      <c r="U99" s="32" t="n">
        <v>71.83</v>
      </c>
      <c r="V99" s="32" t="n">
        <v>54.66</v>
      </c>
      <c r="W99" s="32" t="n">
        <v>14.27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IF(B100=0,"",RANK(B100,$B$2:$B$335,0))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SFL</t>
        </is>
      </c>
      <c r="D100" s="31" t="inlineStr">
        <is>
          <t>Sheela Foam Limited</t>
        </is>
      </c>
      <c r="E100" s="31" t="inlineStr">
        <is>
          <t>consumer discretionary</t>
        </is>
      </c>
      <c r="F100" s="31" t="inlineStr">
        <is>
          <t>miscellaneous</t>
        </is>
      </c>
      <c r="G100" s="31" t="inlineStr">
        <is>
          <t>midcap</t>
        </is>
      </c>
      <c r="H100" s="32" t="n">
        <v>8772.42</v>
      </c>
      <c r="I100" s="32" t="n">
        <v>808.95</v>
      </c>
      <c r="J100" s="32" t="n">
        <v>0.25</v>
      </c>
      <c r="K100" s="32" t="n">
        <v>308907</v>
      </c>
      <c r="L100" s="31" t="n">
        <v>69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74.84</v>
      </c>
      <c r="P100" s="32" t="n">
        <v>28.8</v>
      </c>
      <c r="Q100" s="32" t="n">
        <v>646.87</v>
      </c>
      <c r="R100" s="31" t="inlineStr">
        <is>
          <t>Near 52W High Breakout</t>
        </is>
      </c>
      <c r="S100" s="31" t="inlineStr">
        <is>
          <t>Nifty 50</t>
        </is>
      </c>
      <c r="T100" s="32" t="n">
        <v>-3.67</v>
      </c>
      <c r="U100" s="32" t="n">
        <v>20.11</v>
      </c>
      <c r="V100" s="32" t="n">
        <v>24.69</v>
      </c>
      <c r="W100" s="32" t="n">
        <v>15.33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IF(B101=0,"",RANK(B101,$B$2:$B$335,0))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KAJARIACER</t>
        </is>
      </c>
      <c r="D101" s="31" t="inlineStr">
        <is>
          <t>Kajaria Ceramics Limited</t>
        </is>
      </c>
      <c r="E101" s="31" t="inlineStr">
        <is>
          <t>building materials</t>
        </is>
      </c>
      <c r="F101" s="31" t="inlineStr">
        <is>
          <t>ceramics - tiles / sanitaryware</t>
        </is>
      </c>
      <c r="G101" s="31" t="inlineStr">
        <is>
          <t>midcap</t>
        </is>
      </c>
      <c r="H101" s="32" t="n">
        <v>19692.43</v>
      </c>
      <c r="I101" s="32" t="n">
        <v>1238.5</v>
      </c>
      <c r="J101" s="32" t="n">
        <v>0.17</v>
      </c>
      <c r="K101" s="32" t="n">
        <v>353192</v>
      </c>
      <c r="L101" s="31" t="n">
        <v>11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66.14</v>
      </c>
      <c r="P101" s="32" t="n">
        <v>23.49</v>
      </c>
      <c r="Q101" s="32" t="n">
        <v>1020.97</v>
      </c>
      <c r="R101" s="31" t="inlineStr">
        <is>
          <t>Near 52W High Breakout</t>
        </is>
      </c>
      <c r="S101" s="31" t="inlineStr">
        <is>
          <t>Nifty Infra</t>
        </is>
      </c>
      <c r="T101" s="32" t="n">
        <v>1.45</v>
      </c>
      <c r="U101" s="32" t="n">
        <v>1.67</v>
      </c>
      <c r="V101" s="32" t="n">
        <v>0.21</v>
      </c>
      <c r="W101" s="32" t="n">
        <v>2.02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IF(B102=0,"",RANK(B102,$B$2:$B$335,0))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TTKPRESTIG</t>
        </is>
      </c>
      <c r="D102" s="31" t="inlineStr">
        <is>
          <t>Ttk Prestige Limited</t>
        </is>
      </c>
      <c r="E102" s="31" t="inlineStr">
        <is>
          <t>consumer discretionary</t>
        </is>
      </c>
      <c r="F102" s="31" t="inlineStr">
        <is>
          <t>domestic appliances</t>
        </is>
      </c>
      <c r="G102" s="31" t="inlineStr">
        <is>
          <t>midcap</t>
        </is>
      </c>
      <c r="H102" s="32" t="n">
        <v>9116.139999999999</v>
      </c>
      <c r="I102" s="32" t="n">
        <v>664.7</v>
      </c>
      <c r="J102" s="32" t="n">
        <v>-0.14</v>
      </c>
      <c r="K102" s="32" t="n">
        <v>69757</v>
      </c>
      <c r="L102" s="31" t="n">
        <v>47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69.92</v>
      </c>
      <c r="P102" s="32" t="n">
        <v>34.33</v>
      </c>
      <c r="Q102" s="32" t="n">
        <v>526.55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-3.67</v>
      </c>
      <c r="U102" s="32" t="n">
        <v>5.37</v>
      </c>
      <c r="V102" s="32" t="n">
        <v>9.390000000000001</v>
      </c>
      <c r="W102" s="32" t="n">
        <v>9.24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IF(B103=0,"",RANK(B103,$B$2:$B$335,0))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SKIPPER</t>
        </is>
      </c>
      <c r="D103" s="31" t="inlineStr">
        <is>
          <t>Skipper Limited</t>
        </is>
      </c>
      <c r="E103" s="31" t="inlineStr">
        <is>
          <t>industrials</t>
        </is>
      </c>
      <c r="F103" s="31" t="inlineStr">
        <is>
          <t>engineering</t>
        </is>
      </c>
      <c r="G103" s="31" t="inlineStr">
        <is>
          <t>midcap</t>
        </is>
      </c>
      <c r="H103" s="32" t="n">
        <v>6277.46</v>
      </c>
      <c r="I103" s="32" t="n">
        <v>555</v>
      </c>
      <c r="J103" s="32" t="n">
        <v>-0.18</v>
      </c>
      <c r="K103" s="32" t="n">
        <v>384667</v>
      </c>
      <c r="L103" s="31" t="n">
        <v>48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64.03</v>
      </c>
      <c r="P103" s="32" t="n">
        <v>35.01</v>
      </c>
      <c r="Q103" s="32" t="n">
        <v>436.01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-3.67</v>
      </c>
      <c r="U103" s="32" t="n">
        <v>12.45</v>
      </c>
      <c r="V103" s="32" t="n">
        <v>16.73</v>
      </c>
      <c r="W103" s="32" t="n">
        <v>9.369999999999999</v>
      </c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Less than 50%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IF(B104=0,"",RANK(B104,$B$2:$B$335,0))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PREMIERENE</t>
        </is>
      </c>
      <c r="D104" s="31" t="inlineStr">
        <is>
          <t>Premier Energies Ltd</t>
        </is>
      </c>
      <c r="E104" s="31" t="inlineStr">
        <is>
          <t>services</t>
        </is>
      </c>
      <c r="F104" s="31" t="inlineStr">
        <is>
          <t>trading</t>
        </is>
      </c>
      <c r="G104" s="31" t="inlineStr">
        <is>
          <t>largecap</t>
        </is>
      </c>
      <c r="H104" s="32" t="n">
        <v>50259.73</v>
      </c>
      <c r="I104" s="32" t="n">
        <v>1100.9</v>
      </c>
      <c r="J104" s="32" t="n">
        <v>-0.78</v>
      </c>
      <c r="K104" s="32" t="n">
        <v>1330787</v>
      </c>
      <c r="L104" s="31" t="n">
        <v>23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62.47</v>
      </c>
      <c r="P104" s="32" t="n">
        <v>21.59</v>
      </c>
      <c r="Q104" s="32" t="n">
        <v>899.11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-3.67</v>
      </c>
      <c r="U104" s="32" t="n">
        <v>4.17</v>
      </c>
      <c r="V104" s="32" t="n">
        <v>8.140000000000001</v>
      </c>
      <c r="W104" s="32" t="n">
        <v>4.6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Close to 52 week high or retracement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Between 50% to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Between 0.7 to 1.2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IF(B105=0,"",RANK(B105,$B$2:$B$335,0))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PHOENIXLTD</t>
        </is>
      </c>
      <c r="D105" s="31" t="inlineStr">
        <is>
          <t>The Phoenix Mills Limited</t>
        </is>
      </c>
      <c r="E105" s="31" t="inlineStr">
        <is>
          <t>realty</t>
        </is>
      </c>
      <c r="F105" s="31" t="inlineStr">
        <is>
          <t>construction</t>
        </is>
      </c>
      <c r="G105" s="31" t="inlineStr">
        <is>
          <t>largecap</t>
        </is>
      </c>
      <c r="H105" s="32" t="n">
        <v>77034.5</v>
      </c>
      <c r="I105" s="32" t="n">
        <v>2132.5</v>
      </c>
      <c r="J105" s="32" t="n">
        <v>-1</v>
      </c>
      <c r="K105" s="32" t="n">
        <v>982205</v>
      </c>
      <c r="L105" s="31" t="n">
        <v>58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71.95999999999999</v>
      </c>
      <c r="P105" s="32" t="n">
        <v>14.27</v>
      </c>
      <c r="Q105" s="32" t="n">
        <v>1804.34</v>
      </c>
      <c r="R105" s="31" t="inlineStr">
        <is>
          <t>Near 52W High Breakout</t>
        </is>
      </c>
      <c r="S105" s="31" t="inlineStr">
        <is>
          <t>Nifty Realty</t>
        </is>
      </c>
      <c r="T105" s="32" t="n">
        <v>-8.130000000000001</v>
      </c>
      <c r="U105" s="32" t="n">
        <v>43.7</v>
      </c>
      <c r="V105" s="32" t="n">
        <v>56.41</v>
      </c>
      <c r="W105" s="32" t="n">
        <v>11.65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0 to 20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IF(B106=0,"",RANK(B106,$B$2:$B$335,0))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KMEW</t>
        </is>
      </c>
      <c r="D106" s="31" t="inlineStr">
        <is>
          <t>Knowledge Marine &amp; Engineering Works Ltd</t>
        </is>
      </c>
      <c r="E106" s="31" t="inlineStr">
        <is>
          <t>transportation</t>
        </is>
      </c>
      <c r="F106" s="31" t="inlineStr">
        <is>
          <t>miscellaneous</t>
        </is>
      </c>
      <c r="G106" s="31" t="inlineStr">
        <is>
          <t>midcap</t>
        </is>
      </c>
      <c r="H106" s="32" t="n">
        <v>5928.67</v>
      </c>
      <c r="I106" s="32" t="n">
        <v>2341.9</v>
      </c>
      <c r="J106" s="32" t="n">
        <v>-3.44</v>
      </c>
      <c r="K106" s="32" t="n">
        <v>58178</v>
      </c>
      <c r="L106" s="31" t="n">
        <v>88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67.23999999999999</v>
      </c>
      <c r="P106" s="32" t="n">
        <v>43.9</v>
      </c>
      <c r="Q106" s="32" t="n">
        <v>1727.42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-3.67</v>
      </c>
      <c r="U106" s="32" t="n">
        <v>156.55</v>
      </c>
      <c r="V106" s="32" t="n">
        <v>166.32</v>
      </c>
      <c r="W106" s="32" t="n">
        <v>29.99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Negative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IF(B107=0,"",RANK(B107,$B$2:$B$335,0))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RAIN</t>
        </is>
      </c>
      <c r="D107" s="31" t="inlineStr">
        <is>
          <t>Rain Industries Limited</t>
        </is>
      </c>
      <c r="E107" s="31" t="inlineStr">
        <is>
          <t>miscellaneous</t>
        </is>
      </c>
      <c r="F107" s="31" t="inlineStr">
        <is>
          <t>miscellaneous</t>
        </is>
      </c>
      <c r="G107" s="31" t="inlineStr">
        <is>
          <t>midcap</t>
        </is>
      </c>
      <c r="H107" s="32" t="n">
        <v>7177.95</v>
      </c>
      <c r="I107" s="32" t="n">
        <v>205.46</v>
      </c>
      <c r="J107" s="32" t="n">
        <v>-3.73</v>
      </c>
      <c r="K107" s="32" t="n">
        <v>4659682</v>
      </c>
      <c r="L107" s="31" t="n">
        <v>78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70.61</v>
      </c>
      <c r="P107" s="32" t="n">
        <v>36.87</v>
      </c>
      <c r="Q107" s="32" t="n">
        <v>155.19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-3.67</v>
      </c>
      <c r="U107" s="32" t="n">
        <v>37.81</v>
      </c>
      <c r="V107" s="32" t="n">
        <v>43.06</v>
      </c>
      <c r="W107" s="32" t="n">
        <v>20.12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More than 1.2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IF(B108=0,"",RANK(B108,$B$2:$B$335,0))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AURUM</t>
        </is>
      </c>
      <c r="D108" s="31" t="inlineStr">
        <is>
          <t>Aurum Proptech Ltd</t>
        </is>
      </c>
      <c r="E108" s="31" t="inlineStr">
        <is>
          <t>i.t</t>
        </is>
      </c>
      <c r="F108" s="31" t="inlineStr">
        <is>
          <t>computers - software - medium / small</t>
        </is>
      </c>
      <c r="G108" s="31" t="inlineStr">
        <is>
          <t>smallcap</t>
        </is>
      </c>
      <c r="H108" s="32" t="n">
        <v>1777.17</v>
      </c>
      <c r="I108" s="32" t="n">
        <v>239.64</v>
      </c>
      <c r="J108" s="32" t="n">
        <v>3.37</v>
      </c>
      <c r="K108" s="32" t="n">
        <v>567965</v>
      </c>
      <c r="L108" s="31" t="n">
        <v>59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73.31999999999999</v>
      </c>
      <c r="P108" s="32" t="n">
        <v>35.95</v>
      </c>
      <c r="Q108" s="32" t="n">
        <v>191.17</v>
      </c>
      <c r="R108" s="31" t="inlineStr">
        <is>
          <t>Near 52W High Breakout</t>
        </is>
      </c>
      <c r="S108" s="31" t="inlineStr">
        <is>
          <t>Nifty IT</t>
        </is>
      </c>
      <c r="T108" s="32" t="n">
        <v>-22.66</v>
      </c>
      <c r="U108" s="32" t="n">
        <v>20.7</v>
      </c>
      <c r="V108" s="32" t="n">
        <v>56.06</v>
      </c>
      <c r="W108" s="32" t="n">
        <v>11.9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Annuity, Lower One Time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Between 50% to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IF(B109=0,"",RANK(B109,$B$2:$B$335,0))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3" t="inlineStr">
        <is>
          <t>MANKIND</t>
        </is>
      </c>
      <c r="D109" s="33" t="inlineStr">
        <is>
          <t>Mankind Pharma Ltd</t>
        </is>
      </c>
      <c r="E109" s="31" t="inlineStr">
        <is>
          <t>healthcare</t>
        </is>
      </c>
      <c r="F109" s="31" t="inlineStr">
        <is>
          <t>pharmaceuticals - indian - bulk drugs &amp; formln</t>
        </is>
      </c>
      <c r="G109" s="31" t="inlineStr">
        <is>
          <t>largecap</t>
        </is>
      </c>
      <c r="H109" s="32" t="n">
        <v>103516.7</v>
      </c>
      <c r="I109" s="32" t="n">
        <v>2531.1</v>
      </c>
      <c r="J109" s="32" t="n">
        <v>0.9399999999999999</v>
      </c>
      <c r="K109" s="32" t="n">
        <v>247728</v>
      </c>
      <c r="L109" s="31" t="n">
        <v>18</v>
      </c>
      <c r="M109" s="31" t="inlineStr">
        <is>
          <t>Underperforming</t>
        </is>
      </c>
      <c r="N109" s="32">
        <f>IF(M109="Underperforming",-5,IF(L109&gt;=95,15,IF(L109&gt;=90,10,IF(L109&gt;=80,5,0))))</f>
        <v/>
      </c>
      <c r="O109" s="32" t="n">
        <v>63.5</v>
      </c>
      <c r="P109" s="32" t="n">
        <v>25.64</v>
      </c>
      <c r="Q109" s="32" t="n">
        <v>2137.81</v>
      </c>
      <c r="R109" s="31" t="inlineStr">
        <is>
          <t>Near 52W High Breakout</t>
        </is>
      </c>
      <c r="S109" s="31" t="inlineStr">
        <is>
          <t>Nifty Pharma</t>
        </is>
      </c>
      <c r="T109" s="32" t="n">
        <v>14.67</v>
      </c>
      <c r="U109" s="32" t="n">
        <v>-4.53</v>
      </c>
      <c r="V109" s="32" t="n">
        <v>-16.75</v>
      </c>
      <c r="W109" s="32" t="n">
        <v>3.43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Yes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Annuity, Lower One Time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Between 1.5 to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IF(B110=0,"",RANK(B110,$B$2:$B$335,0))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IPCALAB</t>
        </is>
      </c>
      <c r="D110" s="31" t="inlineStr">
        <is>
          <t>Ipca Laboratories Limited</t>
        </is>
      </c>
      <c r="E110" s="31" t="inlineStr">
        <is>
          <t>healthcare</t>
        </is>
      </c>
      <c r="F110" s="31" t="inlineStr">
        <is>
          <t>pharmaceuticals - indian - bulk drugs &amp; formln</t>
        </is>
      </c>
      <c r="G110" s="31" t="inlineStr">
        <is>
          <t>largecap</t>
        </is>
      </c>
      <c r="H110" s="32" t="n">
        <v>46257.89</v>
      </c>
      <c r="I110" s="32" t="n">
        <v>1840.4</v>
      </c>
      <c r="J110" s="32" t="n">
        <v>0.9399999999999999</v>
      </c>
      <c r="K110" s="32" t="n">
        <v>241497</v>
      </c>
      <c r="L110" s="31" t="n">
        <v>53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69.09</v>
      </c>
      <c r="P110" s="32" t="n">
        <v>33.3</v>
      </c>
      <c r="Q110" s="32" t="n">
        <v>1519.83</v>
      </c>
      <c r="R110" s="31" t="inlineStr">
        <is>
          <t>Near 52W High Breakout</t>
        </is>
      </c>
      <c r="S110" s="31" t="inlineStr">
        <is>
          <t>Nifty Pharma</t>
        </is>
      </c>
      <c r="T110" s="32" t="n">
        <v>14.67</v>
      </c>
      <c r="U110" s="32" t="n">
        <v>25.29</v>
      </c>
      <c r="V110" s="32" t="n">
        <v>9.26</v>
      </c>
      <c r="W110" s="32" t="n">
        <v>10.58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Between 50% to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IF(B111=0,"",RANK(B111,$B$2:$B$335,0))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RATEGAIN</t>
        </is>
      </c>
      <c r="D111" s="31" t="inlineStr">
        <is>
          <t>Rategain Travel Technologies Ltd</t>
        </is>
      </c>
      <c r="E111" s="31" t="inlineStr">
        <is>
          <t>i.t</t>
        </is>
      </c>
      <c r="F111" s="31" t="inlineStr">
        <is>
          <t>computers - software - medium / small</t>
        </is>
      </c>
      <c r="G111" s="31" t="inlineStr">
        <is>
          <t>midcap</t>
        </is>
      </c>
      <c r="H111" s="32" t="n">
        <v>11186.72</v>
      </c>
      <c r="I111" s="32" t="n">
        <v>952.25</v>
      </c>
      <c r="J111" s="32" t="n">
        <v>0.59</v>
      </c>
      <c r="K111" s="32" t="n">
        <v>365514</v>
      </c>
      <c r="L111" s="31" t="n">
        <v>89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78.86</v>
      </c>
      <c r="P111" s="32" t="n">
        <v>33.77</v>
      </c>
      <c r="Q111" s="32" t="n">
        <v>754.61</v>
      </c>
      <c r="R111" s="31" t="inlineStr">
        <is>
          <t>Near 52W High Breakout</t>
        </is>
      </c>
      <c r="S111" s="31" t="inlineStr">
        <is>
          <t>Nifty IT</t>
        </is>
      </c>
      <c r="T111" s="32" t="n">
        <v>-22.66</v>
      </c>
      <c r="U111" s="32" t="n">
        <v>104.43</v>
      </c>
      <c r="V111" s="32" t="n">
        <v>164.34</v>
      </c>
      <c r="W111" s="32" t="n">
        <v>31.2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Between 50% to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IF(B112=0,"",RANK(B112,$B$2:$B$335,0))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AKUMS</t>
        </is>
      </c>
      <c r="D112" s="31" t="inlineStr">
        <is>
          <t>Akums Drugs &amp; Pharmaceuticals Ltd</t>
        </is>
      </c>
      <c r="E112" s="31" t="inlineStr">
        <is>
          <t>healthcare</t>
        </is>
      </c>
      <c r="F112" s="31" t="inlineStr">
        <is>
          <t>pharmaceuticals - indian - bulk drugs &amp; formln</t>
        </is>
      </c>
      <c r="G112" s="31" t="inlineStr">
        <is>
          <t>midcap</t>
        </is>
      </c>
      <c r="H112" s="32" t="n">
        <v>10763.39</v>
      </c>
      <c r="I112" s="32" t="n">
        <v>686.95</v>
      </c>
      <c r="J112" s="32" t="n">
        <v>0.45</v>
      </c>
      <c r="K112" s="32" t="n">
        <v>397749</v>
      </c>
      <c r="L112" s="31" t="n">
        <v>55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73.42</v>
      </c>
      <c r="P112" s="32" t="n">
        <v>47.34</v>
      </c>
      <c r="Q112" s="32" t="n">
        <v>568.52</v>
      </c>
      <c r="R112" s="31" t="inlineStr">
        <is>
          <t>Near 52W High Breakout</t>
        </is>
      </c>
      <c r="S112" s="31" t="inlineStr">
        <is>
          <t>Nifty Pharma</t>
        </is>
      </c>
      <c r="T112" s="32" t="n">
        <v>14.67</v>
      </c>
      <c r="U112" s="32" t="n">
        <v>24.84</v>
      </c>
      <c r="V112" s="32" t="n">
        <v>8.869999999999999</v>
      </c>
      <c r="W112" s="32" t="n">
        <v>11.1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Less than 12%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IF(B113=0,"",RANK(B113,$B$2:$B$335,0))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3" t="inlineStr">
        <is>
          <t>ALIVUS</t>
        </is>
      </c>
      <c r="D113" s="33" t="inlineStr">
        <is>
          <t>Alivus Life Sciences Ltd</t>
        </is>
      </c>
      <c r="E113" s="31" t="inlineStr">
        <is>
          <t>healthcare</t>
        </is>
      </c>
      <c r="F113" s="31" t="inlineStr">
        <is>
          <t>pharmaceuticals - indian - bulk drugs &amp; formln</t>
        </is>
      </c>
      <c r="G113" s="31" t="inlineStr">
        <is>
          <t>midcap</t>
        </is>
      </c>
      <c r="H113" s="32" t="n">
        <v>14237.42</v>
      </c>
      <c r="I113" s="32" t="n">
        <v>1165</v>
      </c>
      <c r="J113" s="32" t="n">
        <v>0.43</v>
      </c>
      <c r="K113" s="32" t="n">
        <v>77322</v>
      </c>
      <c r="L113" s="31" t="n">
        <v>23</v>
      </c>
      <c r="M113" s="31" t="inlineStr">
        <is>
          <t>Underperforming</t>
        </is>
      </c>
      <c r="N113" s="32">
        <f>IF(M113="Underperforming",-5,IF(L113&gt;=95,15,IF(L113&gt;=90,10,IF(L113&gt;=80,5,0))))</f>
        <v/>
      </c>
      <c r="O113" s="32" t="n">
        <v>69.83</v>
      </c>
      <c r="P113" s="32" t="n">
        <v>34.99</v>
      </c>
      <c r="Q113" s="32" t="n">
        <v>950.5</v>
      </c>
      <c r="R113" s="31" t="inlineStr">
        <is>
          <t>Near 52W High Breakout</t>
        </is>
      </c>
      <c r="S113" s="31" t="inlineStr">
        <is>
          <t>Nifty Pharma</t>
        </is>
      </c>
      <c r="T113" s="32" t="n">
        <v>14.67</v>
      </c>
      <c r="U113" s="32" t="n">
        <v>10.31</v>
      </c>
      <c r="V113" s="32" t="n">
        <v>-3.8</v>
      </c>
      <c r="W113" s="32" t="n">
        <v>4.32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Yes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Between 12 to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Between 1.5 to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IF(B114=0,"",RANK(B114,$B$2:$B$335,0))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PICCADIL</t>
        </is>
      </c>
      <c r="D114" s="31" t="inlineStr">
        <is>
          <t>Piccadily Agro Industries Ltd</t>
        </is>
      </c>
      <c r="E114" s="31" t="inlineStr">
        <is>
          <t>fmcg</t>
        </is>
      </c>
      <c r="F114" s="31" t="inlineStr">
        <is>
          <t>breweries &amp; distilleries</t>
        </is>
      </c>
      <c r="G114" s="31" t="inlineStr">
        <is>
          <t>midcap</t>
        </is>
      </c>
      <c r="H114" s="32" t="n">
        <v>7086.31</v>
      </c>
      <c r="I114" s="32" t="n">
        <v>716.55</v>
      </c>
      <c r="J114" s="32" t="n">
        <v>-0.33</v>
      </c>
      <c r="K114" s="32" t="n">
        <v>386064</v>
      </c>
      <c r="L114" s="31" t="n">
        <v>44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68.56</v>
      </c>
      <c r="P114" s="32" t="n">
        <v>38.05</v>
      </c>
      <c r="Q114" s="32" t="n">
        <v>565.45</v>
      </c>
      <c r="R114" s="31" t="inlineStr">
        <is>
          <t>Near 52W High Breakout</t>
        </is>
      </c>
      <c r="S114" s="31" t="inlineStr">
        <is>
          <t>Nifty FMCG</t>
        </is>
      </c>
      <c r="T114" s="32" t="n">
        <v>-14.13</v>
      </c>
      <c r="U114" s="32" t="n">
        <v>18.93</v>
      </c>
      <c r="V114" s="32" t="n">
        <v>38.49</v>
      </c>
      <c r="W114" s="32" t="n">
        <v>8.59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B2C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Less than 12%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Between 50% to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IF(B115=0,"",RANK(B115,$B$2:$B$335,0))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TRIVENI</t>
        </is>
      </c>
      <c r="D115" s="31" t="inlineStr">
        <is>
          <t>Triveni Engineering &amp; Industries Limited</t>
        </is>
      </c>
      <c r="E115" s="31" t="inlineStr">
        <is>
          <t>fmcg</t>
        </is>
      </c>
      <c r="F115" s="31" t="inlineStr">
        <is>
          <t>sugar</t>
        </is>
      </c>
      <c r="G115" s="31" t="inlineStr">
        <is>
          <t>midcap</t>
        </is>
      </c>
      <c r="H115" s="32" t="n">
        <v>10444.72</v>
      </c>
      <c r="I115" s="32" t="n">
        <v>472.25</v>
      </c>
      <c r="J115" s="32" t="n">
        <v>-1.03</v>
      </c>
      <c r="K115" s="32" t="n">
        <v>864740</v>
      </c>
      <c r="L115" s="31" t="n">
        <v>51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70.31</v>
      </c>
      <c r="P115" s="32" t="n">
        <v>23</v>
      </c>
      <c r="Q115" s="32" t="n">
        <v>378.37</v>
      </c>
      <c r="R115" s="31" t="inlineStr">
        <is>
          <t>Near 52W High Breakout</t>
        </is>
      </c>
      <c r="S115" s="31" t="inlineStr">
        <is>
          <t>Nifty FMCG</t>
        </is>
      </c>
      <c r="T115" s="32" t="n">
        <v>-14.13</v>
      </c>
      <c r="U115" s="32" t="n">
        <v>31.59</v>
      </c>
      <c r="V115" s="32" t="n">
        <v>53.24</v>
      </c>
      <c r="W115" s="32" t="n">
        <v>10.22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B2C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Less than 50%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IF(B116=0,"",RANK(B116,$B$2:$B$335,0))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NOVARTIND</t>
        </is>
      </c>
      <c r="D116" s="31" t="inlineStr">
        <is>
          <t>Novartis India Ltd</t>
        </is>
      </c>
      <c r="E116" s="31" t="inlineStr">
        <is>
          <t>healthcare</t>
        </is>
      </c>
      <c r="F116" s="31" t="inlineStr">
        <is>
          <t>pharmaceuticals - multinational</t>
        </is>
      </c>
      <c r="G116" s="31" t="inlineStr">
        <is>
          <t>smallcap</t>
        </is>
      </c>
      <c r="H116" s="32" t="n">
        <v>4110.52</v>
      </c>
      <c r="I116" s="32" t="n">
        <v>1617.6</v>
      </c>
      <c r="J116" s="32" t="n">
        <v>-2.84</v>
      </c>
      <c r="K116" s="32" t="n">
        <v>94637</v>
      </c>
      <c r="L116" s="31" t="n">
        <v>84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73.97</v>
      </c>
      <c r="P116" s="32" t="n">
        <v>68.53</v>
      </c>
      <c r="Q116" s="32" t="n">
        <v>1240.49</v>
      </c>
      <c r="R116" s="31" t="inlineStr">
        <is>
          <t>Near 52W High Breakout</t>
        </is>
      </c>
      <c r="S116" s="31" t="inlineStr">
        <is>
          <t>Nifty Pharma</t>
        </is>
      </c>
      <c r="T116" s="32" t="n">
        <v>14.67</v>
      </c>
      <c r="U116" s="32" t="n">
        <v>55.4</v>
      </c>
      <c r="V116" s="32" t="n">
        <v>35.52</v>
      </c>
      <c r="W116" s="32" t="n">
        <v>25.03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Yes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Less than 12%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Less than 50%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IF(B117=0,"",RANK(B117,$B$2:$B$335,0))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SAREGAMA</t>
        </is>
      </c>
      <c r="D117" s="31" t="inlineStr">
        <is>
          <t>Saregama India Limited</t>
        </is>
      </c>
      <c r="E117" s="31" t="inlineStr">
        <is>
          <t>media</t>
        </is>
      </c>
      <c r="F117" s="31" t="inlineStr">
        <is>
          <t>entertainment / electronic media software</t>
        </is>
      </c>
      <c r="G117" s="31" t="inlineStr">
        <is>
          <t>midcap</t>
        </is>
      </c>
      <c r="H117" s="32" t="n">
        <v>9611.549999999999</v>
      </c>
      <c r="I117" s="32" t="n">
        <v>483.5</v>
      </c>
      <c r="J117" s="32" t="n">
        <v>-3.01</v>
      </c>
      <c r="K117" s="32" t="n">
        <v>451766</v>
      </c>
      <c r="L117" s="31" t="n">
        <v>47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68.2</v>
      </c>
      <c r="P117" s="32" t="n">
        <v>37.63</v>
      </c>
      <c r="Q117" s="32" t="n">
        <v>377.51</v>
      </c>
      <c r="R117" s="31" t="inlineStr">
        <is>
          <t>Near 52W High Breakout</t>
        </is>
      </c>
      <c r="S117" s="31" t="inlineStr">
        <is>
          <t>Nifty IT</t>
        </is>
      </c>
      <c r="T117" s="32" t="n">
        <v>-22.66</v>
      </c>
      <c r="U117" s="32" t="n">
        <v>-4.07</v>
      </c>
      <c r="V117" s="32" t="n">
        <v>24.04</v>
      </c>
      <c r="W117" s="32" t="n">
        <v>9.300000000000001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Between 1.5 to 2</t>
        </is>
      </c>
      <c r="BU117" s="31">
        <f>IF(BT117="Above 2",0,IF(BT117="Between 1.5 to 2",5,IF(BT117="Less than 1.5",10,0)))</f>
        <v/>
      </c>
      <c r="BV117" s="31" t="inlineStr">
        <is>
          <t>Less than 50%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IF(B118=0,"",RANK(B118,$B$2:$B$335,0))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SPARC</t>
        </is>
      </c>
      <c r="D118" s="31" t="inlineStr">
        <is>
          <t>Sun Pharma Advanced Research Company Limited</t>
        </is>
      </c>
      <c r="E118" s="31" t="inlineStr">
        <is>
          <t>healthcare</t>
        </is>
      </c>
      <c r="F118" s="31" t="inlineStr">
        <is>
          <t>miscellaneous</t>
        </is>
      </c>
      <c r="G118" s="31" t="inlineStr">
        <is>
          <t>midcap</t>
        </is>
      </c>
      <c r="H118" s="32" t="n">
        <v>8418.74</v>
      </c>
      <c r="I118" s="32" t="n">
        <v>247.83</v>
      </c>
      <c r="J118" s="32" t="n">
        <v>-4.47</v>
      </c>
      <c r="K118" s="32" t="n">
        <v>1942992</v>
      </c>
      <c r="L118" s="31" t="n">
        <v>85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70.38</v>
      </c>
      <c r="P118" s="32" t="n">
        <v>64.08</v>
      </c>
      <c r="Q118" s="32" t="n">
        <v>189.39</v>
      </c>
      <c r="R118" s="31" t="inlineStr">
        <is>
          <t>Earnings / Momentum Support</t>
        </is>
      </c>
      <c r="S118" s="31" t="inlineStr">
        <is>
          <t>Nifty Pharma</t>
        </is>
      </c>
      <c r="T118" s="32" t="n">
        <v>14.67</v>
      </c>
      <c r="U118" s="32" t="n">
        <v>53.9</v>
      </c>
      <c r="V118" s="32" t="n">
        <v>34.21</v>
      </c>
      <c r="W118" s="32" t="n">
        <v>25.86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Negative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IF(B119=0,"",RANK(B119,$B$2:$B$335,0))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YASHO</t>
        </is>
      </c>
      <c r="D119" s="31" t="inlineStr">
        <is>
          <t>Yasho Industries Ltd</t>
        </is>
      </c>
      <c r="E119" s="31" t="inlineStr">
        <is>
          <t>chemicals</t>
        </is>
      </c>
      <c r="F119" s="31" t="inlineStr">
        <is>
          <t>chemicals</t>
        </is>
      </c>
      <c r="G119" s="31" t="inlineStr">
        <is>
          <t>smallcap</t>
        </is>
      </c>
      <c r="H119" s="32" t="n">
        <v>3583.97</v>
      </c>
      <c r="I119" s="32" t="n">
        <v>3119.5</v>
      </c>
      <c r="J119" s="32" t="n">
        <v>4.95</v>
      </c>
      <c r="K119" s="32" t="n">
        <v>20193</v>
      </c>
      <c r="L119" s="31" t="n">
        <v>94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85.47</v>
      </c>
      <c r="P119" s="32" t="n">
        <v>45.18</v>
      </c>
      <c r="Q119" s="32" t="n">
        <v>2329.13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-3.67</v>
      </c>
      <c r="U119" s="32" t="n">
        <v>55.34</v>
      </c>
      <c r="V119" s="32" t="n">
        <v>61.26</v>
      </c>
      <c r="W119" s="32" t="n">
        <v>36.62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More than 1.2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IF(B120=0,"",RANK(B120,$B$2:$B$335,0))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RSWM</t>
        </is>
      </c>
      <c r="D120" s="31" t="inlineStr">
        <is>
          <t>Rswm Limited</t>
        </is>
      </c>
      <c r="E120" s="31" t="inlineStr">
        <is>
          <t>textiles</t>
        </is>
      </c>
      <c r="F120" s="31" t="inlineStr">
        <is>
          <t>textiles - cotton/blended</t>
        </is>
      </c>
      <c r="G120" s="31" t="inlineStr">
        <is>
          <t>smallcap</t>
        </is>
      </c>
      <c r="H120" s="32" t="n">
        <v>950.04</v>
      </c>
      <c r="I120" s="32" t="n">
        <v>206.68</v>
      </c>
      <c r="J120" s="32" t="n">
        <v>2.47</v>
      </c>
      <c r="K120" s="32" t="n">
        <v>151271</v>
      </c>
      <c r="L120" s="31" t="n">
        <v>56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66.44</v>
      </c>
      <c r="P120" s="32" t="n">
        <v>31.93</v>
      </c>
      <c r="Q120" s="32" t="n">
        <v>155.54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-3.67</v>
      </c>
      <c r="U120" s="32" t="n">
        <v>23.49</v>
      </c>
      <c r="V120" s="32" t="n">
        <v>28.19</v>
      </c>
      <c r="W120" s="32" t="n">
        <v>11.3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More than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IF(B121=0,"",RANK(B121,$B$2:$B$335,0))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STYLAMIND</t>
        </is>
      </c>
      <c r="D121" s="31" t="inlineStr">
        <is>
          <t>Stylam Industries Ltd</t>
        </is>
      </c>
      <c r="E121" s="31" t="inlineStr">
        <is>
          <t>building materials</t>
        </is>
      </c>
      <c r="F121" s="31" t="inlineStr">
        <is>
          <t>miscellaneous</t>
        </is>
      </c>
      <c r="G121" s="31" t="inlineStr">
        <is>
          <t>midcap</t>
        </is>
      </c>
      <c r="H121" s="32" t="n">
        <v>5500.49</v>
      </c>
      <c r="I121" s="32" t="n">
        <v>3306.3</v>
      </c>
      <c r="J121" s="32" t="n">
        <v>1.87</v>
      </c>
      <c r="K121" s="32" t="n">
        <v>18052</v>
      </c>
      <c r="L121" s="31" t="n">
        <v>83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84.36</v>
      </c>
      <c r="P121" s="32" t="n">
        <v>66.72</v>
      </c>
      <c r="Q121" s="32" t="n">
        <v>2796.09</v>
      </c>
      <c r="R121" s="31" t="inlineStr">
        <is>
          <t>Near 52W High Breakout</t>
        </is>
      </c>
      <c r="S121" s="31" t="inlineStr">
        <is>
          <t>Nifty Infra</t>
        </is>
      </c>
      <c r="T121" s="32" t="n">
        <v>1.45</v>
      </c>
      <c r="U121" s="32" t="n">
        <v>89.95999999999999</v>
      </c>
      <c r="V121" s="32" t="n">
        <v>87.23999999999999</v>
      </c>
      <c r="W121" s="32" t="n">
        <v>24.3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Negative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IF(B122=0,"",RANK(B122,$B$2:$B$335,0))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ORBTEXP</t>
        </is>
      </c>
      <c r="D122" s="31" t="inlineStr">
        <is>
          <t>Orbit Exports Limited</t>
        </is>
      </c>
      <c r="E122" s="31" t="inlineStr">
        <is>
          <t>textiles</t>
        </is>
      </c>
      <c r="F122" s="31" t="inlineStr">
        <is>
          <t>textiles - processing</t>
        </is>
      </c>
      <c r="G122" s="31" t="inlineStr">
        <is>
          <t>smallcap</t>
        </is>
      </c>
      <c r="H122" s="32" t="n">
        <v>624.8099999999999</v>
      </c>
      <c r="I122" s="32" t="n">
        <v>238.5</v>
      </c>
      <c r="J122" s="32" t="n">
        <v>1.2</v>
      </c>
      <c r="K122" s="32" t="n">
        <v>13208</v>
      </c>
      <c r="L122" s="31" t="n">
        <v>63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71.27</v>
      </c>
      <c r="P122" s="32" t="n">
        <v>28.73</v>
      </c>
      <c r="Q122" s="32" t="n">
        <v>170.92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-3.67</v>
      </c>
      <c r="U122" s="32" t="n">
        <v>12.29</v>
      </c>
      <c r="V122" s="32" t="n">
        <v>16.57</v>
      </c>
      <c r="W122" s="32" t="n">
        <v>12.8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Less than 12%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IF(B123=0,"",RANK(B123,$B$2:$B$335,0))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WELENT</t>
        </is>
      </c>
      <c r="D123" s="31" t="inlineStr">
        <is>
          <t>Welspun Enterprises Limited</t>
        </is>
      </c>
      <c r="E123" s="31" t="inlineStr">
        <is>
          <t>realty</t>
        </is>
      </c>
      <c r="F123" s="31" t="inlineStr">
        <is>
          <t>construction</t>
        </is>
      </c>
      <c r="G123" s="31" t="inlineStr">
        <is>
          <t>midcap</t>
        </is>
      </c>
      <c r="H123" s="32" t="n">
        <v>8511.76</v>
      </c>
      <c r="I123" s="32" t="n">
        <v>620.1</v>
      </c>
      <c r="J123" s="32" t="n">
        <v>0.84</v>
      </c>
      <c r="K123" s="32" t="n">
        <v>580412</v>
      </c>
      <c r="L123" s="31" t="n">
        <v>52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73.29000000000001</v>
      </c>
      <c r="P123" s="32" t="n">
        <v>17.88</v>
      </c>
      <c r="Q123" s="32" t="n">
        <v>500.38</v>
      </c>
      <c r="R123" s="31" t="inlineStr">
        <is>
          <t>Near 52W High Breakout</t>
        </is>
      </c>
      <c r="S123" s="31" t="inlineStr">
        <is>
          <t>Nifty Realty</t>
        </is>
      </c>
      <c r="T123" s="32" t="n">
        <v>-8.130000000000001</v>
      </c>
      <c r="U123" s="32" t="n">
        <v>19.43</v>
      </c>
      <c r="V123" s="32" t="n">
        <v>29.99</v>
      </c>
      <c r="W123" s="32" t="n">
        <v>10.34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0 to 20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Less than 1.5</t>
        </is>
      </c>
      <c r="BU123" s="31">
        <f>IF(BT123="Above 2",0,IF(BT123="Between 1.5 to 2",5,IF(BT123="Less than 1.5",10,0)))</f>
        <v/>
      </c>
      <c r="BV123" s="31" t="inlineStr">
        <is>
          <t>Less than 50%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IF(B124=0,"",RANK(B124,$B$2:$B$335,0))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KABRAEXTRU</t>
        </is>
      </c>
      <c r="D124" s="31" t="inlineStr">
        <is>
          <t>Kabra Extrusion Technik Limited</t>
        </is>
      </c>
      <c r="E124" s="31" t="inlineStr">
        <is>
          <t>industrials</t>
        </is>
      </c>
      <c r="F124" s="31" t="inlineStr">
        <is>
          <t>engineering</t>
        </is>
      </c>
      <c r="G124" s="31" t="inlineStr">
        <is>
          <t>smallcap</t>
        </is>
      </c>
      <c r="H124" s="32" t="n">
        <v>1103.92</v>
      </c>
      <c r="I124" s="32" t="n">
        <v>317.75</v>
      </c>
      <c r="J124" s="32" t="n">
        <v>0.67</v>
      </c>
      <c r="K124" s="32" t="n">
        <v>500581</v>
      </c>
      <c r="L124" s="31" t="n">
        <v>46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69.94</v>
      </c>
      <c r="P124" s="32" t="n">
        <v>16.65</v>
      </c>
      <c r="Q124" s="32" t="n">
        <v>232.77</v>
      </c>
      <c r="R124" s="31" t="inlineStr">
        <is>
          <t>Volume Spike &amp; Near 52W High Breakout</t>
        </is>
      </c>
      <c r="S124" s="31" t="inlineStr">
        <is>
          <t>Nifty 50</t>
        </is>
      </c>
      <c r="T124" s="32" t="n">
        <v>-3.67</v>
      </c>
      <c r="U124" s="32" t="n">
        <v>2.58</v>
      </c>
      <c r="V124" s="32" t="n">
        <v>6.49</v>
      </c>
      <c r="W124" s="32" t="n">
        <v>8.970000000000001</v>
      </c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0 to 20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IF(B125=0,"",RANK(B125,$B$2:$B$335,0))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HONASA</t>
        </is>
      </c>
      <c r="D125" s="31" t="inlineStr">
        <is>
          <t>Honasa Consumer Ltd</t>
        </is>
      </c>
      <c r="E125" s="31" t="inlineStr">
        <is>
          <t>services</t>
        </is>
      </c>
      <c r="F125" s="31" t="inlineStr">
        <is>
          <t>trading</t>
        </is>
      </c>
      <c r="G125" s="31" t="inlineStr">
        <is>
          <t>midcap</t>
        </is>
      </c>
      <c r="H125" s="32" t="n">
        <v>15365.59</v>
      </c>
      <c r="I125" s="32" t="n">
        <v>474.4</v>
      </c>
      <c r="J125" s="32" t="n">
        <v>0.46</v>
      </c>
      <c r="K125" s="32" t="n">
        <v>1540385</v>
      </c>
      <c r="L125" s="31" t="n">
        <v>77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83.03</v>
      </c>
      <c r="P125" s="32" t="n">
        <v>50.23</v>
      </c>
      <c r="Q125" s="32" t="n">
        <v>386.96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-3.67</v>
      </c>
      <c r="U125" s="32" t="n">
        <v>65.61</v>
      </c>
      <c r="V125" s="32" t="n">
        <v>71.92</v>
      </c>
      <c r="W125" s="32" t="n">
        <v>19.08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Between 50% to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IF(B126=0,"",RANK(B126,$B$2:$B$335,0))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COMSYN</t>
        </is>
      </c>
      <c r="D126" s="31" t="inlineStr">
        <is>
          <t>Commercial Syn Bags Ltd</t>
        </is>
      </c>
      <c r="E126" s="31" t="inlineStr">
        <is>
          <t>industrials</t>
        </is>
      </c>
      <c r="F126" s="31" t="inlineStr">
        <is>
          <t>packaging</t>
        </is>
      </c>
      <c r="G126" s="31" t="inlineStr">
        <is>
          <t>smallcap</t>
        </is>
      </c>
      <c r="H126" s="32" t="n">
        <v>787.8200000000001</v>
      </c>
      <c r="I126" s="32" t="n">
        <v>194.46</v>
      </c>
      <c r="J126" s="32" t="n">
        <v>-0.43</v>
      </c>
      <c r="K126" s="32" t="n">
        <v>206849</v>
      </c>
      <c r="L126" s="31" t="n">
        <v>61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68.05</v>
      </c>
      <c r="P126" s="32" t="n">
        <v>46.05</v>
      </c>
      <c r="Q126" s="32" t="n">
        <v>156.82</v>
      </c>
      <c r="R126" s="31" t="inlineStr">
        <is>
          <t>Near 52W High Breakout</t>
        </is>
      </c>
      <c r="S126" s="31" t="inlineStr">
        <is>
          <t>Nifty 50</t>
        </is>
      </c>
      <c r="T126" s="32" t="n">
        <v>-3.67</v>
      </c>
      <c r="U126" s="32" t="n">
        <v>49.66</v>
      </c>
      <c r="V126" s="32" t="n">
        <v>55.36</v>
      </c>
      <c r="W126" s="32" t="n">
        <v>12.52</v>
      </c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Above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Between 0.7 to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IF(B127=0,"",RANK(B127,$B$2:$B$335,0))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ARVIND</t>
        </is>
      </c>
      <c r="D127" s="31" t="inlineStr">
        <is>
          <t>Arvind Limited</t>
        </is>
      </c>
      <c r="E127" s="31" t="inlineStr">
        <is>
          <t>textiles</t>
        </is>
      </c>
      <c r="F127" s="31" t="inlineStr">
        <is>
          <t>textiles - cotton/blended</t>
        </is>
      </c>
      <c r="G127" s="31" t="inlineStr">
        <is>
          <t>midcap</t>
        </is>
      </c>
      <c r="H127" s="32" t="n">
        <v>14268.21</v>
      </c>
      <c r="I127" s="32" t="n">
        <v>540.45</v>
      </c>
      <c r="J127" s="32" t="n">
        <v>-0.72</v>
      </c>
      <c r="K127" s="32" t="n">
        <v>508950</v>
      </c>
      <c r="L127" s="31" t="n">
        <v>77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71.39</v>
      </c>
      <c r="P127" s="32" t="n">
        <v>56.11</v>
      </c>
      <c r="Q127" s="32" t="n">
        <v>455.86</v>
      </c>
      <c r="R127" s="31" t="inlineStr">
        <is>
          <t>Earnings / Momentum Support</t>
        </is>
      </c>
      <c r="S127" s="31" t="inlineStr">
        <is>
          <t>Nifty 50</t>
        </is>
      </c>
      <c r="T127" s="32" t="n">
        <v>-3.67</v>
      </c>
      <c r="U127" s="32" t="n">
        <v>59.74</v>
      </c>
      <c r="V127" s="32" t="n">
        <v>65.83</v>
      </c>
      <c r="W127" s="32" t="n">
        <v>19.4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IF(B128=0,"",RANK(B128,$B$2:$B$335,0))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SKYGOLD</t>
        </is>
      </c>
      <c r="D128" s="31" t="inlineStr">
        <is>
          <t>Sky Gold Ltd</t>
        </is>
      </c>
      <c r="E128" s="31" t="inlineStr">
        <is>
          <t>consumer discretionary</t>
        </is>
      </c>
      <c r="F128" s="31" t="inlineStr">
        <is>
          <t>diamond cutting / jewellery</t>
        </is>
      </c>
      <c r="G128" s="31" t="inlineStr">
        <is>
          <t>midcap</t>
        </is>
      </c>
      <c r="H128" s="32" t="n">
        <v>9651.74</v>
      </c>
      <c r="I128" s="32" t="n">
        <v>618</v>
      </c>
      <c r="J128" s="32" t="n">
        <v>-0.83</v>
      </c>
      <c r="K128" s="32" t="n">
        <v>831484</v>
      </c>
      <c r="L128" s="31" t="n">
        <v>84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71.70999999999999</v>
      </c>
      <c r="P128" s="32" t="n">
        <v>53.33</v>
      </c>
      <c r="Q128" s="32" t="n">
        <v>460.63</v>
      </c>
      <c r="R128" s="31" t="inlineStr">
        <is>
          <t>Near 52W High Breakout</t>
        </is>
      </c>
      <c r="S128" s="31" t="inlineStr">
        <is>
          <t>Nifty 50</t>
        </is>
      </c>
      <c r="T128" s="32" t="n">
        <v>-3.67</v>
      </c>
      <c r="U128" s="32" t="n">
        <v>89.05</v>
      </c>
      <c r="V128" s="32" t="n">
        <v>96.25</v>
      </c>
      <c r="W128" s="32" t="n">
        <v>24.33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Negative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Between 0.7 to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IF(B129=0,"",RANK(B129,$B$2:$B$335,0))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HFCL</t>
        </is>
      </c>
      <c r="D129" s="31" t="inlineStr">
        <is>
          <t>HFCL Ltd</t>
        </is>
      </c>
      <c r="E129" s="31" t="inlineStr">
        <is>
          <t>telecom</t>
        </is>
      </c>
      <c r="F129" s="31" t="inlineStr">
        <is>
          <t>cables - telephone</t>
        </is>
      </c>
      <c r="G129" s="31" t="inlineStr">
        <is>
          <t>largecap</t>
        </is>
      </c>
      <c r="H129" s="32" t="n">
        <v>32851.32</v>
      </c>
      <c r="I129" s="32" t="n">
        <v>212.78</v>
      </c>
      <c r="J129" s="32" t="n">
        <v>-0.86</v>
      </c>
      <c r="K129" s="32" t="n">
        <v>12863408</v>
      </c>
      <c r="L129" s="31" t="n">
        <v>97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82.16</v>
      </c>
      <c r="P129" s="32" t="n">
        <v>69.3</v>
      </c>
      <c r="Q129" s="32" t="n">
        <v>164.68</v>
      </c>
      <c r="R129" s="31" t="inlineStr">
        <is>
          <t>Near 52W High Breakout</t>
        </is>
      </c>
      <c r="S129" s="31" t="inlineStr">
        <is>
          <t>Nifty Infra</t>
        </is>
      </c>
      <c r="T129" s="32" t="n">
        <v>1.45</v>
      </c>
      <c r="U129" s="32" t="n">
        <v>161.26</v>
      </c>
      <c r="V129" s="32" t="n">
        <v>157.52</v>
      </c>
      <c r="W129" s="32" t="n">
        <v>53.77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Oligopoly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Above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Negative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IF(B130=0,"",RANK(B130,$B$2:$B$335,0))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AETHER</t>
        </is>
      </c>
      <c r="D130" s="31" t="inlineStr">
        <is>
          <t>Aether Industries Ltd</t>
        </is>
      </c>
      <c r="E130" s="31" t="inlineStr">
        <is>
          <t>chemicals</t>
        </is>
      </c>
      <c r="F130" s="31" t="inlineStr">
        <is>
          <t>chemicals</t>
        </is>
      </c>
      <c r="G130" s="31" t="inlineStr">
        <is>
          <t>midcap</t>
        </is>
      </c>
      <c r="H130" s="32" t="n">
        <v>19275.72</v>
      </c>
      <c r="I130" s="32" t="n">
        <v>1439.9</v>
      </c>
      <c r="J130" s="32" t="n">
        <v>-0.89</v>
      </c>
      <c r="K130" s="32" t="n">
        <v>143737</v>
      </c>
      <c r="L130" s="31" t="n">
        <v>74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70.09999999999999</v>
      </c>
      <c r="P130" s="32" t="n">
        <v>45.95</v>
      </c>
      <c r="Q130" s="32" t="n">
        <v>1182.31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-3.67</v>
      </c>
      <c r="U130" s="32" t="n">
        <v>75.04000000000001</v>
      </c>
      <c r="V130" s="32" t="n">
        <v>81.70999999999999</v>
      </c>
      <c r="W130" s="32" t="n">
        <v>17.32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Less than 12%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Less than 50%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IF(B131=0,"",RANK(B131,$B$2:$B$335,0))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RBZJEWEL</t>
        </is>
      </c>
      <c r="D131" s="31" t="inlineStr">
        <is>
          <t>RBZ Jewellers Ltd</t>
        </is>
      </c>
      <c r="E131" s="31" t="inlineStr">
        <is>
          <t>consumer discretionary</t>
        </is>
      </c>
      <c r="F131" s="31" t="inlineStr">
        <is>
          <t>diamond cutting / jewellery</t>
        </is>
      </c>
      <c r="G131" s="31" t="inlineStr">
        <is>
          <t>smallcap</t>
        </is>
      </c>
      <c r="H131" s="32" t="n">
        <v>622</v>
      </c>
      <c r="I131" s="32" t="n">
        <v>153.8</v>
      </c>
      <c r="J131" s="32" t="n">
        <v>-1.09</v>
      </c>
      <c r="K131" s="32" t="n">
        <v>596352</v>
      </c>
      <c r="L131" s="31" t="n">
        <v>10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58.9</v>
      </c>
      <c r="P131" s="32" t="n">
        <v>25.96</v>
      </c>
      <c r="Q131" s="32" t="n">
        <v>109.08</v>
      </c>
      <c r="R131" s="31" t="inlineStr">
        <is>
          <t>Volume Spike &amp; Near 52W High Breakout</t>
        </is>
      </c>
      <c r="S131" s="31" t="inlineStr">
        <is>
          <t>Nifty 50</t>
        </is>
      </c>
      <c r="T131" s="32" t="n">
        <v>-3.67</v>
      </c>
      <c r="U131" s="32" t="n">
        <v>6.02</v>
      </c>
      <c r="V131" s="32" t="n">
        <v>10.06</v>
      </c>
      <c r="W131" s="32" t="n">
        <v>1.68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No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Negative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IF(B132=0,"",RANK(B132,$B$2:$B$335,0))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GABRIEL</t>
        </is>
      </c>
      <c r="D132" s="31" t="inlineStr">
        <is>
          <t>Gabriel India Limited</t>
        </is>
      </c>
      <c r="E132" s="31" t="inlineStr">
        <is>
          <t>auto</t>
        </is>
      </c>
      <c r="F132" s="31" t="inlineStr">
        <is>
          <t>auto ancillaries</t>
        </is>
      </c>
      <c r="G132" s="31" t="inlineStr">
        <is>
          <t>largecap</t>
        </is>
      </c>
      <c r="H132" s="32" t="n">
        <v>22419.6</v>
      </c>
      <c r="I132" s="32" t="n">
        <v>1251</v>
      </c>
      <c r="J132" s="32" t="n">
        <v>-1.11</v>
      </c>
      <c r="K132" s="32" t="n">
        <v>195635</v>
      </c>
      <c r="L132" s="31" t="n">
        <v>54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64.11</v>
      </c>
      <c r="P132" s="32" t="n">
        <v>25</v>
      </c>
      <c r="Q132" s="32" t="n">
        <v>978.96</v>
      </c>
      <c r="R132" s="31" t="inlineStr">
        <is>
          <t>Near 52W High Breakout</t>
        </is>
      </c>
      <c r="S132" s="31" t="inlineStr">
        <is>
          <t>Nifty Auto</t>
        </is>
      </c>
      <c r="T132" s="32" t="n">
        <v>11.1</v>
      </c>
      <c r="U132" s="32" t="n">
        <v>23.49</v>
      </c>
      <c r="V132" s="32" t="n">
        <v>11.15</v>
      </c>
      <c r="W132" s="32" t="n">
        <v>10.6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Less than 12%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IF(B133=0,"",RANK(B133,$B$2:$B$335,0))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JSWINFRA</t>
        </is>
      </c>
      <c r="D133" s="31" t="inlineStr">
        <is>
          <t>JSW Infrastructure Ltd</t>
        </is>
      </c>
      <c r="E133" s="31" t="inlineStr">
        <is>
          <t>transportation</t>
        </is>
      </c>
      <c r="F133" s="31" t="inlineStr">
        <is>
          <t>miscellaneous</t>
        </is>
      </c>
      <c r="G133" s="31" t="inlineStr">
        <is>
          <t>largecap</t>
        </is>
      </c>
      <c r="H133" s="32" t="n">
        <v>81829.66</v>
      </c>
      <c r="I133" s="32" t="n">
        <v>347.25</v>
      </c>
      <c r="J133" s="32" t="n">
        <v>-1.12</v>
      </c>
      <c r="K133" s="32" t="n">
        <v>4268937</v>
      </c>
      <c r="L133" s="31" t="n">
        <v>45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73.7</v>
      </c>
      <c r="P133" s="32" t="n">
        <v>32.74</v>
      </c>
      <c r="Q133" s="32" t="n">
        <v>283.67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-3.67</v>
      </c>
      <c r="U133" s="32" t="n">
        <v>13.1</v>
      </c>
      <c r="V133" s="32" t="n">
        <v>17.41</v>
      </c>
      <c r="W133" s="32" t="n">
        <v>8.73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Less than 12%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IF(B134=0,"",RANK(B134,$B$2:$B$335,0))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NYKAA</t>
        </is>
      </c>
      <c r="D134" s="31" t="inlineStr">
        <is>
          <t>FSN E-Commerce Ventures Ltd</t>
        </is>
      </c>
      <c r="E134" s="31" t="inlineStr">
        <is>
          <t>i.t</t>
        </is>
      </c>
      <c r="F134" s="31" t="inlineStr">
        <is>
          <t>trading</t>
        </is>
      </c>
      <c r="G134" s="31" t="inlineStr">
        <is>
          <t>largecap</t>
        </is>
      </c>
      <c r="H134" s="32" t="n">
        <v>94028.39</v>
      </c>
      <c r="I134" s="32" t="n">
        <v>324.45</v>
      </c>
      <c r="J134" s="32" t="n">
        <v>-1.2</v>
      </c>
      <c r="K134" s="32" t="n">
        <v>5359003</v>
      </c>
      <c r="L134" s="31" t="n">
        <v>64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70.72</v>
      </c>
      <c r="P134" s="32" t="n">
        <v>33.42</v>
      </c>
      <c r="Q134" s="32" t="n">
        <v>279.8</v>
      </c>
      <c r="R134" s="31" t="inlineStr">
        <is>
          <t>Near 52W High Breakout</t>
        </is>
      </c>
      <c r="S134" s="31" t="inlineStr">
        <is>
          <t>Nifty IT</t>
        </is>
      </c>
      <c r="T134" s="32" t="n">
        <v>-22.66</v>
      </c>
      <c r="U134" s="32" t="n">
        <v>52.42</v>
      </c>
      <c r="V134" s="32" t="n">
        <v>97.09</v>
      </c>
      <c r="W134" s="32" t="n">
        <v>13.36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Between 0.7 to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IF(B135=0,"",RANK(B135,$B$2:$B$335,0))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RRKABEL</t>
        </is>
      </c>
      <c r="D135" s="31" t="inlineStr">
        <is>
          <t>R R Kabel Ltd</t>
        </is>
      </c>
      <c r="E135" s="31" t="inlineStr">
        <is>
          <t>industrials</t>
        </is>
      </c>
      <c r="F135" s="31" t="inlineStr">
        <is>
          <t>cables - power</t>
        </is>
      </c>
      <c r="G135" s="31" t="inlineStr">
        <is>
          <t>largecap</t>
        </is>
      </c>
      <c r="H135" s="32" t="n">
        <v>26860.3</v>
      </c>
      <c r="I135" s="32" t="n">
        <v>2345.3</v>
      </c>
      <c r="J135" s="32" t="n">
        <v>-1.24</v>
      </c>
      <c r="K135" s="32" t="n">
        <v>419801</v>
      </c>
      <c r="L135" s="31" t="n">
        <v>84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68.92</v>
      </c>
      <c r="P135" s="32" t="n">
        <v>58.2</v>
      </c>
      <c r="Q135" s="32" t="n">
        <v>1973.92</v>
      </c>
      <c r="R135" s="31" t="inlineStr">
        <is>
          <t>Earnings / Momentum Support</t>
        </is>
      </c>
      <c r="S135" s="31" t="inlineStr">
        <is>
          <t>Nifty Energy</t>
        </is>
      </c>
      <c r="T135" s="32" t="n">
        <v>8.199999999999999</v>
      </c>
      <c r="U135" s="32" t="n">
        <v>60.24</v>
      </c>
      <c r="V135" s="32" t="n">
        <v>48.1</v>
      </c>
      <c r="W135" s="32" t="n">
        <v>24.33</v>
      </c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Between 1.5 to 2</t>
        </is>
      </c>
      <c r="BU135" s="31">
        <f>IF(BT135="Above 2",0,IF(BT135="Between 1.5 to 2",5,IF(BT135="Less than 1.5",10,0)))</f>
        <v/>
      </c>
      <c r="BV135" s="31" t="inlineStr">
        <is>
          <t>Less than 50%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IF(B136=0,"",RANK(B136,$B$2:$B$335,0))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3" t="inlineStr">
        <is>
          <t>GREENPLY</t>
        </is>
      </c>
      <c r="D136" s="33" t="inlineStr">
        <is>
          <t>Greenply Industries Limited</t>
        </is>
      </c>
      <c r="E136" s="31" t="inlineStr">
        <is>
          <t>building materials</t>
        </is>
      </c>
      <c r="F136" s="31" t="inlineStr">
        <is>
          <t>miscellaneous</t>
        </is>
      </c>
      <c r="G136" s="31" t="inlineStr">
        <is>
          <t>smallcap</t>
        </is>
      </c>
      <c r="H136" s="32" t="n">
        <v>3959.39</v>
      </c>
      <c r="I136" s="32" t="n">
        <v>312.8</v>
      </c>
      <c r="J136" s="32" t="n">
        <v>-1.32</v>
      </c>
      <c r="K136" s="32" t="n">
        <v>74777</v>
      </c>
      <c r="L136" s="31" t="n">
        <v>37</v>
      </c>
      <c r="M136" s="31" t="inlineStr">
        <is>
          <t>Underperforming</t>
        </is>
      </c>
      <c r="N136" s="32">
        <f>IF(M136="Underperforming",-5,IF(L136&gt;=95,15,IF(L136&gt;=90,10,IF(L136&gt;=80,5,0))))</f>
        <v/>
      </c>
      <c r="O136" s="32" t="n">
        <v>65.92</v>
      </c>
      <c r="P136" s="32" t="n">
        <v>28.22</v>
      </c>
      <c r="Q136" s="32" t="n">
        <v>247.17</v>
      </c>
      <c r="R136" s="31" t="inlineStr">
        <is>
          <t>Earnings / Momentum Support</t>
        </is>
      </c>
      <c r="S136" s="31" t="inlineStr">
        <is>
          <t>Nifty Infra</t>
        </is>
      </c>
      <c r="T136" s="32" t="n">
        <v>1.45</v>
      </c>
      <c r="U136" s="32" t="n">
        <v>-5.19</v>
      </c>
      <c r="V136" s="32" t="n">
        <v>-6.54</v>
      </c>
      <c r="W136" s="32" t="n">
        <v>7.04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IF(B137=0,"",RANK(B137,$B$2:$B$335,0))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MUNJALAU</t>
        </is>
      </c>
      <c r="D137" s="31" t="inlineStr">
        <is>
          <t>Munjal Auto Industries Limited</t>
        </is>
      </c>
      <c r="E137" s="31" t="inlineStr">
        <is>
          <t>auto</t>
        </is>
      </c>
      <c r="F137" s="31" t="inlineStr">
        <is>
          <t>auto ancillaries</t>
        </is>
      </c>
      <c r="G137" s="31" t="inlineStr">
        <is>
          <t>smallcap</t>
        </is>
      </c>
      <c r="H137" s="32" t="n">
        <v>1056.9</v>
      </c>
      <c r="I137" s="32" t="n">
        <v>104.13</v>
      </c>
      <c r="J137" s="32" t="n">
        <v>-1.48</v>
      </c>
      <c r="K137" s="32" t="n">
        <v>531710</v>
      </c>
      <c r="L137" s="31" t="n">
        <v>62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69.31</v>
      </c>
      <c r="P137" s="32" t="n">
        <v>35.92</v>
      </c>
      <c r="Q137" s="32" t="n">
        <v>76.13</v>
      </c>
      <c r="R137" s="31" t="inlineStr">
        <is>
          <t>Near 52W High Breakout</t>
        </is>
      </c>
      <c r="S137" s="31" t="inlineStr">
        <is>
          <t>Nifty Auto</t>
        </is>
      </c>
      <c r="T137" s="32" t="n">
        <v>11.1</v>
      </c>
      <c r="U137" s="32" t="n">
        <v>33.42</v>
      </c>
      <c r="V137" s="32" t="n">
        <v>20.09</v>
      </c>
      <c r="W137" s="32" t="n">
        <v>12.67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Less than 50%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Between 0.7 to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IF(B138=0,"",RANK(B138,$B$2:$B$335,0))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RAMCOIND</t>
        </is>
      </c>
      <c r="D138" s="31" t="inlineStr">
        <is>
          <t>Ramco Industries Limited</t>
        </is>
      </c>
      <c r="E138" s="31" t="inlineStr">
        <is>
          <t>building materials</t>
        </is>
      </c>
      <c r="F138" s="31" t="inlineStr">
        <is>
          <t>cement products</t>
        </is>
      </c>
      <c r="G138" s="31" t="inlineStr">
        <is>
          <t>smallcap</t>
        </is>
      </c>
      <c r="H138" s="32" t="n">
        <v>3230.51</v>
      </c>
      <c r="I138" s="32" t="n">
        <v>365.45</v>
      </c>
      <c r="J138" s="32" t="n">
        <v>-1.76</v>
      </c>
      <c r="K138" s="32" t="n">
        <v>200101</v>
      </c>
      <c r="L138" s="31" t="n">
        <v>59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66.91</v>
      </c>
      <c r="P138" s="32" t="n">
        <v>25.61</v>
      </c>
      <c r="Q138" s="32" t="n">
        <v>281.73</v>
      </c>
      <c r="R138" s="31" t="inlineStr">
        <is>
          <t>Earnings / Momentum Support</t>
        </is>
      </c>
      <c r="S138" s="31" t="inlineStr">
        <is>
          <t>Nifty Infra</t>
        </is>
      </c>
      <c r="T138" s="32" t="n">
        <v>1.45</v>
      </c>
      <c r="U138" s="32" t="n">
        <v>26.49</v>
      </c>
      <c r="V138" s="32" t="n">
        <v>24.68</v>
      </c>
      <c r="W138" s="32" t="n">
        <v>11.96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IF(B139=0,"",RANK(B139,$B$2:$B$335,0))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AEGISVOPAK</t>
        </is>
      </c>
      <c r="D139" s="31" t="inlineStr">
        <is>
          <t>Aegis Vopak Terminals Ltd</t>
        </is>
      </c>
      <c r="E139" s="31" t="inlineStr">
        <is>
          <t>transportation</t>
        </is>
      </c>
      <c r="F139" s="31" t="inlineStr">
        <is>
          <t>miscellaneous</t>
        </is>
      </c>
      <c r="G139" s="31" t="inlineStr">
        <is>
          <t>largecap</t>
        </is>
      </c>
      <c r="H139" s="32" t="n">
        <v>33605.38</v>
      </c>
      <c r="I139" s="32" t="n">
        <v>280.64</v>
      </c>
      <c r="J139" s="32" t="n">
        <v>-7.47</v>
      </c>
      <c r="K139" s="32" t="n">
        <v>3344209</v>
      </c>
      <c r="L139" s="31" t="n">
        <v>47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64.31</v>
      </c>
      <c r="P139" s="32" t="n">
        <v>21.84</v>
      </c>
      <c r="Q139" s="32" t="n">
        <v>203.75</v>
      </c>
      <c r="R139" s="31" t="inlineStr">
        <is>
          <t>Near 52W High Breakout</t>
        </is>
      </c>
      <c r="S139" s="31" t="inlineStr">
        <is>
          <t>Nifty 50</t>
        </is>
      </c>
      <c r="T139" s="32" t="n">
        <v>-3.67</v>
      </c>
      <c r="U139" s="32" t="n">
        <v>-3.51</v>
      </c>
      <c r="V139" s="32" t="n">
        <v>0.17</v>
      </c>
      <c r="W139" s="32" t="n">
        <v>9.19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Between 0.7 to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IF(B140=0,"",RANK(B140,$B$2:$B$335,0))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WANBURY</t>
        </is>
      </c>
      <c r="D140" s="31" t="inlineStr">
        <is>
          <t>Wanbury Limited</t>
        </is>
      </c>
      <c r="E140" s="31" t="inlineStr">
        <is>
          <t>healthcare</t>
        </is>
      </c>
      <c r="F140" s="31" t="inlineStr">
        <is>
          <t>pharmaceuticals - indian - bulk drugs &amp; formln</t>
        </is>
      </c>
      <c r="G140" s="31" t="inlineStr">
        <is>
          <t>smallcap</t>
        </is>
      </c>
      <c r="H140" s="32" t="n">
        <v>1049.75</v>
      </c>
      <c r="I140" s="32" t="n">
        <v>336</v>
      </c>
      <c r="J140" s="32" t="n">
        <v>11.83</v>
      </c>
      <c r="K140" s="32" t="n">
        <v>7640235</v>
      </c>
      <c r="L140" s="31" t="n">
        <v>56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67.09999999999999</v>
      </c>
      <c r="P140" s="32" t="n">
        <v>16.6</v>
      </c>
      <c r="Q140" s="32" t="n">
        <v>238.64</v>
      </c>
      <c r="R140" s="31" t="inlineStr">
        <is>
          <t>Volume Spike &amp; Near 52W High Breakout</t>
        </is>
      </c>
      <c r="S140" s="31" t="inlineStr">
        <is>
          <t>Nifty Pharma</t>
        </is>
      </c>
      <c r="T140" s="32" t="n">
        <v>14.67</v>
      </c>
      <c r="U140" s="32" t="n">
        <v>22.56</v>
      </c>
      <c r="V140" s="32" t="n">
        <v>6.88</v>
      </c>
      <c r="W140" s="32" t="n">
        <v>11.35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Yes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0 to 20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IF(B141=0,"",RANK(B141,$B$2:$B$335,0))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HTMEDIA</t>
        </is>
      </c>
      <c r="D141" s="31" t="inlineStr">
        <is>
          <t>Ht Media Limited</t>
        </is>
      </c>
      <c r="E141" s="31" t="inlineStr">
        <is>
          <t>media</t>
        </is>
      </c>
      <c r="F141" s="31" t="inlineStr">
        <is>
          <t>entertainment / electronic media software</t>
        </is>
      </c>
      <c r="G141" s="31" t="inlineStr">
        <is>
          <t>smallcap</t>
        </is>
      </c>
      <c r="H141" s="32" t="n">
        <v>600.79</v>
      </c>
      <c r="I141" s="32" t="n">
        <v>27.16</v>
      </c>
      <c r="J141" s="32" t="n">
        <v>5.23</v>
      </c>
      <c r="K141" s="32" t="n">
        <v>1045025</v>
      </c>
      <c r="L141" s="31" t="n">
        <v>36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67.95</v>
      </c>
      <c r="P141" s="32" t="n">
        <v>15.7</v>
      </c>
      <c r="Q141" s="32" t="n">
        <v>20.25</v>
      </c>
      <c r="R141" s="31" t="inlineStr">
        <is>
          <t>Volume Spike &amp; Near 52W High Breakout</t>
        </is>
      </c>
      <c r="S141" s="31" t="inlineStr">
        <is>
          <t>Nifty IT</t>
        </is>
      </c>
      <c r="T141" s="32" t="n">
        <v>-22.66</v>
      </c>
      <c r="U141" s="32" t="n">
        <v>16.12</v>
      </c>
      <c r="V141" s="32" t="n">
        <v>50.14</v>
      </c>
      <c r="W141" s="32" t="n">
        <v>6.59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IF(B142=0,"",RANK(B142,$B$2:$B$335,0))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ORCHPHARMA</t>
        </is>
      </c>
      <c r="D142" s="31" t="inlineStr">
        <is>
          <t>Orchid Pharma Ltd</t>
        </is>
      </c>
      <c r="E142" s="31" t="inlineStr">
        <is>
          <t>healthcare</t>
        </is>
      </c>
      <c r="F142" s="31" t="inlineStr">
        <is>
          <t>pharmaceuticals - indian - bulk drugs &amp; formln</t>
        </is>
      </c>
      <c r="G142" s="31" t="inlineStr">
        <is>
          <t>midcap</t>
        </is>
      </c>
      <c r="H142" s="32" t="n">
        <v>5109.44</v>
      </c>
      <c r="I142" s="32" t="n">
        <v>1052.95</v>
      </c>
      <c r="J142" s="32" t="n">
        <v>4.52</v>
      </c>
      <c r="K142" s="32" t="n">
        <v>785944</v>
      </c>
      <c r="L142" s="31" t="n">
        <v>88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76.51000000000001</v>
      </c>
      <c r="P142" s="32" t="n">
        <v>39.03</v>
      </c>
      <c r="Q142" s="32" t="n">
        <v>784.63</v>
      </c>
      <c r="R142" s="31" t="inlineStr">
        <is>
          <t>Near 52W High Breakout</t>
        </is>
      </c>
      <c r="S142" s="31" t="inlineStr">
        <is>
          <t>Nifty Pharma</t>
        </is>
      </c>
      <c r="T142" s="32" t="n">
        <v>14.67</v>
      </c>
      <c r="U142" s="32" t="n">
        <v>43.74</v>
      </c>
      <c r="V142" s="32" t="n">
        <v>25.35</v>
      </c>
      <c r="W142" s="32" t="n">
        <v>29.47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Yes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IF(B143=0,"",RANK(B143,$B$2:$B$335,0))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BALRAMCHIN</t>
        </is>
      </c>
      <c r="D143" s="31" t="inlineStr">
        <is>
          <t>Balrampur Chini Mills Limited</t>
        </is>
      </c>
      <c r="E143" s="31" t="inlineStr">
        <is>
          <t>fmcg</t>
        </is>
      </c>
      <c r="F143" s="31" t="inlineStr">
        <is>
          <t>sugar</t>
        </is>
      </c>
      <c r="G143" s="31" t="inlineStr">
        <is>
          <t>midcap</t>
        </is>
      </c>
      <c r="H143" s="32" t="n">
        <v>12355.96</v>
      </c>
      <c r="I143" s="32" t="n">
        <v>596.3</v>
      </c>
      <c r="J143" s="32" t="n">
        <v>1.96</v>
      </c>
      <c r="K143" s="32" t="n">
        <v>1115121</v>
      </c>
      <c r="L143" s="31" t="n">
        <v>29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73.2</v>
      </c>
      <c r="P143" s="32" t="n">
        <v>31.52</v>
      </c>
      <c r="Q143" s="32" t="n">
        <v>490.58</v>
      </c>
      <c r="R143" s="31" t="inlineStr">
        <is>
          <t>Near 52W High Breakout</t>
        </is>
      </c>
      <c r="S143" s="31" t="inlineStr">
        <is>
          <t>Nifty FMCG</t>
        </is>
      </c>
      <c r="T143" s="32" t="n">
        <v>-14.13</v>
      </c>
      <c r="U143" s="32" t="n">
        <v>-2.74</v>
      </c>
      <c r="V143" s="32" t="n">
        <v>13.26</v>
      </c>
      <c r="W143" s="32" t="n">
        <v>5.47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B2C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Annuity, Lower One Time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Less than 12%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Between 0.7 to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IF(B144=0,"",RANK(B144,$B$2:$B$335,0))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CAPLIPOINT</t>
        </is>
      </c>
      <c r="D144" s="31" t="inlineStr">
        <is>
          <t>Caplin Point Laboratories Limited</t>
        </is>
      </c>
      <c r="E144" s="31" t="inlineStr">
        <is>
          <t>healthcare</t>
        </is>
      </c>
      <c r="F144" s="31" t="inlineStr">
        <is>
          <t>pharmaceuticals - indian - formulations</t>
        </is>
      </c>
      <c r="G144" s="31" t="inlineStr">
        <is>
          <t>midcap</t>
        </is>
      </c>
      <c r="H144" s="32" t="n">
        <v>19885.42</v>
      </c>
      <c r="I144" s="32" t="n">
        <v>2658.4</v>
      </c>
      <c r="J144" s="32" t="n">
        <v>1.62</v>
      </c>
      <c r="K144" s="32" t="n">
        <v>132710</v>
      </c>
      <c r="L144" s="31" t="n">
        <v>74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82.02</v>
      </c>
      <c r="P144" s="32" t="n">
        <v>33.1</v>
      </c>
      <c r="Q144" s="32" t="n">
        <v>2203.69</v>
      </c>
      <c r="R144" s="31" t="inlineStr">
        <is>
          <t>Near 52W High Breakout</t>
        </is>
      </c>
      <c r="S144" s="31" t="inlineStr">
        <is>
          <t>Nifty Pharma</t>
        </is>
      </c>
      <c r="T144" s="32" t="n">
        <v>14.67</v>
      </c>
      <c r="U144" s="32" t="n">
        <v>26.81</v>
      </c>
      <c r="V144" s="32" t="n">
        <v>10.59</v>
      </c>
      <c r="W144" s="32" t="n">
        <v>16.86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Yes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Annuity, Lower One Time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Above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Between 12 to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Between 1.5 to 2</t>
        </is>
      </c>
      <c r="BU144" s="31">
        <f>IF(BT144="Above 2",0,IF(BT144="Between 1.5 to 2",5,IF(BT144="Less than 1.5",10,0)))</f>
        <v/>
      </c>
      <c r="BV144" s="31" t="inlineStr">
        <is>
          <t>Between 50% to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IF(B145=0,"",RANK(B145,$B$2:$B$335,0))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DBOL</t>
        </is>
      </c>
      <c r="D145" s="31" t="inlineStr">
        <is>
          <t>Dhampur Bio Organics Ltd</t>
        </is>
      </c>
      <c r="E145" s="31" t="inlineStr">
        <is>
          <t>fmcg</t>
        </is>
      </c>
      <c r="F145" s="31" t="inlineStr">
        <is>
          <t>sugar</t>
        </is>
      </c>
      <c r="G145" s="31" t="inlineStr">
        <is>
          <t>smallcap</t>
        </is>
      </c>
      <c r="H145" s="32" t="n">
        <v>771.89</v>
      </c>
      <c r="I145" s="32" t="n">
        <v>117.9</v>
      </c>
      <c r="J145" s="32" t="n">
        <v>1.4</v>
      </c>
      <c r="K145" s="32" t="n">
        <v>145327</v>
      </c>
      <c r="L145" s="31" t="n">
        <v>33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60.77</v>
      </c>
      <c r="P145" s="32" t="n">
        <v>44.06</v>
      </c>
      <c r="Q145" s="32" t="n">
        <v>93.56</v>
      </c>
      <c r="R145" s="31" t="inlineStr">
        <is>
          <t>Earnings / Momentum Support</t>
        </is>
      </c>
      <c r="S145" s="31" t="inlineStr">
        <is>
          <t>Nifty FMCG</t>
        </is>
      </c>
      <c r="T145" s="32" t="n">
        <v>-14.13</v>
      </c>
      <c r="U145" s="32" t="n">
        <v>14.19</v>
      </c>
      <c r="V145" s="32" t="n">
        <v>32.97</v>
      </c>
      <c r="W145" s="32" t="n">
        <v>6.25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B2C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Annuity, Lower One Time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Between 0.7 to 1.2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IF(B146=0,"",RANK(B146,$B$2:$B$335,0))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LALPATHLAB</t>
        </is>
      </c>
      <c r="D146" s="31" t="inlineStr">
        <is>
          <t>Dr. Lal Path Labs Ltd.</t>
        </is>
      </c>
      <c r="E146" s="31" t="inlineStr">
        <is>
          <t>healthcare</t>
        </is>
      </c>
      <c r="F146" s="31" t="inlineStr">
        <is>
          <t>healthcare</t>
        </is>
      </c>
      <c r="G146" s="31" t="inlineStr">
        <is>
          <t>largecap</t>
        </is>
      </c>
      <c r="H146" s="32" t="n">
        <v>28904.92</v>
      </c>
      <c r="I146" s="32" t="n">
        <v>1744.6</v>
      </c>
      <c r="J146" s="32" t="n">
        <v>1.13</v>
      </c>
      <c r="K146" s="32" t="n">
        <v>286108</v>
      </c>
      <c r="L146" s="31" t="n">
        <v>45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66.41</v>
      </c>
      <c r="P146" s="32" t="n">
        <v>31.05</v>
      </c>
      <c r="Q146" s="32" t="n">
        <v>1434.98</v>
      </c>
      <c r="R146" s="31" t="inlineStr">
        <is>
          <t>Near 52W High Breakout</t>
        </is>
      </c>
      <c r="S146" s="31" t="inlineStr">
        <is>
          <t>Nifty Pharma</t>
        </is>
      </c>
      <c r="T146" s="32" t="n">
        <v>14.67</v>
      </c>
      <c r="U146" s="32" t="n">
        <v>17.23</v>
      </c>
      <c r="V146" s="32" t="n">
        <v>2.23</v>
      </c>
      <c r="W146" s="32" t="n">
        <v>8.77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Yes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Annuity, Lower One Time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IF(B147=0,"",RANK(B147,$B$2:$B$335,0))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SUNPHARMA</t>
        </is>
      </c>
      <c r="D147" s="31" t="inlineStr">
        <is>
          <t>Sun Pharmaceuticals Industries Limited</t>
        </is>
      </c>
      <c r="E147" s="31" t="inlineStr">
        <is>
          <t>healthcare</t>
        </is>
      </c>
      <c r="F147" s="31" t="inlineStr">
        <is>
          <t>pharmaceuticals - indian - bulk drugs &amp; formln</t>
        </is>
      </c>
      <c r="G147" s="31" t="inlineStr">
        <is>
          <t>largecap</t>
        </is>
      </c>
      <c r="H147" s="32" t="n">
        <v>461008.22</v>
      </c>
      <c r="I147" s="32" t="n">
        <v>1942.6</v>
      </c>
      <c r="J147" s="32" t="n">
        <v>1.1</v>
      </c>
      <c r="K147" s="32" t="n">
        <v>2822174</v>
      </c>
      <c r="L147" s="31" t="n">
        <v>34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65.79000000000001</v>
      </c>
      <c r="P147" s="32" t="n">
        <v>18.54</v>
      </c>
      <c r="Q147" s="32" t="n">
        <v>1717.42</v>
      </c>
      <c r="R147" s="31" t="inlineStr">
        <is>
          <t>Near 52W High Breakout</t>
        </is>
      </c>
      <c r="S147" s="31" t="inlineStr">
        <is>
          <t>Nifty Pharma</t>
        </is>
      </c>
      <c r="T147" s="32" t="n">
        <v>14.67</v>
      </c>
      <c r="U147" s="32" t="n">
        <v>15.75</v>
      </c>
      <c r="V147" s="32" t="n">
        <v>0.9399999999999999</v>
      </c>
      <c r="W147" s="32" t="n">
        <v>6.41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Yes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Annuity, Lower One Time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Between 1.5 to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IF(B148=0,"",RANK(B148,$B$2:$B$335,0))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HMVL</t>
        </is>
      </c>
      <c r="D148" s="31" t="inlineStr">
        <is>
          <t>Hindustan Media Ventures Limited</t>
        </is>
      </c>
      <c r="E148" s="31" t="inlineStr">
        <is>
          <t>media</t>
        </is>
      </c>
      <c r="F148" s="31" t="inlineStr">
        <is>
          <t>entertainment / electronic media software</t>
        </is>
      </c>
      <c r="G148" s="31" t="inlineStr">
        <is>
          <t>smallcap</t>
        </is>
      </c>
      <c r="H148" s="32" t="n">
        <v>657.67</v>
      </c>
      <c r="I148" s="32" t="n">
        <v>89.77</v>
      </c>
      <c r="J148" s="32" t="n">
        <v>0.5600000000000001</v>
      </c>
      <c r="K148" s="32" t="n">
        <v>47215</v>
      </c>
      <c r="L148" s="31" t="n">
        <v>38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68.81999999999999</v>
      </c>
      <c r="P148" s="32" t="n">
        <v>28.14</v>
      </c>
      <c r="Q148" s="32" t="n">
        <v>70.79000000000001</v>
      </c>
      <c r="R148" s="31" t="inlineStr">
        <is>
          <t>Near 52W High Breakout</t>
        </is>
      </c>
      <c r="S148" s="31" t="inlineStr">
        <is>
          <t>Nifty IT</t>
        </is>
      </c>
      <c r="T148" s="32" t="n">
        <v>-22.66</v>
      </c>
      <c r="U148" s="32" t="n">
        <v>0.1</v>
      </c>
      <c r="V148" s="32" t="n">
        <v>29.43</v>
      </c>
      <c r="W148" s="32" t="n">
        <v>7.4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Between 50% to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IF(B149=0,"",RANK(B149,$B$2:$B$335,0))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3" t="inlineStr">
        <is>
          <t>RAINBOW</t>
        </is>
      </c>
      <c r="D149" s="33" t="inlineStr">
        <is>
          <t>Rainbow Childrens Medicare Ltd</t>
        </is>
      </c>
      <c r="E149" s="31" t="inlineStr">
        <is>
          <t>healthcare</t>
        </is>
      </c>
      <c r="F149" s="31" t="inlineStr">
        <is>
          <t>healthcare</t>
        </is>
      </c>
      <c r="G149" s="31" t="inlineStr">
        <is>
          <t>midcap</t>
        </is>
      </c>
      <c r="H149" s="32" t="n">
        <v>15065.29</v>
      </c>
      <c r="I149" s="32" t="n">
        <v>1486.5</v>
      </c>
      <c r="J149" s="32" t="n">
        <v>0.21</v>
      </c>
      <c r="K149" s="32" t="n">
        <v>101430</v>
      </c>
      <c r="L149" s="31" t="n">
        <v>19</v>
      </c>
      <c r="M149" s="31" t="inlineStr">
        <is>
          <t>Underperforming</t>
        </is>
      </c>
      <c r="N149" s="32">
        <f>IF(M149="Underperforming",-5,IF(L149&gt;=95,15,IF(L149&gt;=90,10,IF(L149&gt;=80,5,0))))</f>
        <v/>
      </c>
      <c r="O149" s="32" t="n">
        <v>67.27</v>
      </c>
      <c r="P149" s="32" t="n">
        <v>31.12</v>
      </c>
      <c r="Q149" s="32" t="n">
        <v>1250.87</v>
      </c>
      <c r="R149" s="31" t="inlineStr">
        <is>
          <t>Earnings / Momentum Support</t>
        </is>
      </c>
      <c r="S149" s="31" t="inlineStr">
        <is>
          <t>Nifty Pharma</t>
        </is>
      </c>
      <c r="T149" s="32" t="n">
        <v>14.67</v>
      </c>
      <c r="U149" s="32" t="n">
        <v>-2.78</v>
      </c>
      <c r="V149" s="32" t="n">
        <v>-15.22</v>
      </c>
      <c r="W149" s="32" t="n">
        <v>3.72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Yes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IF(B150=0,"",RANK(B150,$B$2:$B$335,0))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AJANTPHARM</t>
        </is>
      </c>
      <c r="D150" s="31" t="inlineStr">
        <is>
          <t>Ajanta Pharma Limited</t>
        </is>
      </c>
      <c r="E150" s="31" t="inlineStr">
        <is>
          <t>healthcare</t>
        </is>
      </c>
      <c r="F150" s="31" t="inlineStr">
        <is>
          <t>pharmaceuticals - indian - formulations</t>
        </is>
      </c>
      <c r="G150" s="31" t="inlineStr">
        <is>
          <t>largecap</t>
        </is>
      </c>
      <c r="H150" s="32" t="n">
        <v>42745.47</v>
      </c>
      <c r="I150" s="32" t="n">
        <v>3421</v>
      </c>
      <c r="J150" s="32" t="n">
        <v>-0.01</v>
      </c>
      <c r="K150" s="32" t="n">
        <v>89251</v>
      </c>
      <c r="L150" s="31" t="n">
        <v>48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69.08</v>
      </c>
      <c r="P150" s="32" t="n">
        <v>39.51</v>
      </c>
      <c r="Q150" s="32" t="n">
        <v>2837.17</v>
      </c>
      <c r="R150" s="31" t="inlineStr">
        <is>
          <t>Near 52W High Breakout</t>
        </is>
      </c>
      <c r="S150" s="31" t="inlineStr">
        <is>
          <t>Nifty Pharma</t>
        </is>
      </c>
      <c r="T150" s="32" t="n">
        <v>14.67</v>
      </c>
      <c r="U150" s="32" t="n">
        <v>24.32</v>
      </c>
      <c r="V150" s="32" t="n">
        <v>8.41</v>
      </c>
      <c r="W150" s="32" t="n">
        <v>9.51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Yes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Between 12 to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Less than 50%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IF(B151=0,"",RANK(B151,$B$2:$B$335,0))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TATATECH</t>
        </is>
      </c>
      <c r="D151" s="31" t="inlineStr">
        <is>
          <t>Tata Technologies Ltd</t>
        </is>
      </c>
      <c r="E151" s="31" t="inlineStr">
        <is>
          <t>i.t</t>
        </is>
      </c>
      <c r="F151" s="31" t="inlineStr">
        <is>
          <t>computers - software - medium / small</t>
        </is>
      </c>
      <c r="G151" s="31" t="inlineStr">
        <is>
          <t>largecap</t>
        </is>
      </c>
      <c r="H151" s="32" t="n">
        <v>30886.91</v>
      </c>
      <c r="I151" s="32" t="n">
        <v>756.55</v>
      </c>
      <c r="J151" s="32" t="n">
        <v>-0.5600000000000001</v>
      </c>
      <c r="K151" s="32" t="n">
        <v>1418801</v>
      </c>
      <c r="L151" s="31" t="n">
        <v>43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66.89</v>
      </c>
      <c r="P151" s="32" t="n">
        <v>29.14</v>
      </c>
      <c r="Q151" s="32" t="n">
        <v>612.24</v>
      </c>
      <c r="R151" s="31" t="inlineStr">
        <is>
          <t>Near 52W High Breakout</t>
        </is>
      </c>
      <c r="S151" s="31" t="inlineStr">
        <is>
          <t>Nifty IT</t>
        </is>
      </c>
      <c r="T151" s="32" t="n">
        <v>-22.66</v>
      </c>
      <c r="U151" s="32" t="n">
        <v>7.81</v>
      </c>
      <c r="V151" s="32" t="n">
        <v>39.41</v>
      </c>
      <c r="W151" s="32" t="n">
        <v>8.48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IF(B152=0,"",RANK(B152,$B$2:$B$335,0))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IKS</t>
        </is>
      </c>
      <c r="D152" s="31" t="inlineStr">
        <is>
          <t>Inventurus Knowledge Solutions Ltd</t>
        </is>
      </c>
      <c r="E152" s="31" t="inlineStr">
        <is>
          <t>i.t</t>
        </is>
      </c>
      <c r="F152" s="31" t="inlineStr">
        <is>
          <t>computers - software - medium / small</t>
        </is>
      </c>
      <c r="G152" s="31" t="inlineStr">
        <is>
          <t>largecap</t>
        </is>
      </c>
      <c r="H152" s="32" t="n">
        <v>32657.24</v>
      </c>
      <c r="I152" s="32" t="n">
        <v>1881</v>
      </c>
      <c r="J152" s="32" t="n">
        <v>-1.18</v>
      </c>
      <c r="K152" s="32" t="n">
        <v>69884</v>
      </c>
      <c r="L152" s="31" t="n">
        <v>48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64.78</v>
      </c>
      <c r="P152" s="32" t="n">
        <v>11.43</v>
      </c>
      <c r="Q152" s="32" t="n">
        <v>1558.24</v>
      </c>
      <c r="R152" s="31" t="inlineStr">
        <is>
          <t>Near 52W High Breakout</t>
        </is>
      </c>
      <c r="S152" s="31" t="inlineStr">
        <is>
          <t>Nifty IT</t>
        </is>
      </c>
      <c r="T152" s="32" t="n">
        <v>-22.66</v>
      </c>
      <c r="U152" s="32" t="n">
        <v>18.33</v>
      </c>
      <c r="V152" s="32" t="n">
        <v>53</v>
      </c>
      <c r="W152" s="32" t="n">
        <v>9.33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0 to 20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Between 50% to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IF(B153=0,"",RANK(B153,$B$2:$B$335,0))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JITFINFRA</t>
        </is>
      </c>
      <c r="D153" s="31" t="inlineStr">
        <is>
          <t>JITF Infra Logistics Ltd</t>
        </is>
      </c>
      <c r="E153" s="31" t="inlineStr">
        <is>
          <t>miscellaneous</t>
        </is>
      </c>
      <c r="F153" s="31" t="inlineStr">
        <is>
          <t>miscellaneous</t>
        </is>
      </c>
      <c r="G153" s="31" t="inlineStr">
        <is>
          <t>smallcap</t>
        </is>
      </c>
      <c r="H153" s="32" t="n">
        <v>919.16</v>
      </c>
      <c r="I153" s="32" t="n">
        <v>393.35</v>
      </c>
      <c r="J153" s="32" t="n">
        <v>10</v>
      </c>
      <c r="K153" s="32" t="n">
        <v>460327</v>
      </c>
      <c r="L153" s="31" t="n">
        <v>34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63.71</v>
      </c>
      <c r="P153" s="32" t="n">
        <v>6.5</v>
      </c>
      <c r="Q153" s="32" t="n">
        <v>283.44</v>
      </c>
      <c r="R153" s="31" t="inlineStr">
        <is>
          <t>Volume Spike &amp; Near 52W High Breakout</t>
        </is>
      </c>
      <c r="S153" s="31" t="inlineStr">
        <is>
          <t>Nifty 50</t>
        </is>
      </c>
      <c r="T153" s="32" t="n">
        <v>-3.67</v>
      </c>
      <c r="U153" s="32" t="n">
        <v>7.63</v>
      </c>
      <c r="V153" s="32" t="n">
        <v>11.74</v>
      </c>
      <c r="W153" s="32" t="n">
        <v>6.38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Less than 50%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IF(B154=0,"",RANK(B154,$B$2:$B$335,0))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IKIO</t>
        </is>
      </c>
      <c r="D154" s="31" t="inlineStr">
        <is>
          <t>IKIO Lighting Ltd</t>
        </is>
      </c>
      <c r="E154" s="31" t="inlineStr">
        <is>
          <t>consumer discretionary</t>
        </is>
      </c>
      <c r="F154" s="31" t="inlineStr">
        <is>
          <t>electric equipment</t>
        </is>
      </c>
      <c r="G154" s="31" t="inlineStr">
        <is>
          <t>smallcap</t>
        </is>
      </c>
      <c r="H154" s="32" t="n">
        <v>1582.79</v>
      </c>
      <c r="I154" s="32" t="n">
        <v>214.04</v>
      </c>
      <c r="J154" s="32" t="n">
        <v>4.51</v>
      </c>
      <c r="K154" s="32" t="n">
        <v>6824996</v>
      </c>
      <c r="L154" s="31" t="n">
        <v>60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68.18000000000001</v>
      </c>
      <c r="P154" s="32" t="n">
        <v>21.24</v>
      </c>
      <c r="Q154" s="32" t="n">
        <v>151.59</v>
      </c>
      <c r="R154" s="31" t="inlineStr">
        <is>
          <t>Earnings / Momentum Support</t>
        </is>
      </c>
      <c r="S154" s="31" t="inlineStr">
        <is>
          <t>Nifty 50</t>
        </is>
      </c>
      <c r="T154" s="32" t="n">
        <v>-3.67</v>
      </c>
      <c r="U154" s="32" t="n">
        <v>2.13</v>
      </c>
      <c r="V154" s="32" t="n">
        <v>6.02</v>
      </c>
      <c r="W154" s="32" t="n">
        <v>12.43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Less than 50%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IF(B155=0,"",RANK(B155,$B$2:$B$335,0))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AYMSYNTEX</t>
        </is>
      </c>
      <c r="D155" s="31" t="inlineStr">
        <is>
          <t>Aym Syntex Limited</t>
        </is>
      </c>
      <c r="E155" s="31" t="inlineStr">
        <is>
          <t>textiles</t>
        </is>
      </c>
      <c r="F155" s="31" t="inlineStr">
        <is>
          <t>textiles - processing</t>
        </is>
      </c>
      <c r="G155" s="31" t="inlineStr">
        <is>
          <t>smallcap</t>
        </is>
      </c>
      <c r="H155" s="32" t="n">
        <v>1374.27</v>
      </c>
      <c r="I155" s="32" t="n">
        <v>241.31</v>
      </c>
      <c r="J155" s="32" t="n">
        <v>2.92</v>
      </c>
      <c r="K155" s="32" t="n">
        <v>120454</v>
      </c>
      <c r="L155" s="31" t="n">
        <v>41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58.81</v>
      </c>
      <c r="P155" s="32" t="n">
        <v>27.67</v>
      </c>
      <c r="Q155" s="32" t="n">
        <v>180.01</v>
      </c>
      <c r="R155" s="31" t="inlineStr">
        <is>
          <t>Earnings / Momentum Support</t>
        </is>
      </c>
      <c r="S155" s="31" t="inlineStr">
        <is>
          <t>Nifty 50</t>
        </is>
      </c>
      <c r="T155" s="32" t="n">
        <v>-3.67</v>
      </c>
      <c r="U155" s="32" t="n">
        <v>4.58</v>
      </c>
      <c r="V155" s="32" t="n">
        <v>8.57</v>
      </c>
      <c r="W155" s="32" t="n">
        <v>7.89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No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IF(B156=0,"",RANK(B156,$B$2:$B$335,0))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ADANIENSOL</t>
        </is>
      </c>
      <c r="D156" s="31" t="inlineStr">
        <is>
          <t>Adani Energy Solutions Ltd</t>
        </is>
      </c>
      <c r="E156" s="31" t="inlineStr">
        <is>
          <t>power &amp; utilities</t>
        </is>
      </c>
      <c r="F156" s="31" t="inlineStr">
        <is>
          <t>power generation and supply</t>
        </is>
      </c>
      <c r="G156" s="31" t="inlineStr">
        <is>
          <t>largecap</t>
        </is>
      </c>
      <c r="H156" s="32" t="n">
        <v>197562.94</v>
      </c>
      <c r="I156" s="32" t="n">
        <v>1690.3</v>
      </c>
      <c r="J156" s="32" t="n">
        <v>2.78</v>
      </c>
      <c r="K156" s="32" t="n">
        <v>2237295</v>
      </c>
      <c r="L156" s="31" t="n">
        <v>81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74.98</v>
      </c>
      <c r="P156" s="32" t="n">
        <v>51.79</v>
      </c>
      <c r="Q156" s="32" t="n">
        <v>1352.76</v>
      </c>
      <c r="R156" s="31" t="inlineStr">
        <is>
          <t>Near 52W High Breakout</t>
        </is>
      </c>
      <c r="S156" s="31" t="inlineStr">
        <is>
          <t>Nifty IT</t>
        </is>
      </c>
      <c r="T156" s="32" t="n">
        <v>-22.66</v>
      </c>
      <c r="U156" s="32" t="n">
        <v>94.43000000000001</v>
      </c>
      <c r="V156" s="32" t="n">
        <v>151.41</v>
      </c>
      <c r="W156" s="32" t="n">
        <v>22.33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More than 1.2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IF(B157=0,"",RANK(B157,$B$2:$B$335,0))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3" t="inlineStr">
        <is>
          <t>HINDCOMPOS</t>
        </is>
      </c>
      <c r="D157" s="33" t="inlineStr">
        <is>
          <t>Hindustan Composites Limited</t>
        </is>
      </c>
      <c r="E157" s="31" t="inlineStr">
        <is>
          <t>auto</t>
        </is>
      </c>
      <c r="F157" s="31" t="inlineStr">
        <is>
          <t>auto ancillaries</t>
        </is>
      </c>
      <c r="G157" s="31" t="inlineStr">
        <is>
          <t>smallcap</t>
        </is>
      </c>
      <c r="H157" s="32" t="n">
        <v>645.85</v>
      </c>
      <c r="I157" s="32" t="n">
        <v>448.85</v>
      </c>
      <c r="J157" s="32" t="n">
        <v>2.64</v>
      </c>
      <c r="K157" s="32" t="n">
        <v>81577</v>
      </c>
      <c r="L157" s="31" t="n">
        <v>1</v>
      </c>
      <c r="M157" s="31" t="inlineStr">
        <is>
          <t>Underperforming</t>
        </is>
      </c>
      <c r="N157" s="32">
        <f>IF(M157="Underperforming",-5,IF(L157&gt;=95,15,IF(L157&gt;=90,10,IF(L157&gt;=80,5,0))))</f>
        <v/>
      </c>
      <c r="O157" s="32" t="n">
        <v>54.3</v>
      </c>
      <c r="P157" s="32" t="n">
        <v>26.25</v>
      </c>
      <c r="Q157" s="32" t="n">
        <v>366.14</v>
      </c>
      <c r="R157" s="31" t="inlineStr">
        <is>
          <t>Earnings / Momentum Support</t>
        </is>
      </c>
      <c r="S157" s="31" t="inlineStr">
        <is>
          <t>Nifty Auto</t>
        </is>
      </c>
      <c r="T157" s="32" t="n">
        <v>11.1</v>
      </c>
      <c r="U157" s="32" t="n">
        <v>-8.369999999999999</v>
      </c>
      <c r="V157" s="32" t="n">
        <v>-17.53</v>
      </c>
      <c r="W157" s="32" t="n">
        <v>-3.21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Less than 50%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IF(B158=0,"",RANK(B158,$B$2:$B$335,0))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UNIMECH</t>
        </is>
      </c>
      <c r="D158" s="31" t="inlineStr">
        <is>
          <t>Unimech Aerospace and Manufacturing Ltd</t>
        </is>
      </c>
      <c r="E158" s="31" t="inlineStr">
        <is>
          <t>aerospace &amp; defence</t>
        </is>
      </c>
      <c r="F158" s="31" t="inlineStr">
        <is>
          <t>engineering</t>
        </is>
      </c>
      <c r="G158" s="31" t="inlineStr">
        <is>
          <t>midcap</t>
        </is>
      </c>
      <c r="H158" s="32" t="n">
        <v>5969.58</v>
      </c>
      <c r="I158" s="32" t="n">
        <v>1202.4</v>
      </c>
      <c r="J158" s="32" t="n">
        <v>2.44</v>
      </c>
      <c r="K158" s="32" t="n">
        <v>156033</v>
      </c>
      <c r="L158" s="31" t="n">
        <v>31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64.61</v>
      </c>
      <c r="P158" s="32" t="n">
        <v>25.05</v>
      </c>
      <c r="Q158" s="32" t="n">
        <v>886.41</v>
      </c>
      <c r="R158" s="31" t="inlineStr">
        <is>
          <t>Near 52W High Breakout</t>
        </is>
      </c>
      <c r="S158" s="31" t="inlineStr">
        <is>
          <t>Nifty 50</t>
        </is>
      </c>
      <c r="T158" s="32" t="n">
        <v>-3.67</v>
      </c>
      <c r="U158" s="32" t="n">
        <v>-0.11</v>
      </c>
      <c r="V158" s="32" t="n">
        <v>3.7</v>
      </c>
      <c r="W158" s="32" t="n">
        <v>5.92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IF(B159=0,"",RANK(B159,$B$2:$B$335,0))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ROLEXRINGS</t>
        </is>
      </c>
      <c r="D159" s="33" t="inlineStr">
        <is>
          <t>Rolex Rings Ltd</t>
        </is>
      </c>
      <c r="E159" s="31" t="inlineStr">
        <is>
          <t>auto</t>
        </is>
      </c>
      <c r="F159" s="31" t="inlineStr">
        <is>
          <t>auto ancillaries</t>
        </is>
      </c>
      <c r="G159" s="31" t="inlineStr">
        <is>
          <t>smallcap</t>
        </is>
      </c>
      <c r="H159" s="32" t="n">
        <v>3920.51</v>
      </c>
      <c r="I159" s="32" t="n">
        <v>146.63</v>
      </c>
      <c r="J159" s="32" t="n">
        <v>1.85</v>
      </c>
      <c r="K159" s="32" t="n">
        <v>981472</v>
      </c>
      <c r="L159" s="31" t="n">
        <v>10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56.53</v>
      </c>
      <c r="P159" s="32" t="n">
        <v>33.33</v>
      </c>
      <c r="Q159" s="32" t="n">
        <v>123.06</v>
      </c>
      <c r="R159" s="31" t="inlineStr">
        <is>
          <t>Earnings / Momentum Support</t>
        </is>
      </c>
      <c r="S159" s="31" t="inlineStr">
        <is>
          <t>Nifty Auto</t>
        </is>
      </c>
      <c r="T159" s="32" t="n">
        <v>11.1</v>
      </c>
      <c r="U159" s="32" t="n">
        <v>-1.69</v>
      </c>
      <c r="V159" s="32" t="n">
        <v>-11.51</v>
      </c>
      <c r="W159" s="32" t="n">
        <v>1.7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IF(B160=0,"",RANK(B160,$B$2:$B$335,0))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CYIENTDLM</t>
        </is>
      </c>
      <c r="D160" s="31" t="inlineStr">
        <is>
          <t>Cyient DLM Ltd</t>
        </is>
      </c>
      <c r="E160" s="31" t="inlineStr">
        <is>
          <t>consumer discretionary</t>
        </is>
      </c>
      <c r="F160" s="31" t="inlineStr">
        <is>
          <t>electronics - components</t>
        </is>
      </c>
      <c r="G160" s="31" t="inlineStr">
        <is>
          <t>smallcap</t>
        </is>
      </c>
      <c r="H160" s="32" t="n">
        <v>4171.79</v>
      </c>
      <c r="I160" s="32" t="n">
        <v>532.65</v>
      </c>
      <c r="J160" s="32" t="n">
        <v>1.33</v>
      </c>
      <c r="K160" s="32" t="n">
        <v>297422</v>
      </c>
      <c r="L160" s="31" t="n">
        <v>71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70.83</v>
      </c>
      <c r="P160" s="32" t="n">
        <v>42.96</v>
      </c>
      <c r="Q160" s="32" t="n">
        <v>419.11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-3.67</v>
      </c>
      <c r="U160" s="32" t="n">
        <v>11.3</v>
      </c>
      <c r="V160" s="32" t="n">
        <v>15.55</v>
      </c>
      <c r="W160" s="32" t="n">
        <v>16.06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Less than 50%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IF(B161=0,"",RANK(B161,$B$2:$B$335,0))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PANACHE</t>
        </is>
      </c>
      <c r="D161" s="31" t="inlineStr">
        <is>
          <t>Panache Digilife Ltd</t>
        </is>
      </c>
      <c r="E161" s="31" t="inlineStr">
        <is>
          <t>i.t</t>
        </is>
      </c>
      <c r="F161" s="31" t="inlineStr">
        <is>
          <t>computers - hardware</t>
        </is>
      </c>
      <c r="G161" s="31" t="inlineStr">
        <is>
          <t>smallcap</t>
        </is>
      </c>
      <c r="H161" s="32" t="n">
        <v>718.87</v>
      </c>
      <c r="I161" s="32" t="n">
        <v>452</v>
      </c>
      <c r="J161" s="32" t="n">
        <v>0.6899999999999999</v>
      </c>
      <c r="K161" s="32" t="n">
        <v>7424</v>
      </c>
      <c r="L161" s="31" t="n">
        <v>84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65.84</v>
      </c>
      <c r="P161" s="32" t="n">
        <v>20.3</v>
      </c>
      <c r="Q161" s="32" t="n">
        <v>317.78</v>
      </c>
      <c r="R161" s="31" t="inlineStr">
        <is>
          <t>Near 52W High Breakout</t>
        </is>
      </c>
      <c r="S161" s="31" t="inlineStr">
        <is>
          <t>Nifty IT</t>
        </is>
      </c>
      <c r="T161" s="32" t="n">
        <v>-22.66</v>
      </c>
      <c r="U161" s="32" t="n">
        <v>74.92</v>
      </c>
      <c r="V161" s="32" t="n">
        <v>126.18</v>
      </c>
      <c r="W161" s="32" t="n">
        <v>24.71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Negative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IF(B162=0,"",RANK(B162,$B$2:$B$335,0))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BOROSCI</t>
        </is>
      </c>
      <c r="D162" s="33" t="inlineStr">
        <is>
          <t>Borosil Scientific Ltd</t>
        </is>
      </c>
      <c r="E162" s="31" t="inlineStr">
        <is>
          <t>building materials</t>
        </is>
      </c>
      <c r="F162" s="31" t="inlineStr">
        <is>
          <t>glass &amp; glass products</t>
        </is>
      </c>
      <c r="G162" s="31" t="inlineStr">
        <is>
          <t>smallcap</t>
        </is>
      </c>
      <c r="H162" s="32" t="n">
        <v>1447.61</v>
      </c>
      <c r="I162" s="32" t="n">
        <v>163</v>
      </c>
      <c r="J162" s="32" t="n">
        <v>0.15</v>
      </c>
      <c r="K162" s="32" t="n">
        <v>104859</v>
      </c>
      <c r="L162" s="31" t="n">
        <v>39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69.03</v>
      </c>
      <c r="P162" s="32" t="n">
        <v>38.38</v>
      </c>
      <c r="Q162" s="32" t="n">
        <v>126.73</v>
      </c>
      <c r="R162" s="31" t="inlineStr">
        <is>
          <t>Near 52W High Breakout</t>
        </is>
      </c>
      <c r="S162" s="31" t="inlineStr">
        <is>
          <t>Nifty Infra</t>
        </is>
      </c>
      <c r="T162" s="32" t="n">
        <v>1.45</v>
      </c>
      <c r="U162" s="32" t="n">
        <v>-9.4</v>
      </c>
      <c r="V162" s="32" t="n">
        <v>-10.7</v>
      </c>
      <c r="W162" s="32" t="n">
        <v>7.52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Between 50% to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IF(B163=0,"",RANK(B163,$B$2:$B$335,0))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AVL</t>
        </is>
      </c>
      <c r="D163" s="31" t="inlineStr">
        <is>
          <t>Aditya Vision Ltd</t>
        </is>
      </c>
      <c r="E163" s="31" t="inlineStr">
        <is>
          <t>consumer discretionary</t>
        </is>
      </c>
      <c r="F163" s="31" t="inlineStr">
        <is>
          <t>trading</t>
        </is>
      </c>
      <c r="G163" s="31" t="inlineStr">
        <is>
          <t>midcap</t>
        </is>
      </c>
      <c r="H163" s="32" t="n">
        <v>8213.18</v>
      </c>
      <c r="I163" s="32" t="n">
        <v>635.45</v>
      </c>
      <c r="J163" s="32" t="n">
        <v>-0.09</v>
      </c>
      <c r="K163" s="32" t="n">
        <v>73253</v>
      </c>
      <c r="L163" s="31" t="n">
        <v>72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66.13</v>
      </c>
      <c r="P163" s="32" t="n">
        <v>37.46</v>
      </c>
      <c r="Q163" s="32" t="n">
        <v>523.96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-3.67</v>
      </c>
      <c r="U163" s="32" t="n">
        <v>65.06999999999999</v>
      </c>
      <c r="V163" s="32" t="n">
        <v>71.36</v>
      </c>
      <c r="W163" s="32" t="n">
        <v>16.32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Between 1.5 to 2</t>
        </is>
      </c>
      <c r="BU163" s="31">
        <f>IF(BT163="Above 2",0,IF(BT163="Between 1.5 to 2",5,IF(BT163="Less than 1.5",10,0)))</f>
        <v/>
      </c>
      <c r="BV163" s="31" t="inlineStr">
        <is>
          <t>Less than 50%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Between 0.7 to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IF(B164=0,"",RANK(B164,$B$2:$B$335,0))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SPAL</t>
        </is>
      </c>
      <c r="D164" s="31" t="inlineStr">
        <is>
          <t>S. P. Apparels Limited</t>
        </is>
      </c>
      <c r="E164" s="31" t="inlineStr">
        <is>
          <t>consumer discretionary</t>
        </is>
      </c>
      <c r="F164" s="31" t="inlineStr">
        <is>
          <t>textiles - products</t>
        </is>
      </c>
      <c r="G164" s="31" t="inlineStr">
        <is>
          <t>smallcap</t>
        </is>
      </c>
      <c r="H164" s="32" t="n">
        <v>2827.62</v>
      </c>
      <c r="I164" s="32" t="n">
        <v>1121.6</v>
      </c>
      <c r="J164" s="32" t="n">
        <v>-0.28</v>
      </c>
      <c r="K164" s="32" t="n">
        <v>185476</v>
      </c>
      <c r="L164" s="31" t="n">
        <v>76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75.98999999999999</v>
      </c>
      <c r="P164" s="32" t="n">
        <v>39.51</v>
      </c>
      <c r="Q164" s="32" t="n">
        <v>868.15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-3.67</v>
      </c>
      <c r="U164" s="32" t="n">
        <v>39.31</v>
      </c>
      <c r="V164" s="32" t="n">
        <v>44.62</v>
      </c>
      <c r="W164" s="32" t="n">
        <v>18.29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IF(B165=0,"",RANK(B165,$B$2:$B$335,0))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JAYAGROGN</t>
        </is>
      </c>
      <c r="D165" s="33" t="inlineStr">
        <is>
          <t>Jayant Agro Organics Limited</t>
        </is>
      </c>
      <c r="E165" s="31" t="inlineStr">
        <is>
          <t>chemicals</t>
        </is>
      </c>
      <c r="F165" s="31" t="inlineStr">
        <is>
          <t>chemicals</t>
        </is>
      </c>
      <c r="G165" s="31" t="inlineStr">
        <is>
          <t>smallcap</t>
        </is>
      </c>
      <c r="H165" s="32" t="n">
        <v>668.85</v>
      </c>
      <c r="I165" s="32" t="n">
        <v>222.06</v>
      </c>
      <c r="J165" s="32" t="n">
        <v>-0.4</v>
      </c>
      <c r="K165" s="32" t="n">
        <v>5047</v>
      </c>
      <c r="L165" s="31" t="n">
        <v>2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57.12</v>
      </c>
      <c r="P165" s="32" t="n">
        <v>34.73</v>
      </c>
      <c r="Q165" s="32" t="n">
        <v>175.57</v>
      </c>
      <c r="R165" s="31" t="inlineStr">
        <is>
          <t>Earnings / Momentum Support</t>
        </is>
      </c>
      <c r="S165" s="31" t="inlineStr">
        <is>
          <t>Nifty 50</t>
        </is>
      </c>
      <c r="T165" s="32" t="n">
        <v>-3.67</v>
      </c>
      <c r="U165" s="32" t="n">
        <v>-15.1</v>
      </c>
      <c r="V165" s="32" t="n">
        <v>-11.86</v>
      </c>
      <c r="W165" s="32" t="n">
        <v>-0.78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Less than 50%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IF(B166=0,"",RANK(B166,$B$2:$B$335,0))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SONACOMS</t>
        </is>
      </c>
      <c r="D166" s="31" t="inlineStr">
        <is>
          <t>Sona BLW Precision Forgings Ltd</t>
        </is>
      </c>
      <c r="E166" s="31" t="inlineStr">
        <is>
          <t>auto</t>
        </is>
      </c>
      <c r="F166" s="31" t="inlineStr">
        <is>
          <t>auto ancillaries</t>
        </is>
      </c>
      <c r="G166" s="31" t="inlineStr">
        <is>
          <t>largecap</t>
        </is>
      </c>
      <c r="H166" s="32" t="n">
        <v>41716.6</v>
      </c>
      <c r="I166" s="32" t="n">
        <v>667.35</v>
      </c>
      <c r="J166" s="32" t="n">
        <v>-0.52</v>
      </c>
      <c r="K166" s="32" t="n">
        <v>873846</v>
      </c>
      <c r="L166" s="31" t="n">
        <v>51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70.45</v>
      </c>
      <c r="P166" s="32" t="n">
        <v>38.71</v>
      </c>
      <c r="Q166" s="32" t="n">
        <v>563.87</v>
      </c>
      <c r="R166" s="31" t="inlineStr">
        <is>
          <t>Near 52W High Breakout</t>
        </is>
      </c>
      <c r="S166" s="31" t="inlineStr">
        <is>
          <t>Nifty Auto</t>
        </is>
      </c>
      <c r="T166" s="32" t="n">
        <v>11.1</v>
      </c>
      <c r="U166" s="32" t="n">
        <v>39.85</v>
      </c>
      <c r="V166" s="32" t="n">
        <v>25.87</v>
      </c>
      <c r="W166" s="32" t="n">
        <v>10.12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Between 12 to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Between 50% to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IF(B167=0,"",RANK(B167,$B$2:$B$335,0))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BOSCHLTD</t>
        </is>
      </c>
      <c r="D167" s="33" t="inlineStr">
        <is>
          <t>Bosch Limited</t>
        </is>
      </c>
      <c r="E167" s="31" t="inlineStr">
        <is>
          <t>auto</t>
        </is>
      </c>
      <c r="F167" s="31" t="inlineStr">
        <is>
          <t>auto ancillaries</t>
        </is>
      </c>
      <c r="G167" s="31" t="inlineStr">
        <is>
          <t>largecap</t>
        </is>
      </c>
      <c r="H167" s="32" t="n">
        <v>122973.73</v>
      </c>
      <c r="I167" s="32" t="n">
        <v>41470</v>
      </c>
      <c r="J167" s="32" t="n">
        <v>-0.54</v>
      </c>
      <c r="K167" s="32" t="n">
        <v>11518</v>
      </c>
      <c r="L167" s="31" t="n">
        <v>21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63.65</v>
      </c>
      <c r="P167" s="32" t="n">
        <v>25.99</v>
      </c>
      <c r="Q167" s="32" t="n">
        <v>35452.11</v>
      </c>
      <c r="R167" s="31" t="inlineStr">
        <is>
          <t>Near 52W High Breakout</t>
        </is>
      </c>
      <c r="S167" s="31" t="inlineStr">
        <is>
          <t>Nifty Auto</t>
        </is>
      </c>
      <c r="T167" s="32" t="n">
        <v>11.1</v>
      </c>
      <c r="U167" s="32" t="n">
        <v>9.859999999999999</v>
      </c>
      <c r="V167" s="32" t="n">
        <v>-1.12</v>
      </c>
      <c r="W167" s="32" t="n">
        <v>4.13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IF(B168=0,"",RANK(B168,$B$2:$B$335,0))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MIRZAINT</t>
        </is>
      </c>
      <c r="D168" s="31" t="inlineStr">
        <is>
          <t>Mirza International Limited</t>
        </is>
      </c>
      <c r="E168" s="31" t="inlineStr">
        <is>
          <t>consumer discretionary</t>
        </is>
      </c>
      <c r="F168" s="31" t="inlineStr">
        <is>
          <t>leather / leather products</t>
        </is>
      </c>
      <c r="G168" s="31" t="inlineStr">
        <is>
          <t>smallcap</t>
        </is>
      </c>
      <c r="H168" s="32" t="n">
        <v>523.79</v>
      </c>
      <c r="I168" s="32" t="n">
        <v>37.61</v>
      </c>
      <c r="J168" s="32" t="n">
        <v>-0.77</v>
      </c>
      <c r="K168" s="32" t="n">
        <v>452834</v>
      </c>
      <c r="L168" s="31" t="n">
        <v>32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57.11</v>
      </c>
      <c r="P168" s="32" t="n">
        <v>13.84</v>
      </c>
      <c r="Q168" s="32" t="n">
        <v>28.83</v>
      </c>
      <c r="R168" s="31" t="inlineStr">
        <is>
          <t>Earnings / Momentum Support</t>
        </is>
      </c>
      <c r="S168" s="31" t="inlineStr">
        <is>
          <t>Nifty 50</t>
        </is>
      </c>
      <c r="T168" s="32" t="n">
        <v>-3.67</v>
      </c>
      <c r="U168" s="32" t="n">
        <v>16.22</v>
      </c>
      <c r="V168" s="32" t="n">
        <v>20.65</v>
      </c>
      <c r="W168" s="32" t="n">
        <v>5.94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IF(B169=0,"",RANK(B169,$B$2:$B$335,0))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OBEROIRLTY</t>
        </is>
      </c>
      <c r="D169" s="31" t="inlineStr">
        <is>
          <t>Oberoi Realty Limited</t>
        </is>
      </c>
      <c r="E169" s="31" t="inlineStr">
        <is>
          <t>realty</t>
        </is>
      </c>
      <c r="F169" s="31" t="inlineStr">
        <is>
          <t>construction</t>
        </is>
      </c>
      <c r="G169" s="31" t="inlineStr">
        <is>
          <t>largecap</t>
        </is>
      </c>
      <c r="H169" s="32" t="n">
        <v>70000.7</v>
      </c>
      <c r="I169" s="32" t="n">
        <v>1910</v>
      </c>
      <c r="J169" s="32" t="n">
        <v>-0.79</v>
      </c>
      <c r="K169" s="32" t="n">
        <v>698374</v>
      </c>
      <c r="L169" s="31" t="n">
        <v>19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67.23</v>
      </c>
      <c r="P169" s="32" t="n">
        <v>16.31</v>
      </c>
      <c r="Q169" s="32" t="n">
        <v>1615.9</v>
      </c>
      <c r="R169" s="31" t="inlineStr">
        <is>
          <t>Near 52W High Breakout</t>
        </is>
      </c>
      <c r="S169" s="31" t="inlineStr">
        <is>
          <t>Nifty Realty</t>
        </is>
      </c>
      <c r="T169" s="32" t="n">
        <v>-8.130000000000001</v>
      </c>
      <c r="U169" s="32" t="n">
        <v>4.96</v>
      </c>
      <c r="V169" s="32" t="n">
        <v>14.24</v>
      </c>
      <c r="W169" s="32" t="n">
        <v>3.61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0 to 20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Less than 1.5</t>
        </is>
      </c>
      <c r="BU169" s="31">
        <f>IF(BT169="Above 2",0,IF(BT169="Between 1.5 to 2",5,IF(BT169="Less than 1.5",10,0)))</f>
        <v/>
      </c>
      <c r="BV169" s="31" t="inlineStr">
        <is>
          <t>Less than 50%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IF(B170=0,"",RANK(B170,$B$2:$B$335,0))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3" t="inlineStr">
        <is>
          <t>EXIDEIND</t>
        </is>
      </c>
      <c r="D170" s="33" t="inlineStr">
        <is>
          <t>Exide Industries Limited</t>
        </is>
      </c>
      <c r="E170" s="31" t="inlineStr">
        <is>
          <t>auto</t>
        </is>
      </c>
      <c r="F170" s="31" t="inlineStr">
        <is>
          <t>auto ancillaries</t>
        </is>
      </c>
      <c r="G170" s="31" t="inlineStr">
        <is>
          <t>largecap</t>
        </is>
      </c>
      <c r="H170" s="32" t="n">
        <v>35989</v>
      </c>
      <c r="I170" s="32" t="n">
        <v>419.45</v>
      </c>
      <c r="J170" s="32" t="n">
        <v>-0.93</v>
      </c>
      <c r="K170" s="32" t="n">
        <v>1745862</v>
      </c>
      <c r="L170" s="31" t="n">
        <v>42</v>
      </c>
      <c r="M170" s="31" t="inlineStr">
        <is>
          <t>Underperforming</t>
        </is>
      </c>
      <c r="N170" s="32">
        <f>IF(M170="Underperforming",-5,IF(L170&gt;=95,15,IF(L170&gt;=90,10,IF(L170&gt;=80,5,0))))</f>
        <v/>
      </c>
      <c r="O170" s="32" t="n">
        <v>66.40000000000001</v>
      </c>
      <c r="P170" s="32" t="n">
        <v>31.08</v>
      </c>
      <c r="Q170" s="32" t="n">
        <v>351.85</v>
      </c>
      <c r="R170" s="31" t="inlineStr">
        <is>
          <t>Near 52W High Breakout</t>
        </is>
      </c>
      <c r="S170" s="31" t="inlineStr">
        <is>
          <t>Nifty Auto</t>
        </is>
      </c>
      <c r="T170" s="32" t="n">
        <v>11.1</v>
      </c>
      <c r="U170" s="32" t="n">
        <v>9.74</v>
      </c>
      <c r="V170" s="32" t="n">
        <v>-1.23</v>
      </c>
      <c r="W170" s="32" t="n">
        <v>8.31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Between 12 to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IF(B171=0,"",RANK(B171,$B$2:$B$335,0))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DIACABS</t>
        </is>
      </c>
      <c r="D171" s="31" t="inlineStr">
        <is>
          <t>Diamond Power Infrastructure Ltd</t>
        </is>
      </c>
      <c r="E171" s="31" t="inlineStr">
        <is>
          <t>industrials</t>
        </is>
      </c>
      <c r="F171" s="31" t="inlineStr">
        <is>
          <t>cables - power</t>
        </is>
      </c>
      <c r="G171" s="31" t="inlineStr">
        <is>
          <t>midcap</t>
        </is>
      </c>
      <c r="H171" s="32" t="n">
        <v>11986.48</v>
      </c>
      <c r="I171" s="32" t="n">
        <v>224.97</v>
      </c>
      <c r="J171" s="32" t="n">
        <v>-1.09</v>
      </c>
      <c r="K171" s="32" t="n">
        <v>3307812</v>
      </c>
      <c r="L171" s="31" t="n">
        <v>76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73.95999999999999</v>
      </c>
      <c r="P171" s="32" t="n">
        <v>49.92</v>
      </c>
      <c r="Q171" s="32" t="n">
        <v>171.49</v>
      </c>
      <c r="R171" s="31" t="inlineStr">
        <is>
          <t>Near 52W High Breakout</t>
        </is>
      </c>
      <c r="S171" s="31" t="inlineStr">
        <is>
          <t>Nifty Energy</t>
        </is>
      </c>
      <c r="T171" s="32" t="n">
        <v>8.199999999999999</v>
      </c>
      <c r="U171" s="32" t="n">
        <v>33.23</v>
      </c>
      <c r="V171" s="32" t="n">
        <v>23.13</v>
      </c>
      <c r="W171" s="32" t="n">
        <v>18.28</v>
      </c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Negative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IF(B172=0,"",RANK(B172,$B$2:$B$335,0))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LLOYDSENT</t>
        </is>
      </c>
      <c r="D172" s="31" t="inlineStr">
        <is>
          <t>Lloyds Enterprises Ltd</t>
        </is>
      </c>
      <c r="E172" s="31" t="inlineStr">
        <is>
          <t>services</t>
        </is>
      </c>
      <c r="F172" s="31" t="inlineStr">
        <is>
          <t>trading</t>
        </is>
      </c>
      <c r="G172" s="31" t="inlineStr">
        <is>
          <t>midcap</t>
        </is>
      </c>
      <c r="H172" s="32" t="n">
        <v>12039.92</v>
      </c>
      <c r="I172" s="32" t="n">
        <v>77.81999999999999</v>
      </c>
      <c r="J172" s="32" t="n">
        <v>-1.33</v>
      </c>
      <c r="K172" s="32" t="n">
        <v>12396021</v>
      </c>
      <c r="L172" s="31" t="n">
        <v>26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62.26</v>
      </c>
      <c r="P172" s="32" t="n">
        <v>31.69</v>
      </c>
      <c r="Q172" s="32" t="n">
        <v>57.61</v>
      </c>
      <c r="R172" s="31" t="inlineStr">
        <is>
          <t>Near 52W High Breakout</t>
        </is>
      </c>
      <c r="S172" s="31" t="inlineStr">
        <is>
          <t>Nifty 50</t>
        </is>
      </c>
      <c r="T172" s="32" t="n">
        <v>-3.67</v>
      </c>
      <c r="U172" s="32" t="n">
        <v>-3.24</v>
      </c>
      <c r="V172" s="32" t="n">
        <v>0.45</v>
      </c>
      <c r="W172" s="32" t="n">
        <v>4.9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Negative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IF(B173=0,"",RANK(B173,$B$2:$B$335,0))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SWANDEF</t>
        </is>
      </c>
      <c r="D173" s="31" t="inlineStr">
        <is>
          <t>Swan Defence and Heavy Industries Ltd</t>
        </is>
      </c>
      <c r="E173" s="31" t="inlineStr">
        <is>
          <t>transportation</t>
        </is>
      </c>
      <c r="F173" s="31" t="inlineStr">
        <is>
          <t>miscellaneous</t>
        </is>
      </c>
      <c r="G173" s="31" t="inlineStr">
        <is>
          <t>midcap</t>
        </is>
      </c>
      <c r="H173" s="32" t="n">
        <v>11877.72</v>
      </c>
      <c r="I173" s="32" t="n">
        <v>2220</v>
      </c>
      <c r="J173" s="32" t="n">
        <v>-1.53</v>
      </c>
      <c r="K173" s="32" t="n">
        <v>5973</v>
      </c>
      <c r="L173" s="31" t="n">
        <v>98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63.58</v>
      </c>
      <c r="P173" s="32" t="n">
        <v>46.09</v>
      </c>
      <c r="Q173" s="32" t="n">
        <v>1795.63</v>
      </c>
      <c r="R173" s="31" t="inlineStr">
        <is>
          <t>Earnings / Momentum Support</t>
        </is>
      </c>
      <c r="S173" s="31" t="inlineStr">
        <is>
          <t>Nifty 50</t>
        </is>
      </c>
      <c r="T173" s="32" t="n">
        <v>-3.67</v>
      </c>
      <c r="U173" s="32" t="n">
        <v>656.88</v>
      </c>
      <c r="V173" s="32" t="n">
        <v>685.72</v>
      </c>
      <c r="W173" s="32" t="n">
        <v>68.04000000000001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Less than 1.5</t>
        </is>
      </c>
      <c r="BU173" s="31">
        <f>IF(BT173="Above 2",0,IF(BT173="Between 1.5 to 2",5,IF(BT173="Less than 1.5",10,0)))</f>
        <v/>
      </c>
      <c r="BV173" s="31" t="inlineStr">
        <is>
          <t>Negative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More than 1.2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IF(B174=0,"",RANK(B174,$B$2:$B$335,0))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SIGMAADV</t>
        </is>
      </c>
      <c r="D174" s="31" t="inlineStr">
        <is>
          <t>Sigma Advanced System Ltd</t>
        </is>
      </c>
      <c r="E174" s="31" t="inlineStr">
        <is>
          <t>aerospace &amp; defence</t>
        </is>
      </c>
      <c r="F174" s="31" t="inlineStr">
        <is>
          <t>electronics - components</t>
        </is>
      </c>
      <c r="G174" s="31" t="inlineStr">
        <is>
          <t>midcap</t>
        </is>
      </c>
      <c r="H174" s="32" t="n">
        <v>10273.89</v>
      </c>
      <c r="I174" s="32" t="n">
        <v>573.65</v>
      </c>
      <c r="J174" s="32" t="n">
        <v>-1.6</v>
      </c>
      <c r="K174" s="32" t="n">
        <v>528479</v>
      </c>
      <c r="L174" s="31" t="n">
        <v>99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77.28</v>
      </c>
      <c r="P174" s="32" t="n">
        <v>64.05</v>
      </c>
      <c r="Q174" s="32" t="n">
        <v>462.34</v>
      </c>
      <c r="R174" s="31" t="inlineStr">
        <is>
          <t>Earnings / Momentum Support</t>
        </is>
      </c>
      <c r="S174" s="31" t="inlineStr">
        <is>
          <t>Nifty 50</t>
        </is>
      </c>
      <c r="T174" s="32" t="n">
        <v>-3.67</v>
      </c>
      <c r="U174" s="32" t="n">
        <v>433.23</v>
      </c>
      <c r="V174" s="32" t="n">
        <v>453.55</v>
      </c>
      <c r="W174" s="32" t="n">
        <v>90.84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Above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Negative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Between 0.7 to 1.2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IF(B175=0,"",RANK(B175,$B$2:$B$335,0))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3" t="inlineStr">
        <is>
          <t>JGCHEM</t>
        </is>
      </c>
      <c r="D175" s="33" t="inlineStr">
        <is>
          <t>J.G.Chemicals Ltd</t>
        </is>
      </c>
      <c r="E175" s="31" t="inlineStr">
        <is>
          <t>chemicals</t>
        </is>
      </c>
      <c r="F175" s="31" t="inlineStr">
        <is>
          <t>chemicals</t>
        </is>
      </c>
      <c r="G175" s="31" t="inlineStr">
        <is>
          <t>smallcap</t>
        </is>
      </c>
      <c r="H175" s="32" t="n">
        <v>1780.42</v>
      </c>
      <c r="I175" s="32" t="n">
        <v>446.9</v>
      </c>
      <c r="J175" s="32" t="n">
        <v>-1.64</v>
      </c>
      <c r="K175" s="32" t="n">
        <v>77800</v>
      </c>
      <c r="L175" s="31" t="n">
        <v>11</v>
      </c>
      <c r="M175" s="31" t="inlineStr">
        <is>
          <t>Underperforming</t>
        </is>
      </c>
      <c r="N175" s="32">
        <f>IF(M175="Underperforming",-5,IF(L175&gt;=95,15,IF(L175&gt;=90,10,IF(L175&gt;=80,5,0))))</f>
        <v/>
      </c>
      <c r="O175" s="32" t="n">
        <v>59.87</v>
      </c>
      <c r="P175" s="32" t="n">
        <v>21.54</v>
      </c>
      <c r="Q175" s="32" t="n">
        <v>349.43</v>
      </c>
      <c r="R175" s="31" t="inlineStr">
        <is>
          <t>Earnings / Momentum Support</t>
        </is>
      </c>
      <c r="S175" s="31" t="inlineStr">
        <is>
          <t>Nifty 50</t>
        </is>
      </c>
      <c r="T175" s="32" t="n">
        <v>-3.67</v>
      </c>
      <c r="U175" s="32" t="n">
        <v>-12.24</v>
      </c>
      <c r="V175" s="32" t="n">
        <v>-8.9</v>
      </c>
      <c r="W175" s="32" t="n">
        <v>1.97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Between 12 to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Less than 1.5</t>
        </is>
      </c>
      <c r="BU175" s="31">
        <f>IF(BT175="Above 2",0,IF(BT175="Between 1.5 to 2",5,IF(BT175="Less than 1.5",10,0)))</f>
        <v/>
      </c>
      <c r="BV175" s="31" t="inlineStr">
        <is>
          <t>Between 50% to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IF(B176=0,"",RANK(B176,$B$2:$B$335,0))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3" t="inlineStr">
        <is>
          <t>VISAKAIND</t>
        </is>
      </c>
      <c r="D176" s="33" t="inlineStr">
        <is>
          <t>Visaka Industries Limited</t>
        </is>
      </c>
      <c r="E176" s="31" t="inlineStr">
        <is>
          <t>building materials</t>
        </is>
      </c>
      <c r="F176" s="31" t="inlineStr">
        <is>
          <t>cement products</t>
        </is>
      </c>
      <c r="G176" s="31" t="inlineStr">
        <is>
          <t>smallcap</t>
        </is>
      </c>
      <c r="H176" s="32" t="n">
        <v>739.1900000000001</v>
      </c>
      <c r="I176" s="32" t="n">
        <v>84.01000000000001</v>
      </c>
      <c r="J176" s="32" t="n">
        <v>-1.8</v>
      </c>
      <c r="K176" s="32" t="n">
        <v>163786</v>
      </c>
      <c r="L176" s="31" t="n">
        <v>39</v>
      </c>
      <c r="M176" s="31" t="inlineStr">
        <is>
          <t>Underperforming</t>
        </is>
      </c>
      <c r="N176" s="32">
        <f>IF(M176="Underperforming",-5,IF(L176&gt;=95,15,IF(L176&gt;=90,10,IF(L176&gt;=80,5,0))))</f>
        <v/>
      </c>
      <c r="O176" s="32" t="n">
        <v>71.03</v>
      </c>
      <c r="P176" s="32" t="n">
        <v>26.84</v>
      </c>
      <c r="Q176" s="32" t="n">
        <v>66.42</v>
      </c>
      <c r="R176" s="31" t="inlineStr">
        <is>
          <t>Earnings / Momentum Support</t>
        </is>
      </c>
      <c r="S176" s="31" t="inlineStr">
        <is>
          <t>Nifty Infra</t>
        </is>
      </c>
      <c r="T176" s="32" t="n">
        <v>1.45</v>
      </c>
      <c r="U176" s="32" t="n">
        <v>1.22</v>
      </c>
      <c r="V176" s="32" t="n">
        <v>-0.23</v>
      </c>
      <c r="W176" s="32" t="n">
        <v>7.56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IF(B177=0,"",RANK(B177,$B$2:$B$335,0))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KERNEX</t>
        </is>
      </c>
      <c r="D177" s="31" t="inlineStr">
        <is>
          <t>Kernex Microsystems (india) Limited</t>
        </is>
      </c>
      <c r="E177" s="31" t="inlineStr">
        <is>
          <t>consumer discretionary</t>
        </is>
      </c>
      <c r="F177" s="31" t="inlineStr">
        <is>
          <t>electronics - components</t>
        </is>
      </c>
      <c r="G177" s="31" t="inlineStr">
        <is>
          <t>smallcap</t>
        </is>
      </c>
      <c r="H177" s="32" t="n">
        <v>3752.65</v>
      </c>
      <c r="I177" s="32" t="n">
        <v>2192.9</v>
      </c>
      <c r="J177" s="32" t="n">
        <v>-1.81</v>
      </c>
      <c r="K177" s="32" t="n">
        <v>207022</v>
      </c>
      <c r="L177" s="31" t="n">
        <v>93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70.04000000000001</v>
      </c>
      <c r="P177" s="32" t="n">
        <v>48.01</v>
      </c>
      <c r="Q177" s="32" t="n">
        <v>1756.38</v>
      </c>
      <c r="R177" s="31" t="inlineStr">
        <is>
          <t>Earnings / Momentum Support</t>
        </is>
      </c>
      <c r="S177" s="31" t="inlineStr">
        <is>
          <t>Nifty 50</t>
        </is>
      </c>
      <c r="T177" s="32" t="n">
        <v>-3.67</v>
      </c>
      <c r="U177" s="32" t="n">
        <v>94.17</v>
      </c>
      <c r="V177" s="32" t="n">
        <v>101.56</v>
      </c>
      <c r="W177" s="32" t="n">
        <v>35.96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Negative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IF(B178=0,"",RANK(B178,$B$2:$B$335,0))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3" t="inlineStr">
        <is>
          <t>SUPRAJIT</t>
        </is>
      </c>
      <c r="D178" s="33" t="inlineStr">
        <is>
          <t>Suprajit Engineering Limited</t>
        </is>
      </c>
      <c r="E178" s="31" t="inlineStr">
        <is>
          <t>auto</t>
        </is>
      </c>
      <c r="F178" s="31" t="inlineStr">
        <is>
          <t>auto ancillaries</t>
        </is>
      </c>
      <c r="G178" s="31" t="inlineStr">
        <is>
          <t>midcap</t>
        </is>
      </c>
      <c r="H178" s="32" t="n">
        <v>6827.69</v>
      </c>
      <c r="I178" s="32" t="n">
        <v>487.85</v>
      </c>
      <c r="J178" s="32" t="n">
        <v>-1.99</v>
      </c>
      <c r="K178" s="32" t="n">
        <v>86329</v>
      </c>
      <c r="L178" s="31" t="n">
        <v>23</v>
      </c>
      <c r="M178" s="31" t="inlineStr">
        <is>
          <t>Underperforming</t>
        </is>
      </c>
      <c r="N178" s="32">
        <f>IF(M178="Underperforming",-5,IF(L178&gt;=95,15,IF(L178&gt;=90,10,IF(L178&gt;=80,5,0))))</f>
        <v/>
      </c>
      <c r="O178" s="32" t="n">
        <v>58.31</v>
      </c>
      <c r="P178" s="32" t="n">
        <v>33.5</v>
      </c>
      <c r="Q178" s="32" t="n">
        <v>410.83</v>
      </c>
      <c r="R178" s="31" t="inlineStr">
        <is>
          <t>Near 52W High Breakout</t>
        </is>
      </c>
      <c r="S178" s="31" t="inlineStr">
        <is>
          <t>Nifty Auto</t>
        </is>
      </c>
      <c r="T178" s="32" t="n">
        <v>11.1</v>
      </c>
      <c r="U178" s="32" t="n">
        <v>5.57</v>
      </c>
      <c r="V178" s="32" t="n">
        <v>-4.98</v>
      </c>
      <c r="W178" s="32" t="n">
        <v>4.34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IF(B179=0,"",RANK(B179,$B$2:$B$335,0))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VAIBHAVGBL</t>
        </is>
      </c>
      <c r="D179" s="31" t="inlineStr">
        <is>
          <t>Vaibhav Global Limited</t>
        </is>
      </c>
      <c r="E179" s="31" t="inlineStr">
        <is>
          <t>consumer discretionary</t>
        </is>
      </c>
      <c r="F179" s="31" t="inlineStr">
        <is>
          <t>diamond cutting / jewellery</t>
        </is>
      </c>
      <c r="G179" s="31" t="inlineStr">
        <is>
          <t>smallcap</t>
        </is>
      </c>
      <c r="H179" s="32" t="n">
        <v>4274.93</v>
      </c>
      <c r="I179" s="32" t="n">
        <v>250.75</v>
      </c>
      <c r="J179" s="32" t="n">
        <v>-2</v>
      </c>
      <c r="K179" s="32" t="n">
        <v>330773</v>
      </c>
      <c r="L179" s="31" t="n">
        <v>20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58.44</v>
      </c>
      <c r="P179" s="32" t="n">
        <v>17.99</v>
      </c>
      <c r="Q179" s="32" t="n">
        <v>198.86</v>
      </c>
      <c r="R179" s="31" t="inlineStr">
        <is>
          <t>Near 52W High Breakout</t>
        </is>
      </c>
      <c r="S179" s="31" t="inlineStr">
        <is>
          <t>Nifty 50</t>
        </is>
      </c>
      <c r="T179" s="32" t="n">
        <v>-3.67</v>
      </c>
      <c r="U179" s="32" t="n">
        <v>4.56</v>
      </c>
      <c r="V179" s="32" t="n">
        <v>8.550000000000001</v>
      </c>
      <c r="W179" s="32" t="n">
        <v>3.77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IF(B180=0,"",RANK(B180,$B$2:$B$335,0))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CCAVENUE</t>
        </is>
      </c>
      <c r="D180" s="31" t="inlineStr">
        <is>
          <t>AvenuesAI Ltd</t>
        </is>
      </c>
      <c r="E180" s="31" t="inlineStr">
        <is>
          <t>i.t</t>
        </is>
      </c>
      <c r="F180" s="31" t="inlineStr">
        <is>
          <t>miscellaneous</t>
        </is>
      </c>
      <c r="G180" s="31" t="inlineStr">
        <is>
          <t>midcap</t>
        </is>
      </c>
      <c r="H180" s="32" t="n">
        <v>6366.98</v>
      </c>
      <c r="I180" s="32" t="n">
        <v>17.82</v>
      </c>
      <c r="J180" s="32" t="n">
        <v>-2.14</v>
      </c>
      <c r="K180" s="32" t="n">
        <v>12796829</v>
      </c>
      <c r="L180" s="31" t="n">
        <v>36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61.47</v>
      </c>
      <c r="P180" s="32" t="n">
        <v>16.59</v>
      </c>
      <c r="Q180" s="32" t="n">
        <v>13.82</v>
      </c>
      <c r="R180" s="31" t="inlineStr">
        <is>
          <t>Earnings / Momentum Support</t>
        </is>
      </c>
      <c r="S180" s="31" t="inlineStr">
        <is>
          <t>Nifty IT</t>
        </is>
      </c>
      <c r="T180" s="32" t="n">
        <v>-22.66</v>
      </c>
      <c r="U180" s="32" t="n">
        <v>12.01</v>
      </c>
      <c r="V180" s="32" t="n">
        <v>44.83</v>
      </c>
      <c r="W180" s="32" t="n">
        <v>6.65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IF(B181=0,"",RANK(B181,$B$2:$B$335,0))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ITDC</t>
        </is>
      </c>
      <c r="D181" s="31" t="inlineStr">
        <is>
          <t>India Tourism Development Corporation Ltd</t>
        </is>
      </c>
      <c r="E181" s="31" t="inlineStr">
        <is>
          <t>services</t>
        </is>
      </c>
      <c r="F181" s="31" t="inlineStr">
        <is>
          <t>hotels</t>
        </is>
      </c>
      <c r="G181" s="31" t="inlineStr">
        <is>
          <t>midcap</t>
        </is>
      </c>
      <c r="H181" s="32" t="n">
        <v>6041.6</v>
      </c>
      <c r="I181" s="32" t="n">
        <v>683.45</v>
      </c>
      <c r="J181" s="32" t="n">
        <v>-2.97</v>
      </c>
      <c r="K181" s="32" t="n">
        <v>384016</v>
      </c>
      <c r="L181" s="31" t="n">
        <v>26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59.51</v>
      </c>
      <c r="P181" s="32" t="n">
        <v>33.84</v>
      </c>
      <c r="Q181" s="32" t="n">
        <v>503.57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-3.67</v>
      </c>
      <c r="U181" s="32" t="n">
        <v>13.48</v>
      </c>
      <c r="V181" s="32" t="n">
        <v>17.81</v>
      </c>
      <c r="W181" s="32" t="n">
        <v>4.97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IF(B182=0,"",RANK(B182,$B$2:$B$335,0))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JBCHEPHARM</t>
        </is>
      </c>
      <c r="D182" s="31" t="inlineStr">
        <is>
          <t>Jb Chemicals &amp; Pharmaceuticals Limited</t>
        </is>
      </c>
      <c r="E182" s="31" t="inlineStr">
        <is>
          <t>healthcare</t>
        </is>
      </c>
      <c r="F182" s="31" t="inlineStr">
        <is>
          <t>pharmaceuticals - indian - bulk drugs &amp; formln</t>
        </is>
      </c>
      <c r="G182" s="31" t="inlineStr">
        <is>
          <t>largecap</t>
        </is>
      </c>
      <c r="H182" s="32" t="n">
        <v>39497.44</v>
      </c>
      <c r="I182" s="32" t="n">
        <v>2487.6</v>
      </c>
      <c r="J182" s="32" t="n">
        <v>1.12</v>
      </c>
      <c r="K182" s="32" t="n">
        <v>837579</v>
      </c>
      <c r="L182" s="31" t="n">
        <v>67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77.8</v>
      </c>
      <c r="P182" s="32" t="n">
        <v>44.21</v>
      </c>
      <c r="Q182" s="32" t="n">
        <v>2158.01</v>
      </c>
      <c r="R182" s="31" t="inlineStr">
        <is>
          <t>Near 52W High Breakout</t>
        </is>
      </c>
      <c r="S182" s="31" t="inlineStr">
        <is>
          <t>Nifty Pharma</t>
        </is>
      </c>
      <c r="T182" s="32" t="n">
        <v>14.67</v>
      </c>
      <c r="U182" s="32" t="n">
        <v>52.62</v>
      </c>
      <c r="V182" s="32" t="n">
        <v>33.1</v>
      </c>
      <c r="W182" s="32" t="n">
        <v>14.18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Yes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Annuity, Lower One Time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Above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Between 50% to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IF(B183=0,"",RANK(B183,$B$2:$B$335,0))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UNITDSPR</t>
        </is>
      </c>
      <c r="D183" s="31" t="inlineStr">
        <is>
          <t>United Spirits Ltd</t>
        </is>
      </c>
      <c r="E183" s="31" t="inlineStr">
        <is>
          <t>fmcg</t>
        </is>
      </c>
      <c r="F183" s="31" t="inlineStr">
        <is>
          <t>breweries &amp; distilleries</t>
        </is>
      </c>
      <c r="G183" s="31" t="inlineStr">
        <is>
          <t>largecap</t>
        </is>
      </c>
      <c r="H183" s="32" t="n">
        <v>99894.37</v>
      </c>
      <c r="I183" s="32" t="n">
        <v>1386.3</v>
      </c>
      <c r="J183" s="32" t="n">
        <v>0.9399999999999999</v>
      </c>
      <c r="K183" s="32" t="n">
        <v>565518</v>
      </c>
      <c r="L183" s="31" t="n">
        <v>12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57.41</v>
      </c>
      <c r="P183" s="32" t="n">
        <v>14.05</v>
      </c>
      <c r="Q183" s="32" t="n">
        <v>1180.64</v>
      </c>
      <c r="R183" s="31" t="inlineStr">
        <is>
          <t>Near 52W High Breakout</t>
        </is>
      </c>
      <c r="S183" s="31" t="inlineStr">
        <is>
          <t>Nifty FMCG</t>
        </is>
      </c>
      <c r="T183" s="32" t="n">
        <v>-14.13</v>
      </c>
      <c r="U183" s="32" t="n">
        <v>3.63</v>
      </c>
      <c r="V183" s="32" t="n">
        <v>20.67</v>
      </c>
      <c r="W183" s="32" t="n">
        <v>2.22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B2C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Annuity, Lower One Time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Between 50% to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IF(B184=0,"",RANK(B184,$B$2:$B$335,0))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SAILIFE</t>
        </is>
      </c>
      <c r="D184" s="31" t="inlineStr">
        <is>
          <t>Sai Life Sciences Ltd</t>
        </is>
      </c>
      <c r="E184" s="31" t="inlineStr">
        <is>
          <t>healthcare</t>
        </is>
      </c>
      <c r="F184" s="31" t="inlineStr">
        <is>
          <t>pharmaceuticals - indian - bulk drugs &amp; formln</t>
        </is>
      </c>
      <c r="G184" s="31" t="inlineStr">
        <is>
          <t>largecap</t>
        </is>
      </c>
      <c r="H184" s="32" t="n">
        <v>26940.44</v>
      </c>
      <c r="I184" s="32" t="n">
        <v>1268.8</v>
      </c>
      <c r="J184" s="32" t="n">
        <v>-0.26</v>
      </c>
      <c r="K184" s="32" t="n">
        <v>400041</v>
      </c>
      <c r="L184" s="31" t="n">
        <v>71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75.06999999999999</v>
      </c>
      <c r="P184" s="32" t="n">
        <v>30.1</v>
      </c>
      <c r="Q184" s="32" t="n">
        <v>1041.36</v>
      </c>
      <c r="R184" s="31" t="inlineStr">
        <is>
          <t>Near 52W High Breakout</t>
        </is>
      </c>
      <c r="S184" s="31" t="inlineStr">
        <is>
          <t>Nifty Pharma</t>
        </is>
      </c>
      <c r="T184" s="32" t="n">
        <v>14.67</v>
      </c>
      <c r="U184" s="32" t="n">
        <v>55.64</v>
      </c>
      <c r="V184" s="32" t="n">
        <v>35.73</v>
      </c>
      <c r="W184" s="32" t="n">
        <v>15.93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Yes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Annuity, Lower One Time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Above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Between 12 to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IF(B185=0,"",RANK(B185,$B$2:$B$335,0))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DALMIASUG</t>
        </is>
      </c>
      <c r="D185" s="31" t="inlineStr">
        <is>
          <t>Dalmia Bharat Sugar And Industries Limited</t>
        </is>
      </c>
      <c r="E185" s="31" t="inlineStr">
        <is>
          <t>fmcg</t>
        </is>
      </c>
      <c r="F185" s="31" t="inlineStr">
        <is>
          <t>sugar</t>
        </is>
      </c>
      <c r="G185" s="31" t="inlineStr">
        <is>
          <t>smallcap</t>
        </is>
      </c>
      <c r="H185" s="32" t="n">
        <v>2962.78</v>
      </c>
      <c r="I185" s="32" t="n">
        <v>364</v>
      </c>
      <c r="J185" s="32" t="n">
        <v>-0.5600000000000001</v>
      </c>
      <c r="K185" s="32" t="n">
        <v>159128</v>
      </c>
      <c r="L185" s="31" t="n">
        <v>4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57.41</v>
      </c>
      <c r="P185" s="32" t="n">
        <v>24.57</v>
      </c>
      <c r="Q185" s="32" t="n">
        <v>304.87</v>
      </c>
      <c r="R185" s="31" t="inlineStr">
        <is>
          <t>Earnings / Momentum Support</t>
        </is>
      </c>
      <c r="S185" s="31" t="inlineStr">
        <is>
          <t>Nifty FMCG</t>
        </is>
      </c>
      <c r="T185" s="32" t="n">
        <v>-14.13</v>
      </c>
      <c r="U185" s="32" t="n">
        <v>-6.42</v>
      </c>
      <c r="V185" s="32" t="n">
        <v>8.970000000000001</v>
      </c>
      <c r="W185" s="32" t="n">
        <v>-0.57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B2C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Annuity, Lower One Time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Between 50% to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IF(B186=0,"",RANK(B186,$B$2:$B$335,0))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VIYASH</t>
        </is>
      </c>
      <c r="D186" s="31" t="inlineStr">
        <is>
          <t>Viyash Scientific Ltd</t>
        </is>
      </c>
      <c r="E186" s="31" t="inlineStr">
        <is>
          <t>healthcare</t>
        </is>
      </c>
      <c r="F186" s="31" t="inlineStr">
        <is>
          <t>pharmaceuticals - indian - bulk drugs &amp; formln</t>
        </is>
      </c>
      <c r="G186" s="31" t="inlineStr">
        <is>
          <t>midcap</t>
        </is>
      </c>
      <c r="H186" s="32" t="n">
        <v>12421.85</v>
      </c>
      <c r="I186" s="32" t="n">
        <v>278.9</v>
      </c>
      <c r="J186" s="32" t="n">
        <v>-1.92</v>
      </c>
      <c r="K186" s="32" t="n">
        <v>771203</v>
      </c>
      <c r="L186" s="31" t="n">
        <v>70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67.62</v>
      </c>
      <c r="P186" s="32" t="n">
        <v>44.72</v>
      </c>
      <c r="Q186" s="32" t="n">
        <v>228.73</v>
      </c>
      <c r="R186" s="31" t="inlineStr">
        <is>
          <t>Earnings / Momentum Support</t>
        </is>
      </c>
      <c r="S186" s="31" t="inlineStr">
        <is>
          <t>Nifty Pharma</t>
        </is>
      </c>
      <c r="T186" s="32" t="n">
        <v>14.67</v>
      </c>
      <c r="U186" s="32" t="n">
        <v>48.47</v>
      </c>
      <c r="V186" s="32" t="n">
        <v>29.48</v>
      </c>
      <c r="W186" s="32" t="n">
        <v>15.76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Annuity, Lower One Time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Above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Less than 50%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IF(B187=0,"",RANK(B187,$B$2:$B$335,0))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TBZ</t>
        </is>
      </c>
      <c r="D187" s="31" t="inlineStr">
        <is>
          <t>Tribhovandas Bhimji Zaveri Limited</t>
        </is>
      </c>
      <c r="E187" s="31" t="inlineStr">
        <is>
          <t>consumer discretionary</t>
        </is>
      </c>
      <c r="F187" s="31" t="inlineStr">
        <is>
          <t>diamond cutting / jewellery</t>
        </is>
      </c>
      <c r="G187" s="31" t="inlineStr">
        <is>
          <t>smallcap</t>
        </is>
      </c>
      <c r="H187" s="32" t="n">
        <v>1502.17</v>
      </c>
      <c r="I187" s="32" t="n">
        <v>259.97</v>
      </c>
      <c r="J187" s="32" t="n">
        <v>15.49</v>
      </c>
      <c r="K187" s="32" t="n">
        <v>17278323</v>
      </c>
      <c r="L187" s="31" t="n">
        <v>83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78.38</v>
      </c>
      <c r="P187" s="32" t="n">
        <v>23.88</v>
      </c>
      <c r="Q187" s="32" t="n">
        <v>196.68</v>
      </c>
      <c r="R187" s="31" t="inlineStr">
        <is>
          <t>Volume Spike &amp; Near 52W High Breakout</t>
        </is>
      </c>
      <c r="S187" s="31" t="inlineStr">
        <is>
          <t>Nifty 50</t>
        </is>
      </c>
      <c r="T187" s="32" t="n">
        <v>-3.67</v>
      </c>
      <c r="U187" s="32" t="n">
        <v>30.84</v>
      </c>
      <c r="V187" s="32" t="n">
        <v>35.83</v>
      </c>
      <c r="W187" s="32" t="n">
        <v>24.01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Above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Less than 1.5</t>
        </is>
      </c>
      <c r="BU187" s="31">
        <f>IF(BT187="Above 2",0,IF(BT187="Between 1.5 to 2",5,IF(BT187="Less than 1.5",10,0)))</f>
        <v/>
      </c>
      <c r="BV187" s="31" t="inlineStr">
        <is>
          <t>Less than 50% and Borrowings are increasing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Between 0.7 to 1.2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IF(B188=0,"",RANK(B188,$B$2:$B$335,0))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PDSL</t>
        </is>
      </c>
      <c r="D188" s="31" t="inlineStr">
        <is>
          <t>PDS Ltd</t>
        </is>
      </c>
      <c r="E188" s="31" t="inlineStr">
        <is>
          <t>textiles</t>
        </is>
      </c>
      <c r="F188" s="31" t="inlineStr">
        <is>
          <t>trading</t>
        </is>
      </c>
      <c r="G188" s="31" t="inlineStr">
        <is>
          <t>midcap</t>
        </is>
      </c>
      <c r="H188" s="32" t="n">
        <v>5082.72</v>
      </c>
      <c r="I188" s="32" t="n">
        <v>382.25</v>
      </c>
      <c r="J188" s="32" t="n">
        <v>6.37</v>
      </c>
      <c r="K188" s="32" t="n">
        <v>9246688</v>
      </c>
      <c r="L188" s="31" t="n">
        <v>35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63.57</v>
      </c>
      <c r="P188" s="32" t="n">
        <v>19.54</v>
      </c>
      <c r="Q188" s="32" t="n">
        <v>276.27</v>
      </c>
      <c r="R188" s="31" t="inlineStr">
        <is>
          <t>Volume Spike &amp; Near 52W High Breakout</t>
        </is>
      </c>
      <c r="S188" s="31" t="inlineStr">
        <is>
          <t>Nifty 50</t>
        </is>
      </c>
      <c r="T188" s="32" t="n">
        <v>-3.67</v>
      </c>
      <c r="U188" s="32" t="n">
        <v>-1.01</v>
      </c>
      <c r="V188" s="32" t="n">
        <v>2.76</v>
      </c>
      <c r="W188" s="32" t="n">
        <v>6.57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IF(B189=0,"",RANK(B189,$B$2:$B$335,0))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JNKINDIA</t>
        </is>
      </c>
      <c r="D189" s="31" t="inlineStr">
        <is>
          <t>JNK India Ltd</t>
        </is>
      </c>
      <c r="E189" s="31" t="inlineStr">
        <is>
          <t>realty</t>
        </is>
      </c>
      <c r="F189" s="31" t="inlineStr">
        <is>
          <t>engineering - turnkey services</t>
        </is>
      </c>
      <c r="G189" s="31" t="inlineStr">
        <is>
          <t>smallcap</t>
        </is>
      </c>
      <c r="H189" s="32" t="n">
        <v>2825.39</v>
      </c>
      <c r="I189" s="32" t="n">
        <v>529.7</v>
      </c>
      <c r="J189" s="32" t="n">
        <v>4.9</v>
      </c>
      <c r="K189" s="32" t="n">
        <v>1035187</v>
      </c>
      <c r="L189" s="31" t="n">
        <v>89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75.77</v>
      </c>
      <c r="P189" s="32" t="n">
        <v>46.37</v>
      </c>
      <c r="Q189" s="32" t="n">
        <v>378.7</v>
      </c>
      <c r="R189" s="31" t="inlineStr">
        <is>
          <t>Near 52W High Breakout</t>
        </is>
      </c>
      <c r="S189" s="31" t="inlineStr">
        <is>
          <t>Nifty Realty</t>
        </is>
      </c>
      <c r="T189" s="32" t="n">
        <v>-8.130000000000001</v>
      </c>
      <c r="U189" s="32" t="n">
        <v>60.99</v>
      </c>
      <c r="V189" s="32" t="n">
        <v>75.23</v>
      </c>
      <c r="W189" s="32" t="n">
        <v>30.23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Above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Negative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IF(B190=0,"",RANK(B190,$B$2:$B$335,0))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ANTELOPUS</t>
        </is>
      </c>
      <c r="D190" s="31" t="inlineStr">
        <is>
          <t>Antelopus Selan Energy Ltd</t>
        </is>
      </c>
      <c r="E190" s="31" t="inlineStr">
        <is>
          <t>energy</t>
        </is>
      </c>
      <c r="F190" s="31" t="inlineStr">
        <is>
          <t>oil drilling / allied services</t>
        </is>
      </c>
      <c r="G190" s="31" t="inlineStr">
        <is>
          <t>smallcap</t>
        </is>
      </c>
      <c r="H190" s="32" t="n">
        <v>2980.36</v>
      </c>
      <c r="I190" s="32" t="n">
        <v>860.55</v>
      </c>
      <c r="J190" s="32" t="n">
        <v>1.53</v>
      </c>
      <c r="K190" s="32" t="n">
        <v>143316</v>
      </c>
      <c r="L190" s="31" t="n">
        <v>70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64.68000000000001</v>
      </c>
      <c r="P190" s="32" t="n">
        <v>50.45</v>
      </c>
      <c r="Q190" s="32" t="n">
        <v>636.46</v>
      </c>
      <c r="R190" s="31" t="inlineStr">
        <is>
          <t>Near 52W High Breakout</t>
        </is>
      </c>
      <c r="S190" s="31" t="inlineStr">
        <is>
          <t>Nifty Energy</t>
        </is>
      </c>
      <c r="T190" s="32" t="n">
        <v>8.199999999999999</v>
      </c>
      <c r="U190" s="32" t="n">
        <v>31.25</v>
      </c>
      <c r="V190" s="32" t="n">
        <v>21.3</v>
      </c>
      <c r="W190" s="32" t="n">
        <v>15.68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Oligopoly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Yes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Cyclical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Volatile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IF(B191=0,"",RANK(B191,$B$2:$B$335,0))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AZAD</t>
        </is>
      </c>
      <c r="D191" s="31" t="inlineStr">
        <is>
          <t>Azad Engineering Ltd</t>
        </is>
      </c>
      <c r="E191" s="31" t="inlineStr">
        <is>
          <t>aerospace &amp; defence</t>
        </is>
      </c>
      <c r="F191" s="31" t="inlineStr">
        <is>
          <t>engineering</t>
        </is>
      </c>
      <c r="G191" s="31" t="inlineStr">
        <is>
          <t>midcap</t>
        </is>
      </c>
      <c r="H191" s="32" t="n">
        <v>15360.77</v>
      </c>
      <c r="I191" s="32" t="n">
        <v>2392.6</v>
      </c>
      <c r="J191" s="32" t="n">
        <v>0.59</v>
      </c>
      <c r="K191" s="32" t="n">
        <v>529755</v>
      </c>
      <c r="L191" s="31" t="n">
        <v>65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65.16</v>
      </c>
      <c r="P191" s="32" t="n">
        <v>29.42</v>
      </c>
      <c r="Q191" s="32" t="n">
        <v>1879.22</v>
      </c>
      <c r="R191" s="31" t="inlineStr">
        <is>
          <t>Near 52W High Breakout</t>
        </is>
      </c>
      <c r="S191" s="31" t="inlineStr">
        <is>
          <t>Nifty 50</t>
        </is>
      </c>
      <c r="T191" s="32" t="n">
        <v>-3.67</v>
      </c>
      <c r="U191" s="32" t="n">
        <v>46.36</v>
      </c>
      <c r="V191" s="32" t="n">
        <v>51.94</v>
      </c>
      <c r="W191" s="32" t="n">
        <v>13.84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Negative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IF(B192=0,"",RANK(B192,$B$2:$B$335,0))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GREAVESCOT</t>
        </is>
      </c>
      <c r="D192" s="31" t="inlineStr">
        <is>
          <t>Greaves Cotton Limited</t>
        </is>
      </c>
      <c r="E192" s="31" t="inlineStr">
        <is>
          <t>industrials</t>
        </is>
      </c>
      <c r="F192" s="31" t="inlineStr">
        <is>
          <t>engines</t>
        </is>
      </c>
      <c r="G192" s="31" t="inlineStr">
        <is>
          <t>midcap</t>
        </is>
      </c>
      <c r="H192" s="32" t="n">
        <v>6106.1</v>
      </c>
      <c r="I192" s="32" t="n">
        <v>262.66</v>
      </c>
      <c r="J192" s="32" t="n">
        <v>0.19</v>
      </c>
      <c r="K192" s="32" t="n">
        <v>3914083</v>
      </c>
      <c r="L192" s="31" t="n">
        <v>79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76.31</v>
      </c>
      <c r="P192" s="32" t="n">
        <v>24.48</v>
      </c>
      <c r="Q192" s="32" t="n">
        <v>205.66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-3.67</v>
      </c>
      <c r="U192" s="32" t="n">
        <v>28.14</v>
      </c>
      <c r="V192" s="32" t="n">
        <v>33.02</v>
      </c>
      <c r="W192" s="32" t="n">
        <v>20.64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Above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IF(B193=0,"",RANK(B193,$B$2:$B$335,0))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3" t="inlineStr">
        <is>
          <t>SUNDRMFAST</t>
        </is>
      </c>
      <c r="D193" s="33" t="inlineStr">
        <is>
          <t>Sundram Fasteners Limited</t>
        </is>
      </c>
      <c r="E193" s="31" t="inlineStr">
        <is>
          <t>auto</t>
        </is>
      </c>
      <c r="F193" s="31" t="inlineStr">
        <is>
          <t>auto ancillaries</t>
        </is>
      </c>
      <c r="G193" s="31" t="inlineStr">
        <is>
          <t>largecap</t>
        </is>
      </c>
      <c r="H193" s="32" t="n">
        <v>20192.29</v>
      </c>
      <c r="I193" s="32" t="n">
        <v>960</v>
      </c>
      <c r="J193" s="32" t="n">
        <v>-0.1</v>
      </c>
      <c r="K193" s="32" t="n">
        <v>52269</v>
      </c>
      <c r="L193" s="31" t="n">
        <v>14</v>
      </c>
      <c r="M193" s="31" t="inlineStr">
        <is>
          <t>Underperforming</t>
        </is>
      </c>
      <c r="N193" s="32">
        <f>IF(M193="Underperforming",-5,IF(L193&gt;=95,15,IF(L193&gt;=90,10,IF(L193&gt;=80,5,0))))</f>
        <v/>
      </c>
      <c r="O193" s="32" t="n">
        <v>65.06</v>
      </c>
      <c r="P193" s="32" t="n">
        <v>12.45</v>
      </c>
      <c r="Q193" s="32" t="n">
        <v>808.3</v>
      </c>
      <c r="R193" s="31" t="inlineStr">
        <is>
          <t>Earnings / Momentum Support</t>
        </is>
      </c>
      <c r="S193" s="31" t="inlineStr">
        <is>
          <t>Nifty Auto</t>
        </is>
      </c>
      <c r="T193" s="32" t="n">
        <v>11.1</v>
      </c>
      <c r="U193" s="32" t="n">
        <v>-4.79</v>
      </c>
      <c r="V193" s="32" t="n">
        <v>-14.31</v>
      </c>
      <c r="W193" s="32" t="n">
        <v>2.7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No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IF(B194=0,"",RANK(B194,$B$2:$B$335,0))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MANGLMCEM</t>
        </is>
      </c>
      <c r="D194" s="31" t="inlineStr">
        <is>
          <t>Mangalam Cement Limited</t>
        </is>
      </c>
      <c r="E194" s="31" t="inlineStr">
        <is>
          <t>building materials</t>
        </is>
      </c>
      <c r="F194" s="31" t="inlineStr">
        <is>
          <t>cement - north india</t>
        </is>
      </c>
      <c r="G194" s="31" t="inlineStr">
        <is>
          <t>smallcap</t>
        </is>
      </c>
      <c r="H194" s="32" t="n">
        <v>2654.59</v>
      </c>
      <c r="I194" s="32" t="n">
        <v>957.7</v>
      </c>
      <c r="J194" s="32" t="n">
        <v>-0.8</v>
      </c>
      <c r="K194" s="32" t="n">
        <v>39756</v>
      </c>
      <c r="L194" s="31" t="n">
        <v>36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64.7</v>
      </c>
      <c r="P194" s="32" t="n">
        <v>20.26</v>
      </c>
      <c r="Q194" s="32" t="n">
        <v>792.26</v>
      </c>
      <c r="R194" s="31" t="inlineStr">
        <is>
          <t>Near 52W High Breakout</t>
        </is>
      </c>
      <c r="S194" s="31" t="inlineStr">
        <is>
          <t>Nifty Infra</t>
        </is>
      </c>
      <c r="T194" s="32" t="n">
        <v>1.45</v>
      </c>
      <c r="U194" s="32" t="n">
        <v>31.46</v>
      </c>
      <c r="V194" s="32" t="n">
        <v>29.58</v>
      </c>
      <c r="W194" s="32" t="n">
        <v>6.91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Less than 50%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Between 0.7 to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IF(B195=0,"",RANK(B195,$B$2:$B$335,0))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GALAPREC</t>
        </is>
      </c>
      <c r="D195" s="31" t="inlineStr">
        <is>
          <t>Gala Precision Engineering Ltd</t>
        </is>
      </c>
      <c r="E195" s="31" t="inlineStr">
        <is>
          <t>industrials</t>
        </is>
      </c>
      <c r="F195" s="31" t="inlineStr">
        <is>
          <t>fasteners</t>
        </is>
      </c>
      <c r="G195" s="31" t="inlineStr">
        <is>
          <t>smallcap</t>
        </is>
      </c>
      <c r="H195" s="32" t="n">
        <v>1474.95</v>
      </c>
      <c r="I195" s="32" t="n">
        <v>1147</v>
      </c>
      <c r="J195" s="32" t="n">
        <v>-0.85</v>
      </c>
      <c r="K195" s="32" t="n">
        <v>22834</v>
      </c>
      <c r="L195" s="31" t="n">
        <v>72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72.87</v>
      </c>
      <c r="P195" s="32" t="n">
        <v>41.08</v>
      </c>
      <c r="Q195" s="32" t="n">
        <v>912.13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-3.67</v>
      </c>
      <c r="U195" s="32" t="n">
        <v>30.79</v>
      </c>
      <c r="V195" s="32" t="n">
        <v>35.77</v>
      </c>
      <c r="W195" s="32" t="n">
        <v>16.12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Above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Less than 50%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IF(B196=0,"",RANK(B196,$B$2:$B$335,0))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DIVGIITTS</t>
        </is>
      </c>
      <c r="D196" s="31" t="inlineStr">
        <is>
          <t>Divgi Torqtransfer Systems Ltd</t>
        </is>
      </c>
      <c r="E196" s="31" t="inlineStr">
        <is>
          <t>auto</t>
        </is>
      </c>
      <c r="F196" s="31" t="inlineStr">
        <is>
          <t>auto ancillaries</t>
        </is>
      </c>
      <c r="G196" s="31" t="inlineStr">
        <is>
          <t>smallcap</t>
        </is>
      </c>
      <c r="H196" s="32" t="n">
        <v>2933.97</v>
      </c>
      <c r="I196" s="32" t="n">
        <v>951</v>
      </c>
      <c r="J196" s="32" t="n">
        <v>-0.87</v>
      </c>
      <c r="K196" s="32" t="n">
        <v>30505</v>
      </c>
      <c r="L196" s="31" t="n">
        <v>66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65.04000000000001</v>
      </c>
      <c r="P196" s="32" t="n">
        <v>39.88</v>
      </c>
      <c r="Q196" s="32" t="n">
        <v>771.48</v>
      </c>
      <c r="R196" s="31" t="inlineStr">
        <is>
          <t>Earnings / Momentum Support</t>
        </is>
      </c>
      <c r="S196" s="31" t="inlineStr">
        <is>
          <t>Nifty Auto</t>
        </is>
      </c>
      <c r="T196" s="32" t="n">
        <v>11.1</v>
      </c>
      <c r="U196" s="32" t="n">
        <v>51.35</v>
      </c>
      <c r="V196" s="32" t="n">
        <v>36.22</v>
      </c>
      <c r="W196" s="32" t="n">
        <v>14.05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Between 50% to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IF(B197=0,"",RANK(B197,$B$2:$B$335,0))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TIRUPATIFL</t>
        </is>
      </c>
      <c r="D197" s="31" t="inlineStr">
        <is>
          <t>Tirupati Forge Ltd</t>
        </is>
      </c>
      <c r="E197" s="31" t="inlineStr">
        <is>
          <t>industrials</t>
        </is>
      </c>
      <c r="F197" s="31" t="inlineStr">
        <is>
          <t>castings &amp; forgings</t>
        </is>
      </c>
      <c r="G197" s="31" t="inlineStr">
        <is>
          <t>smallcap</t>
        </is>
      </c>
      <c r="H197" s="32" t="n">
        <v>892.3200000000001</v>
      </c>
      <c r="I197" s="32" t="n">
        <v>68.39</v>
      </c>
      <c r="J197" s="32" t="n">
        <v>-0.98</v>
      </c>
      <c r="K197" s="32" t="n">
        <v>525033</v>
      </c>
      <c r="L197" s="31" t="n">
        <v>80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78.23</v>
      </c>
      <c r="P197" s="32" t="n">
        <v>35.89</v>
      </c>
      <c r="Q197" s="32" t="n">
        <v>49.25</v>
      </c>
      <c r="R197" s="31" t="inlineStr">
        <is>
          <t>Near 52W High Breakout</t>
        </is>
      </c>
      <c r="S197" s="31" t="inlineStr">
        <is>
          <t>Nifty 50</t>
        </is>
      </c>
      <c r="T197" s="32" t="n">
        <v>-3.67</v>
      </c>
      <c r="U197" s="32" t="n">
        <v>60.2</v>
      </c>
      <c r="V197" s="32" t="n">
        <v>66.3</v>
      </c>
      <c r="W197" s="32" t="n">
        <v>21.43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Above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IF(B198=0,"",RANK(B198,$B$2:$B$335,0))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CENTURYPLY</t>
        </is>
      </c>
      <c r="D198" s="31" t="inlineStr">
        <is>
          <t>Century Plyboards (india) Limited</t>
        </is>
      </c>
      <c r="E198" s="31" t="inlineStr">
        <is>
          <t>building materials</t>
        </is>
      </c>
      <c r="F198" s="31" t="inlineStr">
        <is>
          <t>miscellaneous</t>
        </is>
      </c>
      <c r="G198" s="31" t="inlineStr">
        <is>
          <t>midcap</t>
        </is>
      </c>
      <c r="H198" s="32" t="n">
        <v>17539.45</v>
      </c>
      <c r="I198" s="32" t="n">
        <v>781.65</v>
      </c>
      <c r="J198" s="32" t="n">
        <v>-0.99</v>
      </c>
      <c r="K198" s="32" t="n">
        <v>20861</v>
      </c>
      <c r="L198" s="31" t="n">
        <v>12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54.07</v>
      </c>
      <c r="P198" s="32" t="n">
        <v>19.94</v>
      </c>
      <c r="Q198" s="32" t="n">
        <v>649.14</v>
      </c>
      <c r="R198" s="31" t="inlineStr">
        <is>
          <t>Earnings / Momentum Support</t>
        </is>
      </c>
      <c r="S198" s="31" t="inlineStr">
        <is>
          <t>Nifty Infra</t>
        </is>
      </c>
      <c r="T198" s="32" t="n">
        <v>1.45</v>
      </c>
      <c r="U198" s="32" t="n">
        <v>8.65</v>
      </c>
      <c r="V198" s="32" t="n">
        <v>7.09</v>
      </c>
      <c r="W198" s="32" t="n">
        <v>2.2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IF(B199=0,"",RANK(B199,$B$2:$B$335,0))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3" t="inlineStr">
        <is>
          <t>NH</t>
        </is>
      </c>
      <c r="D199" s="33" t="inlineStr">
        <is>
          <t>Narayana Hrudayalaya Ltd.</t>
        </is>
      </c>
      <c r="E199" s="31" t="inlineStr">
        <is>
          <t>healthcare</t>
        </is>
      </c>
      <c r="F199" s="31" t="inlineStr">
        <is>
          <t>healthcare</t>
        </is>
      </c>
      <c r="G199" s="31" t="inlineStr">
        <is>
          <t>largecap</t>
        </is>
      </c>
      <c r="H199" s="32" t="n">
        <v>41644.64</v>
      </c>
      <c r="I199" s="32" t="n">
        <v>2015</v>
      </c>
      <c r="J199" s="32" t="n">
        <v>-1.12</v>
      </c>
      <c r="K199" s="32" t="n">
        <v>185634</v>
      </c>
      <c r="L199" s="31" t="n">
        <v>15</v>
      </c>
      <c r="M199" s="31" t="inlineStr">
        <is>
          <t>Underperforming</t>
        </is>
      </c>
      <c r="N199" s="32">
        <f>IF(M199="Underperforming",-5,IF(L199&gt;=95,15,IF(L199&gt;=90,10,IF(L199&gt;=80,5,0))))</f>
        <v/>
      </c>
      <c r="O199" s="32" t="n">
        <v>61.57</v>
      </c>
      <c r="P199" s="32" t="n">
        <v>25.02</v>
      </c>
      <c r="Q199" s="32" t="n">
        <v>1698.27</v>
      </c>
      <c r="R199" s="31" t="inlineStr">
        <is>
          <t>Near 52W High Breakout</t>
        </is>
      </c>
      <c r="S199" s="31" t="inlineStr">
        <is>
          <t>Nifty Pharma</t>
        </is>
      </c>
      <c r="T199" s="32" t="n">
        <v>14.67</v>
      </c>
      <c r="U199" s="32" t="n">
        <v>3.08</v>
      </c>
      <c r="V199" s="32" t="n">
        <v>-10.11</v>
      </c>
      <c r="W199" s="32" t="n">
        <v>2.89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Shallow Cyclical (2 to 3 Years Growth)</t>
        </is>
      </c>
      <c r="AG199" s="31">
        <f>IF(AF199="Structural (10 Years Consistency)",10,IF(AF199="Shallow Cyclical (2 to 3 years growth)",5,0))</f>
        <v/>
      </c>
      <c r="AH199" s="31" t="inlineStr">
        <is>
          <t>Yes due to Product Mix change or Operating Leverage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B2C</t>
        </is>
      </c>
      <c r="AO199" s="31">
        <f>IF(AN199="B2C",10,IF(AN199="B2B",5,0))</f>
        <v/>
      </c>
      <c r="AP199" s="31" t="inlineStr">
        <is>
          <t>No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Between 12 to 20%</t>
        </is>
      </c>
      <c r="BO199" s="31">
        <f>IF(BN199="More than 20%",10,IF(BN199="Between 12 to 20%",5,IF(BN199="Less than 12%",0,0)))</f>
        <v/>
      </c>
      <c r="BP199" s="31" t="inlineStr">
        <is>
          <t>Yes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IF(B200=0,"",RANK(B200,$B$2:$B$335,0))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RML</t>
        </is>
      </c>
      <c r="D200" s="31" t="inlineStr">
        <is>
          <t>Rane (madras) Limited</t>
        </is>
      </c>
      <c r="E200" s="31" t="inlineStr">
        <is>
          <t>auto</t>
        </is>
      </c>
      <c r="F200" s="31" t="inlineStr">
        <is>
          <t>auto ancillaries</t>
        </is>
      </c>
      <c r="G200" s="31" t="inlineStr">
        <is>
          <t>smallcap</t>
        </is>
      </c>
      <c r="H200" s="32" t="n">
        <v>3466.53</v>
      </c>
      <c r="I200" s="32" t="n">
        <v>1238.9</v>
      </c>
      <c r="J200" s="32" t="n">
        <v>-1.23</v>
      </c>
      <c r="K200" s="32" t="n">
        <v>23814</v>
      </c>
      <c r="L200" s="31" t="n">
        <v>81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69.8</v>
      </c>
      <c r="P200" s="32" t="n">
        <v>35.96</v>
      </c>
      <c r="Q200" s="32" t="n">
        <v>1015.73</v>
      </c>
      <c r="R200" s="31" t="inlineStr">
        <is>
          <t>Near 52W High Breakout</t>
        </is>
      </c>
      <c r="S200" s="31" t="inlineStr">
        <is>
          <t>Nifty Auto</t>
        </is>
      </c>
      <c r="T200" s="32" t="n">
        <v>11.1</v>
      </c>
      <c r="U200" s="32" t="n">
        <v>40.93</v>
      </c>
      <c r="V200" s="32" t="n">
        <v>26.84</v>
      </c>
      <c r="W200" s="32" t="n">
        <v>21.91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Between 50% to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Between 0.7 to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IF(B201=0,"",RANK(B201,$B$2:$B$335,0))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NAVNETEDUL</t>
        </is>
      </c>
      <c r="D201" s="31" t="inlineStr">
        <is>
          <t>Navneet Education Limited</t>
        </is>
      </c>
      <c r="E201" s="31" t="inlineStr">
        <is>
          <t>miscellaneous</t>
        </is>
      </c>
      <c r="F201" s="31" t="inlineStr">
        <is>
          <t>printing &amp; stationery</t>
        </is>
      </c>
      <c r="G201" s="31" t="inlineStr">
        <is>
          <t>smallcap</t>
        </is>
      </c>
      <c r="H201" s="32" t="n">
        <v>3329.92</v>
      </c>
      <c r="I201" s="32" t="n">
        <v>148.52</v>
      </c>
      <c r="J201" s="32" t="n">
        <v>-1.34</v>
      </c>
      <c r="K201" s="32" t="n">
        <v>279411</v>
      </c>
      <c r="L201" s="31" t="n">
        <v>6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54.87</v>
      </c>
      <c r="P201" s="32" t="n">
        <v>28.4</v>
      </c>
      <c r="Q201" s="32" t="n">
        <v>127.58</v>
      </c>
      <c r="R201" s="31" t="inlineStr">
        <is>
          <t>Earnings / Momentum Support</t>
        </is>
      </c>
      <c r="S201" s="31" t="inlineStr">
        <is>
          <t>Nifty 50</t>
        </is>
      </c>
      <c r="T201" s="32" t="n">
        <v>-3.67</v>
      </c>
      <c r="U201" s="32" t="n">
        <v>5.09</v>
      </c>
      <c r="V201" s="32" t="n">
        <v>9.09</v>
      </c>
      <c r="W201" s="32" t="n">
        <v>0.16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IF(B202=0,"",RANK(B202,$B$2:$B$335,0))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BHARATFORG</t>
        </is>
      </c>
      <c r="D202" s="31" t="inlineStr">
        <is>
          <t>Bharat Forge Limited</t>
        </is>
      </c>
      <c r="E202" s="31" t="inlineStr">
        <is>
          <t>industrials</t>
        </is>
      </c>
      <c r="F202" s="31" t="inlineStr">
        <is>
          <t>castings &amp; forgings</t>
        </is>
      </c>
      <c r="G202" s="31" t="inlineStr">
        <is>
          <t>largecap</t>
        </is>
      </c>
      <c r="H202" s="32" t="n">
        <v>102578.7</v>
      </c>
      <c r="I202" s="32" t="n">
        <v>2115.8</v>
      </c>
      <c r="J202" s="32" t="n">
        <v>-1.39</v>
      </c>
      <c r="K202" s="32" t="n">
        <v>568854</v>
      </c>
      <c r="L202" s="31" t="n">
        <v>69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70.41</v>
      </c>
      <c r="P202" s="32" t="n">
        <v>42.72</v>
      </c>
      <c r="Q202" s="32" t="n">
        <v>1790.44</v>
      </c>
      <c r="R202" s="31" t="inlineStr">
        <is>
          <t>Near 52W High Breakout</t>
        </is>
      </c>
      <c r="S202" s="31" t="inlineStr">
        <is>
          <t>Nifty 50</t>
        </is>
      </c>
      <c r="T202" s="32" t="n">
        <v>-3.67</v>
      </c>
      <c r="U202" s="32" t="n">
        <v>74.95999999999999</v>
      </c>
      <c r="V202" s="32" t="n">
        <v>81.63</v>
      </c>
      <c r="W202" s="32" t="n">
        <v>15.16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Above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Blue sky scenario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Between 50% to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IF(B203=0,"",RANK(B203,$B$2:$B$335,0))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BIOCON</t>
        </is>
      </c>
      <c r="D203" s="33" t="inlineStr">
        <is>
          <t>Biocon Limited</t>
        </is>
      </c>
      <c r="E203" s="31" t="inlineStr">
        <is>
          <t>healthcare</t>
        </is>
      </c>
      <c r="F203" s="31" t="inlineStr">
        <is>
          <t>pharmaceuticals - indian - bulk drugs &amp; formln</t>
        </is>
      </c>
      <c r="G203" s="31" t="inlineStr">
        <is>
          <t>largecap</t>
        </is>
      </c>
      <c r="H203" s="32" t="n">
        <v>66972.28</v>
      </c>
      <c r="I203" s="32" t="n">
        <v>437.3</v>
      </c>
      <c r="J203" s="32" t="n">
        <v>6.41</v>
      </c>
      <c r="K203" s="32" t="n">
        <v>43015136</v>
      </c>
      <c r="L203" s="31" t="n">
        <v>36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64.89</v>
      </c>
      <c r="P203" s="32" t="n">
        <v>22.51</v>
      </c>
      <c r="Q203" s="32" t="n">
        <v>362.98</v>
      </c>
      <c r="R203" s="31" t="inlineStr">
        <is>
          <t>Volume Spike &amp; Near 52W High Breakout</t>
        </is>
      </c>
      <c r="S203" s="31" t="inlineStr">
        <is>
          <t>Nifty Pharma</t>
        </is>
      </c>
      <c r="T203" s="32" t="n">
        <v>14.67</v>
      </c>
      <c r="U203" s="32" t="n">
        <v>9.800000000000001</v>
      </c>
      <c r="V203" s="32" t="n">
        <v>-4.25</v>
      </c>
      <c r="W203" s="32" t="n">
        <v>6.94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Blue sky scenario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Between 50% to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IF(B204=0,"",RANK(B204,$B$2:$B$335,0))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BLSE</t>
        </is>
      </c>
      <c r="D204" s="31" t="inlineStr">
        <is>
          <t>BLS E-Services Ltd</t>
        </is>
      </c>
      <c r="E204" s="31" t="inlineStr">
        <is>
          <t>i.t</t>
        </is>
      </c>
      <c r="F204" s="31" t="inlineStr">
        <is>
          <t>computers - software - medium / small</t>
        </is>
      </c>
      <c r="G204" s="31" t="inlineStr">
        <is>
          <t>smallcap</t>
        </is>
      </c>
      <c r="H204" s="32" t="n">
        <v>2412.88</v>
      </c>
      <c r="I204" s="32" t="n">
        <v>271.29</v>
      </c>
      <c r="J204" s="32" t="n">
        <v>2.15</v>
      </c>
      <c r="K204" s="32" t="n">
        <v>1628082</v>
      </c>
      <c r="L204" s="31" t="n">
        <v>79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76.7</v>
      </c>
      <c r="P204" s="32" t="n">
        <v>29.93</v>
      </c>
      <c r="Q204" s="32" t="n">
        <v>211.14</v>
      </c>
      <c r="R204" s="31" t="inlineStr">
        <is>
          <t>Near 52W High Breakout</t>
        </is>
      </c>
      <c r="S204" s="31" t="inlineStr">
        <is>
          <t>Nifty IT</t>
        </is>
      </c>
      <c r="T204" s="32" t="n">
        <v>-22.66</v>
      </c>
      <c r="U204" s="32" t="n">
        <v>47.4</v>
      </c>
      <c r="V204" s="32" t="n">
        <v>90.59</v>
      </c>
      <c r="W204" s="32" t="n">
        <v>20.95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Above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Between 50% to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IF(B205=0,"",RANK(B205,$B$2:$B$335,0))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APOLLOHOSP</t>
        </is>
      </c>
      <c r="D205" s="31" t="inlineStr">
        <is>
          <t>Apollo Hospitals Enterprise Limited</t>
        </is>
      </c>
      <c r="E205" s="31" t="inlineStr">
        <is>
          <t>healthcare</t>
        </is>
      </c>
      <c r="F205" s="31" t="inlineStr">
        <is>
          <t>healthcare</t>
        </is>
      </c>
      <c r="G205" s="31" t="inlineStr">
        <is>
          <t>largecap</t>
        </is>
      </c>
      <c r="H205" s="32" t="n">
        <v>126278.88</v>
      </c>
      <c r="I205" s="32" t="n">
        <v>8900.5</v>
      </c>
      <c r="J205" s="32" t="n">
        <v>1.34</v>
      </c>
      <c r="K205" s="32" t="n">
        <v>412509</v>
      </c>
      <c r="L205" s="31" t="n">
        <v>39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71.15000000000001</v>
      </c>
      <c r="P205" s="32" t="n">
        <v>22.84</v>
      </c>
      <c r="Q205" s="32" t="n">
        <v>7910.08</v>
      </c>
      <c r="R205" s="31" t="inlineStr">
        <is>
          <t>Near 52W High Breakout</t>
        </is>
      </c>
      <c r="S205" s="31" t="inlineStr">
        <is>
          <t>Nifty Pharma</t>
        </is>
      </c>
      <c r="T205" s="32" t="n">
        <v>14.67</v>
      </c>
      <c r="U205" s="32" t="n">
        <v>22.18</v>
      </c>
      <c r="V205" s="32" t="n">
        <v>6.55</v>
      </c>
      <c r="W205" s="32" t="n">
        <v>7.53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Oligopoly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Cyclical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B2C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Fully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Above 40</t>
        </is>
      </c>
      <c r="AY205" s="31">
        <f>IF(AX205="Above 40",20,IF(AX205="20 to 40",10,IF(AX205="0 to 20",-5,0)))</f>
        <v/>
      </c>
      <c r="AZ205" s="31" t="inlineStr">
        <is>
          <t>Above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Yes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Between 1.5 to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IF(B206=0,"",RANK(B206,$B$2:$B$335,0))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ZYDUSLIFE</t>
        </is>
      </c>
      <c r="D206" s="31" t="inlineStr">
        <is>
          <t>Zydus Lifesciences Ltd</t>
        </is>
      </c>
      <c r="E206" s="31" t="inlineStr">
        <is>
          <t>healthcare</t>
        </is>
      </c>
      <c r="F206" s="31" t="inlineStr">
        <is>
          <t>pharmaceuticals - indian - bulk drugs &amp; formln</t>
        </is>
      </c>
      <c r="G206" s="31" t="inlineStr">
        <is>
          <t>largecap</t>
        </is>
      </c>
      <c r="H206" s="32" t="n">
        <v>112847.61</v>
      </c>
      <c r="I206" s="32" t="n">
        <v>1133.6</v>
      </c>
      <c r="J206" s="32" t="n">
        <v>0.2</v>
      </c>
      <c r="K206" s="32" t="n">
        <v>1125219</v>
      </c>
      <c r="L206" s="31" t="n">
        <v>40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68.73</v>
      </c>
      <c r="P206" s="32" t="n">
        <v>33.45</v>
      </c>
      <c r="Q206" s="32" t="n">
        <v>991.99</v>
      </c>
      <c r="R206" s="31" t="inlineStr">
        <is>
          <t>Near 52W High Breakout</t>
        </is>
      </c>
      <c r="S206" s="31" t="inlineStr">
        <is>
          <t>Nifty Pharma</t>
        </is>
      </c>
      <c r="T206" s="32" t="n">
        <v>14.67</v>
      </c>
      <c r="U206" s="32" t="n">
        <v>17.6</v>
      </c>
      <c r="V206" s="32" t="n">
        <v>2.56</v>
      </c>
      <c r="W206" s="32" t="n">
        <v>7.86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Less than 12%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Less than 50%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IF(B207=0,"",RANK(B207,$B$2:$B$335,0))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3" t="inlineStr">
        <is>
          <t>GUFICBIO</t>
        </is>
      </c>
      <c r="D207" s="33" t="inlineStr">
        <is>
          <t>Gufic Biosciences Limited</t>
        </is>
      </c>
      <c r="E207" s="31" t="inlineStr">
        <is>
          <t>healthcare</t>
        </is>
      </c>
      <c r="F207" s="31" t="inlineStr">
        <is>
          <t>pharmaceuticals - indian - bulk drugs &amp; formln</t>
        </is>
      </c>
      <c r="G207" s="31" t="inlineStr">
        <is>
          <t>smallcap</t>
        </is>
      </c>
      <c r="H207" s="32" t="n">
        <v>4013.81</v>
      </c>
      <c r="I207" s="32" t="n">
        <v>399.9</v>
      </c>
      <c r="J207" s="32" t="n">
        <v>-0.09</v>
      </c>
      <c r="K207" s="32" t="n">
        <v>106670</v>
      </c>
      <c r="L207" s="31" t="n">
        <v>43</v>
      </c>
      <c r="M207" s="31" t="inlineStr">
        <is>
          <t>Underperforming</t>
        </is>
      </c>
      <c r="N207" s="32">
        <f>IF(M207="Underperforming",-5,IF(L207&gt;=95,15,IF(L207&gt;=90,10,IF(L207&gt;=80,5,0))))</f>
        <v/>
      </c>
      <c r="O207" s="32" t="n">
        <v>68.62</v>
      </c>
      <c r="P207" s="32" t="n">
        <v>34.67</v>
      </c>
      <c r="Q207" s="32" t="n">
        <v>307.38</v>
      </c>
      <c r="R207" s="31" t="inlineStr">
        <is>
          <t>Near 52W High Breakout</t>
        </is>
      </c>
      <c r="S207" s="31" t="inlineStr">
        <is>
          <t>Nifty Pharma</t>
        </is>
      </c>
      <c r="T207" s="32" t="n">
        <v>14.67</v>
      </c>
      <c r="U207" s="32" t="n">
        <v>3.9</v>
      </c>
      <c r="V207" s="32" t="n">
        <v>-9.390000000000001</v>
      </c>
      <c r="W207" s="32" t="n">
        <v>8.529999999999999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Yes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Annuity, Lower One Time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Less than 50%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IF(B208=0,"",RANK(B208,$B$2:$B$335,0))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VENKEYS</t>
        </is>
      </c>
      <c r="D208" s="31" t="inlineStr">
        <is>
          <t>Venky's (india) Limited</t>
        </is>
      </c>
      <c r="E208" s="31" t="inlineStr">
        <is>
          <t>fmcg</t>
        </is>
      </c>
      <c r="F208" s="31" t="inlineStr">
        <is>
          <t>miscellaneous</t>
        </is>
      </c>
      <c r="G208" s="31" t="inlineStr">
        <is>
          <t>smallcap</t>
        </is>
      </c>
      <c r="H208" s="32" t="n">
        <v>2127.33</v>
      </c>
      <c r="I208" s="32" t="n">
        <v>1502.4</v>
      </c>
      <c r="J208" s="32" t="n">
        <v>-0.51</v>
      </c>
      <c r="K208" s="32" t="n">
        <v>44071</v>
      </c>
      <c r="L208" s="31" t="n">
        <v>2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53.53</v>
      </c>
      <c r="P208" s="32" t="n">
        <v>37.78</v>
      </c>
      <c r="Q208" s="32" t="n">
        <v>1306.47</v>
      </c>
      <c r="R208" s="31" t="inlineStr">
        <is>
          <t>Earnings / Momentum Support</t>
        </is>
      </c>
      <c r="S208" s="31" t="inlineStr">
        <is>
          <t>Nifty FMCG</t>
        </is>
      </c>
      <c r="T208" s="32" t="n">
        <v>-14.13</v>
      </c>
      <c r="U208" s="32" t="n">
        <v>-4.29</v>
      </c>
      <c r="V208" s="32" t="n">
        <v>11.45</v>
      </c>
      <c r="W208" s="32" t="n">
        <v>-1.84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B2C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Annuity, Lower One Time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1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IF(B209=0,"",RANK(B209,$B$2:$B$335,0))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APOLLOPIPE</t>
        </is>
      </c>
      <c r="D209" s="31" t="inlineStr">
        <is>
          <t>Apollo Pipes Ltd</t>
        </is>
      </c>
      <c r="E209" s="31" t="inlineStr">
        <is>
          <t>plastic products</t>
        </is>
      </c>
      <c r="F209" s="31" t="inlineStr">
        <is>
          <t>plastics products</t>
        </is>
      </c>
      <c r="G209" s="31" t="inlineStr">
        <is>
          <t>smallcap</t>
        </is>
      </c>
      <c r="H209" s="32" t="n">
        <v>2252.41</v>
      </c>
      <c r="I209" s="32" t="n">
        <v>507</v>
      </c>
      <c r="J209" s="32" t="n">
        <v>-0.85</v>
      </c>
      <c r="K209" s="32" t="n">
        <v>53639</v>
      </c>
      <c r="L209" s="31" t="n">
        <v>47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66.43000000000001</v>
      </c>
      <c r="P209" s="32" t="n">
        <v>50.75</v>
      </c>
      <c r="Q209" s="32" t="n">
        <v>396.02</v>
      </c>
      <c r="R209" s="31" t="inlineStr">
        <is>
          <t>Near 52W High Breakout</t>
        </is>
      </c>
      <c r="S209" s="31" t="inlineStr">
        <is>
          <t>Nifty 50</t>
        </is>
      </c>
      <c r="T209" s="32" t="n">
        <v>-3.67</v>
      </c>
      <c r="U209" s="32" t="n">
        <v>20.35</v>
      </c>
      <c r="V209" s="32" t="n">
        <v>24.93</v>
      </c>
      <c r="W209" s="32" t="n">
        <v>9.15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Oligopoly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Cyclical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B2C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Fully One Time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Above 40</t>
        </is>
      </c>
      <c r="AY209" s="31">
        <f>IF(AX209="Above 40",20,IF(AX209="20 to 40",10,IF(AX209="0 to 20",-5,0)))</f>
        <v/>
      </c>
      <c r="AZ209" s="31" t="inlineStr">
        <is>
          <t>Above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Yes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Between 1.5 to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IF(B210=0,"",RANK(B210,$B$2:$B$335,0))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3" t="inlineStr">
        <is>
          <t>FDC</t>
        </is>
      </c>
      <c r="D210" s="33" t="inlineStr">
        <is>
          <t>Fdc Limited</t>
        </is>
      </c>
      <c r="E210" s="31" t="inlineStr">
        <is>
          <t>healthcare</t>
        </is>
      </c>
      <c r="F210" s="31" t="inlineStr">
        <is>
          <t>pharmaceuticals - indian - bulk drugs &amp; formln</t>
        </is>
      </c>
      <c r="G210" s="31" t="inlineStr">
        <is>
          <t>midcap</t>
        </is>
      </c>
      <c r="H210" s="32" t="n">
        <v>6968.27</v>
      </c>
      <c r="I210" s="32" t="n">
        <v>423.75</v>
      </c>
      <c r="J210" s="32" t="n">
        <v>-0.99</v>
      </c>
      <c r="K210" s="32" t="n">
        <v>81413</v>
      </c>
      <c r="L210" s="31" t="n">
        <v>9</v>
      </c>
      <c r="M210" s="31" t="inlineStr">
        <is>
          <t>Underperforming</t>
        </is>
      </c>
      <c r="N210" s="32">
        <f>IF(M210="Underperforming",-5,IF(L210&gt;=95,15,IF(L210&gt;=90,10,IF(L210&gt;=80,5,0))))</f>
        <v/>
      </c>
      <c r="O210" s="32" t="n">
        <v>59.15</v>
      </c>
      <c r="P210" s="32" t="n">
        <v>25.83</v>
      </c>
      <c r="Q210" s="32" t="n">
        <v>350.31</v>
      </c>
      <c r="R210" s="31" t="inlineStr">
        <is>
          <t>Earnings / Momentum Support</t>
        </is>
      </c>
      <c r="S210" s="31" t="inlineStr">
        <is>
          <t>Nifty Pharma</t>
        </is>
      </c>
      <c r="T210" s="32" t="n">
        <v>14.67</v>
      </c>
      <c r="U210" s="32" t="n">
        <v>-12.76</v>
      </c>
      <c r="V210" s="32" t="n">
        <v>-23.92</v>
      </c>
      <c r="W210" s="32" t="n">
        <v>1.39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Yes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Annuity, Lower One Time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Between 50% to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IF(B211=0,"",RANK(B211,$B$2:$B$335,0))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RPGLIFE</t>
        </is>
      </c>
      <c r="D211" s="33" t="inlineStr">
        <is>
          <t>Rpg Life Sciences Limited</t>
        </is>
      </c>
      <c r="E211" s="31" t="inlineStr">
        <is>
          <t>healthcare</t>
        </is>
      </c>
      <c r="F211" s="31" t="inlineStr">
        <is>
          <t>pharmaceuticals - indian - bulk drugs &amp; formln</t>
        </is>
      </c>
      <c r="G211" s="31" t="inlineStr">
        <is>
          <t>smallcap</t>
        </is>
      </c>
      <c r="H211" s="32" t="n">
        <v>4668.8</v>
      </c>
      <c r="I211" s="32" t="n">
        <v>2740</v>
      </c>
      <c r="J211" s="32" t="n">
        <v>-2.94</v>
      </c>
      <c r="K211" s="32" t="n">
        <v>20012</v>
      </c>
      <c r="L211" s="31" t="n">
        <v>54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68.78</v>
      </c>
      <c r="P211" s="32" t="n">
        <v>23.91</v>
      </c>
      <c r="Q211" s="32" t="n">
        <v>2276.11</v>
      </c>
      <c r="R211" s="31" t="inlineStr">
        <is>
          <t>Near 52W High Breakout</t>
        </is>
      </c>
      <c r="S211" s="31" t="inlineStr">
        <is>
          <t>Nifty Pharma</t>
        </is>
      </c>
      <c r="T211" s="32" t="n">
        <v>14.67</v>
      </c>
      <c r="U211" s="32" t="n">
        <v>10.36</v>
      </c>
      <c r="V211" s="32" t="n">
        <v>-3.76</v>
      </c>
      <c r="W211" s="32" t="n">
        <v>10.65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Yes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Annuity, Lower One Time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Blue sky scenario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Less than 50%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IF(B212=0,"",RANK(B212,$B$2:$B$335,0))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JUSTDIAL</t>
        </is>
      </c>
      <c r="D212" s="31" t="inlineStr">
        <is>
          <t>Just Dial Limited</t>
        </is>
      </c>
      <c r="E212" s="31" t="inlineStr">
        <is>
          <t>i.t</t>
        </is>
      </c>
      <c r="F212" s="31" t="inlineStr">
        <is>
          <t>miscellaneous</t>
        </is>
      </c>
      <c r="G212" s="31" t="inlineStr">
        <is>
          <t>midcap</t>
        </is>
      </c>
      <c r="H212" s="32" t="n">
        <v>5756.25</v>
      </c>
      <c r="I212" s="32" t="n">
        <v>790.15</v>
      </c>
      <c r="J212" s="32" t="n">
        <v>16.74</v>
      </c>
      <c r="K212" s="32" t="n">
        <v>42569366</v>
      </c>
      <c r="L212" s="31" t="n">
        <v>45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74.19</v>
      </c>
      <c r="P212" s="32" t="n">
        <v>15.23</v>
      </c>
      <c r="Q212" s="32" t="n">
        <v>639.02</v>
      </c>
      <c r="R212" s="31" t="inlineStr">
        <is>
          <t>Volume Spike / Accumulation</t>
        </is>
      </c>
      <c r="S212" s="31" t="inlineStr">
        <is>
          <t>Nifty IT</t>
        </is>
      </c>
      <c r="T212" s="32" t="n">
        <v>-22.66</v>
      </c>
      <c r="U212" s="32" t="n">
        <v>-10.76</v>
      </c>
      <c r="V212" s="32" t="n">
        <v>15.39</v>
      </c>
      <c r="W212" s="32" t="n">
        <v>8.82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IF(B213=0,"",RANK(B213,$B$2:$B$335,0))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ADANIGREEN</t>
        </is>
      </c>
      <c r="D213" s="31" t="inlineStr">
        <is>
          <t>Adani Green Energy Ltd</t>
        </is>
      </c>
      <c r="E213" s="31" t="inlineStr">
        <is>
          <t>power &amp; utilities</t>
        </is>
      </c>
      <c r="F213" s="31" t="inlineStr">
        <is>
          <t>power generation and supply</t>
        </is>
      </c>
      <c r="G213" s="31" t="inlineStr">
        <is>
          <t>largecap</t>
        </is>
      </c>
      <c r="H213" s="32" t="n">
        <v>254735.79</v>
      </c>
      <c r="I213" s="32" t="n">
        <v>1604.5</v>
      </c>
      <c r="J213" s="32" t="n">
        <v>3.75</v>
      </c>
      <c r="K213" s="32" t="n">
        <v>4833988</v>
      </c>
      <c r="L213" s="31" t="n">
        <v>77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75.76000000000001</v>
      </c>
      <c r="P213" s="32" t="n">
        <v>52.62</v>
      </c>
      <c r="Q213" s="32" t="n">
        <v>1295.65</v>
      </c>
      <c r="R213" s="31" t="inlineStr">
        <is>
          <t>Near 52W High Breakout</t>
        </is>
      </c>
      <c r="S213" s="31" t="inlineStr">
        <is>
          <t>Nifty IT</t>
        </is>
      </c>
      <c r="T213" s="32" t="n">
        <v>-22.66</v>
      </c>
      <c r="U213" s="32" t="n">
        <v>55.75</v>
      </c>
      <c r="V213" s="32" t="n">
        <v>101.38</v>
      </c>
      <c r="W213" s="32" t="n">
        <v>19.24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Above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More than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IF(B214=0,"",RANK(B214,$B$2:$B$335,0))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GAYAPROJ</t>
        </is>
      </c>
      <c r="D214" s="31" t="inlineStr">
        <is>
          <t>Gayatri Projects Limited</t>
        </is>
      </c>
      <c r="E214" s="31" t="inlineStr">
        <is>
          <t>realty</t>
        </is>
      </c>
      <c r="F214" s="31" t="inlineStr">
        <is>
          <t>construction</t>
        </is>
      </c>
      <c r="G214" s="31" t="inlineStr">
        <is>
          <t>smallcap</t>
        </is>
      </c>
      <c r="H214" s="32" t="n">
        <v>1019.14</v>
      </c>
      <c r="I214" s="32" t="n">
        <v>22.35</v>
      </c>
      <c r="J214" s="32" t="n">
        <v>1.82</v>
      </c>
      <c r="K214" s="32" t="n">
        <v>779150</v>
      </c>
      <c r="L214" s="31" t="n">
        <v>84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66.83</v>
      </c>
      <c r="P214" s="32" t="n">
        <v>46.75</v>
      </c>
      <c r="Q214" s="32" t="n">
        <v>17.9</v>
      </c>
      <c r="R214" s="31" t="inlineStr">
        <is>
          <t>Earnings / Momentum Support</t>
        </is>
      </c>
      <c r="S214" s="31" t="inlineStr">
        <is>
          <t>Nifty Realty</t>
        </is>
      </c>
      <c r="T214" s="32" t="n">
        <v>-8.130000000000001</v>
      </c>
      <c r="U214" s="32" t="n">
        <v>156.38</v>
      </c>
      <c r="V214" s="32" t="n">
        <v>179.06</v>
      </c>
      <c r="W214" s="32" t="n">
        <v>24.5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Above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IF(B215=0,"",RANK(B215,$B$2:$B$335,0))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INDIANHUME</t>
        </is>
      </c>
      <c r="D215" s="31" t="inlineStr">
        <is>
          <t>Indian Hume Pipe Company Limited</t>
        </is>
      </c>
      <c r="E215" s="31" t="inlineStr">
        <is>
          <t>realty</t>
        </is>
      </c>
      <c r="F215" s="31" t="inlineStr">
        <is>
          <t>construction</t>
        </is>
      </c>
      <c r="G215" s="31" t="inlineStr">
        <is>
          <t>smallcap</t>
        </is>
      </c>
      <c r="H215" s="32" t="n">
        <v>2168.12</v>
      </c>
      <c r="I215" s="32" t="n">
        <v>414.4</v>
      </c>
      <c r="J215" s="32" t="n">
        <v>0.6899999999999999</v>
      </c>
      <c r="K215" s="32" t="n">
        <v>381291</v>
      </c>
      <c r="L215" s="31" t="n">
        <v>27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67.77</v>
      </c>
      <c r="P215" s="32" t="n">
        <v>11.46</v>
      </c>
      <c r="Q215" s="32" t="n">
        <v>315.95</v>
      </c>
      <c r="R215" s="31" t="inlineStr">
        <is>
          <t>Volume Spike &amp; Near 52W High Breakout</t>
        </is>
      </c>
      <c r="S215" s="31" t="inlineStr">
        <is>
          <t>Nifty Realty</t>
        </is>
      </c>
      <c r="T215" s="32" t="n">
        <v>-8.130000000000001</v>
      </c>
      <c r="U215" s="32" t="n">
        <v>-6.86</v>
      </c>
      <c r="V215" s="32" t="n">
        <v>1.38</v>
      </c>
      <c r="W215" s="32" t="n">
        <v>4.99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Less than 12%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IF(B216=0,"",RANK(B216,$B$2:$B$335,0))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3MINDIA</t>
        </is>
      </c>
      <c r="D216" s="31" t="inlineStr">
        <is>
          <t>3m India Limited</t>
        </is>
      </c>
      <c r="E216" s="31" t="inlineStr">
        <is>
          <t>miscellaneous</t>
        </is>
      </c>
      <c r="F216" s="31" t="inlineStr">
        <is>
          <t>diversified - large</t>
        </is>
      </c>
      <c r="G216" s="31" t="inlineStr">
        <is>
          <t>largecap</t>
        </is>
      </c>
      <c r="H216" s="32" t="n">
        <v>41038.65</v>
      </c>
      <c r="I216" s="32" t="n">
        <v>36610</v>
      </c>
      <c r="J216" s="32" t="n">
        <v>0.49</v>
      </c>
      <c r="K216" s="32" t="n">
        <v>6618</v>
      </c>
      <c r="L216" s="31" t="n">
        <v>43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62.19</v>
      </c>
      <c r="P216" s="32" t="n">
        <v>10.48</v>
      </c>
      <c r="Q216" s="32" t="n">
        <v>30561.35</v>
      </c>
      <c r="R216" s="31" t="inlineStr">
        <is>
          <t>Near 52W High Breakout</t>
        </is>
      </c>
      <c r="S216" s="31" t="inlineStr">
        <is>
          <t>Nifty 50</t>
        </is>
      </c>
      <c r="T216" s="32" t="n">
        <v>-3.67</v>
      </c>
      <c r="U216" s="32" t="n">
        <v>24.31</v>
      </c>
      <c r="V216" s="32" t="n">
        <v>29.04</v>
      </c>
      <c r="W216" s="32" t="n">
        <v>8.32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Between 50% to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IF(B217=0,"",RANK(B217,$B$2:$B$335,0))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ADANIENT</t>
        </is>
      </c>
      <c r="D217" s="31" t="inlineStr">
        <is>
          <t>Adani Enterprises Limited</t>
        </is>
      </c>
      <c r="E217" s="31" t="inlineStr">
        <is>
          <t>services</t>
        </is>
      </c>
      <c r="F217" s="31" t="inlineStr">
        <is>
          <t>trading</t>
        </is>
      </c>
      <c r="G217" s="31" t="inlineStr">
        <is>
          <t>largecap</t>
        </is>
      </c>
      <c r="H217" s="32" t="n">
        <v>413613.1</v>
      </c>
      <c r="I217" s="32" t="n">
        <v>3188.9</v>
      </c>
      <c r="J217" s="32" t="n">
        <v>0.36</v>
      </c>
      <c r="K217" s="32" t="n">
        <v>1932889</v>
      </c>
      <c r="L217" s="31" t="n">
        <v>68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72.40000000000001</v>
      </c>
      <c r="P217" s="32" t="n">
        <v>36.82</v>
      </c>
      <c r="Q217" s="32" t="n">
        <v>2673.11</v>
      </c>
      <c r="R217" s="31" t="inlineStr">
        <is>
          <t>Near 52W High Breakout</t>
        </is>
      </c>
      <c r="S217" s="31" t="inlineStr">
        <is>
          <t>Nifty 50</t>
        </is>
      </c>
      <c r="T217" s="32" t="n">
        <v>-3.67</v>
      </c>
      <c r="U217" s="32" t="n">
        <v>22.89</v>
      </c>
      <c r="V217" s="32" t="n">
        <v>27.57</v>
      </c>
      <c r="W217" s="32" t="n">
        <v>14.66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Less than 50% and Borrowings are increasing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Between 0.7 to 1.2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IF(B218=0,"",RANK(B218,$B$2:$B$335,0))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IRISDOREME</t>
        </is>
      </c>
      <c r="D218" s="31" t="inlineStr">
        <is>
          <t>Iris Clothings Ltd</t>
        </is>
      </c>
      <c r="E218" s="31" t="inlineStr">
        <is>
          <t>consumer discretionary</t>
        </is>
      </c>
      <c r="F218" s="31" t="inlineStr">
        <is>
          <t>textiles - products</t>
        </is>
      </c>
      <c r="G218" s="31" t="inlineStr">
        <is>
          <t>smallcap</t>
        </is>
      </c>
      <c r="H218" s="32" t="n">
        <v>834.03</v>
      </c>
      <c r="I218" s="32" t="n">
        <v>43.9</v>
      </c>
      <c r="J218" s="32" t="n">
        <v>0.18</v>
      </c>
      <c r="K218" s="32" t="n">
        <v>216491</v>
      </c>
      <c r="L218" s="31" t="n">
        <v>60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69.25</v>
      </c>
      <c r="P218" s="32" t="n">
        <v>24.24</v>
      </c>
      <c r="Q218" s="32" t="n">
        <v>32.53</v>
      </c>
      <c r="R218" s="31" t="inlineStr">
        <is>
          <t>Near 52W High Breakout</t>
        </is>
      </c>
      <c r="S218" s="31" t="inlineStr">
        <is>
          <t>Nifty 50</t>
        </is>
      </c>
      <c r="T218" s="32" t="n">
        <v>-3.67</v>
      </c>
      <c r="U218" s="32" t="n">
        <v>40.76</v>
      </c>
      <c r="V218" s="32" t="n">
        <v>46.13</v>
      </c>
      <c r="W218" s="32" t="n">
        <v>12.05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Negative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IF(B219=0,"",RANK(B219,$B$2:$B$335,0))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DELHIVERY</t>
        </is>
      </c>
      <c r="D219" s="31" t="inlineStr">
        <is>
          <t>Delhivery Ltd</t>
        </is>
      </c>
      <c r="E219" s="31" t="inlineStr">
        <is>
          <t>transportation</t>
        </is>
      </c>
      <c r="F219" s="31" t="inlineStr">
        <is>
          <t>miscellaneous</t>
        </is>
      </c>
      <c r="G219" s="31" t="inlineStr">
        <is>
          <t>largecap</t>
        </is>
      </c>
      <c r="H219" s="32" t="n">
        <v>38351.19</v>
      </c>
      <c r="I219" s="32" t="n">
        <v>512.1</v>
      </c>
      <c r="J219" s="32" t="n">
        <v>-0.04</v>
      </c>
      <c r="K219" s="32" t="n">
        <v>2962078</v>
      </c>
      <c r="L219" s="31" t="n">
        <v>34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65.48</v>
      </c>
      <c r="P219" s="32" t="n">
        <v>15.87</v>
      </c>
      <c r="Q219" s="32" t="n">
        <v>434.63</v>
      </c>
      <c r="R219" s="31" t="inlineStr">
        <is>
          <t>Near 52W High Breakout</t>
        </is>
      </c>
      <c r="S219" s="31" t="inlineStr">
        <is>
          <t>Nifty 50</t>
        </is>
      </c>
      <c r="T219" s="32" t="n">
        <v>-3.67</v>
      </c>
      <c r="U219" s="32" t="n">
        <v>20.37</v>
      </c>
      <c r="V219" s="32" t="n">
        <v>24.95</v>
      </c>
      <c r="W219" s="32" t="n">
        <v>6.44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IF(B220=0,"",RANK(B220,$B$2:$B$335,0))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IDEAFORGE</t>
        </is>
      </c>
      <c r="D220" s="31" t="inlineStr">
        <is>
          <t>Ideaforge Technology Ltd</t>
        </is>
      </c>
      <c r="E220" s="31" t="inlineStr">
        <is>
          <t>aerospace &amp; defence</t>
        </is>
      </c>
      <c r="F220" s="31" t="inlineStr">
        <is>
          <t>engineering</t>
        </is>
      </c>
      <c r="G220" s="31" t="inlineStr">
        <is>
          <t>smallcap</t>
        </is>
      </c>
      <c r="H220" s="32" t="n">
        <v>3938.21</v>
      </c>
      <c r="I220" s="32" t="n">
        <v>903.2</v>
      </c>
      <c r="J220" s="32" t="n">
        <v>-0.47</v>
      </c>
      <c r="K220" s="32" t="n">
        <v>187809</v>
      </c>
      <c r="L220" s="31" t="n">
        <v>91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67.40000000000001</v>
      </c>
      <c r="P220" s="32" t="n">
        <v>62.22</v>
      </c>
      <c r="Q220" s="32" t="n">
        <v>666.87</v>
      </c>
      <c r="R220" s="31" t="inlineStr">
        <is>
          <t>Near 52W High Breakout</t>
        </is>
      </c>
      <c r="S220" s="31" t="inlineStr">
        <is>
          <t>Nifty 50</t>
        </is>
      </c>
      <c r="T220" s="32" t="n">
        <v>-3.67</v>
      </c>
      <c r="U220" s="32" t="n">
        <v>66.41</v>
      </c>
      <c r="V220" s="32" t="n">
        <v>72.75</v>
      </c>
      <c r="W220" s="32" t="n">
        <v>33.41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Negative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Negative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IF(B221=0,"",RANK(B221,$B$2:$B$335,0))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OAL</t>
        </is>
      </c>
      <c r="D221" s="31" t="inlineStr">
        <is>
          <t>Oriental Aromatics Ltd</t>
        </is>
      </c>
      <c r="E221" s="31" t="inlineStr">
        <is>
          <t>chemicals</t>
        </is>
      </c>
      <c r="F221" s="31" t="inlineStr">
        <is>
          <t>chemicals</t>
        </is>
      </c>
      <c r="G221" s="31" t="inlineStr">
        <is>
          <t>smallcap</t>
        </is>
      </c>
      <c r="H221" s="32" t="n">
        <v>1195.38</v>
      </c>
      <c r="I221" s="32" t="n">
        <v>352.65</v>
      </c>
      <c r="J221" s="32" t="n">
        <v>-0.72</v>
      </c>
      <c r="K221" s="32" t="n">
        <v>18483</v>
      </c>
      <c r="L221" s="31" t="n">
        <v>8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61.36</v>
      </c>
      <c r="P221" s="32" t="n">
        <v>23.8</v>
      </c>
      <c r="Q221" s="32" t="n">
        <v>259.84</v>
      </c>
      <c r="R221" s="31" t="inlineStr">
        <is>
          <t>Earnings / Momentum Support</t>
        </is>
      </c>
      <c r="S221" s="31" t="inlineStr">
        <is>
          <t>Nifty IT</t>
        </is>
      </c>
      <c r="T221" s="32" t="n">
        <v>-22.66</v>
      </c>
      <c r="U221" s="32" t="n">
        <v>-13.39</v>
      </c>
      <c r="V221" s="32" t="n">
        <v>11.99</v>
      </c>
      <c r="W221" s="32" t="n">
        <v>0.85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Less than 50%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IF(B222=0,"",RANK(B222,$B$2:$B$335,0))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NAZARA</t>
        </is>
      </c>
      <c r="D222" s="31" t="inlineStr">
        <is>
          <t>Nazara Technologies Ltd</t>
        </is>
      </c>
      <c r="E222" s="31" t="inlineStr">
        <is>
          <t>i.t</t>
        </is>
      </c>
      <c r="F222" s="31" t="inlineStr">
        <is>
          <t>telecommunications - service provider</t>
        </is>
      </c>
      <c r="G222" s="31" t="inlineStr">
        <is>
          <t>midcap</t>
        </is>
      </c>
      <c r="H222" s="32" t="n">
        <v>11384.39</v>
      </c>
      <c r="I222" s="32" t="n">
        <v>303.95</v>
      </c>
      <c r="J222" s="32" t="n">
        <v>-1.09</v>
      </c>
      <c r="K222" s="32" t="n">
        <v>1364680</v>
      </c>
      <c r="L222" s="31" t="n">
        <v>5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60.36</v>
      </c>
      <c r="P222" s="32" t="n">
        <v>13.18</v>
      </c>
      <c r="Q222" s="32" t="n">
        <v>241.6</v>
      </c>
      <c r="R222" s="31" t="inlineStr">
        <is>
          <t>Earnings / Momentum Support</t>
        </is>
      </c>
      <c r="S222" s="31" t="inlineStr">
        <is>
          <t>Nifty IT</t>
        </is>
      </c>
      <c r="T222" s="32" t="n">
        <v>-22.66</v>
      </c>
      <c r="U222" s="32" t="n">
        <v>-15</v>
      </c>
      <c r="V222" s="32" t="n">
        <v>9.9</v>
      </c>
      <c r="W222" s="32" t="n">
        <v>-0.07000000000000001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Oligopoly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Yes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Between 50% to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IF(B223=0,"",RANK(B223,$B$2:$B$335,0))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SSWL</t>
        </is>
      </c>
      <c r="D223" s="33" t="inlineStr">
        <is>
          <t>Steel Strips Wheels Limited</t>
        </is>
      </c>
      <c r="E223" s="31" t="inlineStr">
        <is>
          <t>auto</t>
        </is>
      </c>
      <c r="F223" s="31" t="inlineStr">
        <is>
          <t>auto ancillaries</t>
        </is>
      </c>
      <c r="G223" s="31" t="inlineStr">
        <is>
          <t>smallcap</t>
        </is>
      </c>
      <c r="H223" s="32" t="n">
        <v>3980.75</v>
      </c>
      <c r="I223" s="32" t="n">
        <v>250.44</v>
      </c>
      <c r="J223" s="32" t="n">
        <v>-1.11</v>
      </c>
      <c r="K223" s="32" t="n">
        <v>540346</v>
      </c>
      <c r="L223" s="31" t="n">
        <v>16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63.77</v>
      </c>
      <c r="P223" s="32" t="n">
        <v>12.7</v>
      </c>
      <c r="Q223" s="32" t="n">
        <v>195.6</v>
      </c>
      <c r="R223" s="31" t="inlineStr">
        <is>
          <t>Near 52W High Breakout</t>
        </is>
      </c>
      <c r="S223" s="31" t="inlineStr">
        <is>
          <t>Nifty Auto</t>
        </is>
      </c>
      <c r="T223" s="32" t="n">
        <v>11.1</v>
      </c>
      <c r="U223" s="32" t="n">
        <v>-1.68</v>
      </c>
      <c r="V223" s="32" t="n">
        <v>-11.51</v>
      </c>
      <c r="W223" s="32" t="n">
        <v>2.96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Less than 1.5</t>
        </is>
      </c>
      <c r="BU223" s="31">
        <f>IF(BT223="Above 2",0,IF(BT223="Between 1.5 to 2",5,IF(BT223="Less than 1.5",10,0)))</f>
        <v/>
      </c>
      <c r="BV223" s="31" t="inlineStr">
        <is>
          <t>Between 50% to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IF(B224=0,"",RANK(B224,$B$2:$B$335,0))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BEPL</t>
        </is>
      </c>
      <c r="D224" s="33" t="inlineStr">
        <is>
          <t>Bhansali Engineering Polymers Limited</t>
        </is>
      </c>
      <c r="E224" s="31" t="inlineStr">
        <is>
          <t>energy</t>
        </is>
      </c>
      <c r="F224" s="31" t="inlineStr">
        <is>
          <t>petrochemicals</t>
        </is>
      </c>
      <c r="G224" s="31" t="inlineStr">
        <is>
          <t>smallcap</t>
        </is>
      </c>
      <c r="H224" s="32" t="n">
        <v>2690.16</v>
      </c>
      <c r="I224" s="32" t="n">
        <v>106.8</v>
      </c>
      <c r="J224" s="32" t="n">
        <v>-1.2</v>
      </c>
      <c r="K224" s="32" t="n">
        <v>843963</v>
      </c>
      <c r="L224" s="31" t="n">
        <v>12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64.92</v>
      </c>
      <c r="P224" s="32" t="n">
        <v>36.99</v>
      </c>
      <c r="Q224" s="32" t="n">
        <v>85.34999999999999</v>
      </c>
      <c r="R224" s="31" t="inlineStr">
        <is>
          <t>Near 52W High Breakout</t>
        </is>
      </c>
      <c r="S224" s="31" t="inlineStr">
        <is>
          <t>Nifty Energy</t>
        </is>
      </c>
      <c r="T224" s="32" t="n">
        <v>8.199999999999999</v>
      </c>
      <c r="U224" s="32" t="n">
        <v>-3.21</v>
      </c>
      <c r="V224" s="32" t="n">
        <v>-10.54</v>
      </c>
      <c r="W224" s="32" t="n">
        <v>2.27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Oligopoly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Cyclical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Volatile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IF(B225=0,"",RANK(B225,$B$2:$B$335,0))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GANDHAR</t>
        </is>
      </c>
      <c r="D225" s="31" t="inlineStr">
        <is>
          <t>Gandhar Oil Refinery (India) Ltd</t>
        </is>
      </c>
      <c r="E225" s="31" t="inlineStr">
        <is>
          <t>energy</t>
        </is>
      </c>
      <c r="F225" s="31" t="inlineStr">
        <is>
          <t>refineries</t>
        </is>
      </c>
      <c r="G225" s="31" t="inlineStr">
        <is>
          <t>smallcap</t>
        </is>
      </c>
      <c r="H225" s="32" t="n">
        <v>2017.49</v>
      </c>
      <c r="I225" s="32" t="n">
        <v>202.89</v>
      </c>
      <c r="J225" s="32" t="n">
        <v>-1.57</v>
      </c>
      <c r="K225" s="32" t="n">
        <v>461951</v>
      </c>
      <c r="L225" s="31" t="n">
        <v>63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71.61</v>
      </c>
      <c r="P225" s="32" t="n">
        <v>42.98</v>
      </c>
      <c r="Q225" s="32" t="n">
        <v>157.08</v>
      </c>
      <c r="R225" s="31" t="inlineStr">
        <is>
          <t>Near 52W High Breakout</t>
        </is>
      </c>
      <c r="S225" s="31" t="inlineStr">
        <is>
          <t>Nifty Energy</t>
        </is>
      </c>
      <c r="T225" s="32" t="n">
        <v>8.199999999999999</v>
      </c>
      <c r="U225" s="32" t="n">
        <v>21.33</v>
      </c>
      <c r="V225" s="32" t="n">
        <v>12.13</v>
      </c>
      <c r="W225" s="32" t="n">
        <v>13.14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Oligopoly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Yes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Cyclical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Volatile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Above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Between 50% to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IF(B226=0,"",RANK(B226,$B$2:$B$335,0))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AVANTEL</t>
        </is>
      </c>
      <c r="D226" s="31" t="inlineStr">
        <is>
          <t>Avantel Ltd</t>
        </is>
      </c>
      <c r="E226" s="31" t="inlineStr">
        <is>
          <t>aerospace &amp; defence</t>
        </is>
      </c>
      <c r="F226" s="31" t="inlineStr">
        <is>
          <t>telecommunications - equipment</t>
        </is>
      </c>
      <c r="G226" s="31" t="inlineStr">
        <is>
          <t>smallcap</t>
        </is>
      </c>
      <c r="H226" s="32" t="n">
        <v>4882.7</v>
      </c>
      <c r="I226" s="32" t="n">
        <v>180.24</v>
      </c>
      <c r="J226" s="32" t="n">
        <v>-1.92</v>
      </c>
      <c r="K226" s="32" t="n">
        <v>2998039</v>
      </c>
      <c r="L226" s="31" t="n">
        <v>38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59.3</v>
      </c>
      <c r="P226" s="32" t="n">
        <v>13.24</v>
      </c>
      <c r="Q226" s="32" t="n">
        <v>128.85</v>
      </c>
      <c r="R226" s="31" t="inlineStr">
        <is>
          <t>Volume Spike / Accumulation</t>
        </is>
      </c>
      <c r="S226" s="31" t="inlineStr">
        <is>
          <t>Nifty 50</t>
        </is>
      </c>
      <c r="T226" s="32" t="n">
        <v>-3.67</v>
      </c>
      <c r="U226" s="32" t="n">
        <v>19.42</v>
      </c>
      <c r="V226" s="32" t="n">
        <v>23.97</v>
      </c>
      <c r="W226" s="32" t="n">
        <v>7.36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Oligopoly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Yes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IF(B227=0,"",RANK(B227,$B$2:$B$335,0))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XPROINDIA</t>
        </is>
      </c>
      <c r="D227" s="31" t="inlineStr">
        <is>
          <t>Xpro India Limited</t>
        </is>
      </c>
      <c r="E227" s="31" t="inlineStr">
        <is>
          <t>industrials</t>
        </is>
      </c>
      <c r="F227" s="31" t="inlineStr">
        <is>
          <t>packaging</t>
        </is>
      </c>
      <c r="G227" s="31" t="inlineStr">
        <is>
          <t>smallcap</t>
        </is>
      </c>
      <c r="H227" s="32" t="n">
        <v>3347.82</v>
      </c>
      <c r="I227" s="32" t="n">
        <v>1396</v>
      </c>
      <c r="J227" s="32" t="n">
        <v>-2.13</v>
      </c>
      <c r="K227" s="32" t="n">
        <v>23044</v>
      </c>
      <c r="L227" s="31" t="n">
        <v>48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64.52</v>
      </c>
      <c r="P227" s="32" t="n">
        <v>38.48</v>
      </c>
      <c r="Q227" s="32" t="n">
        <v>1116.82</v>
      </c>
      <c r="R227" s="31" t="inlineStr">
        <is>
          <t>Earnings / Momentum Support</t>
        </is>
      </c>
      <c r="S227" s="31" t="inlineStr">
        <is>
          <t>Nifty 50</t>
        </is>
      </c>
      <c r="T227" s="32" t="n">
        <v>-3.67</v>
      </c>
      <c r="U227" s="32" t="n">
        <v>12.7</v>
      </c>
      <c r="V227" s="32" t="n">
        <v>16.99</v>
      </c>
      <c r="W227" s="32" t="n">
        <v>9.58</v>
      </c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Between 1.5 to 2</t>
        </is>
      </c>
      <c r="BU227" s="31">
        <f>IF(BT227="Above 2",0,IF(BT227="Between 1.5 to 2",5,IF(BT227="Less than 1.5",10,0)))</f>
        <v/>
      </c>
      <c r="BV227" s="31" t="inlineStr">
        <is>
          <t>Less than 50%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IF(B228=0,"",RANK(B228,$B$2:$B$335,0))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TPLPLASTEH</t>
        </is>
      </c>
      <c r="D228" s="31" t="inlineStr">
        <is>
          <t>Tpl Plastech Limited</t>
        </is>
      </c>
      <c r="E228" s="31" t="inlineStr">
        <is>
          <t>industrials</t>
        </is>
      </c>
      <c r="F228" s="31" t="inlineStr">
        <is>
          <t>packaging</t>
        </is>
      </c>
      <c r="G228" s="31" t="inlineStr">
        <is>
          <t>smallcap</t>
        </is>
      </c>
      <c r="H228" s="32" t="n">
        <v>645.3200000000001</v>
      </c>
      <c r="I228" s="32" t="n">
        <v>80.5</v>
      </c>
      <c r="J228" s="32" t="n">
        <v>-2.7</v>
      </c>
      <c r="K228" s="32" t="n">
        <v>126986</v>
      </c>
      <c r="L228" s="31" t="n">
        <v>17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59.65</v>
      </c>
      <c r="P228" s="32" t="n">
        <v>18.83</v>
      </c>
      <c r="Q228" s="32" t="n">
        <v>64.75</v>
      </c>
      <c r="R228" s="31" t="inlineStr">
        <is>
          <t>Earnings / Momentum Support</t>
        </is>
      </c>
      <c r="S228" s="31" t="inlineStr">
        <is>
          <t>Nifty 50</t>
        </is>
      </c>
      <c r="T228" s="32" t="n">
        <v>-3.67</v>
      </c>
      <c r="U228" s="32" t="n">
        <v>1.57</v>
      </c>
      <c r="V228" s="32" t="n">
        <v>5.44</v>
      </c>
      <c r="W228" s="32" t="n">
        <v>3.22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Between 12 to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IF(B229=0,"",RANK(B229,$B$2:$B$335,0))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3" t="inlineStr">
        <is>
          <t>POLYPLEX</t>
        </is>
      </c>
      <c r="D229" s="33" t="inlineStr">
        <is>
          <t>Polyplex Corporation Limited</t>
        </is>
      </c>
      <c r="E229" s="31" t="inlineStr">
        <is>
          <t>industrials</t>
        </is>
      </c>
      <c r="F229" s="31" t="inlineStr">
        <is>
          <t>packaging</t>
        </is>
      </c>
      <c r="G229" s="31" t="inlineStr">
        <is>
          <t>smallcap</t>
        </is>
      </c>
      <c r="H229" s="32" t="n">
        <v>3430.41</v>
      </c>
      <c r="I229" s="32" t="n">
        <v>1062.7</v>
      </c>
      <c r="J229" s="32" t="n">
        <v>-2.75</v>
      </c>
      <c r="K229" s="32" t="n">
        <v>64414</v>
      </c>
      <c r="L229" s="31" t="n">
        <v>18</v>
      </c>
      <c r="M229" s="31" t="inlineStr">
        <is>
          <t>Underperforming</t>
        </is>
      </c>
      <c r="N229" s="32">
        <f>IF(M229="Underperforming",-5,IF(L229&gt;=95,15,IF(L229&gt;=90,10,IF(L229&gt;=80,5,0))))</f>
        <v/>
      </c>
      <c r="O229" s="32" t="n">
        <v>66.19</v>
      </c>
      <c r="P229" s="32" t="n">
        <v>39.6</v>
      </c>
      <c r="Q229" s="32" t="n">
        <v>849.66</v>
      </c>
      <c r="R229" s="31" t="inlineStr">
        <is>
          <t>Earnings / Momentum Support</t>
        </is>
      </c>
      <c r="S229" s="31" t="inlineStr">
        <is>
          <t>Nifty 50</t>
        </is>
      </c>
      <c r="T229" s="32" t="n">
        <v>-3.67</v>
      </c>
      <c r="U229" s="32" t="n">
        <v>-5.74</v>
      </c>
      <c r="V229" s="32" t="n">
        <v>-2.14</v>
      </c>
      <c r="W229" s="32" t="n">
        <v>3.56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IF(B230=0,"",RANK(B230,$B$2:$B$335,0))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ARROWGREEN</t>
        </is>
      </c>
      <c r="D230" s="31" t="inlineStr">
        <is>
          <t>Arrow Greentech Limited</t>
        </is>
      </c>
      <c r="E230" s="31" t="inlineStr">
        <is>
          <t>plastic products</t>
        </is>
      </c>
      <c r="F230" s="31" t="inlineStr">
        <is>
          <t>plastics products</t>
        </is>
      </c>
      <c r="G230" s="31" t="inlineStr">
        <is>
          <t>smallcap</t>
        </is>
      </c>
      <c r="H230" s="32" t="n">
        <v>1049.67</v>
      </c>
      <c r="I230" s="32" t="n">
        <v>672</v>
      </c>
      <c r="J230" s="32" t="n">
        <v>-3.41</v>
      </c>
      <c r="K230" s="32" t="n">
        <v>16716</v>
      </c>
      <c r="L230" s="31" t="n">
        <v>33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64.81</v>
      </c>
      <c r="P230" s="32" t="n">
        <v>24.87</v>
      </c>
      <c r="Q230" s="32" t="n">
        <v>492.14</v>
      </c>
      <c r="R230" s="31" t="inlineStr">
        <is>
          <t>Earnings / Momentum Support</t>
        </is>
      </c>
      <c r="S230" s="31" t="inlineStr">
        <is>
          <t>Nifty 50</t>
        </is>
      </c>
      <c r="T230" s="32" t="n">
        <v>-3.67</v>
      </c>
      <c r="U230" s="32" t="n">
        <v>3.08</v>
      </c>
      <c r="V230" s="32" t="n">
        <v>7.01</v>
      </c>
      <c r="W230" s="32" t="n">
        <v>6.21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Between 50% to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IF(B231=0,"",RANK(B231,$B$2:$B$335,0))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ONMOBILE</t>
        </is>
      </c>
      <c r="D231" s="31" t="inlineStr">
        <is>
          <t>Onmobile Global Limited</t>
        </is>
      </c>
      <c r="E231" s="31" t="inlineStr">
        <is>
          <t>telecom-service</t>
        </is>
      </c>
      <c r="F231" s="31" t="inlineStr">
        <is>
          <t>telecommunications - service provider</t>
        </is>
      </c>
      <c r="G231" s="31" t="inlineStr">
        <is>
          <t>smallcap</t>
        </is>
      </c>
      <c r="H231" s="32" t="n">
        <v>756.37</v>
      </c>
      <c r="I231" s="32" t="n">
        <v>68.65000000000001</v>
      </c>
      <c r="J231" s="32" t="n">
        <v>-3.5</v>
      </c>
      <c r="K231" s="32" t="n">
        <v>55716</v>
      </c>
      <c r="L231" s="31" t="n">
        <v>73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61.82</v>
      </c>
      <c r="P231" s="32" t="n">
        <v>26.78</v>
      </c>
      <c r="Q231" s="32" t="n">
        <v>58.69</v>
      </c>
      <c r="R231" s="31" t="inlineStr">
        <is>
          <t>Earnings / Momentum Support</t>
        </is>
      </c>
      <c r="S231" s="31" t="inlineStr">
        <is>
          <t>Nifty 50</t>
        </is>
      </c>
      <c r="T231" s="32" t="n">
        <v>-3.67</v>
      </c>
      <c r="U231" s="32" t="n">
        <v>25.65</v>
      </c>
      <c r="V231" s="32" t="n">
        <v>30.44</v>
      </c>
      <c r="W231" s="32" t="n">
        <v>16.66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Oligopoly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Yes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Less than 1.5</t>
        </is>
      </c>
      <c r="BU231" s="31">
        <f>IF(BT231="Above 2",0,IF(BT231="Between 1.5 to 2",5,IF(BT231="Less than 1.5",10,0)))</f>
        <v/>
      </c>
      <c r="BV231" s="31" t="inlineStr">
        <is>
          <t>Negative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IF(B232=0,"",RANK(B232,$B$2:$B$335,0))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LLOYDSENGG</t>
        </is>
      </c>
      <c r="D232" s="31" t="inlineStr">
        <is>
          <t>Lloyds Engineering Works Ltd</t>
        </is>
      </c>
      <c r="E232" s="31" t="inlineStr">
        <is>
          <t>industrials</t>
        </is>
      </c>
      <c r="F232" s="31" t="inlineStr">
        <is>
          <t>engineering</t>
        </is>
      </c>
      <c r="G232" s="31" t="inlineStr">
        <is>
          <t>midcap</t>
        </is>
      </c>
      <c r="H232" s="32" t="n">
        <v>13444.05</v>
      </c>
      <c r="I232" s="32" t="n">
        <v>87.63</v>
      </c>
      <c r="J232" s="32" t="n">
        <v>-3.51</v>
      </c>
      <c r="K232" s="32" t="n">
        <v>7363016</v>
      </c>
      <c r="L232" s="31" t="n">
        <v>75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70.87</v>
      </c>
      <c r="P232" s="32" t="n">
        <v>37.47</v>
      </c>
      <c r="Q232" s="32" t="n">
        <v>67.77</v>
      </c>
      <c r="R232" s="31" t="inlineStr">
        <is>
          <t>Near 52W High Breakout</t>
        </is>
      </c>
      <c r="S232" s="31" t="inlineStr">
        <is>
          <t>Nifty 50</t>
        </is>
      </c>
      <c r="T232" s="32" t="n">
        <v>-3.67</v>
      </c>
      <c r="U232" s="32" t="n">
        <v>16.38</v>
      </c>
      <c r="V232" s="32" t="n">
        <v>20.82</v>
      </c>
      <c r="W232" s="32" t="n">
        <v>17.76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Negative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IF(B233=0,"",RANK(B233,$B$2:$B$335,0))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DIVISLAB</t>
        </is>
      </c>
      <c r="D233" s="33" t="inlineStr">
        <is>
          <t>Divi's Laboratories Limited</t>
        </is>
      </c>
      <c r="E233" s="31" t="inlineStr">
        <is>
          <t>healthcare</t>
        </is>
      </c>
      <c r="F233" s="31" t="inlineStr">
        <is>
          <t>pharmaceuticals - indian - bulk drugs</t>
        </is>
      </c>
      <c r="G233" s="31" t="inlineStr">
        <is>
          <t>largecap</t>
        </is>
      </c>
      <c r="H233" s="32" t="n">
        <v>184195.37</v>
      </c>
      <c r="I233" s="32" t="n">
        <v>7188.5</v>
      </c>
      <c r="J233" s="32" t="n">
        <v>3.6</v>
      </c>
      <c r="K233" s="32" t="n">
        <v>1093246</v>
      </c>
      <c r="L233" s="31" t="n">
        <v>24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69.20999999999999</v>
      </c>
      <c r="P233" s="32" t="n">
        <v>17.69</v>
      </c>
      <c r="Q233" s="32" t="n">
        <v>6261.49</v>
      </c>
      <c r="R233" s="31" t="inlineStr">
        <is>
          <t>Near 52W High Breakout</t>
        </is>
      </c>
      <c r="S233" s="31" t="inlineStr">
        <is>
          <t>Nifty Pharma</t>
        </is>
      </c>
      <c r="T233" s="32" t="n">
        <v>14.67</v>
      </c>
      <c r="U233" s="32" t="n">
        <v>7.28</v>
      </c>
      <c r="V233" s="32" t="n">
        <v>-6.45</v>
      </c>
      <c r="W233" s="32" t="n">
        <v>4.74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Yes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Between 12 to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IF(B234=0,"",RANK(B234,$B$2:$B$335,0))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JLHL</t>
        </is>
      </c>
      <c r="D234" s="33" t="inlineStr">
        <is>
          <t>Jupiter Life Line Hospitals Ltd</t>
        </is>
      </c>
      <c r="E234" s="31" t="inlineStr">
        <is>
          <t>healthcare</t>
        </is>
      </c>
      <c r="F234" s="31" t="inlineStr">
        <is>
          <t>healthcare</t>
        </is>
      </c>
      <c r="G234" s="31" t="inlineStr">
        <is>
          <t>midcap</t>
        </is>
      </c>
      <c r="H234" s="32" t="n">
        <v>9596.9</v>
      </c>
      <c r="I234" s="32" t="n">
        <v>1485</v>
      </c>
      <c r="J234" s="32" t="n">
        <v>1.46</v>
      </c>
      <c r="K234" s="32" t="n">
        <v>22110</v>
      </c>
      <c r="L234" s="31" t="n">
        <v>18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66.84</v>
      </c>
      <c r="P234" s="32" t="n">
        <v>20.98</v>
      </c>
      <c r="Q234" s="32" t="n">
        <v>1257.74</v>
      </c>
      <c r="R234" s="31" t="inlineStr">
        <is>
          <t>Earnings / Momentum Support</t>
        </is>
      </c>
      <c r="S234" s="31" t="inlineStr">
        <is>
          <t>Nifty Pharma</t>
        </is>
      </c>
      <c r="T234" s="32" t="n">
        <v>14.67</v>
      </c>
      <c r="U234" s="32" t="n">
        <v>-0.37</v>
      </c>
      <c r="V234" s="32" t="n">
        <v>-13.11</v>
      </c>
      <c r="W234" s="32" t="n">
        <v>3.53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Yes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Between 12 to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IF(B235=0,"",RANK(B235,$B$2:$B$335,0))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TORNTPHARM</t>
        </is>
      </c>
      <c r="D235" s="31" t="inlineStr">
        <is>
          <t>Torrent Pharmaceuticals Limited</t>
        </is>
      </c>
      <c r="E235" s="31" t="inlineStr">
        <is>
          <t>healthcare</t>
        </is>
      </c>
      <c r="F235" s="31" t="inlineStr">
        <is>
          <t>pharmaceuticals - indian - formulations</t>
        </is>
      </c>
      <c r="G235" s="31" t="inlineStr">
        <is>
          <t>largecap</t>
        </is>
      </c>
      <c r="H235" s="32" t="n">
        <v>167567.72</v>
      </c>
      <c r="I235" s="32" t="n">
        <v>4973.5</v>
      </c>
      <c r="J235" s="32" t="n">
        <v>0.45</v>
      </c>
      <c r="K235" s="32" t="n">
        <v>794165</v>
      </c>
      <c r="L235" s="31" t="n">
        <v>57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74.5</v>
      </c>
      <c r="P235" s="32" t="n">
        <v>35.08</v>
      </c>
      <c r="Q235" s="32" t="n">
        <v>4322.02</v>
      </c>
      <c r="R235" s="31" t="inlineStr">
        <is>
          <t>Near 52W High Breakout</t>
        </is>
      </c>
      <c r="S235" s="31" t="inlineStr">
        <is>
          <t>Nifty Pharma</t>
        </is>
      </c>
      <c r="T235" s="32" t="n">
        <v>14.67</v>
      </c>
      <c r="U235" s="32" t="n">
        <v>42.49</v>
      </c>
      <c r="V235" s="32" t="n">
        <v>24.26</v>
      </c>
      <c r="W235" s="32" t="n">
        <v>11.42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Yes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Annuity, Lower One Time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Between 50% to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Between 0.7 to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IF(B236=0,"",RANK(B236,$B$2:$B$335,0))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AVADHSUGAR</t>
        </is>
      </c>
      <c r="D236" s="31" t="inlineStr">
        <is>
          <t>Avadh Sugar &amp; Energy</t>
        </is>
      </c>
      <c r="E236" s="31" t="inlineStr">
        <is>
          <t>fmcg</t>
        </is>
      </c>
      <c r="F236" s="31" t="inlineStr">
        <is>
          <t>sugar</t>
        </is>
      </c>
      <c r="G236" s="31" t="inlineStr">
        <is>
          <t>smallcap</t>
        </is>
      </c>
      <c r="H236" s="32" t="n">
        <v>1079.49</v>
      </c>
      <c r="I236" s="32" t="n">
        <v>539.3</v>
      </c>
      <c r="J236" s="32" t="n">
        <v>0.01</v>
      </c>
      <c r="K236" s="32" t="n">
        <v>19665</v>
      </c>
      <c r="L236" s="31" t="n">
        <v>37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69.45</v>
      </c>
      <c r="P236" s="32" t="n">
        <v>34.29</v>
      </c>
      <c r="Q236" s="32" t="n">
        <v>414.23</v>
      </c>
      <c r="R236" s="31" t="inlineStr">
        <is>
          <t>Near 52W High Breakout</t>
        </is>
      </c>
      <c r="S236" s="31" t="inlineStr">
        <is>
          <t>Nifty FMCG</t>
        </is>
      </c>
      <c r="T236" s="32" t="n">
        <v>-14.13</v>
      </c>
      <c r="U236" s="32" t="n">
        <v>9.93</v>
      </c>
      <c r="V236" s="32" t="n">
        <v>28.01</v>
      </c>
      <c r="W236" s="32" t="n">
        <v>7.07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B2C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Annuity, Lower One Time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Less than 12%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Between 50% to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More than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IF(B237=0,"",RANK(B237,$B$2:$B$335,0))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MAHLOG</t>
        </is>
      </c>
      <c r="D237" s="31" t="inlineStr">
        <is>
          <t>Mahindra Logistics Ltd</t>
        </is>
      </c>
      <c r="E237" s="31" t="inlineStr">
        <is>
          <t>transportation</t>
        </is>
      </c>
      <c r="F237" s="31" t="inlineStr">
        <is>
          <t>miscellaneous</t>
        </is>
      </c>
      <c r="G237" s="31" t="inlineStr">
        <is>
          <t>smallcap</t>
        </is>
      </c>
      <c r="H237" s="32" t="n">
        <v>3797.74</v>
      </c>
      <c r="I237" s="32" t="n">
        <v>393.7</v>
      </c>
      <c r="J237" s="32" t="n">
        <v>2.86</v>
      </c>
      <c r="K237" s="32" t="n">
        <v>238650</v>
      </c>
      <c r="L237" s="31" t="n">
        <v>9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57.38</v>
      </c>
      <c r="P237" s="32" t="n">
        <v>19.15</v>
      </c>
      <c r="Q237" s="32" t="n">
        <v>335.83</v>
      </c>
      <c r="R237" s="31" t="inlineStr">
        <is>
          <t>Earnings / Momentum Support</t>
        </is>
      </c>
      <c r="S237" s="31" t="inlineStr">
        <is>
          <t>Nifty 50</t>
        </is>
      </c>
      <c r="T237" s="32" t="n">
        <v>-3.67</v>
      </c>
      <c r="U237" s="32" t="n">
        <v>5.35</v>
      </c>
      <c r="V237" s="32" t="n">
        <v>9.359999999999999</v>
      </c>
      <c r="W237" s="32" t="n">
        <v>1.25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IF(B238=0,"",RANK(B238,$B$2:$B$335,0))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3" t="inlineStr">
        <is>
          <t>SHYAMMETL</t>
        </is>
      </c>
      <c r="D238" s="33" t="inlineStr">
        <is>
          <t>Shyam Metalics &amp; Energy Ltd</t>
        </is>
      </c>
      <c r="E238" s="31" t="inlineStr">
        <is>
          <t>metals &amp; mining</t>
        </is>
      </c>
      <c r="F238" s="31" t="inlineStr">
        <is>
          <t>steel - large</t>
        </is>
      </c>
      <c r="G238" s="31" t="inlineStr">
        <is>
          <t>largecap</t>
        </is>
      </c>
      <c r="H238" s="32" t="n">
        <v>28732.44</v>
      </c>
      <c r="I238" s="32" t="n">
        <v>1035.95</v>
      </c>
      <c r="J238" s="32" t="n">
        <v>0.64</v>
      </c>
      <c r="K238" s="32" t="n">
        <v>678871</v>
      </c>
      <c r="L238" s="31" t="n">
        <v>37</v>
      </c>
      <c r="M238" s="31" t="inlineStr">
        <is>
          <t>Underperforming</t>
        </is>
      </c>
      <c r="N238" s="32">
        <f>IF(M238="Underperforming",-5,IF(L238&gt;=95,15,IF(L238&gt;=90,10,IF(L238&gt;=80,5,0))))</f>
        <v/>
      </c>
      <c r="O238" s="32" t="n">
        <v>66.39</v>
      </c>
      <c r="P238" s="32" t="n">
        <v>15.89</v>
      </c>
      <c r="Q238" s="32" t="n">
        <v>851.13</v>
      </c>
      <c r="R238" s="31" t="inlineStr">
        <is>
          <t>Near 52W High Breakout</t>
        </is>
      </c>
      <c r="S238" s="31" t="inlineStr">
        <is>
          <t>Nifty Metal</t>
        </is>
      </c>
      <c r="T238" s="32" t="n">
        <v>34.04</v>
      </c>
      <c r="U238" s="32" t="n">
        <v>14.21</v>
      </c>
      <c r="V238" s="32" t="n">
        <v>-14.8</v>
      </c>
      <c r="W238" s="32" t="n">
        <v>7.16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Cyclical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Volatile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Blue sky scenario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IF(B239=0,"",RANK(B239,$B$2:$B$335,0))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MMFL</t>
        </is>
      </c>
      <c r="D239" s="31" t="inlineStr">
        <is>
          <t>Mm Forgings Limited</t>
        </is>
      </c>
      <c r="E239" s="31" t="inlineStr">
        <is>
          <t>industrials</t>
        </is>
      </c>
      <c r="F239" s="31" t="inlineStr">
        <is>
          <t>castings &amp; forgings</t>
        </is>
      </c>
      <c r="G239" s="31" t="inlineStr">
        <is>
          <t>smallcap</t>
        </is>
      </c>
      <c r="H239" s="32" t="n">
        <v>2493.26</v>
      </c>
      <c r="I239" s="32" t="n">
        <v>516</v>
      </c>
      <c r="J239" s="32" t="n">
        <v>-0.08</v>
      </c>
      <c r="K239" s="32" t="n">
        <v>136997</v>
      </c>
      <c r="L239" s="31" t="n">
        <v>56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65.84</v>
      </c>
      <c r="P239" s="32" t="n">
        <v>17.08</v>
      </c>
      <c r="Q239" s="32" t="n">
        <v>400.12</v>
      </c>
      <c r="R239" s="31" t="inlineStr">
        <is>
          <t>Near 52W High Breakout</t>
        </is>
      </c>
      <c r="S239" s="31" t="inlineStr">
        <is>
          <t>Nifty 50</t>
        </is>
      </c>
      <c r="T239" s="32" t="n">
        <v>-3.67</v>
      </c>
      <c r="U239" s="32" t="n">
        <v>40.2</v>
      </c>
      <c r="V239" s="32" t="n">
        <v>45.55</v>
      </c>
      <c r="W239" s="32" t="n">
        <v>11.25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More than 1.2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IF(B240=0,"",RANK(B240,$B$2:$B$335,0))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MUNJALSHOW</t>
        </is>
      </c>
      <c r="D240" s="33" t="inlineStr">
        <is>
          <t>Munjal Showa Limited</t>
        </is>
      </c>
      <c r="E240" s="31" t="inlineStr">
        <is>
          <t>auto</t>
        </is>
      </c>
      <c r="F240" s="31" t="inlineStr">
        <is>
          <t>auto ancillaries</t>
        </is>
      </c>
      <c r="G240" s="31" t="inlineStr">
        <is>
          <t>smallcap</t>
        </is>
      </c>
      <c r="H240" s="32" t="n">
        <v>537.85</v>
      </c>
      <c r="I240" s="32" t="n">
        <v>133.65</v>
      </c>
      <c r="J240" s="32" t="n">
        <v>-0.62</v>
      </c>
      <c r="K240" s="32" t="n">
        <v>24718</v>
      </c>
      <c r="L240" s="31" t="n">
        <v>4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54.97</v>
      </c>
      <c r="P240" s="32" t="n">
        <v>25.35</v>
      </c>
      <c r="Q240" s="32" t="n">
        <v>116</v>
      </c>
      <c r="R240" s="31" t="inlineStr">
        <is>
          <t>Earnings / Momentum Support</t>
        </is>
      </c>
      <c r="S240" s="31" t="inlineStr">
        <is>
          <t>Nifty Auto</t>
        </is>
      </c>
      <c r="T240" s="32" t="n">
        <v>11.1</v>
      </c>
      <c r="U240" s="32" t="n">
        <v>-8.75</v>
      </c>
      <c r="V240" s="32" t="n">
        <v>-17.87</v>
      </c>
      <c r="W240" s="32" t="n">
        <v>-0.62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Between 1.5 to 2</t>
        </is>
      </c>
      <c r="BU240" s="31">
        <f>IF(BT240="Above 2",0,IF(BT240="Between 1.5 to 2",5,IF(BT240="Less than 1.5",10,0)))</f>
        <v/>
      </c>
      <c r="BV240" s="31" t="inlineStr">
        <is>
          <t>Negative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IF(B241=0,"",RANK(B241,$B$2:$B$335,0))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HONAUT</t>
        </is>
      </c>
      <c r="D241" s="33" t="inlineStr">
        <is>
          <t>Honeywell Automation India Limited</t>
        </is>
      </c>
      <c r="E241" s="31" t="inlineStr">
        <is>
          <t>consumer discretionary</t>
        </is>
      </c>
      <c r="F241" s="31" t="inlineStr">
        <is>
          <t>electronics - components</t>
        </is>
      </c>
      <c r="G241" s="31" t="inlineStr">
        <is>
          <t>largecap</t>
        </is>
      </c>
      <c r="H241" s="32" t="n">
        <v>33787.88</v>
      </c>
      <c r="I241" s="32" t="n">
        <v>37960</v>
      </c>
      <c r="J241" s="32" t="n">
        <v>-0.67</v>
      </c>
      <c r="K241" s="32" t="n">
        <v>3194</v>
      </c>
      <c r="L241" s="31" t="n">
        <v>13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61.48</v>
      </c>
      <c r="P241" s="32" t="n">
        <v>19.07</v>
      </c>
      <c r="Q241" s="32" t="n">
        <v>32973.58</v>
      </c>
      <c r="R241" s="31" t="inlineStr">
        <is>
          <t>Near 52W High Breakout</t>
        </is>
      </c>
      <c r="S241" s="31" t="inlineStr">
        <is>
          <t>Nifty 50</t>
        </is>
      </c>
      <c r="T241" s="32" t="n">
        <v>-3.67</v>
      </c>
      <c r="U241" s="32" t="n">
        <v>-5.96</v>
      </c>
      <c r="V241" s="32" t="n">
        <v>-2.37</v>
      </c>
      <c r="W241" s="32" t="n">
        <v>2.39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Between 12 to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IF(B242=0,"",RANK(B242,$B$2:$B$335,0))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SUYOG</t>
        </is>
      </c>
      <c r="D242" s="31" t="inlineStr">
        <is>
          <t>Suyog Telematics Ltd</t>
        </is>
      </c>
      <c r="E242" s="31" t="inlineStr">
        <is>
          <t>telecom</t>
        </is>
      </c>
      <c r="F242" s="31" t="inlineStr">
        <is>
          <t>transmisson line towers / equipment</t>
        </is>
      </c>
      <c r="G242" s="31" t="inlineStr">
        <is>
          <t>smallcap</t>
        </is>
      </c>
      <c r="H242" s="32" t="n">
        <v>1023.78</v>
      </c>
      <c r="I242" s="32" t="n">
        <v>867.25</v>
      </c>
      <c r="J242" s="32" t="n">
        <v>-0.74</v>
      </c>
      <c r="K242" s="32" t="n">
        <v>52714</v>
      </c>
      <c r="L242" s="31" t="n">
        <v>20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59.7</v>
      </c>
      <c r="P242" s="32" t="n">
        <v>17.28</v>
      </c>
      <c r="Q242" s="32" t="n">
        <v>641.96</v>
      </c>
      <c r="R242" s="31" t="inlineStr">
        <is>
          <t>Near 52W High Breakout</t>
        </is>
      </c>
      <c r="S242" s="31" t="inlineStr">
        <is>
          <t>Nifty 50</t>
        </is>
      </c>
      <c r="T242" s="32" t="n">
        <v>-3.67</v>
      </c>
      <c r="U242" s="32" t="n">
        <v>-0.45</v>
      </c>
      <c r="V242" s="32" t="n">
        <v>3.34</v>
      </c>
      <c r="W242" s="32" t="n">
        <v>3.99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Oligopoly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Yes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Less than 50%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Between 0.7 to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IF(B243=0,"",RANK(B243,$B$2:$B$335,0))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SENCO</t>
        </is>
      </c>
      <c r="D243" s="31" t="inlineStr">
        <is>
          <t>Senco Gold Ltd</t>
        </is>
      </c>
      <c r="E243" s="31" t="inlineStr">
        <is>
          <t>consumer discretionary</t>
        </is>
      </c>
      <c r="F243" s="31" t="inlineStr">
        <is>
          <t>diamond cutting / jewellery</t>
        </is>
      </c>
      <c r="G243" s="31" t="inlineStr">
        <is>
          <t>midcap</t>
        </is>
      </c>
      <c r="H243" s="32" t="n">
        <v>6241.03</v>
      </c>
      <c r="I243" s="32" t="n">
        <v>377.85</v>
      </c>
      <c r="J243" s="32" t="n">
        <v>-0.83</v>
      </c>
      <c r="K243" s="32" t="n">
        <v>2601503</v>
      </c>
      <c r="L243" s="31" t="n">
        <v>21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61.2</v>
      </c>
      <c r="P243" s="32" t="n">
        <v>25.06</v>
      </c>
      <c r="Q243" s="32" t="n">
        <v>287.09</v>
      </c>
      <c r="R243" s="31" t="inlineStr">
        <is>
          <t>Near 52W High Breakout</t>
        </is>
      </c>
      <c r="S243" s="31" t="inlineStr">
        <is>
          <t>Nifty 50</t>
        </is>
      </c>
      <c r="T243" s="32" t="n">
        <v>-3.67</v>
      </c>
      <c r="U243" s="32" t="n">
        <v>2.69</v>
      </c>
      <c r="V243" s="32" t="n">
        <v>6.61</v>
      </c>
      <c r="W243" s="32" t="n">
        <v>4.16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Yes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Negative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Between 0.7 to 1.2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IF(B244=0,"",RANK(B244,$B$2:$B$335,0))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SETL</t>
        </is>
      </c>
      <c r="D244" s="31" t="inlineStr">
        <is>
          <t>Standard Enginnering Technology Ltd</t>
        </is>
      </c>
      <c r="E244" s="31" t="inlineStr">
        <is>
          <t>industrials</t>
        </is>
      </c>
      <c r="F244" s="31" t="inlineStr">
        <is>
          <t>engineering</t>
        </is>
      </c>
      <c r="G244" s="31" t="inlineStr">
        <is>
          <t>midcap</t>
        </is>
      </c>
      <c r="H244" s="32" t="n">
        <v>5536.89</v>
      </c>
      <c r="I244" s="32" t="n">
        <v>273.85</v>
      </c>
      <c r="J244" s="32" t="n">
        <v>-1.33</v>
      </c>
      <c r="K244" s="32" t="n">
        <v>1344940</v>
      </c>
      <c r="L244" s="31" t="n">
        <v>92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78.70999999999999</v>
      </c>
      <c r="P244" s="32" t="n">
        <v>29.49</v>
      </c>
      <c r="Q244" s="32" t="n">
        <v>217.02</v>
      </c>
      <c r="R244" s="31" t="inlineStr">
        <is>
          <t>Earnings / Momentum Support</t>
        </is>
      </c>
      <c r="S244" s="31" t="inlineStr">
        <is>
          <t>Nifty 50</t>
        </is>
      </c>
      <c r="T244" s="32" t="n">
        <v>-3.67</v>
      </c>
      <c r="U244" s="32" t="n">
        <v>48.82</v>
      </c>
      <c r="V244" s="32" t="n">
        <v>54.49</v>
      </c>
      <c r="W244" s="32" t="n">
        <v>35.26</v>
      </c>
      <c r="X244" s="31" t="inlineStr">
        <is>
          <t>Cyclical in an Upturn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Above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Less than 50%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IF(B245=0,"",RANK(B245,$B$2:$B$335,0))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BHAGCHEM</t>
        </is>
      </c>
      <c r="D245" s="33" t="inlineStr">
        <is>
          <t>Bhagiradha Chemicals &amp; Industries Ltd</t>
        </is>
      </c>
      <c r="E245" s="31" t="inlineStr">
        <is>
          <t>chemicals</t>
        </is>
      </c>
      <c r="F245" s="31" t="inlineStr">
        <is>
          <t>pesticides / agrochemicals - indian</t>
        </is>
      </c>
      <c r="G245" s="31" t="inlineStr">
        <is>
          <t>smallcap</t>
        </is>
      </c>
      <c r="H245" s="32" t="n">
        <v>3810.33</v>
      </c>
      <c r="I245" s="32" t="n">
        <v>289.9</v>
      </c>
      <c r="J245" s="32" t="n">
        <v>-1.34</v>
      </c>
      <c r="K245" s="32" t="n">
        <v>80911</v>
      </c>
      <c r="L245" s="31" t="n">
        <v>29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63.13</v>
      </c>
      <c r="P245" s="32" t="n">
        <v>25.89</v>
      </c>
      <c r="Q245" s="32" t="n">
        <v>224.34</v>
      </c>
      <c r="R245" s="31" t="inlineStr">
        <is>
          <t>Earnings / Momentum Support</t>
        </is>
      </c>
      <c r="S245" s="31" t="inlineStr">
        <is>
          <t>Nifty 50</t>
        </is>
      </c>
      <c r="T245" s="32" t="n">
        <v>-3.67</v>
      </c>
      <c r="U245" s="32" t="n">
        <v>-5.79</v>
      </c>
      <c r="V245" s="32" t="n">
        <v>-2.2</v>
      </c>
      <c r="W245" s="32" t="n">
        <v>5.58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Less than 50%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IF(B246=0,"",RANK(B246,$B$2:$B$335,0))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MACPOWER</t>
        </is>
      </c>
      <c r="D246" s="31" t="inlineStr">
        <is>
          <t>Macpower CNC Machines Ltd</t>
        </is>
      </c>
      <c r="E246" s="31" t="inlineStr">
        <is>
          <t>industrials</t>
        </is>
      </c>
      <c r="F246" s="31" t="inlineStr">
        <is>
          <t>engineering</t>
        </is>
      </c>
      <c r="G246" s="31" t="inlineStr">
        <is>
          <t>smallcap</t>
        </is>
      </c>
      <c r="H246" s="32" t="n">
        <v>1347.56</v>
      </c>
      <c r="I246" s="32" t="n">
        <v>1326.3</v>
      </c>
      <c r="J246" s="32" t="n">
        <v>-1.54</v>
      </c>
      <c r="K246" s="32" t="n">
        <v>11576</v>
      </c>
      <c r="L246" s="31" t="n">
        <v>54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62.5</v>
      </c>
      <c r="P246" s="32" t="n">
        <v>28.33</v>
      </c>
      <c r="Q246" s="32" t="n">
        <v>1002.39</v>
      </c>
      <c r="R246" s="31" t="inlineStr">
        <is>
          <t>Earnings / Momentum Support</t>
        </is>
      </c>
      <c r="S246" s="31" t="inlineStr">
        <is>
          <t>Nifty 50</t>
        </is>
      </c>
      <c r="T246" s="32" t="n">
        <v>-3.67</v>
      </c>
      <c r="U246" s="32" t="n">
        <v>23.94</v>
      </c>
      <c r="V246" s="32" t="n">
        <v>28.66</v>
      </c>
      <c r="W246" s="32" t="n">
        <v>10.78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Between 12 to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Less than 50%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IF(B247=0,"",RANK(B247,$B$2:$B$335,0))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PRESTIGE</t>
        </is>
      </c>
      <c r="D247" s="31" t="inlineStr">
        <is>
          <t>Prestige Estates Projects Limited</t>
        </is>
      </c>
      <c r="E247" s="31" t="inlineStr">
        <is>
          <t>realty</t>
        </is>
      </c>
      <c r="F247" s="31" t="inlineStr">
        <is>
          <t>construction</t>
        </is>
      </c>
      <c r="G247" s="31" t="inlineStr">
        <is>
          <t>largecap</t>
        </is>
      </c>
      <c r="H247" s="32" t="n">
        <v>74270.81</v>
      </c>
      <c r="I247" s="32" t="n">
        <v>1693.6</v>
      </c>
      <c r="J247" s="32" t="n">
        <v>-1.78</v>
      </c>
      <c r="K247" s="32" t="n">
        <v>872612</v>
      </c>
      <c r="L247" s="31" t="n">
        <v>25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63.2</v>
      </c>
      <c r="P247" s="32" t="n">
        <v>13.26</v>
      </c>
      <c r="Q247" s="32" t="n">
        <v>1401.78</v>
      </c>
      <c r="R247" s="31" t="inlineStr">
        <is>
          <t>Near 52W High Breakout</t>
        </is>
      </c>
      <c r="S247" s="31" t="inlineStr">
        <is>
          <t>Nifty Realty</t>
        </is>
      </c>
      <c r="T247" s="32" t="n">
        <v>-8.130000000000001</v>
      </c>
      <c r="U247" s="32" t="n">
        <v>-4.86</v>
      </c>
      <c r="V247" s="32" t="n">
        <v>3.55</v>
      </c>
      <c r="W247" s="32" t="n">
        <v>4.77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IF(B248=0,"",RANK(B248,$B$2:$B$335,0))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GODREJPROP</t>
        </is>
      </c>
      <c r="D248" s="33" t="inlineStr">
        <is>
          <t>Godrej Properties Limited</t>
        </is>
      </c>
      <c r="E248" s="31" t="inlineStr">
        <is>
          <t>realty</t>
        </is>
      </c>
      <c r="F248" s="31" t="inlineStr">
        <is>
          <t>construction</t>
        </is>
      </c>
      <c r="G248" s="31" t="inlineStr">
        <is>
          <t>largecap</t>
        </is>
      </c>
      <c r="H248" s="32" t="n">
        <v>65138.88</v>
      </c>
      <c r="I248" s="32" t="n">
        <v>2107.4</v>
      </c>
      <c r="J248" s="32" t="n">
        <v>-2.55</v>
      </c>
      <c r="K248" s="32" t="n">
        <v>936136</v>
      </c>
      <c r="L248" s="31" t="n">
        <v>13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63.04</v>
      </c>
      <c r="P248" s="32" t="n">
        <v>9.07</v>
      </c>
      <c r="Q248" s="32" t="n">
        <v>1729.73</v>
      </c>
      <c r="R248" s="31" t="inlineStr">
        <is>
          <t>Earnings / Momentum Support</t>
        </is>
      </c>
      <c r="S248" s="31" t="inlineStr">
        <is>
          <t>Nifty Realty</t>
        </is>
      </c>
      <c r="T248" s="32" t="n">
        <v>-8.130000000000001</v>
      </c>
      <c r="U248" s="32" t="n">
        <v>-10.91</v>
      </c>
      <c r="V248" s="32" t="n">
        <v>-3.03</v>
      </c>
      <c r="W248" s="32" t="n">
        <v>2.35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Between 0.7 to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IF(B249=0,"",RANK(B249,$B$2:$B$335,0))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KIRLOSENG</t>
        </is>
      </c>
      <c r="D249" s="31" t="inlineStr">
        <is>
          <t>Kirloskar Oil Engines Limited</t>
        </is>
      </c>
      <c r="E249" s="31" t="inlineStr">
        <is>
          <t>industrials</t>
        </is>
      </c>
      <c r="F249" s="31" t="inlineStr">
        <is>
          <t>engines</t>
        </is>
      </c>
      <c r="G249" s="31" t="inlineStr">
        <is>
          <t>largecap</t>
        </is>
      </c>
      <c r="H249" s="32" t="n">
        <v>35412.41</v>
      </c>
      <c r="I249" s="32" t="n">
        <v>2362.3</v>
      </c>
      <c r="J249" s="32" t="n">
        <v>-3.03</v>
      </c>
      <c r="K249" s="32" t="n">
        <v>401455</v>
      </c>
      <c r="L249" s="31" t="n">
        <v>89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69.36</v>
      </c>
      <c r="P249" s="32" t="n">
        <v>50.57</v>
      </c>
      <c r="Q249" s="32" t="n">
        <v>1889.09</v>
      </c>
      <c r="R249" s="31" t="inlineStr">
        <is>
          <t>Earnings / Momentum Support</t>
        </is>
      </c>
      <c r="S249" s="31" t="inlineStr">
        <is>
          <t>Nifty 50</t>
        </is>
      </c>
      <c r="T249" s="32" t="n">
        <v>-3.67</v>
      </c>
      <c r="U249" s="32" t="n">
        <v>158.95</v>
      </c>
      <c r="V249" s="32" t="n">
        <v>168.82</v>
      </c>
      <c r="W249" s="32" t="n">
        <v>31.87</v>
      </c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No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Above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Between 50% to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More than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IF(B250=0,"",RANK(B250,$B$2:$B$335,0))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GOODLUCK</t>
        </is>
      </c>
      <c r="D250" s="31" t="inlineStr">
        <is>
          <t>Goodluck India Limited</t>
        </is>
      </c>
      <c r="E250" s="31" t="inlineStr">
        <is>
          <t>metals &amp; mining</t>
        </is>
      </c>
      <c r="F250" s="31" t="inlineStr">
        <is>
          <t>steel - medium / small</t>
        </is>
      </c>
      <c r="G250" s="31" t="inlineStr">
        <is>
          <t>midcap</t>
        </is>
      </c>
      <c r="H250" s="32" t="n">
        <v>5415.88</v>
      </c>
      <c r="I250" s="32" t="n">
        <v>1579.5</v>
      </c>
      <c r="J250" s="32" t="n">
        <v>-3.06</v>
      </c>
      <c r="K250" s="32" t="n">
        <v>122209</v>
      </c>
      <c r="L250" s="31" t="n">
        <v>64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66.73</v>
      </c>
      <c r="P250" s="32" t="n">
        <v>35.2</v>
      </c>
      <c r="Q250" s="32" t="n">
        <v>1199.79</v>
      </c>
      <c r="R250" s="31" t="inlineStr">
        <is>
          <t>Near 52W High Breakout</t>
        </is>
      </c>
      <c r="S250" s="31" t="inlineStr">
        <is>
          <t>Nifty Metal</t>
        </is>
      </c>
      <c r="T250" s="32" t="n">
        <v>34.04</v>
      </c>
      <c r="U250" s="32" t="n">
        <v>39.47</v>
      </c>
      <c r="V250" s="32" t="n">
        <v>4.05</v>
      </c>
      <c r="W250" s="32" t="n">
        <v>13.35</v>
      </c>
      <c r="X250" s="31" t="inlineStr">
        <is>
          <t>Cyclical in an Upturn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Cyclical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Volatile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Blue sky scenario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Less than 50%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Between 0.7 to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IF(B251=0,"",RANK(B251,$B$2:$B$335,0))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CEATLTD</t>
        </is>
      </c>
      <c r="D251" s="33" t="inlineStr">
        <is>
          <t>Ceat Limited</t>
        </is>
      </c>
      <c r="E251" s="31" t="inlineStr">
        <is>
          <t>auto</t>
        </is>
      </c>
      <c r="F251" s="31" t="inlineStr">
        <is>
          <t>tyres</t>
        </is>
      </c>
      <c r="G251" s="31" t="inlineStr">
        <is>
          <t>midcap</t>
        </is>
      </c>
      <c r="H251" s="32" t="n">
        <v>15644.88</v>
      </c>
      <c r="I251" s="32" t="n">
        <v>3719.8</v>
      </c>
      <c r="J251" s="32" t="n">
        <v>-3.82</v>
      </c>
      <c r="K251" s="32" t="n">
        <v>135458</v>
      </c>
      <c r="L251" s="31" t="n">
        <v>4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55.89</v>
      </c>
      <c r="P251" s="32" t="n">
        <v>9.369999999999999</v>
      </c>
      <c r="Q251" s="32" t="n">
        <v>3081.71</v>
      </c>
      <c r="R251" s="31" t="inlineStr">
        <is>
          <t>Earnings / Momentum Support</t>
        </is>
      </c>
      <c r="S251" s="31" t="inlineStr">
        <is>
          <t>Nifty Auto</t>
        </is>
      </c>
      <c r="T251" s="32" t="n">
        <v>11.1</v>
      </c>
      <c r="U251" s="32" t="n">
        <v>-1.89</v>
      </c>
      <c r="V251" s="32" t="n">
        <v>-11.7</v>
      </c>
      <c r="W251" s="32" t="n">
        <v>-0.35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IF(B252=0,"",RANK(B252,$B$2:$B$335,0))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APCOTEXIND</t>
        </is>
      </c>
      <c r="D252" s="31" t="inlineStr">
        <is>
          <t>Apcotex Industries Limited</t>
        </is>
      </c>
      <c r="E252" s="31" t="inlineStr">
        <is>
          <t>chemicals</t>
        </is>
      </c>
      <c r="F252" s="31" t="inlineStr">
        <is>
          <t>miscellaneous</t>
        </is>
      </c>
      <c r="G252" s="31" t="inlineStr">
        <is>
          <t>smallcap</t>
        </is>
      </c>
      <c r="H252" s="32" t="n">
        <v>2692.57</v>
      </c>
      <c r="I252" s="32" t="n">
        <v>528.3</v>
      </c>
      <c r="J252" s="32" t="n">
        <v>1.72</v>
      </c>
      <c r="K252" s="32" t="n">
        <v>61248</v>
      </c>
      <c r="L252" s="31" t="n">
        <v>69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64.81</v>
      </c>
      <c r="P252" s="32" t="n">
        <v>49.49</v>
      </c>
      <c r="Q252" s="32" t="n">
        <v>417.79</v>
      </c>
      <c r="R252" s="31" t="inlineStr">
        <is>
          <t>Near 52W High Breakout</t>
        </is>
      </c>
      <c r="S252" s="31" t="inlineStr">
        <is>
          <t>Nifty 50</t>
        </is>
      </c>
      <c r="T252" s="32" t="n">
        <v>-3.67</v>
      </c>
      <c r="U252" s="32" t="n">
        <v>36.53</v>
      </c>
      <c r="V252" s="32" t="n">
        <v>41.73</v>
      </c>
      <c r="W252" s="32" t="n">
        <v>15.32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Oligopoly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Cyclical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Fully One Time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1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Sideways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Overhead supply in last 2 years in last 2 years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Between 50% to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IF(B253=0,"",RANK(B253,$B$2:$B$335,0))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MEDANTA</t>
        </is>
      </c>
      <c r="D253" s="33" t="inlineStr">
        <is>
          <t>Global Health Ltd</t>
        </is>
      </c>
      <c r="E253" s="31" t="inlineStr">
        <is>
          <t>healthcare</t>
        </is>
      </c>
      <c r="F253" s="31" t="inlineStr">
        <is>
          <t>healthcare</t>
        </is>
      </c>
      <c r="G253" s="31" t="inlineStr">
        <is>
          <t>largecap</t>
        </is>
      </c>
      <c r="H253" s="32" t="n">
        <v>35698.05</v>
      </c>
      <c r="I253" s="32" t="n">
        <v>1320.9</v>
      </c>
      <c r="J253" s="32" t="n">
        <v>-0.54</v>
      </c>
      <c r="K253" s="32" t="n">
        <v>73159</v>
      </c>
      <c r="L253" s="31" t="n">
        <v>27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62.68</v>
      </c>
      <c r="P253" s="32" t="n">
        <v>13.56</v>
      </c>
      <c r="Q253" s="32" t="n">
        <v>1131.07</v>
      </c>
      <c r="R253" s="31" t="inlineStr">
        <is>
          <t>Earnings / Momentum Support</t>
        </is>
      </c>
      <c r="S253" s="31" t="inlineStr">
        <is>
          <t>Nifty Pharma</t>
        </is>
      </c>
      <c r="T253" s="32" t="n">
        <v>14.67</v>
      </c>
      <c r="U253" s="32" t="n">
        <v>0.16</v>
      </c>
      <c r="V253" s="32" t="n">
        <v>-12.65</v>
      </c>
      <c r="W253" s="32" t="n">
        <v>5.03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Yes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Annuity, Lower One Time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Between 1.5 to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IF(B254=0,"",RANK(B254,$B$2:$B$335,0))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OMAXE</t>
        </is>
      </c>
      <c r="D254" s="31" t="inlineStr">
        <is>
          <t>Omaxe Limited</t>
        </is>
      </c>
      <c r="E254" s="31" t="inlineStr">
        <is>
          <t>realty</t>
        </is>
      </c>
      <c r="F254" s="31" t="inlineStr">
        <is>
          <t>construction</t>
        </is>
      </c>
      <c r="G254" s="31" t="inlineStr">
        <is>
          <t>smallcap</t>
        </is>
      </c>
      <c r="H254" s="32" t="n">
        <v>1660.19</v>
      </c>
      <c r="I254" s="32" t="n">
        <v>97.52</v>
      </c>
      <c r="J254" s="32" t="n">
        <v>7.44</v>
      </c>
      <c r="K254" s="32" t="n">
        <v>6367936</v>
      </c>
      <c r="L254" s="31" t="n">
        <v>22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68</v>
      </c>
      <c r="P254" s="32" t="n">
        <v>19.52</v>
      </c>
      <c r="Q254" s="32" t="n">
        <v>70.19</v>
      </c>
      <c r="R254" s="31" t="inlineStr">
        <is>
          <t>Near 52W High Breakout</t>
        </is>
      </c>
      <c r="S254" s="31" t="inlineStr">
        <is>
          <t>Nifty Realty</t>
        </is>
      </c>
      <c r="T254" s="32" t="n">
        <v>-8.130000000000001</v>
      </c>
      <c r="U254" s="32" t="n">
        <v>-7.19</v>
      </c>
      <c r="V254" s="32" t="n">
        <v>1.02</v>
      </c>
      <c r="W254" s="32" t="n">
        <v>4.28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Negative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IF(B255=0,"",RANK(B255,$B$2:$B$335,0))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ACMESOLAR</t>
        </is>
      </c>
      <c r="D255" s="31" t="inlineStr">
        <is>
          <t>ACME Solar Holdings Ltd</t>
        </is>
      </c>
      <c r="E255" s="31" t="inlineStr">
        <is>
          <t>realty</t>
        </is>
      </c>
      <c r="F255" s="31" t="inlineStr">
        <is>
          <t>engineering - turnkey services</t>
        </is>
      </c>
      <c r="G255" s="31" t="inlineStr">
        <is>
          <t>largecap</t>
        </is>
      </c>
      <c r="H255" s="32" t="n">
        <v>26748.99</v>
      </c>
      <c r="I255" s="32" t="n">
        <v>384.6</v>
      </c>
      <c r="J255" s="32" t="n">
        <v>1.53</v>
      </c>
      <c r="K255" s="32" t="n">
        <v>4244229</v>
      </c>
      <c r="L255" s="31" t="n">
        <v>67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71.3</v>
      </c>
      <c r="P255" s="32" t="n">
        <v>33.48</v>
      </c>
      <c r="Q255" s="32" t="n">
        <v>298.62</v>
      </c>
      <c r="R255" s="31" t="inlineStr">
        <is>
          <t>Near 52W High Breakout</t>
        </is>
      </c>
      <c r="S255" s="31" t="inlineStr">
        <is>
          <t>Nifty Realty</t>
        </is>
      </c>
      <c r="T255" s="32" t="n">
        <v>-8.130000000000001</v>
      </c>
      <c r="U255" s="32" t="n">
        <v>39.7</v>
      </c>
      <c r="V255" s="32" t="n">
        <v>52.06</v>
      </c>
      <c r="W255" s="32" t="n">
        <v>14.4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Blue sky scenario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Between 50% to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More than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IF(B256=0,"",RANK(B256,$B$2:$B$335,0))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3" t="inlineStr">
        <is>
          <t>AJAXENGG</t>
        </is>
      </c>
      <c r="D256" s="33" t="inlineStr">
        <is>
          <t>Ajax Engineering Ltd</t>
        </is>
      </c>
      <c r="E256" s="31" t="inlineStr">
        <is>
          <t>industrials</t>
        </is>
      </c>
      <c r="F256" s="31" t="inlineStr">
        <is>
          <t>engineering</t>
        </is>
      </c>
      <c r="G256" s="31" t="inlineStr">
        <is>
          <t>midcap</t>
        </is>
      </c>
      <c r="H256" s="32" t="n">
        <v>6860.98</v>
      </c>
      <c r="I256" s="32" t="n">
        <v>607.95</v>
      </c>
      <c r="J256" s="32" t="n">
        <v>1.38</v>
      </c>
      <c r="K256" s="32" t="n">
        <v>247392</v>
      </c>
      <c r="L256" s="31" t="n">
        <v>15</v>
      </c>
      <c r="M256" s="31" t="inlineStr">
        <is>
          <t>Underperforming</t>
        </is>
      </c>
      <c r="N256" s="32">
        <f>IF(M256="Underperforming",-5,IF(L256&gt;=95,15,IF(L256&gt;=90,10,IF(L256&gt;=80,5,0))))</f>
        <v/>
      </c>
      <c r="O256" s="32" t="n">
        <v>59.93</v>
      </c>
      <c r="P256" s="32" t="n">
        <v>9.85</v>
      </c>
      <c r="Q256" s="32" t="n">
        <v>464.28</v>
      </c>
      <c r="R256" s="31" t="inlineStr">
        <is>
          <t>Volume Spike / Accumulation</t>
        </is>
      </c>
      <c r="S256" s="31" t="inlineStr">
        <is>
          <t>Nifty 50</t>
        </is>
      </c>
      <c r="T256" s="32" t="n">
        <v>-3.67</v>
      </c>
      <c r="U256" s="32" t="n">
        <v>-13.17</v>
      </c>
      <c r="V256" s="32" t="n">
        <v>-9.869999999999999</v>
      </c>
      <c r="W256" s="32" t="n">
        <v>2.94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IF(B257=0,"",RANK(B257,$B$2:$B$335,0))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SUMICHEM</t>
        </is>
      </c>
      <c r="D257" s="33" t="inlineStr">
        <is>
          <t>Sumitomo Chemical India Ltd</t>
        </is>
      </c>
      <c r="E257" s="31" t="inlineStr">
        <is>
          <t>chemicals</t>
        </is>
      </c>
      <c r="F257" s="31" t="inlineStr">
        <is>
          <t>pesticides / agrochemicals - indian</t>
        </is>
      </c>
      <c r="G257" s="31" t="inlineStr">
        <is>
          <t>largecap</t>
        </is>
      </c>
      <c r="H257" s="32" t="n">
        <v>26549.56</v>
      </c>
      <c r="I257" s="32" t="n">
        <v>535.2</v>
      </c>
      <c r="J257" s="32" t="n">
        <v>0.62</v>
      </c>
      <c r="K257" s="32" t="n">
        <v>713045</v>
      </c>
      <c r="L257" s="31" t="n">
        <v>14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63.34</v>
      </c>
      <c r="P257" s="32" t="n">
        <v>25.52</v>
      </c>
      <c r="Q257" s="32" t="n">
        <v>416.75</v>
      </c>
      <c r="R257" s="31" t="inlineStr">
        <is>
          <t>Earnings / Momentum Support</t>
        </is>
      </c>
      <c r="S257" s="31" t="inlineStr">
        <is>
          <t>Nifty 50</t>
        </is>
      </c>
      <c r="T257" s="32" t="n">
        <v>-3.67</v>
      </c>
      <c r="U257" s="32" t="n">
        <v>-11.53</v>
      </c>
      <c r="V257" s="32" t="n">
        <v>-8.15</v>
      </c>
      <c r="W257" s="32" t="n">
        <v>2.7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Between 50% to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IF(B258=0,"",RANK(B258,$B$2:$B$335,0))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VSSL</t>
        </is>
      </c>
      <c r="D258" s="33" t="inlineStr">
        <is>
          <t>Vardhman Special Steels Limited</t>
        </is>
      </c>
      <c r="E258" s="31" t="inlineStr">
        <is>
          <t>metals &amp; mining</t>
        </is>
      </c>
      <c r="F258" s="31" t="inlineStr">
        <is>
          <t>steel - medium / small</t>
        </is>
      </c>
      <c r="G258" s="31" t="inlineStr">
        <is>
          <t>smallcap</t>
        </is>
      </c>
      <c r="H258" s="32" t="n">
        <v>2854.16</v>
      </c>
      <c r="I258" s="32" t="n">
        <v>295.6</v>
      </c>
      <c r="J258" s="32" t="n">
        <v>0.14</v>
      </c>
      <c r="K258" s="32" t="n">
        <v>133305</v>
      </c>
      <c r="L258" s="31" t="n">
        <v>34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62.75</v>
      </c>
      <c r="P258" s="32" t="n">
        <v>16.33</v>
      </c>
      <c r="Q258" s="32" t="n">
        <v>237.73</v>
      </c>
      <c r="R258" s="31" t="inlineStr">
        <is>
          <t>Volume Spike &amp; Near 52W High Breakout</t>
        </is>
      </c>
      <c r="S258" s="31" t="inlineStr">
        <is>
          <t>Nifty Metal</t>
        </is>
      </c>
      <c r="T258" s="32" t="n">
        <v>34.04</v>
      </c>
      <c r="U258" s="32" t="n">
        <v>16.27</v>
      </c>
      <c r="V258" s="32" t="n">
        <v>-13.26</v>
      </c>
      <c r="W258" s="32" t="n">
        <v>6.39</v>
      </c>
      <c r="X258" s="31" t="inlineStr">
        <is>
          <t>Cyclical in an Upturn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Cyclical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Volatile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Blue sky scenario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Less than 1.5</t>
        </is>
      </c>
      <c r="BU258" s="31">
        <f>IF(BT258="Above 2",0,IF(BT258="Between 1.5 to 2",5,IF(BT258="Less than 1.5",10,0)))</f>
        <v/>
      </c>
      <c r="BV258" s="31" t="inlineStr">
        <is>
          <t>Between 50% to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IF(B259=0,"",RANK(B259,$B$2:$B$335,0))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TEXINFRA</t>
        </is>
      </c>
      <c r="D259" s="31" t="inlineStr">
        <is>
          <t>Texmaco Infrastructure &amp; Holdings Limited</t>
        </is>
      </c>
      <c r="E259" s="31" t="inlineStr">
        <is>
          <t>realty</t>
        </is>
      </c>
      <c r="F259" s="31" t="inlineStr">
        <is>
          <t>construction</t>
        </is>
      </c>
      <c r="G259" s="31" t="inlineStr">
        <is>
          <t>smallcap</t>
        </is>
      </c>
      <c r="H259" s="32" t="n">
        <v>1452.66</v>
      </c>
      <c r="I259" s="32" t="n">
        <v>114.11</v>
      </c>
      <c r="J259" s="32" t="n">
        <v>0.1</v>
      </c>
      <c r="K259" s="32" t="n">
        <v>81649</v>
      </c>
      <c r="L259" s="31" t="n">
        <v>26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67.64</v>
      </c>
      <c r="P259" s="32" t="n">
        <v>28.25</v>
      </c>
      <c r="Q259" s="32" t="n">
        <v>93.64</v>
      </c>
      <c r="R259" s="31" t="inlineStr">
        <is>
          <t>Near 52W High Breakout</t>
        </is>
      </c>
      <c r="S259" s="31" t="inlineStr">
        <is>
          <t>Nifty Realty</t>
        </is>
      </c>
      <c r="T259" s="32" t="n">
        <v>-8.130000000000001</v>
      </c>
      <c r="U259" s="32" t="n">
        <v>11.34</v>
      </c>
      <c r="V259" s="32" t="n">
        <v>21.19</v>
      </c>
      <c r="W259" s="32" t="n">
        <v>4.95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Negative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IF(B260=0,"",RANK(B260,$B$2:$B$335,0))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POKARNA</t>
        </is>
      </c>
      <c r="D260" s="31" t="inlineStr">
        <is>
          <t>Pokarna Limited</t>
        </is>
      </c>
      <c r="E260" s="31" t="inlineStr">
        <is>
          <t>consumer discretionary</t>
        </is>
      </c>
      <c r="F260" s="31" t="inlineStr">
        <is>
          <t>miscellaneous</t>
        </is>
      </c>
      <c r="G260" s="31" t="inlineStr">
        <is>
          <t>smallcap</t>
        </is>
      </c>
      <c r="H260" s="32" t="n">
        <v>3136.05</v>
      </c>
      <c r="I260" s="32" t="n">
        <v>1010</v>
      </c>
      <c r="J260" s="32" t="n">
        <v>-0.15</v>
      </c>
      <c r="K260" s="32" t="n">
        <v>31701</v>
      </c>
      <c r="L260" s="31" t="n">
        <v>13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58.15</v>
      </c>
      <c r="P260" s="32" t="n">
        <v>17.94</v>
      </c>
      <c r="Q260" s="32" t="n">
        <v>799.62</v>
      </c>
      <c r="R260" s="31" t="inlineStr">
        <is>
          <t>Earnings / Momentum Support</t>
        </is>
      </c>
      <c r="S260" s="31" t="inlineStr">
        <is>
          <t>Nifty 50</t>
        </is>
      </c>
      <c r="T260" s="32" t="n">
        <v>-3.67</v>
      </c>
      <c r="U260" s="32" t="n">
        <v>-3.27</v>
      </c>
      <c r="V260" s="32" t="n">
        <v>0.42</v>
      </c>
      <c r="W260" s="32" t="n">
        <v>2.3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IF(B261=0,"",RANK(B261,$B$2:$B$335,0))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PAYTM</t>
        </is>
      </c>
      <c r="D261" s="31" t="inlineStr">
        <is>
          <t>One 97 Communications Ltd</t>
        </is>
      </c>
      <c r="E261" s="31" t="inlineStr">
        <is>
          <t>i.t</t>
        </is>
      </c>
      <c r="F261" s="31" t="inlineStr">
        <is>
          <t>miscellaneous</t>
        </is>
      </c>
      <c r="G261" s="31" t="inlineStr">
        <is>
          <t>largecap</t>
        </is>
      </c>
      <c r="H261" s="32" t="n">
        <v>88742.33</v>
      </c>
      <c r="I261" s="32" t="n">
        <v>1381.4</v>
      </c>
      <c r="J261" s="32" t="n">
        <v>-0.37</v>
      </c>
      <c r="K261" s="32" t="n">
        <v>4078228</v>
      </c>
      <c r="L261" s="31" t="n">
        <v>57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66.67</v>
      </c>
      <c r="P261" s="32" t="n">
        <v>16.32</v>
      </c>
      <c r="Q261" s="32" t="n">
        <v>1094.94</v>
      </c>
      <c r="R261" s="31" t="inlineStr">
        <is>
          <t>Near 52W High Breakout</t>
        </is>
      </c>
      <c r="S261" s="31" t="inlineStr">
        <is>
          <t>Nifty IT</t>
        </is>
      </c>
      <c r="T261" s="32" t="n">
        <v>-22.66</v>
      </c>
      <c r="U261" s="32" t="n">
        <v>37.92</v>
      </c>
      <c r="V261" s="32" t="n">
        <v>78.33</v>
      </c>
      <c r="W261" s="32" t="n">
        <v>11.43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Blue sky scenario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Negative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IF(B262=0,"",RANK(B262,$B$2:$B$335,0))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RGL</t>
        </is>
      </c>
      <c r="D262" s="31" t="inlineStr">
        <is>
          <t>Renaissance Global Ltd</t>
        </is>
      </c>
      <c r="E262" s="31" t="inlineStr">
        <is>
          <t>consumer discretionary</t>
        </is>
      </c>
      <c r="F262" s="31" t="inlineStr">
        <is>
          <t>diamond cutting / jewellery</t>
        </is>
      </c>
      <c r="G262" s="31" t="inlineStr">
        <is>
          <t>smallcap</t>
        </is>
      </c>
      <c r="H262" s="32" t="n">
        <v>1281.79</v>
      </c>
      <c r="I262" s="32" t="n">
        <v>118.97</v>
      </c>
      <c r="J262" s="32" t="n">
        <v>-0.39</v>
      </c>
      <c r="K262" s="32" t="n">
        <v>178786</v>
      </c>
      <c r="L262" s="31" t="n">
        <v>14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55.78</v>
      </c>
      <c r="P262" s="32" t="n">
        <v>10.31</v>
      </c>
      <c r="Q262" s="32" t="n">
        <v>89.42</v>
      </c>
      <c r="R262" s="31" t="inlineStr">
        <is>
          <t>Earnings / Momentum Support</t>
        </is>
      </c>
      <c r="S262" s="31" t="inlineStr">
        <is>
          <t>Nifty 50</t>
        </is>
      </c>
      <c r="T262" s="32" t="n">
        <v>-3.67</v>
      </c>
      <c r="U262" s="32" t="n">
        <v>-0.54</v>
      </c>
      <c r="V262" s="32" t="n">
        <v>3.25</v>
      </c>
      <c r="W262" s="32" t="n">
        <v>2.63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Between 1.5 to 2</t>
        </is>
      </c>
      <c r="BU262" s="31">
        <f>IF(BT262="Above 2",0,IF(BT262="Between 1.5 to 2",5,IF(BT262="Less than 1.5",10,0)))</f>
        <v/>
      </c>
      <c r="BV262" s="31" t="inlineStr">
        <is>
          <t>Less than 50%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IF(B263=0,"",RANK(B263,$B$2:$B$335,0))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TITAN</t>
        </is>
      </c>
      <c r="D263" s="31" t="inlineStr">
        <is>
          <t>Titan Company Limited</t>
        </is>
      </c>
      <c r="E263" s="31" t="inlineStr">
        <is>
          <t>consumer discretionary</t>
        </is>
      </c>
      <c r="F263" s="31" t="inlineStr">
        <is>
          <t>diamond cutting / jewellery</t>
        </is>
      </c>
      <c r="G263" s="31" t="inlineStr">
        <is>
          <t>largecap</t>
        </is>
      </c>
      <c r="H263" s="32" t="n">
        <v>408514.8</v>
      </c>
      <c r="I263" s="32" t="n">
        <v>4573.7</v>
      </c>
      <c r="J263" s="32" t="n">
        <v>-0.6</v>
      </c>
      <c r="K263" s="32" t="n">
        <v>631163</v>
      </c>
      <c r="L263" s="31" t="n">
        <v>35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61.47</v>
      </c>
      <c r="P263" s="32" t="n">
        <v>16.5</v>
      </c>
      <c r="Q263" s="32" t="n">
        <v>3923.2</v>
      </c>
      <c r="R263" s="31" t="inlineStr">
        <is>
          <t>Near 52W High Breakout</t>
        </is>
      </c>
      <c r="S263" s="31" t="inlineStr">
        <is>
          <t>Nifty 50</t>
        </is>
      </c>
      <c r="T263" s="32" t="n">
        <v>-3.67</v>
      </c>
      <c r="U263" s="32" t="n">
        <v>34.85</v>
      </c>
      <c r="V263" s="32" t="n">
        <v>39.98</v>
      </c>
      <c r="W263" s="32" t="n">
        <v>6.56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Blue sky scenario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More than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IF(B264=0,"",RANK(B264,$B$2:$B$335,0))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ENDURANCE</t>
        </is>
      </c>
      <c r="D264" s="33" t="inlineStr">
        <is>
          <t>Endurance Technologies Limited</t>
        </is>
      </c>
      <c r="E264" s="31" t="inlineStr">
        <is>
          <t>auto</t>
        </is>
      </c>
      <c r="F264" s="31" t="inlineStr">
        <is>
          <t>auto ancillaries</t>
        </is>
      </c>
      <c r="G264" s="31" t="inlineStr">
        <is>
          <t>largecap</t>
        </is>
      </c>
      <c r="H264" s="32" t="n">
        <v>37953.65</v>
      </c>
      <c r="I264" s="32" t="n">
        <v>2681.1</v>
      </c>
      <c r="J264" s="32" t="n">
        <v>-0.63</v>
      </c>
      <c r="K264" s="32" t="n">
        <v>105884</v>
      </c>
      <c r="L264" s="31" t="n">
        <v>16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56.11</v>
      </c>
      <c r="P264" s="32" t="n">
        <v>13.56</v>
      </c>
      <c r="Q264" s="32" t="n">
        <v>2204.24</v>
      </c>
      <c r="R264" s="31" t="inlineStr">
        <is>
          <t>Earnings / Momentum Support</t>
        </is>
      </c>
      <c r="S264" s="31" t="inlineStr">
        <is>
          <t>Nifty Auto</t>
        </is>
      </c>
      <c r="T264" s="32" t="n">
        <v>11.1</v>
      </c>
      <c r="U264" s="32" t="n">
        <v>1.09</v>
      </c>
      <c r="V264" s="32" t="n">
        <v>-9.02</v>
      </c>
      <c r="W264" s="32" t="n">
        <v>3.16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Between 12 to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IF(B265=0,"",RANK(B265,$B$2:$B$335,0))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RELTD</t>
        </is>
      </c>
      <c r="D265" s="31" t="inlineStr">
        <is>
          <t>Ravindra Energy Ltd</t>
        </is>
      </c>
      <c r="E265" s="31" t="inlineStr">
        <is>
          <t>industrials</t>
        </is>
      </c>
      <c r="F265" s="31" t="inlineStr">
        <is>
          <t>electric equipment</t>
        </is>
      </c>
      <c r="G265" s="31" t="inlineStr">
        <is>
          <t>smallcap</t>
        </is>
      </c>
      <c r="H265" s="32" t="n">
        <v>3468.86</v>
      </c>
      <c r="I265" s="32" t="n">
        <v>173.6</v>
      </c>
      <c r="J265" s="32" t="n">
        <v>-0.64</v>
      </c>
      <c r="K265" s="32" t="n">
        <v>291225</v>
      </c>
      <c r="L265" s="31" t="n">
        <v>53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63.47</v>
      </c>
      <c r="P265" s="32" t="n">
        <v>18.2</v>
      </c>
      <c r="Q265" s="32" t="n">
        <v>121.04</v>
      </c>
      <c r="R265" s="31" t="inlineStr">
        <is>
          <t>Near 52W High Breakout</t>
        </is>
      </c>
      <c r="S265" s="31" t="inlineStr">
        <is>
          <t>Nifty Infra</t>
        </is>
      </c>
      <c r="T265" s="32" t="n">
        <v>1.45</v>
      </c>
      <c r="U265" s="32" t="n">
        <v>27.67</v>
      </c>
      <c r="V265" s="32" t="n">
        <v>25.84</v>
      </c>
      <c r="W265" s="32" t="n">
        <v>10.53</v>
      </c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Blue sky scenario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More than 1.2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IF(B266=0,"",RANK(B266,$B$2:$B$335,0))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NEOGEN</t>
        </is>
      </c>
      <c r="D266" s="31" t="inlineStr">
        <is>
          <t>Neogen Chemicals Ltd</t>
        </is>
      </c>
      <c r="E266" s="31" t="inlineStr">
        <is>
          <t>chemicals</t>
        </is>
      </c>
      <c r="F266" s="31" t="inlineStr">
        <is>
          <t>chemicals</t>
        </is>
      </c>
      <c r="G266" s="31" t="inlineStr">
        <is>
          <t>midcap</t>
        </is>
      </c>
      <c r="H266" s="32" t="n">
        <v>5887.06</v>
      </c>
      <c r="I266" s="32" t="n">
        <v>2125</v>
      </c>
      <c r="J266" s="32" t="n">
        <v>-1.16</v>
      </c>
      <c r="K266" s="32" t="n">
        <v>113733</v>
      </c>
      <c r="L266" s="31" t="n">
        <v>73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70.29000000000001</v>
      </c>
      <c r="P266" s="32" t="n">
        <v>46.56</v>
      </c>
      <c r="Q266" s="32" t="n">
        <v>1637.81</v>
      </c>
      <c r="R266" s="31" t="inlineStr">
        <is>
          <t>Near 52W High Breakout</t>
        </is>
      </c>
      <c r="S266" s="31" t="inlineStr">
        <is>
          <t>Nifty 50</t>
        </is>
      </c>
      <c r="T266" s="32" t="n">
        <v>-3.67</v>
      </c>
      <c r="U266" s="32" t="n">
        <v>37.15</v>
      </c>
      <c r="V266" s="32" t="n">
        <v>42.37</v>
      </c>
      <c r="W266" s="32" t="n">
        <v>16.46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Above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Negative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More than 1.2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IF(B267=0,"",RANK(B267,$B$2:$B$335,0))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THELEELA</t>
        </is>
      </c>
      <c r="D267" s="31" t="inlineStr">
        <is>
          <t>Leela Palaces Hotels &amp; Resorts Ltd</t>
        </is>
      </c>
      <c r="E267" s="31" t="inlineStr">
        <is>
          <t>services</t>
        </is>
      </c>
      <c r="F267" s="31" t="inlineStr">
        <is>
          <t>hotels</t>
        </is>
      </c>
      <c r="G267" s="31" t="inlineStr">
        <is>
          <t>midcap</t>
        </is>
      </c>
      <c r="H267" s="32" t="n">
        <v>16737.97</v>
      </c>
      <c r="I267" s="32" t="n">
        <v>493.6</v>
      </c>
      <c r="J267" s="32" t="n">
        <v>-1.52</v>
      </c>
      <c r="K267" s="32" t="n">
        <v>192826</v>
      </c>
      <c r="L267" s="31" t="n">
        <v>24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62.62</v>
      </c>
      <c r="P267" s="32" t="n">
        <v>18.1</v>
      </c>
      <c r="Q267" s="32" t="n">
        <v>410.01</v>
      </c>
      <c r="R267" s="31" t="inlineStr">
        <is>
          <t>Near 52W High Breakout</t>
        </is>
      </c>
      <c r="S267" s="31" t="inlineStr">
        <is>
          <t>Nifty 50</t>
        </is>
      </c>
      <c r="T267" s="32" t="n">
        <v>-3.67</v>
      </c>
      <c r="U267" s="32" t="n">
        <v>7.07</v>
      </c>
      <c r="V267" s="32" t="n">
        <v>11.15</v>
      </c>
      <c r="W267" s="32" t="n">
        <v>4.74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Between 1.5 to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IF(B268=0,"",RANK(B268,$B$2:$B$335,0))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JASH</t>
        </is>
      </c>
      <c r="D268" s="33" t="inlineStr">
        <is>
          <t>Jash Engineering Ltd</t>
        </is>
      </c>
      <c r="E268" s="31" t="inlineStr">
        <is>
          <t>industrials</t>
        </is>
      </c>
      <c r="F268" s="31" t="inlineStr">
        <is>
          <t>engineering</t>
        </is>
      </c>
      <c r="G268" s="31" t="inlineStr">
        <is>
          <t>smallcap</t>
        </is>
      </c>
      <c r="H268" s="32" t="n">
        <v>3440.27</v>
      </c>
      <c r="I268" s="32" t="n">
        <v>535.9</v>
      </c>
      <c r="J268" s="32" t="n">
        <v>-1.56</v>
      </c>
      <c r="K268" s="32" t="n">
        <v>108295</v>
      </c>
      <c r="L268" s="31" t="n">
        <v>33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63.49</v>
      </c>
      <c r="P268" s="32" t="n">
        <v>17.56</v>
      </c>
      <c r="Q268" s="32" t="n">
        <v>418.43</v>
      </c>
      <c r="R268" s="31" t="inlineStr">
        <is>
          <t>Earnings / Momentum Support</t>
        </is>
      </c>
      <c r="S268" s="31" t="inlineStr">
        <is>
          <t>Nifty 50</t>
        </is>
      </c>
      <c r="T268" s="32" t="n">
        <v>-3.67</v>
      </c>
      <c r="U268" s="32" t="n">
        <v>-12.56</v>
      </c>
      <c r="V268" s="32" t="n">
        <v>-9.23</v>
      </c>
      <c r="W268" s="32" t="n">
        <v>6.22</v>
      </c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Between 50% to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IF(B269=0,"",RANK(B269,$B$2:$B$335,0))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MAHLIFE</t>
        </is>
      </c>
      <c r="D269" s="31" t="inlineStr">
        <is>
          <t>Mahindra Lifespace Developers Limited</t>
        </is>
      </c>
      <c r="E269" s="31" t="inlineStr">
        <is>
          <t>realty</t>
        </is>
      </c>
      <c r="F269" s="31" t="inlineStr">
        <is>
          <t>construction</t>
        </is>
      </c>
      <c r="G269" s="31" t="inlineStr">
        <is>
          <t>midcap</t>
        </is>
      </c>
      <c r="H269" s="32" t="n">
        <v>8077.16</v>
      </c>
      <c r="I269" s="32" t="n">
        <v>372.4</v>
      </c>
      <c r="J269" s="32" t="n">
        <v>-1.64</v>
      </c>
      <c r="K269" s="32" t="n">
        <v>123276</v>
      </c>
      <c r="L269" s="31" t="n">
        <v>16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57.43</v>
      </c>
      <c r="P269" s="32" t="n">
        <v>11.06</v>
      </c>
      <c r="Q269" s="32" t="n">
        <v>309.37</v>
      </c>
      <c r="R269" s="31" t="inlineStr">
        <is>
          <t>Earnings / Momentum Support</t>
        </is>
      </c>
      <c r="S269" s="31" t="inlineStr">
        <is>
          <t>Nifty Realty</t>
        </is>
      </c>
      <c r="T269" s="32" t="n">
        <v>-8.130000000000001</v>
      </c>
      <c r="U269" s="32" t="n">
        <v>-1.83</v>
      </c>
      <c r="V269" s="32" t="n">
        <v>6.85</v>
      </c>
      <c r="W269" s="32" t="n">
        <v>3.15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IF(B270=0,"",RANK(B270,$B$2:$B$335,0))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SOBHA</t>
        </is>
      </c>
      <c r="D270" s="33" t="inlineStr">
        <is>
          <t>Sobha Limited</t>
        </is>
      </c>
      <c r="E270" s="31" t="inlineStr">
        <is>
          <t>realty</t>
        </is>
      </c>
      <c r="F270" s="31" t="inlineStr">
        <is>
          <t>construction</t>
        </is>
      </c>
      <c r="G270" s="31" t="inlineStr">
        <is>
          <t>midcap</t>
        </is>
      </c>
      <c r="H270" s="32" t="n">
        <v>16231.31</v>
      </c>
      <c r="I270" s="32" t="n">
        <v>1490.6</v>
      </c>
      <c r="J270" s="32" t="n">
        <v>-1.78</v>
      </c>
      <c r="K270" s="32" t="n">
        <v>158334</v>
      </c>
      <c r="L270" s="31" t="n">
        <v>6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56.53</v>
      </c>
      <c r="P270" s="32" t="n">
        <v>8.33</v>
      </c>
      <c r="Q270" s="32" t="n">
        <v>1220.37</v>
      </c>
      <c r="R270" s="31" t="inlineStr">
        <is>
          <t>Earnings / Momentum Support</t>
        </is>
      </c>
      <c r="S270" s="31" t="inlineStr">
        <is>
          <t>Nifty Realty</t>
        </is>
      </c>
      <c r="T270" s="32" t="n">
        <v>-8.130000000000001</v>
      </c>
      <c r="U270" s="32" t="n">
        <v>-11.71</v>
      </c>
      <c r="V270" s="32" t="n">
        <v>-3.9</v>
      </c>
      <c r="W270" s="32" t="n">
        <v>0.41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IF(B271=0,"",RANK(B271,$B$2:$B$335,0))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GANESHHOU</t>
        </is>
      </c>
      <c r="D271" s="33" t="inlineStr">
        <is>
          <t>Ganesh Housing Ltd</t>
        </is>
      </c>
      <c r="E271" s="31" t="inlineStr">
        <is>
          <t>realty</t>
        </is>
      </c>
      <c r="F271" s="31" t="inlineStr">
        <is>
          <t>construction</t>
        </is>
      </c>
      <c r="G271" s="31" t="inlineStr">
        <is>
          <t>midcap</t>
        </is>
      </c>
      <c r="H271" s="32" t="n">
        <v>7278.86</v>
      </c>
      <c r="I271" s="32" t="n">
        <v>853</v>
      </c>
      <c r="J271" s="32" t="n">
        <v>-2.28</v>
      </c>
      <c r="K271" s="32" t="n">
        <v>34035</v>
      </c>
      <c r="L271" s="31" t="n">
        <v>30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65.28</v>
      </c>
      <c r="P271" s="32" t="n">
        <v>16.65</v>
      </c>
      <c r="Q271" s="32" t="n">
        <v>680.92</v>
      </c>
      <c r="R271" s="31" t="inlineStr">
        <is>
          <t>Near 52W High Breakout</t>
        </is>
      </c>
      <c r="S271" s="31" t="inlineStr">
        <is>
          <t>Nifty Realty</t>
        </is>
      </c>
      <c r="T271" s="32" t="n">
        <v>-8.130000000000001</v>
      </c>
      <c r="U271" s="32" t="n">
        <v>-12.06</v>
      </c>
      <c r="V271" s="32" t="n">
        <v>-4.28</v>
      </c>
      <c r="W271" s="32" t="n">
        <v>5.71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Between 50% to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IF(B272=0,"",RANK(B272,$B$2:$B$335,0))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EIFFL</t>
        </is>
      </c>
      <c r="D272" s="31" t="inlineStr">
        <is>
          <t>Euro India Fresh Foods Ltd</t>
        </is>
      </c>
      <c r="E272" s="31" t="inlineStr">
        <is>
          <t>fmcg</t>
        </is>
      </c>
      <c r="F272" s="31" t="inlineStr">
        <is>
          <t>food - processing - indian</t>
        </is>
      </c>
      <c r="G272" s="31" t="inlineStr">
        <is>
          <t>smallcap</t>
        </is>
      </c>
      <c r="H272" s="32" t="n">
        <v>823.24</v>
      </c>
      <c r="I272" s="32" t="n">
        <v>335</v>
      </c>
      <c r="J272" s="32" t="n">
        <v>0.92</v>
      </c>
      <c r="K272" s="32" t="n">
        <v>8661</v>
      </c>
      <c r="L272" s="31" t="n">
        <v>72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70.2</v>
      </c>
      <c r="P272" s="32" t="n">
        <v>24.53</v>
      </c>
      <c r="Q272" s="32" t="n">
        <v>253.49</v>
      </c>
      <c r="R272" s="31" t="inlineStr">
        <is>
          <t>Near 52W High Breakout</t>
        </is>
      </c>
      <c r="S272" s="31" t="inlineStr">
        <is>
          <t>Nifty FMCG</t>
        </is>
      </c>
      <c r="T272" s="32" t="n">
        <v>-14.13</v>
      </c>
      <c r="U272" s="32" t="n">
        <v>41.65</v>
      </c>
      <c r="V272" s="32" t="n">
        <v>64.95</v>
      </c>
      <c r="W272" s="32" t="n">
        <v>16.43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B2C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Annuity, Lower One Time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Blue sky scenario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Between 50% to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Between 0.7 to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IF(B273=0,"",RANK(B273,$B$2:$B$335,0))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MOREPENLAB</t>
        </is>
      </c>
      <c r="D273" s="33" t="inlineStr">
        <is>
          <t>Morepen Laboratories Limited</t>
        </is>
      </c>
      <c r="E273" s="31" t="inlineStr">
        <is>
          <t>healthcare</t>
        </is>
      </c>
      <c r="F273" s="31" t="inlineStr">
        <is>
          <t>pharmaceuticals - indian - bulk drugs &amp; formln</t>
        </is>
      </c>
      <c r="G273" s="31" t="inlineStr">
        <is>
          <t>smallcap</t>
        </is>
      </c>
      <c r="H273" s="32" t="n">
        <v>3413.2</v>
      </c>
      <c r="I273" s="32" t="n">
        <v>62.56</v>
      </c>
      <c r="J273" s="32" t="n">
        <v>0.43</v>
      </c>
      <c r="K273" s="32" t="n">
        <v>10096836</v>
      </c>
      <c r="L273" s="31" t="n">
        <v>63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75.87</v>
      </c>
      <c r="P273" s="32" t="n">
        <v>23.22</v>
      </c>
      <c r="Q273" s="32" t="n">
        <v>47.43</v>
      </c>
      <c r="R273" s="31" t="inlineStr">
        <is>
          <t>Near 52W High Breakout</t>
        </is>
      </c>
      <c r="S273" s="31" t="inlineStr">
        <is>
          <t>Nifty Pharma</t>
        </is>
      </c>
      <c r="T273" s="32" t="n">
        <v>14.67</v>
      </c>
      <c r="U273" s="32" t="n">
        <v>0.48</v>
      </c>
      <c r="V273" s="32" t="n">
        <v>-12.38</v>
      </c>
      <c r="W273" s="32" t="n">
        <v>13.08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Yes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Annuity, Lower One Time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Above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Less than 50%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IF(B274=0,"",RANK(B274,$B$2:$B$335,0))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PRICOLLTD</t>
        </is>
      </c>
      <c r="D274" s="31" t="inlineStr">
        <is>
          <t>Pricol Ltd.</t>
        </is>
      </c>
      <c r="E274" s="31" t="inlineStr">
        <is>
          <t>auto</t>
        </is>
      </c>
      <c r="F274" s="31" t="inlineStr">
        <is>
          <t>auto ancillaries</t>
        </is>
      </c>
      <c r="G274" s="31" t="inlineStr">
        <is>
          <t>midcap</t>
        </is>
      </c>
      <c r="H274" s="32" t="n">
        <v>7570.67</v>
      </c>
      <c r="I274" s="32" t="n">
        <v>616.6</v>
      </c>
      <c r="J274" s="32" t="n">
        <v>-0.73</v>
      </c>
      <c r="K274" s="32" t="n">
        <v>544313</v>
      </c>
      <c r="L274" s="31" t="n">
        <v>40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56.79</v>
      </c>
      <c r="P274" s="32" t="n">
        <v>19.27</v>
      </c>
      <c r="Q274" s="32" t="n">
        <v>496.08</v>
      </c>
      <c r="R274" s="31" t="inlineStr">
        <is>
          <t>Earnings / Momentum Support</t>
        </is>
      </c>
      <c r="S274" s="31" t="inlineStr">
        <is>
          <t>Nifty Auto</t>
        </is>
      </c>
      <c r="T274" s="32" t="n">
        <v>11.1</v>
      </c>
      <c r="U274" s="32" t="n">
        <v>36.37</v>
      </c>
      <c r="V274" s="32" t="n">
        <v>22.74</v>
      </c>
      <c r="W274" s="32" t="n">
        <v>7.71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Oligopoly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Shallow Cyclical (2 to 3 Years Growth)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Fully One Time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Allocated capital in Non-core Areas</t>
        </is>
      </c>
      <c r="AU274" s="31">
        <f>IF(AT274="Good",10,0)</f>
        <v/>
      </c>
      <c r="AV274" s="31" t="inlineStr">
        <is>
          <t>Yes only for next 1 to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Blue sky scenario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Between 12 to 20%</t>
        </is>
      </c>
      <c r="BO274" s="31">
        <f>IF(BN274="More than 20%",10,IF(BN274="Between 12 to 20%",5,IF(BN274="Less than 12%",0,0)))</f>
        <v/>
      </c>
      <c r="BP274" s="31" t="inlineStr">
        <is>
          <t>Yes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Between 1.5 to 2</t>
        </is>
      </c>
      <c r="BU274" s="31">
        <f>IF(BT274="Above 2",0,IF(BT274="Between 1.5 to 2",5,IF(BT274="Less than 1.5",10,0)))</f>
        <v/>
      </c>
      <c r="BV274" s="31" t="inlineStr">
        <is>
          <t>Between 50% to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IF(B275=0,"",RANK(B275,$B$2:$B$335,0))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AGARWALEYE</t>
        </is>
      </c>
      <c r="D275" s="33" t="inlineStr">
        <is>
          <t>Dr Agarwals Health Care Ltd</t>
        </is>
      </c>
      <c r="E275" s="31" t="inlineStr">
        <is>
          <t>healthcare</t>
        </is>
      </c>
      <c r="F275" s="31" t="inlineStr">
        <is>
          <t>healthcare</t>
        </is>
      </c>
      <c r="G275" s="31" t="inlineStr">
        <is>
          <t>midcap</t>
        </is>
      </c>
      <c r="H275" s="32" t="n">
        <v>15781</v>
      </c>
      <c r="I275" s="32" t="n">
        <v>490.7</v>
      </c>
      <c r="J275" s="32" t="n">
        <v>-1.44</v>
      </c>
      <c r="K275" s="32" t="n">
        <v>94207</v>
      </c>
      <c r="L275" s="31" t="n">
        <v>28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58.62</v>
      </c>
      <c r="P275" s="32" t="n">
        <v>14.5</v>
      </c>
      <c r="Q275" s="32" t="n">
        <v>397.62</v>
      </c>
      <c r="R275" s="31" t="inlineStr">
        <is>
          <t>Earnings / Momentum Support</t>
        </is>
      </c>
      <c r="S275" s="31" t="inlineStr">
        <is>
          <t>Nifty Pharma</t>
        </is>
      </c>
      <c r="T275" s="32" t="n">
        <v>14.67</v>
      </c>
      <c r="U275" s="32" t="n">
        <v>12.03</v>
      </c>
      <c r="V275" s="32" t="n">
        <v>-2.3</v>
      </c>
      <c r="W275" s="32" t="n">
        <v>5.21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Yes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Annuity, Lower One Time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IF(B276=0,"",RANK(B276,$B$2:$B$335,0))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UNICHEMLAB</t>
        </is>
      </c>
      <c r="D276" s="33" t="inlineStr">
        <is>
          <t>Unichem Laboratories Limited</t>
        </is>
      </c>
      <c r="E276" s="31" t="inlineStr">
        <is>
          <t>healthcare</t>
        </is>
      </c>
      <c r="F276" s="31" t="inlineStr">
        <is>
          <t>pharmaceuticals - indian - bulk drugs &amp; formln</t>
        </is>
      </c>
      <c r="G276" s="31" t="inlineStr">
        <is>
          <t>smallcap</t>
        </is>
      </c>
      <c r="H276" s="32" t="n">
        <v>4202.87</v>
      </c>
      <c r="I276" s="32" t="n">
        <v>581.35</v>
      </c>
      <c r="J276" s="32" t="n">
        <v>-2.61</v>
      </c>
      <c r="K276" s="32" t="n">
        <v>360603</v>
      </c>
      <c r="L276" s="31" t="n">
        <v>71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68.02</v>
      </c>
      <c r="P276" s="32" t="n">
        <v>25.34</v>
      </c>
      <c r="Q276" s="32" t="n">
        <v>460.62</v>
      </c>
      <c r="R276" s="31" t="inlineStr">
        <is>
          <t>Earnings / Momentum Support</t>
        </is>
      </c>
      <c r="S276" s="31" t="inlineStr">
        <is>
          <t>Nifty Pharma</t>
        </is>
      </c>
      <c r="T276" s="32" t="n">
        <v>14.67</v>
      </c>
      <c r="U276" s="32" t="n">
        <v>-7.38</v>
      </c>
      <c r="V276" s="32" t="n">
        <v>-19.23</v>
      </c>
      <c r="W276" s="32" t="n">
        <v>15.79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Yes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Annuity, Lower One Time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Less than 50%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IF(B277=0,"",RANK(B277,$B$2:$B$335,0))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INDSWFTLAB</t>
        </is>
      </c>
      <c r="D277" s="31" t="inlineStr">
        <is>
          <t>Ind-swift Laboratories Limited</t>
        </is>
      </c>
      <c r="E277" s="31" t="inlineStr">
        <is>
          <t>healthcare</t>
        </is>
      </c>
      <c r="F277" s="31" t="inlineStr">
        <is>
          <t>pharmaceuticals - indian - bulk drugs &amp; formln</t>
        </is>
      </c>
      <c r="G277" s="31" t="inlineStr">
        <is>
          <t>smallcap</t>
        </is>
      </c>
      <c r="H277" s="32" t="n">
        <v>2064.11</v>
      </c>
      <c r="I277" s="32" t="n">
        <v>229.86</v>
      </c>
      <c r="J277" s="32" t="n">
        <v>-3.3</v>
      </c>
      <c r="K277" s="32" t="n">
        <v>780710</v>
      </c>
      <c r="L277" s="31" t="n">
        <v>92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78.04000000000001</v>
      </c>
      <c r="P277" s="32" t="n">
        <v>46.82</v>
      </c>
      <c r="Q277" s="32" t="n">
        <v>191.31</v>
      </c>
      <c r="R277" s="31" t="inlineStr">
        <is>
          <t>Earnings / Momentum Support</t>
        </is>
      </c>
      <c r="S277" s="31" t="inlineStr">
        <is>
          <t>Nifty Pharma</t>
        </is>
      </c>
      <c r="T277" s="32" t="n">
        <v>14.67</v>
      </c>
      <c r="U277" s="32" t="n">
        <v>115.02</v>
      </c>
      <c r="V277" s="32" t="n">
        <v>87.51000000000001</v>
      </c>
      <c r="W277" s="32" t="n">
        <v>34.35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Yes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Annuity, Lower One Time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Above 40</t>
        </is>
      </c>
      <c r="AY277" s="31">
        <f>IF(AX277="Above 40",20,IF(AX277="20 to 40",10,IF(AX277="0 to 20",-5,0)))</f>
        <v/>
      </c>
      <c r="AZ277" s="31" t="inlineStr">
        <is>
          <t>Above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Negative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IF(B278=0,"",RANK(B278,$B$2:$B$335,0))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SPECIALITY</t>
        </is>
      </c>
      <c r="D278" s="33" t="inlineStr">
        <is>
          <t>Speciality Restaurants Limited</t>
        </is>
      </c>
      <c r="E278" s="31" t="inlineStr">
        <is>
          <t>services</t>
        </is>
      </c>
      <c r="F278" s="31" t="inlineStr">
        <is>
          <t>hotels</t>
        </is>
      </c>
      <c r="G278" s="31" t="inlineStr">
        <is>
          <t>smallcap</t>
        </is>
      </c>
      <c r="H278" s="32" t="n">
        <v>598.36</v>
      </c>
      <c r="I278" s="32" t="n">
        <v>131.11</v>
      </c>
      <c r="J278" s="32" t="n">
        <v>5.69</v>
      </c>
      <c r="K278" s="32" t="n">
        <v>139103</v>
      </c>
      <c r="L278" s="31" t="n">
        <v>32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62.92</v>
      </c>
      <c r="P278" s="32" t="n">
        <v>18.32</v>
      </c>
      <c r="Q278" s="32" t="n">
        <v>95.22</v>
      </c>
      <c r="R278" s="31" t="inlineStr">
        <is>
          <t>Earnings / Momentum Support</t>
        </is>
      </c>
      <c r="S278" s="31" t="inlineStr">
        <is>
          <t>Nifty 50</t>
        </is>
      </c>
      <c r="T278" s="32" t="n">
        <v>-3.67</v>
      </c>
      <c r="U278" s="32" t="n">
        <v>-3.83</v>
      </c>
      <c r="V278" s="32" t="n">
        <v>-0.17</v>
      </c>
      <c r="W278" s="32" t="n">
        <v>5.98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IF(B279=0,"",RANK(B279,$B$2:$B$335,0))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KALYANKJIL</t>
        </is>
      </c>
      <c r="D279" s="33" t="inlineStr">
        <is>
          <t>Kalyan Jewellers India Ltd</t>
        </is>
      </c>
      <c r="E279" s="31" t="inlineStr">
        <is>
          <t>consumer discretionary</t>
        </is>
      </c>
      <c r="F279" s="31" t="inlineStr">
        <is>
          <t>diamond cutting / jewellery</t>
        </is>
      </c>
      <c r="G279" s="31" t="inlineStr">
        <is>
          <t>largecap</t>
        </is>
      </c>
      <c r="H279" s="32" t="n">
        <v>52736.88</v>
      </c>
      <c r="I279" s="32" t="n">
        <v>529.75</v>
      </c>
      <c r="J279" s="32" t="n">
        <v>3.74</v>
      </c>
      <c r="K279" s="32" t="n">
        <v>95814205</v>
      </c>
      <c r="L279" s="31" t="n">
        <v>19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66.44</v>
      </c>
      <c r="P279" s="32" t="n">
        <v>19.08</v>
      </c>
      <c r="Q279" s="32" t="n">
        <v>400.33</v>
      </c>
      <c r="R279" s="31" t="inlineStr">
        <is>
          <t>Volume Spike / Accumulation</t>
        </is>
      </c>
      <c r="S279" s="31" t="inlineStr">
        <is>
          <t>Nifty 50</t>
        </is>
      </c>
      <c r="T279" s="32" t="n">
        <v>-3.67</v>
      </c>
      <c r="U279" s="32" t="n">
        <v>-9.970000000000001</v>
      </c>
      <c r="V279" s="32" t="n">
        <v>-6.54</v>
      </c>
      <c r="W279" s="32" t="n">
        <v>3.64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Between 50% to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Between 0.7 to 1.2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IF(B280=0,"",RANK(B280,$B$2:$B$335,0))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MOSCHIP</t>
        </is>
      </c>
      <c r="D280" s="31" t="inlineStr">
        <is>
          <t>Moschip Technologies Ltd</t>
        </is>
      </c>
      <c r="E280" s="31" t="inlineStr">
        <is>
          <t>i.t</t>
        </is>
      </c>
      <c r="F280" s="31" t="inlineStr">
        <is>
          <t>computers - hardware</t>
        </is>
      </c>
      <c r="G280" s="31" t="inlineStr">
        <is>
          <t>smallcap</t>
        </is>
      </c>
      <c r="H280" s="32" t="n">
        <v>4513.79</v>
      </c>
      <c r="I280" s="32" t="n">
        <v>240.83</v>
      </c>
      <c r="J280" s="32" t="n">
        <v>3.44</v>
      </c>
      <c r="K280" s="32" t="n">
        <v>11200608</v>
      </c>
      <c r="L280" s="31" t="n">
        <v>69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61.9</v>
      </c>
      <c r="P280" s="32" t="n">
        <v>18.2</v>
      </c>
      <c r="Q280" s="32" t="n">
        <v>176.28</v>
      </c>
      <c r="R280" s="31" t="inlineStr">
        <is>
          <t>Earnings / Momentum Support</t>
        </is>
      </c>
      <c r="S280" s="31" t="inlineStr">
        <is>
          <t>Nifty IT</t>
        </is>
      </c>
      <c r="T280" s="32" t="n">
        <v>-22.66</v>
      </c>
      <c r="U280" s="32" t="n">
        <v>40.46</v>
      </c>
      <c r="V280" s="32" t="n">
        <v>81.62</v>
      </c>
      <c r="W280" s="32" t="n">
        <v>14.88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IF(B281=0,"",RANK(B281,$B$2:$B$335,0))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CANTABIL</t>
        </is>
      </c>
      <c r="D281" s="33" t="inlineStr">
        <is>
          <t>Cantabil Retail India Limited</t>
        </is>
      </c>
      <c r="E281" s="31" t="inlineStr">
        <is>
          <t>textiles</t>
        </is>
      </c>
      <c r="F281" s="31" t="inlineStr">
        <is>
          <t>textiles - products</t>
        </is>
      </c>
      <c r="G281" s="31" t="inlineStr">
        <is>
          <t>smallcap</t>
        </is>
      </c>
      <c r="H281" s="32" t="n">
        <v>2140.8</v>
      </c>
      <c r="I281" s="32" t="n">
        <v>260.5</v>
      </c>
      <c r="J281" s="32" t="n">
        <v>1.77</v>
      </c>
      <c r="K281" s="32" t="n">
        <v>816747</v>
      </c>
      <c r="L281" s="31" t="n">
        <v>7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56.52</v>
      </c>
      <c r="P281" s="32" t="n">
        <v>15.23</v>
      </c>
      <c r="Q281" s="32" t="n">
        <v>199.59</v>
      </c>
      <c r="R281" s="31" t="inlineStr">
        <is>
          <t>Earnings / Momentum Support</t>
        </is>
      </c>
      <c r="S281" s="31" t="inlineStr">
        <is>
          <t>Nifty 50</t>
        </is>
      </c>
      <c r="T281" s="32" t="n">
        <v>-3.67</v>
      </c>
      <c r="U281" s="32" t="n">
        <v>-6.64</v>
      </c>
      <c r="V281" s="32" t="n">
        <v>-3.08</v>
      </c>
      <c r="W281" s="32" t="n">
        <v>0.78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Headwind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Less than 1.5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Between 0.7 to 1.2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IF(B282=0,"",RANK(B282,$B$2:$B$335,0))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TATVA</t>
        </is>
      </c>
      <c r="D282" s="31" t="inlineStr">
        <is>
          <t>Tatva Chintan Pharma Chem Ltd</t>
        </is>
      </c>
      <c r="E282" s="31" t="inlineStr">
        <is>
          <t>chemicals</t>
        </is>
      </c>
      <c r="F282" s="31" t="inlineStr">
        <is>
          <t>chemicals</t>
        </is>
      </c>
      <c r="G282" s="31" t="inlineStr">
        <is>
          <t>smallcap</t>
        </is>
      </c>
      <c r="H282" s="32" t="n">
        <v>3254.77</v>
      </c>
      <c r="I282" s="32" t="n">
        <v>1412.1</v>
      </c>
      <c r="J282" s="32" t="n">
        <v>1.49</v>
      </c>
      <c r="K282" s="32" t="n">
        <v>101527</v>
      </c>
      <c r="L282" s="31" t="n">
        <v>50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62.52</v>
      </c>
      <c r="P282" s="32" t="n">
        <v>18.05</v>
      </c>
      <c r="Q282" s="32" t="n">
        <v>1048.9</v>
      </c>
      <c r="R282" s="31" t="inlineStr">
        <is>
          <t>Earnings / Momentum Support</t>
        </is>
      </c>
      <c r="S282" s="31" t="inlineStr">
        <is>
          <t>Nifty 50</t>
        </is>
      </c>
      <c r="T282" s="32" t="n">
        <v>-3.67</v>
      </c>
      <c r="U282" s="32" t="n">
        <v>41.3</v>
      </c>
      <c r="V282" s="32" t="n">
        <v>46.68</v>
      </c>
      <c r="W282" s="32" t="n">
        <v>10.08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Less than 50%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IF(B283=0,"",RANK(B283,$B$2:$B$335,0))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3" t="inlineStr">
        <is>
          <t>SAMBHV</t>
        </is>
      </c>
      <c r="D283" s="33" t="inlineStr">
        <is>
          <t>Sambhv Steel Tubes Ltd</t>
        </is>
      </c>
      <c r="E283" s="31" t="inlineStr">
        <is>
          <t>metals &amp; mining</t>
        </is>
      </c>
      <c r="F283" s="31" t="inlineStr">
        <is>
          <t>steel - medium / small</t>
        </is>
      </c>
      <c r="G283" s="31" t="inlineStr">
        <is>
          <t>smallcap</t>
        </is>
      </c>
      <c r="H283" s="32" t="n">
        <v>3563.17</v>
      </c>
      <c r="I283" s="32" t="n">
        <v>122.21</v>
      </c>
      <c r="J283" s="32" t="n">
        <v>1.07</v>
      </c>
      <c r="K283" s="32" t="n">
        <v>1669111</v>
      </c>
      <c r="L283" s="31" t="n">
        <v>6</v>
      </c>
      <c r="M283" s="31" t="inlineStr">
        <is>
          <t>Underperforming</t>
        </is>
      </c>
      <c r="N283" s="32">
        <f>IF(M283="Underperforming",-5,IF(L283&gt;=95,15,IF(L283&gt;=90,10,IF(L283&gt;=80,5,0))))</f>
        <v/>
      </c>
      <c r="O283" s="32" t="n">
        <v>64.17</v>
      </c>
      <c r="P283" s="32" t="n">
        <v>23.68</v>
      </c>
      <c r="Q283" s="32" t="n">
        <v>99.25</v>
      </c>
      <c r="R283" s="31" t="inlineStr">
        <is>
          <t>Earnings / Momentum Support</t>
        </is>
      </c>
      <c r="S283" s="31" t="inlineStr">
        <is>
          <t>Nifty Metal</t>
        </is>
      </c>
      <c r="T283" s="32" t="n">
        <v>34.04</v>
      </c>
      <c r="U283" s="32" t="n">
        <v>-3.54</v>
      </c>
      <c r="V283" s="32" t="n">
        <v>-28.03</v>
      </c>
      <c r="W283" s="32" t="n">
        <v>0.55</v>
      </c>
      <c r="X283" s="31" t="inlineStr">
        <is>
          <t>Cyclical in an Upturn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Cyclical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Volatile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Less than 0.7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IF(B284=0,"",RANK(B284,$B$2:$B$335,0))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ASAHIINDIA</t>
        </is>
      </c>
      <c r="D284" s="31" t="inlineStr">
        <is>
          <t>Asahi India Glass Limited</t>
        </is>
      </c>
      <c r="E284" s="31" t="inlineStr">
        <is>
          <t>building materials</t>
        </is>
      </c>
      <c r="F284" s="31" t="inlineStr">
        <is>
          <t>glass &amp; glass products</t>
        </is>
      </c>
      <c r="G284" s="31" t="inlineStr">
        <is>
          <t>largecap</t>
        </is>
      </c>
      <c r="H284" s="32" t="n">
        <v>23555.27</v>
      </c>
      <c r="I284" s="32" t="n">
        <v>923.1</v>
      </c>
      <c r="J284" s="32" t="n">
        <v>-0.1</v>
      </c>
      <c r="K284" s="32" t="n">
        <v>100657</v>
      </c>
      <c r="L284" s="31" t="n">
        <v>20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56.42</v>
      </c>
      <c r="P284" s="32" t="n">
        <v>14.62</v>
      </c>
      <c r="Q284" s="32" t="n">
        <v>729.62</v>
      </c>
      <c r="R284" s="31" t="inlineStr">
        <is>
          <t>Earnings / Momentum Support</t>
        </is>
      </c>
      <c r="S284" s="31" t="inlineStr">
        <is>
          <t>Nifty Infra</t>
        </is>
      </c>
      <c r="T284" s="32" t="n">
        <v>1.45</v>
      </c>
      <c r="U284" s="32" t="n">
        <v>9.890000000000001</v>
      </c>
      <c r="V284" s="32" t="n">
        <v>8.32</v>
      </c>
      <c r="W284" s="32" t="n">
        <v>3.89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Between 1.5 to 2</t>
        </is>
      </c>
      <c r="BU284" s="31">
        <f>IF(BT284="Above 2",0,IF(BT284="Between 1.5 to 2",5,IF(BT284="Less than 1.5",10,0)))</f>
        <v/>
      </c>
      <c r="BV284" s="31" t="inlineStr">
        <is>
          <t>Between 50% to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IF(B285=0,"",RANK(B285,$B$2:$B$335,0))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REDINGTON</t>
        </is>
      </c>
      <c r="D285" s="33" t="inlineStr">
        <is>
          <t>Redington (india) Limited</t>
        </is>
      </c>
      <c r="E285" s="31" t="inlineStr">
        <is>
          <t>services</t>
        </is>
      </c>
      <c r="F285" s="31" t="inlineStr">
        <is>
          <t>trading</t>
        </is>
      </c>
      <c r="G285" s="31" t="inlineStr">
        <is>
          <t>largecap</t>
        </is>
      </c>
      <c r="H285" s="32" t="n">
        <v>22147.67</v>
      </c>
      <c r="I285" s="32" t="n">
        <v>282.7</v>
      </c>
      <c r="J285" s="32" t="n">
        <v>-0.21</v>
      </c>
      <c r="K285" s="32" t="n">
        <v>2534162</v>
      </c>
      <c r="L285" s="31" t="n">
        <v>20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63.13</v>
      </c>
      <c r="P285" s="32" t="n">
        <v>19.48</v>
      </c>
      <c r="Q285" s="32" t="n">
        <v>218.38</v>
      </c>
      <c r="R285" s="31" t="inlineStr">
        <is>
          <t>Near 52W High Breakout</t>
        </is>
      </c>
      <c r="S285" s="31" t="inlineStr">
        <is>
          <t>Nifty 50</t>
        </is>
      </c>
      <c r="T285" s="32" t="n">
        <v>-3.67</v>
      </c>
      <c r="U285" s="32" t="n">
        <v>-7.03</v>
      </c>
      <c r="V285" s="32" t="n">
        <v>-3.49</v>
      </c>
      <c r="W285" s="32" t="n">
        <v>3.96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Less than 12%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Less than 50%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IF(B286=0,"",RANK(B286,$B$2:$B$335,0))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JKPAPER</t>
        </is>
      </c>
      <c r="D286" s="33" t="inlineStr">
        <is>
          <t>Jk Paper Limited</t>
        </is>
      </c>
      <c r="E286" s="31" t="inlineStr">
        <is>
          <t>building materials</t>
        </is>
      </c>
      <c r="F286" s="31" t="inlineStr">
        <is>
          <t>paper</t>
        </is>
      </c>
      <c r="G286" s="31" t="inlineStr">
        <is>
          <t>midcap</t>
        </is>
      </c>
      <c r="H286" s="32" t="n">
        <v>6691.57</v>
      </c>
      <c r="I286" s="32" t="n">
        <v>367.4</v>
      </c>
      <c r="J286" s="32" t="n">
        <v>-0.45</v>
      </c>
      <c r="K286" s="32" t="n">
        <v>336723</v>
      </c>
      <c r="L286" s="31" t="n">
        <v>3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54.32</v>
      </c>
      <c r="P286" s="32" t="n">
        <v>19.22</v>
      </c>
      <c r="Q286" s="32" t="n">
        <v>310.68</v>
      </c>
      <c r="R286" s="31" t="inlineStr">
        <is>
          <t>Earnings / Momentum Support</t>
        </is>
      </c>
      <c r="S286" s="31" t="inlineStr">
        <is>
          <t>Nifty Infra</t>
        </is>
      </c>
      <c r="T286" s="32" t="n">
        <v>1.45</v>
      </c>
      <c r="U286" s="32" t="n">
        <v>-4.2</v>
      </c>
      <c r="V286" s="32" t="n">
        <v>-5.57</v>
      </c>
      <c r="W286" s="32" t="n">
        <v>-0.77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1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Less than 1.5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IF(B287=0,"",RANK(B287,$B$2:$B$335,0))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INDHOTEL</t>
        </is>
      </c>
      <c r="D287" s="33" t="inlineStr">
        <is>
          <t>The Indian Hotels Company Limited</t>
        </is>
      </c>
      <c r="E287" s="31" t="inlineStr">
        <is>
          <t>services</t>
        </is>
      </c>
      <c r="F287" s="31" t="inlineStr">
        <is>
          <t>hotels</t>
        </is>
      </c>
      <c r="G287" s="31" t="inlineStr">
        <is>
          <t>largecap</t>
        </is>
      </c>
      <c r="H287" s="32" t="n">
        <v>105127.59</v>
      </c>
      <c r="I287" s="32" t="n">
        <v>733.3</v>
      </c>
      <c r="J287" s="32" t="n">
        <v>-0.71</v>
      </c>
      <c r="K287" s="32" t="n">
        <v>1604337</v>
      </c>
      <c r="L287" s="31" t="n">
        <v>11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60.28</v>
      </c>
      <c r="P287" s="32" t="n">
        <v>11.94</v>
      </c>
      <c r="Q287" s="32" t="n">
        <v>643.14</v>
      </c>
      <c r="R287" s="31" t="inlineStr">
        <is>
          <t>Earnings / Momentum Support</t>
        </is>
      </c>
      <c r="S287" s="31" t="inlineStr">
        <is>
          <t>Nifty 500</t>
        </is>
      </c>
      <c r="T287" s="32" t="n">
        <v>-0.33</v>
      </c>
      <c r="U287" s="32" t="n">
        <v>-3.87</v>
      </c>
      <c r="V287" s="32" t="n">
        <v>-3.55</v>
      </c>
      <c r="W287" s="32" t="n">
        <v>1.76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Between 12 to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IF(B288=0,"",RANK(B288,$B$2:$B$335,0))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RAYMOND</t>
        </is>
      </c>
      <c r="D288" s="33" t="inlineStr">
        <is>
          <t>Raymond Limited</t>
        </is>
      </c>
      <c r="E288" s="31" t="inlineStr">
        <is>
          <t>transportation</t>
        </is>
      </c>
      <c r="F288" s="31" t="inlineStr">
        <is>
          <t>transport - airlines</t>
        </is>
      </c>
      <c r="G288" s="31" t="inlineStr">
        <is>
          <t>smallcap</t>
        </is>
      </c>
      <c r="H288" s="32" t="n">
        <v>4164.19</v>
      </c>
      <c r="I288" s="32" t="n">
        <v>619.1</v>
      </c>
      <c r="J288" s="32" t="n">
        <v>-1.02</v>
      </c>
      <c r="K288" s="32" t="n">
        <v>740755</v>
      </c>
      <c r="L288" s="31" t="n">
        <v>49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63.71</v>
      </c>
      <c r="P288" s="32" t="n">
        <v>31.41</v>
      </c>
      <c r="Q288" s="32" t="n">
        <v>480.25</v>
      </c>
      <c r="R288" s="31" t="inlineStr">
        <is>
          <t>Earnings / Momentum Support</t>
        </is>
      </c>
      <c r="S288" s="31" t="inlineStr">
        <is>
          <t>Nifty 50</t>
        </is>
      </c>
      <c r="T288" s="32" t="n">
        <v>-3.67</v>
      </c>
      <c r="U288" s="32" t="n">
        <v>-13.87</v>
      </c>
      <c r="V288" s="32" t="n">
        <v>-10.59</v>
      </c>
      <c r="W288" s="32" t="n">
        <v>9.74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Less than 12%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Less than 50%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IF(B289=0,"",RANK(B289,$B$2:$B$335,0))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JUBLINGREA</t>
        </is>
      </c>
      <c r="D289" s="33" t="inlineStr">
        <is>
          <t>Jubilant Ingrevia Ltd</t>
        </is>
      </c>
      <c r="E289" s="31" t="inlineStr">
        <is>
          <t>chemicals</t>
        </is>
      </c>
      <c r="F289" s="31" t="inlineStr">
        <is>
          <t>chemicals</t>
        </is>
      </c>
      <c r="G289" s="31" t="inlineStr">
        <is>
          <t>midcap</t>
        </is>
      </c>
      <c r="H289" s="32" t="n">
        <v>11678.49</v>
      </c>
      <c r="I289" s="32" t="n">
        <v>724.05</v>
      </c>
      <c r="J289" s="32" t="n">
        <v>-1.25</v>
      </c>
      <c r="K289" s="32" t="n">
        <v>445465</v>
      </c>
      <c r="L289" s="31" t="n">
        <v>4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58.12</v>
      </c>
      <c r="P289" s="32" t="n">
        <v>15.89</v>
      </c>
      <c r="Q289" s="32" t="n">
        <v>575.83</v>
      </c>
      <c r="R289" s="31" t="inlineStr">
        <is>
          <t>Earnings / Momentum Support</t>
        </is>
      </c>
      <c r="S289" s="31" t="inlineStr">
        <is>
          <t>Nifty 50</t>
        </is>
      </c>
      <c r="T289" s="32" t="n">
        <v>-3.67</v>
      </c>
      <c r="U289" s="32" t="n">
        <v>-12.29</v>
      </c>
      <c r="V289" s="32" t="n">
        <v>-8.949999999999999</v>
      </c>
      <c r="W289" s="32" t="n">
        <v>-0.48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Between 12 to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IF(B290=0,"",RANK(B290,$B$2:$B$335,0))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ARE&amp;M</t>
        </is>
      </c>
      <c r="D290" s="33" t="inlineStr">
        <is>
          <t>Amara Raja Energy &amp; Mobility Ltd</t>
        </is>
      </c>
      <c r="E290" s="31" t="inlineStr">
        <is>
          <t>auto</t>
        </is>
      </c>
      <c r="F290" s="31" t="inlineStr">
        <is>
          <t>auto ancillaries</t>
        </is>
      </c>
      <c r="G290" s="31" t="inlineStr">
        <is>
          <t>midcap</t>
        </is>
      </c>
      <c r="H290" s="32" t="n">
        <v>16637.92</v>
      </c>
      <c r="I290" s="32" t="n">
        <v>894.9</v>
      </c>
      <c r="J290" s="32" t="n">
        <v>-1.56</v>
      </c>
      <c r="K290" s="32" t="n">
        <v>961318</v>
      </c>
      <c r="L290" s="31" t="n">
        <v>11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55.61</v>
      </c>
      <c r="P290" s="32" t="n">
        <v>12.85</v>
      </c>
      <c r="Q290" s="32" t="n">
        <v>727.58</v>
      </c>
      <c r="R290" s="31" t="inlineStr">
        <is>
          <t>Earnings / Momentum Support</t>
        </is>
      </c>
      <c r="S290" s="31" t="inlineStr">
        <is>
          <t>Nifty Auto</t>
        </is>
      </c>
      <c r="T290" s="32" t="n">
        <v>11.1</v>
      </c>
      <c r="U290" s="32" t="n">
        <v>-7.34</v>
      </c>
      <c r="V290" s="32" t="n">
        <v>-16.6</v>
      </c>
      <c r="W290" s="32" t="n">
        <v>1.95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1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Less than 1.5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IF(B291=0,"",RANK(B291,$B$2:$B$335,0))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VINCOFE</t>
        </is>
      </c>
      <c r="D291" s="31" t="inlineStr">
        <is>
          <t>Vintage Coffee &amp; Beverages Ltd</t>
        </is>
      </c>
      <c r="E291" s="31" t="inlineStr">
        <is>
          <t>consumer discretionary</t>
        </is>
      </c>
      <c r="F291" s="31" t="inlineStr">
        <is>
          <t>trading</t>
        </is>
      </c>
      <c r="G291" s="31" t="inlineStr">
        <is>
          <t>smallcap</t>
        </is>
      </c>
      <c r="H291" s="32" t="n">
        <v>2409.83</v>
      </c>
      <c r="I291" s="32" t="n">
        <v>160.6</v>
      </c>
      <c r="J291" s="32" t="n">
        <v>-2.91</v>
      </c>
      <c r="K291" s="32" t="n">
        <v>1950003</v>
      </c>
      <c r="L291" s="31" t="n">
        <v>28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59.5</v>
      </c>
      <c r="P291" s="32" t="n">
        <v>19.02</v>
      </c>
      <c r="Q291" s="32" t="n">
        <v>120.5</v>
      </c>
      <c r="R291" s="31" t="inlineStr">
        <is>
          <t>Earnings / Momentum Support</t>
        </is>
      </c>
      <c r="S291" s="31" t="inlineStr">
        <is>
          <t>Nifty 50</t>
        </is>
      </c>
      <c r="T291" s="32" t="n">
        <v>-3.67</v>
      </c>
      <c r="U291" s="32" t="n">
        <v>12.84</v>
      </c>
      <c r="V291" s="32" t="n">
        <v>17.14</v>
      </c>
      <c r="W291" s="32" t="n">
        <v>5.3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Between 12 to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Less than 50%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IF(B292=0,"",RANK(B292,$B$2:$B$335,0))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3" t="inlineStr">
        <is>
          <t>KSL</t>
        </is>
      </c>
      <c r="D292" s="33" t="inlineStr">
        <is>
          <t>Kalyani Steels Limited</t>
        </is>
      </c>
      <c r="E292" s="31" t="inlineStr">
        <is>
          <t>metals &amp; mining</t>
        </is>
      </c>
      <c r="F292" s="31" t="inlineStr">
        <is>
          <t>steel - medium / small</t>
        </is>
      </c>
      <c r="G292" s="31" t="inlineStr">
        <is>
          <t>smallcap</t>
        </is>
      </c>
      <c r="H292" s="32" t="n">
        <v>4244.39</v>
      </c>
      <c r="I292" s="32" t="n">
        <v>925</v>
      </c>
      <c r="J292" s="32" t="n">
        <v>-4.86</v>
      </c>
      <c r="K292" s="32" t="n">
        <v>97213</v>
      </c>
      <c r="L292" s="31" t="n">
        <v>35</v>
      </c>
      <c r="M292" s="31" t="inlineStr">
        <is>
          <t>Underperforming</t>
        </is>
      </c>
      <c r="N292" s="32">
        <f>IF(M292="Underperforming",-5,IF(L292&gt;=95,15,IF(L292&gt;=90,10,IF(L292&gt;=80,5,0))))</f>
        <v/>
      </c>
      <c r="O292" s="32" t="n">
        <v>64.59</v>
      </c>
      <c r="P292" s="32" t="n">
        <v>20.48</v>
      </c>
      <c r="Q292" s="32" t="n">
        <v>769.2</v>
      </c>
      <c r="R292" s="31" t="inlineStr">
        <is>
          <t>Near 52W High Breakout</t>
        </is>
      </c>
      <c r="S292" s="31" t="inlineStr">
        <is>
          <t>Nifty Metal</t>
        </is>
      </c>
      <c r="T292" s="32" t="n">
        <v>34.04</v>
      </c>
      <c r="U292" s="32" t="n">
        <v>3.87</v>
      </c>
      <c r="V292" s="32" t="n">
        <v>-22.51</v>
      </c>
      <c r="W292" s="32" t="n">
        <v>6.46</v>
      </c>
      <c r="X292" s="31" t="inlineStr">
        <is>
          <t>Cyclical in an Upturn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Cyclical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Volatile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IF(B293=0,"",RANK(B293,$B$2:$B$335,0))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MBAPL</t>
        </is>
      </c>
      <c r="D293" s="31" t="inlineStr">
        <is>
          <t>Madhya Bharat Agro Products Ltd</t>
        </is>
      </c>
      <c r="E293" s="31" t="inlineStr">
        <is>
          <t>chemicals</t>
        </is>
      </c>
      <c r="F293" s="31" t="inlineStr">
        <is>
          <t>fertilizers</t>
        </is>
      </c>
      <c r="G293" s="31" t="inlineStr">
        <is>
          <t>smallcap</t>
        </is>
      </c>
      <c r="H293" s="32" t="n">
        <v>1164.12</v>
      </c>
      <c r="I293" s="32" t="n">
        <v>124</v>
      </c>
      <c r="J293" s="32" t="n">
        <v>-6.66</v>
      </c>
      <c r="K293" s="32" t="n">
        <v>1613310</v>
      </c>
      <c r="L293" s="31" t="n">
        <v>64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68.18000000000001</v>
      </c>
      <c r="P293" s="32" t="n">
        <v>55.13</v>
      </c>
      <c r="Q293" s="32" t="n">
        <v>101.96</v>
      </c>
      <c r="R293" s="31" t="inlineStr">
        <is>
          <t>Earnings / Momentum Support</t>
        </is>
      </c>
      <c r="S293" s="31" t="inlineStr">
        <is>
          <t>Nifty 50</t>
        </is>
      </c>
      <c r="T293" s="32" t="n">
        <v>-3.67</v>
      </c>
      <c r="U293" s="32" t="n">
        <v>46.59</v>
      </c>
      <c r="V293" s="32" t="n">
        <v>52.18</v>
      </c>
      <c r="W293" s="32" t="n">
        <v>13.32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Above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Negative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More than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IF(B294=0,"",RANK(B294,$B$2:$B$335,0))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3" t="inlineStr">
        <is>
          <t>TCPLPACK</t>
        </is>
      </c>
      <c r="D294" s="33" t="inlineStr">
        <is>
          <t>TCPL Packaging Ltd</t>
        </is>
      </c>
      <c r="E294" s="31" t="inlineStr">
        <is>
          <t>industrials</t>
        </is>
      </c>
      <c r="F294" s="31" t="inlineStr">
        <is>
          <t>packaging</t>
        </is>
      </c>
      <c r="G294" s="31" t="inlineStr">
        <is>
          <t>smallcap</t>
        </is>
      </c>
      <c r="H294" s="32" t="n">
        <v>2736.01</v>
      </c>
      <c r="I294" s="32" t="n">
        <v>3216.9</v>
      </c>
      <c r="J294" s="32" t="n">
        <v>6.99</v>
      </c>
      <c r="K294" s="32" t="n">
        <v>41629</v>
      </c>
      <c r="L294" s="31" t="n">
        <v>12</v>
      </c>
      <c r="M294" s="31" t="inlineStr">
        <is>
          <t>Underperforming</t>
        </is>
      </c>
      <c r="N294" s="32">
        <f>IF(M294="Underperforming",-5,IF(L294&gt;=95,15,IF(L294&gt;=90,10,IF(L294&gt;=80,5,0))))</f>
        <v/>
      </c>
      <c r="O294" s="32" t="n">
        <v>62.7</v>
      </c>
      <c r="P294" s="32" t="n">
        <v>14.07</v>
      </c>
      <c r="Q294" s="32" t="n">
        <v>2492.86</v>
      </c>
      <c r="R294" s="31" t="inlineStr">
        <is>
          <t>Volume Spike / Accumulation</t>
        </is>
      </c>
      <c r="S294" s="31" t="inlineStr">
        <is>
          <t>Nifty 50</t>
        </is>
      </c>
      <c r="T294" s="32" t="n">
        <v>-3.67</v>
      </c>
      <c r="U294" s="32" t="n">
        <v>-14.29</v>
      </c>
      <c r="V294" s="32" t="n">
        <v>-11.03</v>
      </c>
      <c r="W294" s="32" t="n">
        <v>2.13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Too Many Players with High ROCE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Structural (10 Years Consistency)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0 to 20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Less than 12%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Between 0.7 to 1.2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IF(B295=0,"",RANK(B295,$B$2:$B$335,0))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ROSSTECH</t>
        </is>
      </c>
      <c r="D295" s="31" t="inlineStr">
        <is>
          <t>Rossell Techsys Ltd</t>
        </is>
      </c>
      <c r="E295" s="31" t="inlineStr">
        <is>
          <t>aerospace &amp; defence</t>
        </is>
      </c>
      <c r="F295" s="31" t="inlineStr">
        <is>
          <t>engineering</t>
        </is>
      </c>
      <c r="G295" s="31" t="inlineStr">
        <is>
          <t>smallcap</t>
        </is>
      </c>
      <c r="H295" s="32" t="n">
        <v>3864.83</v>
      </c>
      <c r="I295" s="32" t="n">
        <v>1036.6</v>
      </c>
      <c r="J295" s="32" t="n">
        <v>1.11</v>
      </c>
      <c r="K295" s="32" t="n">
        <v>129356</v>
      </c>
      <c r="L295" s="31" t="n">
        <v>80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62.21</v>
      </c>
      <c r="P295" s="32" t="n">
        <v>39.52</v>
      </c>
      <c r="Q295" s="32" t="n">
        <v>729.96</v>
      </c>
      <c r="R295" s="31" t="inlineStr">
        <is>
          <t>Near 52W High Breakout</t>
        </is>
      </c>
      <c r="S295" s="31" t="inlineStr">
        <is>
          <t>Nifty 50</t>
        </is>
      </c>
      <c r="T295" s="32" t="n">
        <v>-3.67</v>
      </c>
      <c r="U295" s="32" t="n">
        <v>123.35</v>
      </c>
      <c r="V295" s="32" t="n">
        <v>131.86</v>
      </c>
      <c r="W295" s="32" t="n">
        <v>21.21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Blue sky scenario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Negative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More than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IF(B296=0,"",RANK(B296,$B$2:$B$335,0))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KAPSTON</t>
        </is>
      </c>
      <c r="D296" s="31" t="inlineStr">
        <is>
          <t>Kapston Services Ltd</t>
        </is>
      </c>
      <c r="E296" s="31" t="inlineStr">
        <is>
          <t>miscellaneous</t>
        </is>
      </c>
      <c r="F296" s="31" t="inlineStr">
        <is>
          <t>miscellaneous</t>
        </is>
      </c>
      <c r="G296" s="31" t="inlineStr">
        <is>
          <t>smallcap</t>
        </is>
      </c>
      <c r="H296" s="32" t="n">
        <v>1258.98</v>
      </c>
      <c r="I296" s="32" t="n">
        <v>414.15</v>
      </c>
      <c r="J296" s="32" t="n">
        <v>0.11</v>
      </c>
      <c r="K296" s="32" t="n">
        <v>18761</v>
      </c>
      <c r="L296" s="31" t="n">
        <v>77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68.19</v>
      </c>
      <c r="P296" s="32" t="n">
        <v>18.96</v>
      </c>
      <c r="Q296" s="32" t="n">
        <v>304.4</v>
      </c>
      <c r="R296" s="31" t="inlineStr">
        <is>
          <t>Near 52W High Breakout</t>
        </is>
      </c>
      <c r="S296" s="31" t="inlineStr">
        <is>
          <t>Nifty 50</t>
        </is>
      </c>
      <c r="T296" s="32" t="n">
        <v>-3.67</v>
      </c>
      <c r="U296" s="32" t="n">
        <v>67.23</v>
      </c>
      <c r="V296" s="32" t="n">
        <v>73.59999999999999</v>
      </c>
      <c r="W296" s="32" t="n">
        <v>18.74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Blue sky scenario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Between 1.5 to 2</t>
        </is>
      </c>
      <c r="BU296" s="31">
        <f>IF(BT296="Above 2",0,IF(BT296="Between 1.5 to 2",5,IF(BT296="Less than 1.5",10,0)))</f>
        <v/>
      </c>
      <c r="BV296" s="31" t="inlineStr">
        <is>
          <t>Less than 50% and Borrowings are increasing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More than 1.2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IF(B297=0,"",RANK(B297,$B$2:$B$335,0))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NELCO</t>
        </is>
      </c>
      <c r="D297" s="31" t="inlineStr">
        <is>
          <t>Nelco Limited</t>
        </is>
      </c>
      <c r="E297" s="31" t="inlineStr">
        <is>
          <t>telecom</t>
        </is>
      </c>
      <c r="F297" s="31" t="inlineStr">
        <is>
          <t>telecommunications - service provider</t>
        </is>
      </c>
      <c r="G297" s="31" t="inlineStr">
        <is>
          <t>smallcap</t>
        </is>
      </c>
      <c r="H297" s="32" t="n">
        <v>2056.85</v>
      </c>
      <c r="I297" s="32" t="n">
        <v>894.2</v>
      </c>
      <c r="J297" s="32" t="n">
        <v>-0.8</v>
      </c>
      <c r="K297" s="32" t="n">
        <v>149494</v>
      </c>
      <c r="L297" s="31" t="n">
        <v>42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62.64</v>
      </c>
      <c r="P297" s="32" t="n">
        <v>21.02</v>
      </c>
      <c r="Q297" s="32" t="n">
        <v>703.8200000000001</v>
      </c>
      <c r="R297" s="31" t="inlineStr">
        <is>
          <t>Near 52W High Breakout</t>
        </is>
      </c>
      <c r="S297" s="31" t="inlineStr">
        <is>
          <t>Nifty 50</t>
        </is>
      </c>
      <c r="T297" s="32" t="n">
        <v>-3.67</v>
      </c>
      <c r="U297" s="32" t="n">
        <v>3.78</v>
      </c>
      <c r="V297" s="32" t="n">
        <v>7.73</v>
      </c>
      <c r="W297" s="32" t="n">
        <v>8.25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Oligopoly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Yes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20 to 40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Negative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Between 50% to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IF(B298=0,"",RANK(B298,$B$2:$B$335,0))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3" t="inlineStr">
        <is>
          <t>VENUSPIPES</t>
        </is>
      </c>
      <c r="D298" s="33" t="inlineStr">
        <is>
          <t>Venus Pipes &amp; Tubes Ltd</t>
        </is>
      </c>
      <c r="E298" s="31" t="inlineStr">
        <is>
          <t>metals &amp; mining</t>
        </is>
      </c>
      <c r="F298" s="31" t="inlineStr">
        <is>
          <t>steel - medium / small</t>
        </is>
      </c>
      <c r="G298" s="31" t="inlineStr">
        <is>
          <t>smallcap</t>
        </is>
      </c>
      <c r="H298" s="32" t="n">
        <v>3724.55</v>
      </c>
      <c r="I298" s="32" t="n">
        <v>1779</v>
      </c>
      <c r="J298" s="32" t="n">
        <v>-1.05</v>
      </c>
      <c r="K298" s="32" t="n">
        <v>57191</v>
      </c>
      <c r="L298" s="31" t="n">
        <v>56</v>
      </c>
      <c r="M298" s="31" t="inlineStr">
        <is>
          <t>Underperforming</t>
        </is>
      </c>
      <c r="N298" s="32">
        <f>IF(M298="Underperforming",-5,IF(L298&gt;=95,15,IF(L298&gt;=90,10,IF(L298&gt;=80,5,0))))</f>
        <v/>
      </c>
      <c r="O298" s="32" t="n">
        <v>71.40000000000001</v>
      </c>
      <c r="P298" s="32" t="n">
        <v>24.29</v>
      </c>
      <c r="Q298" s="32" t="n">
        <v>1401.23</v>
      </c>
      <c r="R298" s="31" t="inlineStr">
        <is>
          <t>Near 52W High Breakout</t>
        </is>
      </c>
      <c r="S298" s="31" t="inlineStr">
        <is>
          <t>Nifty Metal</t>
        </is>
      </c>
      <c r="T298" s="32" t="n">
        <v>34.04</v>
      </c>
      <c r="U298" s="32" t="n">
        <v>8.890000000000001</v>
      </c>
      <c r="V298" s="32" t="n">
        <v>-18.77</v>
      </c>
      <c r="W298" s="32" t="n">
        <v>11.18</v>
      </c>
      <c r="X298" s="31" t="inlineStr">
        <is>
          <t>Cyclical in an Upturn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Cyclical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Volatile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20 to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Between 50% to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IF(B299=0,"",RANK(B299,$B$2:$B$335,0))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LMW</t>
        </is>
      </c>
      <c r="D299" s="33" t="inlineStr">
        <is>
          <t>LMW Ltd</t>
        </is>
      </c>
      <c r="E299" s="31" t="inlineStr">
        <is>
          <t>industrials</t>
        </is>
      </c>
      <c r="F299" s="31" t="inlineStr">
        <is>
          <t>textile machinery</t>
        </is>
      </c>
      <c r="G299" s="31" t="inlineStr">
        <is>
          <t>midcap</t>
        </is>
      </c>
      <c r="H299" s="32" t="n">
        <v>17441.07</v>
      </c>
      <c r="I299" s="32" t="n">
        <v>16125</v>
      </c>
      <c r="J299" s="32" t="n">
        <v>-1.23</v>
      </c>
      <c r="K299" s="32" t="n">
        <v>1478</v>
      </c>
      <c r="L299" s="31" t="n">
        <v>14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58.09</v>
      </c>
      <c r="P299" s="32" t="n">
        <v>20.51</v>
      </c>
      <c r="Q299" s="32" t="n">
        <v>13835.12</v>
      </c>
      <c r="R299" s="31" t="inlineStr">
        <is>
          <t>Near 52W High Breakout</t>
        </is>
      </c>
      <c r="S299" s="31" t="inlineStr">
        <is>
          <t>Nifty Infra</t>
        </is>
      </c>
      <c r="T299" s="32" t="n">
        <v>1.45</v>
      </c>
      <c r="U299" s="32" t="n">
        <v>-0.33</v>
      </c>
      <c r="V299" s="32" t="n">
        <v>-1.75</v>
      </c>
      <c r="W299" s="32" t="n">
        <v>2.6</v>
      </c>
      <c r="X299" s="31" t="inlineStr">
        <is>
          <t>Cyclical in an Upturn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Negative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IF(B300=0,"",RANK(B300,$B$2:$B$335,0))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HEG</t>
        </is>
      </c>
      <c r="D300" s="31" t="inlineStr">
        <is>
          <t>Heg Limited</t>
        </is>
      </c>
      <c r="E300" s="31" t="inlineStr">
        <is>
          <t>industrials</t>
        </is>
      </c>
      <c r="F300" s="31" t="inlineStr">
        <is>
          <t>electrodes - graphites</t>
        </is>
      </c>
      <c r="G300" s="31" t="inlineStr">
        <is>
          <t>midcap</t>
        </is>
      </c>
      <c r="H300" s="32" t="n">
        <v>11103.93</v>
      </c>
      <c r="I300" s="32" t="n">
        <v>566.45</v>
      </c>
      <c r="J300" s="32" t="n">
        <v>-1.56</v>
      </c>
      <c r="K300" s="32" t="n">
        <v>1339401</v>
      </c>
      <c r="L300" s="31" t="n">
        <v>3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52.22</v>
      </c>
      <c r="P300" s="32" t="n">
        <v>26.07</v>
      </c>
      <c r="Q300" s="32" t="n">
        <v>507.74</v>
      </c>
      <c r="R300" s="31" t="inlineStr">
        <is>
          <t>Earnings / Momentum Support</t>
        </is>
      </c>
      <c r="S300" s="31" t="inlineStr">
        <is>
          <t>Nifty 50</t>
        </is>
      </c>
      <c r="T300" s="32" t="n">
        <v>-3.67</v>
      </c>
      <c r="U300" s="32" t="n">
        <v>5.41</v>
      </c>
      <c r="V300" s="32" t="n">
        <v>9.42</v>
      </c>
      <c r="W300" s="32" t="n">
        <v>-0.67</v>
      </c>
      <c r="X300" s="31" t="inlineStr">
        <is>
          <t>Cyclical in an Upturn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1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No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Less than 50%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IF(B301=0,"",RANK(B301,$B$2:$B$335,0))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KAMDHENU</t>
        </is>
      </c>
      <c r="D301" s="33" t="inlineStr">
        <is>
          <t>Kamdhenu Limited</t>
        </is>
      </c>
      <c r="E301" s="31" t="inlineStr">
        <is>
          <t>metals &amp; mining</t>
        </is>
      </c>
      <c r="F301" s="31" t="inlineStr">
        <is>
          <t>steel - medium / small</t>
        </is>
      </c>
      <c r="G301" s="31" t="inlineStr">
        <is>
          <t>smallcap</t>
        </is>
      </c>
      <c r="H301" s="32" t="n">
        <v>903.4400000000001</v>
      </c>
      <c r="I301" s="32" t="n">
        <v>31.46</v>
      </c>
      <c r="J301" s="32" t="n">
        <v>-1.84</v>
      </c>
      <c r="K301" s="32" t="n">
        <v>375588</v>
      </c>
      <c r="L301" s="31" t="n">
        <v>50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63.78</v>
      </c>
      <c r="P301" s="32" t="n">
        <v>27.34</v>
      </c>
      <c r="Q301" s="32" t="n">
        <v>24.26</v>
      </c>
      <c r="R301" s="31" t="inlineStr">
        <is>
          <t>Near 52W High Breakout</t>
        </is>
      </c>
      <c r="S301" s="31" t="inlineStr">
        <is>
          <t>Nifty Metal</t>
        </is>
      </c>
      <c r="T301" s="32" t="n">
        <v>34.04</v>
      </c>
      <c r="U301" s="32" t="n">
        <v>5.52</v>
      </c>
      <c r="V301" s="32" t="n">
        <v>-21.28</v>
      </c>
      <c r="W301" s="32" t="n">
        <v>10.02</v>
      </c>
      <c r="X301" s="31" t="inlineStr">
        <is>
          <t>Cyclical in an Upturn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Cyclical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Volatile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20 to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Between 50% to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IF(B302=0,"",RANK(B302,$B$2:$B$335,0))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HCG</t>
        </is>
      </c>
      <c r="D302" s="31" t="inlineStr">
        <is>
          <t>Healthcare Global Enterprises Limited</t>
        </is>
      </c>
      <c r="E302" s="31" t="inlineStr">
        <is>
          <t>healthcare</t>
        </is>
      </c>
      <c r="F302" s="31" t="inlineStr">
        <is>
          <t>healthcare</t>
        </is>
      </c>
      <c r="G302" s="31" t="inlineStr">
        <is>
          <t>midcap</t>
        </is>
      </c>
      <c r="H302" s="32" t="n">
        <v>10135.38</v>
      </c>
      <c r="I302" s="32" t="n">
        <v>685.6</v>
      </c>
      <c r="J302" s="32" t="n">
        <v>0.99</v>
      </c>
      <c r="K302" s="32" t="n">
        <v>128577</v>
      </c>
      <c r="L302" s="31" t="n">
        <v>46</v>
      </c>
      <c r="M302" s="31" t="inlineStr">
        <is>
          <t>Outperforming</t>
        </is>
      </c>
      <c r="N302" s="32">
        <f>IF(M302="Underperforming",-5,IF(L302&gt;=95,15,IF(L302&gt;=90,10,IF(L302&gt;=80,5,0))))</f>
        <v/>
      </c>
      <c r="O302" s="32" t="n">
        <v>64.54000000000001</v>
      </c>
      <c r="P302" s="32" t="n">
        <v>21.02</v>
      </c>
      <c r="Q302" s="32" t="n">
        <v>561.54</v>
      </c>
      <c r="R302" s="31" t="inlineStr">
        <is>
          <t>Earnings / Momentum Support</t>
        </is>
      </c>
      <c r="S302" s="31" t="inlineStr">
        <is>
          <t>Nifty Pharma</t>
        </is>
      </c>
      <c r="T302" s="32" t="n">
        <v>14.67</v>
      </c>
      <c r="U302" s="32" t="n">
        <v>18.98</v>
      </c>
      <c r="V302" s="32" t="n">
        <v>3.76</v>
      </c>
      <c r="W302" s="32" t="n">
        <v>9.109999999999999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More than 1.2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IF(B303=0,"",RANK(B303,$B$2:$B$335,0))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CIPLA</t>
        </is>
      </c>
      <c r="D303" s="33" t="inlineStr">
        <is>
          <t>Cipla Limited</t>
        </is>
      </c>
      <c r="E303" s="31" t="inlineStr">
        <is>
          <t>healthcare</t>
        </is>
      </c>
      <c r="F303" s="31" t="inlineStr">
        <is>
          <t>pharmaceuticals - indian - bulk drugs &amp; formln</t>
        </is>
      </c>
      <c r="G303" s="31" t="inlineStr">
        <is>
          <t>largecap</t>
        </is>
      </c>
      <c r="H303" s="32" t="n">
        <v>115246.35</v>
      </c>
      <c r="I303" s="32" t="n">
        <v>1438.1</v>
      </c>
      <c r="J303" s="32" t="n">
        <v>0.8</v>
      </c>
      <c r="K303" s="32" t="n">
        <v>1221695</v>
      </c>
      <c r="L303" s="31" t="n">
        <v>18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57.8</v>
      </c>
      <c r="P303" s="32" t="n">
        <v>15.45</v>
      </c>
      <c r="Q303" s="32" t="n">
        <v>1273.17</v>
      </c>
      <c r="R303" s="31" t="inlineStr">
        <is>
          <t>Earnings / Momentum Support</t>
        </is>
      </c>
      <c r="S303" s="31" t="inlineStr">
        <is>
          <t>Nifty Pharma</t>
        </is>
      </c>
      <c r="T303" s="32" t="n">
        <v>14.67</v>
      </c>
      <c r="U303" s="32" t="n">
        <v>-2.07</v>
      </c>
      <c r="V303" s="32" t="n">
        <v>-14.6</v>
      </c>
      <c r="W303" s="32" t="n">
        <v>3.56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Yes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Annuity, Lower One Time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Between 50% to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IF(B304=0,"",RANK(B304,$B$2:$B$335,0))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ALKEM</t>
        </is>
      </c>
      <c r="D304" s="33" t="inlineStr">
        <is>
          <t>Alkem Laboratories Limited</t>
        </is>
      </c>
      <c r="E304" s="31" t="inlineStr">
        <is>
          <t>healthcare</t>
        </is>
      </c>
      <c r="F304" s="31" t="inlineStr">
        <is>
          <t>pharmaceuticals - indian - bulk drugs &amp; formln</t>
        </is>
      </c>
      <c r="G304" s="31" t="inlineStr">
        <is>
          <t>largecap</t>
        </is>
      </c>
      <c r="H304" s="32" t="n">
        <v>66561.84</v>
      </c>
      <c r="I304" s="32" t="n">
        <v>5601.5</v>
      </c>
      <c r="J304" s="32" t="n">
        <v>0.62</v>
      </c>
      <c r="K304" s="32" t="n">
        <v>521142</v>
      </c>
      <c r="L304" s="31" t="n">
        <v>15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54.71</v>
      </c>
      <c r="P304" s="32" t="n">
        <v>17.72</v>
      </c>
      <c r="Q304" s="32" t="n">
        <v>4866.82</v>
      </c>
      <c r="R304" s="31" t="inlineStr">
        <is>
          <t>Near 52W High Breakout</t>
        </is>
      </c>
      <c r="S304" s="31" t="inlineStr">
        <is>
          <t>Nifty Pharma</t>
        </is>
      </c>
      <c r="T304" s="32" t="n">
        <v>14.67</v>
      </c>
      <c r="U304" s="32" t="n">
        <v>13.15</v>
      </c>
      <c r="V304" s="32" t="n">
        <v>-1.32</v>
      </c>
      <c r="W304" s="32" t="n">
        <v>2.71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Yes</t>
        </is>
      </c>
      <c r="AC304" s="31">
        <f>IF(AB304="No",5,0)</f>
        <v/>
      </c>
      <c r="AD304" s="31" t="inlineStr">
        <is>
          <t>Headwind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Annuity, Lower One Time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Less than 12%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Between 50% to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IF(B305=0,"",RANK(B305,$B$2:$B$335,0))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3" t="inlineStr">
        <is>
          <t>LLOYDSME</t>
        </is>
      </c>
      <c r="D305" s="33" t="inlineStr">
        <is>
          <t>Lloyds Metals &amp; Energy Ltd</t>
        </is>
      </c>
      <c r="E305" s="31" t="inlineStr">
        <is>
          <t>metals &amp; mining</t>
        </is>
      </c>
      <c r="F305" s="31" t="inlineStr">
        <is>
          <t>mining / minerals / metals</t>
        </is>
      </c>
      <c r="G305" s="31" t="inlineStr">
        <is>
          <t>largecap</t>
        </is>
      </c>
      <c r="H305" s="32" t="n">
        <v>102826.46</v>
      </c>
      <c r="I305" s="32" t="n">
        <v>1825.5</v>
      </c>
      <c r="J305" s="32" t="n">
        <v>-0.09</v>
      </c>
      <c r="K305" s="32" t="n">
        <v>318736</v>
      </c>
      <c r="L305" s="31" t="n">
        <v>41</v>
      </c>
      <c r="M305" s="31" t="inlineStr">
        <is>
          <t>Underperforming</t>
        </is>
      </c>
      <c r="N305" s="32">
        <f>IF(M305="Underperforming",-5,IF(L305&gt;=95,15,IF(L305&gt;=90,10,IF(L305&gt;=80,5,0))))</f>
        <v/>
      </c>
      <c r="O305" s="32" t="n">
        <v>69.84999999999999</v>
      </c>
      <c r="P305" s="32" t="n">
        <v>44.54</v>
      </c>
      <c r="Q305" s="32" t="n">
        <v>1491.63</v>
      </c>
      <c r="R305" s="31" t="inlineStr">
        <is>
          <t>Near 52W High Breakout</t>
        </is>
      </c>
      <c r="S305" s="31" t="inlineStr">
        <is>
          <t>Nifty Metal</t>
        </is>
      </c>
      <c r="T305" s="32" t="n">
        <v>34.04</v>
      </c>
      <c r="U305" s="32" t="n">
        <v>24.04</v>
      </c>
      <c r="V305" s="32" t="n">
        <v>-7.46</v>
      </c>
      <c r="W305" s="32" t="n">
        <v>7.97</v>
      </c>
      <c r="X305" s="31" t="inlineStr">
        <is>
          <t>Cyclical in an Upturn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Cyclical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Volatile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Yes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Above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Blue sky scenario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Less than 50% and Borrowings are increasing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More than 1.2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IF(B306=0,"",RANK(B306,$B$2:$B$335,0))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RAMRAT</t>
        </is>
      </c>
      <c r="D306" s="33" t="inlineStr">
        <is>
          <t>Ram Ratna Wires Ltd</t>
        </is>
      </c>
      <c r="E306" s="31" t="inlineStr">
        <is>
          <t>metals &amp; mining</t>
        </is>
      </c>
      <c r="F306" s="31" t="inlineStr">
        <is>
          <t>mining / minerals / metals</t>
        </is>
      </c>
      <c r="G306" s="31" t="inlineStr">
        <is>
          <t>smallcap</t>
        </is>
      </c>
      <c r="H306" s="32" t="n">
        <v>3957.53</v>
      </c>
      <c r="I306" s="32" t="n">
        <v>419.2</v>
      </c>
      <c r="J306" s="32" t="n">
        <v>-1.12</v>
      </c>
      <c r="K306" s="32" t="n">
        <v>96895</v>
      </c>
      <c r="L306" s="31" t="n">
        <v>33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60.86</v>
      </c>
      <c r="P306" s="32" t="n">
        <v>47.65</v>
      </c>
      <c r="Q306" s="32" t="n">
        <v>331.82</v>
      </c>
      <c r="R306" s="31" t="inlineStr">
        <is>
          <t>Earnings / Momentum Support</t>
        </is>
      </c>
      <c r="S306" s="31" t="inlineStr">
        <is>
          <t>Nifty Metal</t>
        </is>
      </c>
      <c r="T306" s="32" t="n">
        <v>34.04</v>
      </c>
      <c r="U306" s="32" t="n">
        <v>21.19</v>
      </c>
      <c r="V306" s="32" t="n">
        <v>-9.59</v>
      </c>
      <c r="W306" s="32" t="n">
        <v>6.37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Cyclical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Volatile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Above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Less than 1.5</t>
        </is>
      </c>
      <c r="BU306" s="31">
        <f>IF(BT306="Above 2",0,IF(BT306="Between 1.5 to 2",5,IF(BT306="Less than 1.5",10,0)))</f>
        <v/>
      </c>
      <c r="BV306" s="31" t="inlineStr">
        <is>
          <t>Negative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Between 0.7 to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IF(B307=0,"",RANK(B307,$B$2:$B$335,0))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GODREJIND</t>
        </is>
      </c>
      <c r="D307" s="31" t="inlineStr">
        <is>
          <t>Godrej Industries Limited</t>
        </is>
      </c>
      <c r="E307" s="31" t="inlineStr">
        <is>
          <t>chemicals</t>
        </is>
      </c>
      <c r="F307" s="31" t="inlineStr">
        <is>
          <t>chemicals</t>
        </is>
      </c>
      <c r="G307" s="31" t="inlineStr">
        <is>
          <t>largecap</t>
        </is>
      </c>
      <c r="H307" s="32" t="n">
        <v>46559.9</v>
      </c>
      <c r="I307" s="32" t="n">
        <v>1342.6</v>
      </c>
      <c r="J307" s="32" t="n">
        <v>-2.88</v>
      </c>
      <c r="K307" s="32" t="n">
        <v>189505</v>
      </c>
      <c r="L307" s="31" t="n">
        <v>65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64.8</v>
      </c>
      <c r="P307" s="32" t="n">
        <v>32.77</v>
      </c>
      <c r="Q307" s="32" t="n">
        <v>1099.4</v>
      </c>
      <c r="R307" s="31" t="inlineStr">
        <is>
          <t>Earnings / Momentum Support</t>
        </is>
      </c>
      <c r="S307" s="31" t="inlineStr">
        <is>
          <t>Nifty 500</t>
        </is>
      </c>
      <c r="T307" s="32" t="n">
        <v>-0.33</v>
      </c>
      <c r="U307" s="32" t="n">
        <v>15.76</v>
      </c>
      <c r="V307" s="32" t="n">
        <v>16.14</v>
      </c>
      <c r="W307" s="32" t="n">
        <v>13.43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Negative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More than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IF(B308=0,"",RANK(B308,$B$2:$B$335,0))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TECHM</t>
        </is>
      </c>
      <c r="D308" s="31" t="inlineStr">
        <is>
          <t>Tech Mahindra Limited</t>
        </is>
      </c>
      <c r="E308" s="31" t="inlineStr">
        <is>
          <t>i.t</t>
        </is>
      </c>
      <c r="F308" s="31" t="inlineStr">
        <is>
          <t>computers - software - large</t>
        </is>
      </c>
      <c r="G308" s="31" t="inlineStr">
        <is>
          <t>largecap</t>
        </is>
      </c>
      <c r="H308" s="32" t="n">
        <v>147417.12</v>
      </c>
      <c r="I308" s="32" t="n">
        <v>1484.3</v>
      </c>
      <c r="J308" s="32" t="n">
        <v>-1.34</v>
      </c>
      <c r="K308" s="32" t="n">
        <v>2011058</v>
      </c>
      <c r="L308" s="31" t="n">
        <v>6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55.13</v>
      </c>
      <c r="P308" s="32" t="n">
        <v>10.31</v>
      </c>
      <c r="Q308" s="32" t="n">
        <v>1195.85</v>
      </c>
      <c r="R308" s="31" t="inlineStr">
        <is>
          <t>Earnings / Momentum Support</t>
        </is>
      </c>
      <c r="S308" s="31" t="inlineStr">
        <is>
          <t>Nifty IT</t>
        </is>
      </c>
      <c r="T308" s="32" t="n">
        <v>-22.66</v>
      </c>
      <c r="U308" s="32" t="n">
        <v>-0.65</v>
      </c>
      <c r="V308" s="32" t="n">
        <v>28.46</v>
      </c>
      <c r="W308" s="32" t="n">
        <v>0.41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Headwind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Annuity, Lower One Time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1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Between 12 to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Between 1.5 to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IF(B309=0,"",RANK(B309,$B$2:$B$335,0))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JINDRILL</t>
        </is>
      </c>
      <c r="D309" s="33" t="inlineStr">
        <is>
          <t>Jindal Drilling And Industries Limited</t>
        </is>
      </c>
      <c r="E309" s="31" t="inlineStr">
        <is>
          <t>energy</t>
        </is>
      </c>
      <c r="F309" s="31" t="inlineStr">
        <is>
          <t>oil drilling / allied services</t>
        </is>
      </c>
      <c r="G309" s="31" t="inlineStr">
        <is>
          <t>smallcap</t>
        </is>
      </c>
      <c r="H309" s="32" t="n">
        <v>1812.91</v>
      </c>
      <c r="I309" s="32" t="n">
        <v>626.2</v>
      </c>
      <c r="J309" s="32" t="n">
        <v>0.1</v>
      </c>
      <c r="K309" s="32" t="n">
        <v>585469</v>
      </c>
      <c r="L309" s="31" t="n">
        <v>18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58.09</v>
      </c>
      <c r="P309" s="32" t="n">
        <v>44.75</v>
      </c>
      <c r="Q309" s="32" t="n">
        <v>484.06</v>
      </c>
      <c r="R309" s="31" t="inlineStr">
        <is>
          <t>Earnings / Momentum Support</t>
        </is>
      </c>
      <c r="S309" s="31" t="inlineStr">
        <is>
          <t>Nifty Energy</t>
        </is>
      </c>
      <c r="T309" s="32" t="n">
        <v>8.199999999999999</v>
      </c>
      <c r="U309" s="32" t="n">
        <v>-0.34</v>
      </c>
      <c r="V309" s="32" t="n">
        <v>-7.9</v>
      </c>
      <c r="W309" s="32" t="n">
        <v>3.58</v>
      </c>
      <c r="X309" s="31" t="inlineStr">
        <is>
          <t>Cyclical in an Upturn</t>
        </is>
      </c>
      <c r="Y309" s="31">
        <f>IF(X309="Growing Industry",10,IF(X309="Cyclical in an Upturn",5,0))</f>
        <v/>
      </c>
      <c r="Z309" s="31" t="inlineStr">
        <is>
          <t>Oligopoly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Yes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Cyclical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Volatile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Above 40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Less than 50%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IF(B310=0,"",RANK(B310,$B$2:$B$335,0))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3" t="inlineStr">
        <is>
          <t>SHREECEM</t>
        </is>
      </c>
      <c r="D310" s="33" t="inlineStr">
        <is>
          <t>Shree Cements Limited</t>
        </is>
      </c>
      <c r="E310" s="31" t="inlineStr">
        <is>
          <t>building materials</t>
        </is>
      </c>
      <c r="F310" s="31" t="inlineStr">
        <is>
          <t>cement - north india</t>
        </is>
      </c>
      <c r="G310" s="31" t="inlineStr">
        <is>
          <t>largecap</t>
        </is>
      </c>
      <c r="H310" s="32" t="n">
        <v>95325.34</v>
      </c>
      <c r="I310" s="32" t="n">
        <v>26285</v>
      </c>
      <c r="J310" s="32" t="n">
        <v>-0.51</v>
      </c>
      <c r="K310" s="32" t="n">
        <v>10021</v>
      </c>
      <c r="L310" s="31" t="n">
        <v>1</v>
      </c>
      <c r="M310" s="31" t="inlineStr">
        <is>
          <t>Underperforming</t>
        </is>
      </c>
      <c r="N310" s="32">
        <f>IF(M310="Underperforming",-5,IF(L310&gt;=95,15,IF(L310&gt;=90,10,IF(L310&gt;=80,5,0))))</f>
        <v/>
      </c>
      <c r="O310" s="32" t="n">
        <v>53.77</v>
      </c>
      <c r="P310" s="32" t="n">
        <v>14.18</v>
      </c>
      <c r="Q310" s="32" t="n">
        <v>22994.8</v>
      </c>
      <c r="R310" s="31" t="inlineStr">
        <is>
          <t>Earnings / Momentum Support</t>
        </is>
      </c>
      <c r="S310" s="31" t="inlineStr">
        <is>
          <t>Nifty Infra</t>
        </is>
      </c>
      <c r="T310" s="32" t="n">
        <v>1.45</v>
      </c>
      <c r="U310" s="32" t="n">
        <v>-14.24</v>
      </c>
      <c r="V310" s="32" t="n">
        <v>-15.47</v>
      </c>
      <c r="W310" s="32" t="n">
        <v>-2.14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Headwind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Yes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IF(B311=0,"",RANK(B311,$B$2:$B$335,0))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GOKEX</t>
        </is>
      </c>
      <c r="D311" s="33" t="inlineStr">
        <is>
          <t>Gokaldas Exports Limited</t>
        </is>
      </c>
      <c r="E311" s="31" t="inlineStr">
        <is>
          <t>consumer discretionary</t>
        </is>
      </c>
      <c r="F311" s="31" t="inlineStr">
        <is>
          <t>textiles - products</t>
        </is>
      </c>
      <c r="G311" s="31" t="inlineStr">
        <is>
          <t>midcap</t>
        </is>
      </c>
      <c r="H311" s="32" t="n">
        <v>6275.82</v>
      </c>
      <c r="I311" s="32" t="n">
        <v>841.75</v>
      </c>
      <c r="J311" s="32" t="n">
        <v>-1.76</v>
      </c>
      <c r="K311" s="32" t="n">
        <v>358430</v>
      </c>
      <c r="L311" s="31" t="n">
        <v>14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60.02</v>
      </c>
      <c r="P311" s="32" t="n">
        <v>16.24</v>
      </c>
      <c r="Q311" s="32" t="n">
        <v>632.78</v>
      </c>
      <c r="R311" s="31" t="inlineStr">
        <is>
          <t>Earnings / Momentum Support</t>
        </is>
      </c>
      <c r="S311" s="31" t="inlineStr">
        <is>
          <t>Nifty 50</t>
        </is>
      </c>
      <c r="T311" s="32" t="n">
        <v>-3.67</v>
      </c>
      <c r="U311" s="32" t="n">
        <v>-10.04</v>
      </c>
      <c r="V311" s="32" t="n">
        <v>-6.61</v>
      </c>
      <c r="W311" s="32" t="n">
        <v>2.63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Less than 50%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IF(B312=0,"",RANK(B312,$B$2:$B$335,0))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SOTL</t>
        </is>
      </c>
      <c r="D312" s="31" t="inlineStr">
        <is>
          <t>Savita Oil Technologies Limited</t>
        </is>
      </c>
      <c r="E312" s="31" t="inlineStr">
        <is>
          <t>energy</t>
        </is>
      </c>
      <c r="F312" s="31" t="inlineStr">
        <is>
          <t>petrochemicals</t>
        </is>
      </c>
      <c r="G312" s="31" t="inlineStr">
        <is>
          <t>smallcap</t>
        </is>
      </c>
      <c r="H312" s="32" t="n">
        <v>4096.14</v>
      </c>
      <c r="I312" s="32" t="n">
        <v>579.55</v>
      </c>
      <c r="J312" s="32" t="n">
        <v>-3</v>
      </c>
      <c r="K312" s="32" t="n">
        <v>183431</v>
      </c>
      <c r="L312" s="31" t="n">
        <v>79</v>
      </c>
      <c r="M312" s="31" t="inlineStr">
        <is>
          <t>Outperforming</t>
        </is>
      </c>
      <c r="N312" s="32">
        <f>IF(M312="Underperforming",-5,IF(L312&gt;=95,15,IF(L312&gt;=90,10,IF(L312&gt;=80,5,0))))</f>
        <v/>
      </c>
      <c r="O312" s="32" t="n">
        <v>65.40000000000001</v>
      </c>
      <c r="P312" s="32" t="n">
        <v>36.18</v>
      </c>
      <c r="Q312" s="32" t="n">
        <v>450.42</v>
      </c>
      <c r="R312" s="31" t="inlineStr">
        <is>
          <t>Near 52W High Breakout</t>
        </is>
      </c>
      <c r="S312" s="31" t="inlineStr">
        <is>
          <t>Nifty Energy</t>
        </is>
      </c>
      <c r="T312" s="32" t="n">
        <v>8.199999999999999</v>
      </c>
      <c r="U312" s="32" t="n">
        <v>39.76</v>
      </c>
      <c r="V312" s="32" t="n">
        <v>29.16</v>
      </c>
      <c r="W312" s="32" t="n">
        <v>21.12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Oligopoly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Yes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Cyclical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Volatile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Negative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Less than 1.5</t>
        </is>
      </c>
      <c r="BU312" s="31">
        <f>IF(BT312="Above 2",0,IF(BT312="Between 1.5 to 2",5,IF(BT312="Less than 1.5",10,0)))</f>
        <v/>
      </c>
      <c r="BV312" s="31" t="inlineStr">
        <is>
          <t>Between 50% to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IF(B313=0,"",RANK(B313,$B$2:$B$335,0))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SILVERTUC</t>
        </is>
      </c>
      <c r="D313" s="33" t="inlineStr">
        <is>
          <t>Silver Touch Technologies Ltd</t>
        </is>
      </c>
      <c r="E313" s="31" t="inlineStr">
        <is>
          <t>i.t</t>
        </is>
      </c>
      <c r="F313" s="31" t="inlineStr">
        <is>
          <t>computers - software - medium / small</t>
        </is>
      </c>
      <c r="G313" s="31" t="inlineStr">
        <is>
          <t>smallcap</t>
        </is>
      </c>
      <c r="H313" s="32" t="n">
        <v>2385.04</v>
      </c>
      <c r="I313" s="32" t="n">
        <v>195.14</v>
      </c>
      <c r="J313" s="32" t="n">
        <v>3.75</v>
      </c>
      <c r="K313" s="32" t="n">
        <v>956476</v>
      </c>
      <c r="L313" s="31" t="n">
        <v>11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42.67</v>
      </c>
      <c r="P313" s="32" t="n">
        <v>28.71</v>
      </c>
      <c r="Q313" s="32" t="n">
        <v>95.67</v>
      </c>
      <c r="R313" s="31" t="inlineStr">
        <is>
          <t>Earnings / Momentum Support</t>
        </is>
      </c>
      <c r="S313" s="31" t="inlineStr">
        <is>
          <t>Nifty IT</t>
        </is>
      </c>
      <c r="T313" s="32" t="n">
        <v>-22.66</v>
      </c>
      <c r="U313" s="32" t="n">
        <v>-72.58</v>
      </c>
      <c r="V313" s="32" t="n">
        <v>-64.55</v>
      </c>
      <c r="W313" s="32" t="n">
        <v>2.03</v>
      </c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Annuity, Lower One Time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20 to 40</t>
        </is>
      </c>
      <c r="AY313" s="31">
        <f>IF(AX313="Above 40",20,IF(AX313="20 to 40",10,IF(AX313="0 to 20",-5,0)))</f>
        <v/>
      </c>
      <c r="AZ313" s="31" t="inlineStr">
        <is>
          <t>Below 45</t>
        </is>
      </c>
      <c r="BA313" s="31">
        <f>IF(AZ313="Between 50 to 75",10,IF(AZ313="Above 75",0,0))</f>
        <v/>
      </c>
      <c r="BB313" s="31" t="inlineStr">
        <is>
          <t>Stage 4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Yes</t>
        </is>
      </c>
      <c r="BS313" s="31">
        <f>IF(BR313="NO",5,0)</f>
        <v/>
      </c>
      <c r="BT313" s="31" t="inlineStr">
        <is>
          <t>Between 1.5 to 2</t>
        </is>
      </c>
      <c r="BU313" s="31">
        <f>IF(BT313="Above 2",0,IF(BT313="Between 1.5 to 2",5,IF(BT313="Less than 1.5",10,0)))</f>
        <v/>
      </c>
      <c r="BV313" s="31" t="inlineStr">
        <is>
          <t>Less than 50%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IF(B314=0,"",RANK(B314,$B$2:$B$335,0))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3" t="inlineStr">
        <is>
          <t>ENTERO</t>
        </is>
      </c>
      <c r="D314" s="33" t="inlineStr">
        <is>
          <t>Entero Healthcare Solutions Ltd</t>
        </is>
      </c>
      <c r="E314" s="31" t="inlineStr">
        <is>
          <t>healthcare</t>
        </is>
      </c>
      <c r="F314" s="31" t="inlineStr">
        <is>
          <t>trading</t>
        </is>
      </c>
      <c r="G314" s="31" t="inlineStr">
        <is>
          <t>midcap</t>
        </is>
      </c>
      <c r="H314" s="32" t="n">
        <v>5403.19</v>
      </c>
      <c r="I314" s="32" t="n">
        <v>1248</v>
      </c>
      <c r="J314" s="32" t="n">
        <v>0.5</v>
      </c>
      <c r="K314" s="32" t="n">
        <v>81441</v>
      </c>
      <c r="L314" s="31" t="n">
        <v>7</v>
      </c>
      <c r="M314" s="31" t="inlineStr">
        <is>
          <t>Underperforming</t>
        </is>
      </c>
      <c r="N314" s="32">
        <f>IF(M314="Underperforming",-5,IF(L314&gt;=95,15,IF(L314&gt;=90,10,IF(L314&gt;=80,5,0))))</f>
        <v/>
      </c>
      <c r="O314" s="32" t="n">
        <v>54.85</v>
      </c>
      <c r="P314" s="32" t="n">
        <v>18.04</v>
      </c>
      <c r="Q314" s="32" t="n">
        <v>1036.76</v>
      </c>
      <c r="R314" s="31" t="inlineStr">
        <is>
          <t>Earnings / Momentum Support</t>
        </is>
      </c>
      <c r="S314" s="31" t="inlineStr">
        <is>
          <t>Nifty Pharma</t>
        </is>
      </c>
      <c r="T314" s="32" t="n">
        <v>14.67</v>
      </c>
      <c r="U314" s="32" t="n">
        <v>5.28</v>
      </c>
      <c r="V314" s="32" t="n">
        <v>-8.19</v>
      </c>
      <c r="W314" s="32" t="n">
        <v>0.61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Yes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Annuity, Lower One Time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0 to 20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Less than 50%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IF(B315=0,"",RANK(B315,$B$2:$B$335,0))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3" t="inlineStr">
        <is>
          <t>MUKANDLTD</t>
        </is>
      </c>
      <c r="D315" s="33" t="inlineStr">
        <is>
          <t>Mukand Limited</t>
        </is>
      </c>
      <c r="E315" s="31" t="inlineStr">
        <is>
          <t>metals &amp; mining</t>
        </is>
      </c>
      <c r="F315" s="31" t="inlineStr">
        <is>
          <t>steel - medium / small</t>
        </is>
      </c>
      <c r="G315" s="31" t="inlineStr">
        <is>
          <t>smallcap</t>
        </is>
      </c>
      <c r="H315" s="32" t="n">
        <v>1962.97</v>
      </c>
      <c r="I315" s="32" t="n">
        <v>136.99</v>
      </c>
      <c r="J315" s="32" t="n">
        <v>0.84</v>
      </c>
      <c r="K315" s="32" t="n">
        <v>96390</v>
      </c>
      <c r="L315" s="31" t="n">
        <v>5</v>
      </c>
      <c r="M315" s="31" t="inlineStr">
        <is>
          <t>Underperforming</t>
        </is>
      </c>
      <c r="N315" s="32">
        <f>IF(M315="Underperforming",-5,IF(L315&gt;=95,15,IF(L315&gt;=90,10,IF(L315&gt;=80,5,0))))</f>
        <v/>
      </c>
      <c r="O315" s="32" t="n">
        <v>53.99</v>
      </c>
      <c r="P315" s="32" t="n">
        <v>40.22</v>
      </c>
      <c r="Q315" s="32" t="n">
        <v>111.89</v>
      </c>
      <c r="R315" s="31" t="inlineStr">
        <is>
          <t>Near 52W High Breakout</t>
        </is>
      </c>
      <c r="S315" s="31" t="inlineStr">
        <is>
          <t>Nifty Metal</t>
        </is>
      </c>
      <c r="T315" s="32" t="n">
        <v>34.04</v>
      </c>
      <c r="U315" s="32" t="n">
        <v>0.02</v>
      </c>
      <c r="V315" s="32" t="n">
        <v>-25.38</v>
      </c>
      <c r="W315" s="32" t="n">
        <v>0.14</v>
      </c>
      <c r="X315" s="31" t="inlineStr">
        <is>
          <t>Cyclical in an Upturn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Cyclical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Volatile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Above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1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Less than 1.5</t>
        </is>
      </c>
      <c r="BU315" s="31">
        <f>IF(BT315="Above 2",0,IF(BT315="Between 1.5 to 2",5,IF(BT315="Less than 1.5",10,0)))</f>
        <v/>
      </c>
      <c r="BV315" s="31" t="inlineStr">
        <is>
          <t>Negative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Between 0.7 to 1.2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IF(B316=0,"",RANK(B316,$B$2:$B$335,0))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1" t="inlineStr">
        <is>
          <t>SBC</t>
        </is>
      </c>
      <c r="D316" s="31" t="inlineStr">
        <is>
          <t>SBC Exports Ltd</t>
        </is>
      </c>
      <c r="E316" s="31" t="inlineStr">
        <is>
          <t>textiles</t>
        </is>
      </c>
      <c r="F316" s="31" t="inlineStr">
        <is>
          <t>textiles - products</t>
        </is>
      </c>
      <c r="G316" s="31" t="inlineStr">
        <is>
          <t>smallcap</t>
        </is>
      </c>
      <c r="H316" s="32" t="n">
        <v>2008.09</v>
      </c>
      <c r="I316" s="32" t="n">
        <v>42.3</v>
      </c>
      <c r="J316" s="32" t="n">
        <v>0.31</v>
      </c>
      <c r="K316" s="32" t="n">
        <v>9102396</v>
      </c>
      <c r="L316" s="31" t="n">
        <v>87</v>
      </c>
      <c r="M316" s="31" t="inlineStr">
        <is>
          <t>Outperforming</t>
        </is>
      </c>
      <c r="N316" s="32">
        <f>IF(M316="Underperforming",-5,IF(L316&gt;=95,15,IF(L316&gt;=90,10,IF(L316&gt;=80,5,0))))</f>
        <v/>
      </c>
      <c r="O316" s="32" t="n">
        <v>73.26000000000001</v>
      </c>
      <c r="P316" s="32" t="n">
        <v>38.71</v>
      </c>
      <c r="Q316" s="32" t="n">
        <v>36.43</v>
      </c>
      <c r="R316" s="31" t="inlineStr">
        <is>
          <t>Near 52W High Breakout</t>
        </is>
      </c>
      <c r="S316" s="31" t="inlineStr">
        <is>
          <t>Nifty 50</t>
        </is>
      </c>
      <c r="T316" s="32" t="n">
        <v>-3.67</v>
      </c>
      <c r="U316" s="32" t="n">
        <v>156.46</v>
      </c>
      <c r="V316" s="32" t="n">
        <v>166.23</v>
      </c>
      <c r="W316" s="32" t="n">
        <v>27.12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Negative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Blue sky scenario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Yes</t>
        </is>
      </c>
      <c r="BS316" s="31">
        <f>IF(BR316="NO",5,0)</f>
        <v/>
      </c>
      <c r="BT316" s="31" t="inlineStr">
        <is>
          <t>Between 1.5 to 2</t>
        </is>
      </c>
      <c r="BU316" s="31">
        <f>IF(BT316="Above 2",0,IF(BT316="Between 1.5 to 2",5,IF(BT316="Less than 1.5",10,0)))</f>
        <v/>
      </c>
      <c r="BV316" s="31" t="inlineStr">
        <is>
          <t>Negative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More than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IF(B317=0,"",RANK(B317,$B$2:$B$335,0))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3" t="inlineStr">
        <is>
          <t>DDEVPLSTIK</t>
        </is>
      </c>
      <c r="D317" s="33" t="inlineStr">
        <is>
          <t>DDev Plastiks Industries Ltd</t>
        </is>
      </c>
      <c r="E317" s="31" t="inlineStr">
        <is>
          <t>chemicals</t>
        </is>
      </c>
      <c r="F317" s="31" t="inlineStr">
        <is>
          <t>chemicals</t>
        </is>
      </c>
      <c r="G317" s="31" t="inlineStr">
        <is>
          <t>smallcap</t>
        </is>
      </c>
      <c r="H317" s="32" t="n">
        <v>3043.77</v>
      </c>
      <c r="I317" s="32" t="n">
        <v>292.2</v>
      </c>
      <c r="J317" s="32" t="n">
        <v>-0.66</v>
      </c>
      <c r="K317" s="32" t="n">
        <v>233560</v>
      </c>
      <c r="L317" s="31" t="n">
        <v>15</v>
      </c>
      <c r="M317" s="31" t="inlineStr">
        <is>
          <t>Underperforming</t>
        </is>
      </c>
      <c r="N317" s="32">
        <f>IF(M317="Underperforming",-5,IF(L317&gt;=95,15,IF(L317&gt;=90,10,IF(L317&gt;=80,5,0))))</f>
        <v/>
      </c>
      <c r="O317" s="32" t="n">
        <v>60.83</v>
      </c>
      <c r="P317" s="32" t="n">
        <v>14.69</v>
      </c>
      <c r="Q317" s="32" t="n">
        <v>224.89</v>
      </c>
      <c r="R317" s="31" t="inlineStr">
        <is>
          <t>Earnings / Momentum Support</t>
        </is>
      </c>
      <c r="S317" s="31" t="inlineStr">
        <is>
          <t>Nifty 50</t>
        </is>
      </c>
      <c r="T317" s="32" t="n">
        <v>-3.67</v>
      </c>
      <c r="U317" s="32" t="n">
        <v>-8.859999999999999</v>
      </c>
      <c r="V317" s="32" t="n">
        <v>-5.39</v>
      </c>
      <c r="W317" s="32" t="n">
        <v>2.73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Headwind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0 to 20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Less than 12%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Less than 50%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IF(B318=0,"",RANK(B318,$B$2:$B$335,0))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BHARTIHEXA</t>
        </is>
      </c>
      <c r="D318" s="33" t="inlineStr">
        <is>
          <t>Bharti Hexacom Ltd</t>
        </is>
      </c>
      <c r="E318" s="31" t="inlineStr">
        <is>
          <t>telecom-service</t>
        </is>
      </c>
      <c r="F318" s="31" t="inlineStr">
        <is>
          <t>telecommunications - service provider</t>
        </is>
      </c>
      <c r="G318" s="31" t="inlineStr">
        <is>
          <t>largecap</t>
        </is>
      </c>
      <c r="H318" s="32" t="n">
        <v>79370</v>
      </c>
      <c r="I318" s="32" t="n">
        <v>1621.8</v>
      </c>
      <c r="J318" s="32" t="n">
        <v>2.17</v>
      </c>
      <c r="K318" s="32" t="n">
        <v>449081</v>
      </c>
      <c r="L318" s="31" t="n">
        <v>4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55.25</v>
      </c>
      <c r="P318" s="32" t="n">
        <v>25.45</v>
      </c>
      <c r="Q318" s="32" t="n">
        <v>1339.49</v>
      </c>
      <c r="R318" s="31" t="inlineStr">
        <is>
          <t>Earnings / Momentum Support</t>
        </is>
      </c>
      <c r="S318" s="31" t="inlineStr">
        <is>
          <t>Nifty 500</t>
        </is>
      </c>
      <c r="T318" s="32" t="n">
        <v>-0.33</v>
      </c>
      <c r="U318" s="32" t="n">
        <v>-9.02</v>
      </c>
      <c r="V318" s="32" t="n">
        <v>-8.720000000000001</v>
      </c>
      <c r="W318" s="32" t="n">
        <v>-0.62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Oligopoly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Yes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20 to 40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1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Yes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Between 0.7 to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IF(B319=0,"",RANK(B319,$B$2:$B$335,0))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TORNTPOWER</t>
        </is>
      </c>
      <c r="D319" s="31" t="inlineStr">
        <is>
          <t>Torrent Power Limited</t>
        </is>
      </c>
      <c r="E319" s="31" t="inlineStr">
        <is>
          <t>power &amp; utilities</t>
        </is>
      </c>
      <c r="F319" s="31" t="inlineStr">
        <is>
          <t>power generation and supply</t>
        </is>
      </c>
      <c r="G319" s="31" t="inlineStr">
        <is>
          <t>largecap</t>
        </is>
      </c>
      <c r="H319" s="32" t="n">
        <v>72657.85000000001</v>
      </c>
      <c r="I319" s="32" t="n">
        <v>1465.3</v>
      </c>
      <c r="J319" s="32" t="n">
        <v>1.62</v>
      </c>
      <c r="K319" s="32" t="n">
        <v>384802</v>
      </c>
      <c r="L319" s="31" t="n">
        <v>7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51.64</v>
      </c>
      <c r="P319" s="32" t="n">
        <v>11.4</v>
      </c>
      <c r="Q319" s="32" t="n">
        <v>1417.21</v>
      </c>
      <c r="R319" s="31" t="inlineStr">
        <is>
          <t>Earnings / Momentum Support</t>
        </is>
      </c>
      <c r="S319" s="31" t="inlineStr">
        <is>
          <t>Nifty IT</t>
        </is>
      </c>
      <c r="T319" s="32" t="n">
        <v>-22.66</v>
      </c>
      <c r="U319" s="32" t="n">
        <v>8.550000000000001</v>
      </c>
      <c r="V319" s="32" t="n">
        <v>40.36</v>
      </c>
      <c r="W319" s="32" t="n">
        <v>0.74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1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Between 0.7 to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IF(B320=0,"",RANK(B320,$B$2:$B$335,0))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SGIL</t>
        </is>
      </c>
      <c r="D320" s="31" t="inlineStr">
        <is>
          <t>Synergy Green Industries Ltd</t>
        </is>
      </c>
      <c r="E320" s="31" t="inlineStr">
        <is>
          <t>industrials</t>
        </is>
      </c>
      <c r="F320" s="31" t="inlineStr">
        <is>
          <t>castings &amp; forgings</t>
        </is>
      </c>
      <c r="G320" s="31" t="inlineStr">
        <is>
          <t>smallcap</t>
        </is>
      </c>
      <c r="H320" s="32" t="n">
        <v>917.74</v>
      </c>
      <c r="I320" s="32" t="n">
        <v>595</v>
      </c>
      <c r="J320" s="32" t="n">
        <v>0.77</v>
      </c>
      <c r="K320" s="32" t="n">
        <v>6879</v>
      </c>
      <c r="L320" s="31" t="n">
        <v>29</v>
      </c>
      <c r="M320" s="31" t="inlineStr">
        <is>
          <t>Outperforming</t>
        </is>
      </c>
      <c r="N320" s="32">
        <f>IF(M320="Underperforming",-5,IF(L320&gt;=95,15,IF(L320&gt;=90,10,IF(L320&gt;=80,5,0))))</f>
        <v/>
      </c>
      <c r="O320" s="32" t="n">
        <v>58.94</v>
      </c>
      <c r="P320" s="32" t="n">
        <v>17.66</v>
      </c>
      <c r="Q320" s="32" t="n">
        <v>455.39</v>
      </c>
      <c r="R320" s="31" t="inlineStr">
        <is>
          <t>Near 52W High Breakout</t>
        </is>
      </c>
      <c r="S320" s="31" t="inlineStr">
        <is>
          <t>Nifty Infra</t>
        </is>
      </c>
      <c r="T320" s="32" t="n">
        <v>1.45</v>
      </c>
      <c r="U320" s="32" t="n">
        <v>11.71</v>
      </c>
      <c r="V320" s="32" t="n">
        <v>10.11</v>
      </c>
      <c r="W320" s="32" t="n">
        <v>5.56</v>
      </c>
      <c r="X320" s="31" t="inlineStr">
        <is>
          <t>Cyclical in an Upturn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Yes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Blue sky scenario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Less than 50% and Borrowings are increasing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More than 1.2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IF(B321=0,"",RANK(B321,$B$2:$B$335,0))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PNGJL</t>
        </is>
      </c>
      <c r="D321" s="31" t="inlineStr">
        <is>
          <t>P N Gadgil Jewellers Ltd</t>
        </is>
      </c>
      <c r="E321" s="31" t="inlineStr">
        <is>
          <t>consumer discretionary</t>
        </is>
      </c>
      <c r="F321" s="31" t="inlineStr">
        <is>
          <t>diamond cutting / jewellery</t>
        </is>
      </c>
      <c r="G321" s="31" t="inlineStr">
        <is>
          <t>midcap</t>
        </is>
      </c>
      <c r="H321" s="32" t="n">
        <v>8120.11</v>
      </c>
      <c r="I321" s="32" t="n">
        <v>593.3</v>
      </c>
      <c r="J321" s="32" t="n">
        <v>-0.84</v>
      </c>
      <c r="K321" s="32" t="n">
        <v>273958</v>
      </c>
      <c r="L321" s="31" t="n">
        <v>1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51.26</v>
      </c>
      <c r="P321" s="32" t="n">
        <v>12.24</v>
      </c>
      <c r="Q321" s="32" t="n">
        <v>582.74</v>
      </c>
      <c r="R321" s="31" t="inlineStr">
        <is>
          <t>Earnings / Momentum Support</t>
        </is>
      </c>
      <c r="S321" s="31" t="inlineStr">
        <is>
          <t>Nifty 50</t>
        </is>
      </c>
      <c r="T321" s="32" t="n">
        <v>-3.67</v>
      </c>
      <c r="U321" s="32" t="n">
        <v>-2.95</v>
      </c>
      <c r="V321" s="32" t="n">
        <v>0.74</v>
      </c>
      <c r="W321" s="32" t="n">
        <v>-2.36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1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Less than 1.5</t>
        </is>
      </c>
      <c r="BU321" s="31">
        <f>IF(BT321="Above 2",0,IF(BT321="Between 1.5 to 2",5,IF(BT321="Less than 1.5",10,0)))</f>
        <v/>
      </c>
      <c r="BV321" s="31" t="inlineStr">
        <is>
          <t>Negative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Between 0.7 to 1.2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IF(B322=0,"",RANK(B322,$B$2:$B$335,0))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3" t="inlineStr">
        <is>
          <t>GRAVITA</t>
        </is>
      </c>
      <c r="D322" s="33" t="inlineStr">
        <is>
          <t>Gravita India Limited</t>
        </is>
      </c>
      <c r="E322" s="31" t="inlineStr">
        <is>
          <t>metals &amp; mining</t>
        </is>
      </c>
      <c r="F322" s="31" t="inlineStr">
        <is>
          <t>mining / minerals / metals</t>
        </is>
      </c>
      <c r="G322" s="31" t="inlineStr">
        <is>
          <t>midcap</t>
        </is>
      </c>
      <c r="H322" s="32" t="n">
        <v>13625.04</v>
      </c>
      <c r="I322" s="32" t="n">
        <v>1816.1</v>
      </c>
      <c r="J322" s="32" t="n">
        <v>-1.62</v>
      </c>
      <c r="K322" s="32" t="n">
        <v>206428</v>
      </c>
      <c r="L322" s="31" t="n">
        <v>17</v>
      </c>
      <c r="M322" s="31" t="inlineStr">
        <is>
          <t>Underperforming</t>
        </is>
      </c>
      <c r="N322" s="32">
        <f>IF(M322="Underperforming",-5,IF(L322&gt;=95,15,IF(L322&gt;=90,10,IF(L322&gt;=80,5,0))))</f>
        <v/>
      </c>
      <c r="O322" s="32" t="n">
        <v>58.24</v>
      </c>
      <c r="P322" s="32" t="n">
        <v>14.95</v>
      </c>
      <c r="Q322" s="32" t="n">
        <v>1454.79</v>
      </c>
      <c r="R322" s="31" t="inlineStr">
        <is>
          <t>Near 52W High Breakout</t>
        </is>
      </c>
      <c r="S322" s="31" t="inlineStr">
        <is>
          <t>Nifty Metal</t>
        </is>
      </c>
      <c r="T322" s="32" t="n">
        <v>34.04</v>
      </c>
      <c r="U322" s="32" t="n">
        <v>5.18</v>
      </c>
      <c r="V322" s="32" t="n">
        <v>-21.53</v>
      </c>
      <c r="W322" s="32" t="n">
        <v>3.29</v>
      </c>
      <c r="X322" s="31" t="inlineStr">
        <is>
          <t>Cyclical in an Upturn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Cyclical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Less than 12%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Less than 50%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IF(B323=0,"",RANK(B323,$B$2:$B$335,0))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DEEDEV</t>
        </is>
      </c>
      <c r="D323" s="31" t="inlineStr">
        <is>
          <t>DEE Development Engineers Ltd</t>
        </is>
      </c>
      <c r="E323" s="31" t="inlineStr">
        <is>
          <t>metals &amp; mining</t>
        </is>
      </c>
      <c r="F323" s="31" t="inlineStr">
        <is>
          <t>steel - medium / small</t>
        </is>
      </c>
      <c r="G323" s="31" t="inlineStr">
        <is>
          <t>smallcap</t>
        </is>
      </c>
      <c r="H323" s="32" t="n">
        <v>4659</v>
      </c>
      <c r="I323" s="32" t="n">
        <v>691.6</v>
      </c>
      <c r="J323" s="32" t="n">
        <v>2.82</v>
      </c>
      <c r="K323" s="32" t="n">
        <v>104950</v>
      </c>
      <c r="L323" s="31" t="n">
        <v>96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78.25</v>
      </c>
      <c r="P323" s="32" t="n">
        <v>66.98999999999999</v>
      </c>
      <c r="Q323" s="32" t="n">
        <v>522.0599999999999</v>
      </c>
      <c r="R323" s="31" t="inlineStr">
        <is>
          <t>Near 52W High Breakout</t>
        </is>
      </c>
      <c r="S323" s="31" t="inlineStr">
        <is>
          <t>Nifty Metal</t>
        </is>
      </c>
      <c r="T323" s="32" t="n">
        <v>34.04</v>
      </c>
      <c r="U323" s="32" t="n">
        <v>126.46</v>
      </c>
      <c r="V323" s="32" t="n">
        <v>68.95</v>
      </c>
      <c r="W323" s="32" t="n">
        <v>43.57</v>
      </c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No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Cyclical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Volatile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Above 40</t>
        </is>
      </c>
      <c r="AY323" s="31">
        <f>IF(AX323="Above 40",20,IF(AX323="20 to 40",10,IF(AX323="0 to 20",-5,0)))</f>
        <v/>
      </c>
      <c r="AZ323" s="31" t="inlineStr">
        <is>
          <t>Above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Negative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Blue sky scenario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Less than 12%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Yes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Less than 50%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Between 0.7 to 1.2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IF(B324=0,"",RANK(B324,$B$2:$B$335,0))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IMFA</t>
        </is>
      </c>
      <c r="D324" s="31" t="inlineStr">
        <is>
          <t>Indian Metals &amp; Ferro Alloys Limited</t>
        </is>
      </c>
      <c r="E324" s="31" t="inlineStr">
        <is>
          <t>metals &amp; mining</t>
        </is>
      </c>
      <c r="F324" s="31" t="inlineStr">
        <is>
          <t>mining / minerals / metals</t>
        </is>
      </c>
      <c r="G324" s="31" t="inlineStr">
        <is>
          <t>midcap</t>
        </is>
      </c>
      <c r="H324" s="32" t="n">
        <v>7553.04</v>
      </c>
      <c r="I324" s="32" t="n">
        <v>1424</v>
      </c>
      <c r="J324" s="32" t="n">
        <v>1.72</v>
      </c>
      <c r="K324" s="32" t="n">
        <v>168764</v>
      </c>
      <c r="L324" s="31" t="n">
        <v>64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54.06</v>
      </c>
      <c r="P324" s="32" t="n">
        <v>22.01</v>
      </c>
      <c r="Q324" s="32" t="n">
        <v>1157.98</v>
      </c>
      <c r="R324" s="31" t="inlineStr">
        <is>
          <t>Earnings / Momentum Support</t>
        </is>
      </c>
      <c r="S324" s="31" t="inlineStr">
        <is>
          <t>Nifty Metal</t>
        </is>
      </c>
      <c r="T324" s="32" t="n">
        <v>34.04</v>
      </c>
      <c r="U324" s="32" t="n">
        <v>87.72</v>
      </c>
      <c r="V324" s="32" t="n">
        <v>40.05</v>
      </c>
      <c r="W324" s="32" t="n">
        <v>13.31</v>
      </c>
      <c r="X324" s="31" t="inlineStr">
        <is>
          <t>Cyclical in an Upturn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Cyclical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Volatile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20 to 40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Negative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No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Between 50% to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IF(B325=0,"",RANK(B325,$B$2:$B$335,0))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TVSSCS</t>
        </is>
      </c>
      <c r="D325" s="31" t="inlineStr">
        <is>
          <t>TVS Supply Chain Solutions Ltd</t>
        </is>
      </c>
      <c r="E325" s="31" t="inlineStr">
        <is>
          <t>transportation</t>
        </is>
      </c>
      <c r="F325" s="31" t="inlineStr">
        <is>
          <t>miscellaneous</t>
        </is>
      </c>
      <c r="G325" s="31" t="inlineStr">
        <is>
          <t>midcap</t>
        </is>
      </c>
      <c r="H325" s="32" t="n">
        <v>6089.61</v>
      </c>
      <c r="I325" s="32" t="n">
        <v>139.48</v>
      </c>
      <c r="J325" s="32" t="n">
        <v>1.05</v>
      </c>
      <c r="K325" s="32" t="n">
        <v>460634</v>
      </c>
      <c r="L325" s="31" t="n">
        <v>30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60.12</v>
      </c>
      <c r="P325" s="32" t="n">
        <v>14.69</v>
      </c>
      <c r="Q325" s="32" t="n">
        <v>107.91</v>
      </c>
      <c r="R325" s="31" t="inlineStr">
        <is>
          <t>Near 52W High Breakout</t>
        </is>
      </c>
      <c r="S325" s="31" t="inlineStr">
        <is>
          <t>Nifty 50</t>
        </is>
      </c>
      <c r="T325" s="32" t="n">
        <v>-3.67</v>
      </c>
      <c r="U325" s="32" t="n">
        <v>3.82</v>
      </c>
      <c r="V325" s="32" t="n">
        <v>7.77</v>
      </c>
      <c r="W325" s="32" t="n">
        <v>5.75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Negative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More than 1.2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IF(B326=0,"",RANK(B326,$B$2:$B$335,0))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SUMEETINDS</t>
        </is>
      </c>
      <c r="D326" s="31" t="inlineStr">
        <is>
          <t>Sumeet Industries Limited</t>
        </is>
      </c>
      <c r="E326" s="31" t="inlineStr">
        <is>
          <t>textiles</t>
        </is>
      </c>
      <c r="F326" s="31" t="inlineStr">
        <is>
          <t>textiles - manmade</t>
        </is>
      </c>
      <c r="G326" s="31" t="inlineStr">
        <is>
          <t>smallcap</t>
        </is>
      </c>
      <c r="H326" s="32" t="n">
        <v>1717.4</v>
      </c>
      <c r="I326" s="32" t="n">
        <v>32.72</v>
      </c>
      <c r="J326" s="32" t="n">
        <v>0.28</v>
      </c>
      <c r="K326" s="32" t="n">
        <v>8864084</v>
      </c>
      <c r="L326" s="31" t="n">
        <v>42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59.97</v>
      </c>
      <c r="P326" s="32" t="n">
        <v>12.88</v>
      </c>
      <c r="Q326" s="32" t="n">
        <v>23.68</v>
      </c>
      <c r="R326" s="31" t="inlineStr">
        <is>
          <t>Earnings / Momentum Support</t>
        </is>
      </c>
      <c r="S326" s="31" t="inlineStr">
        <is>
          <t>Nifty 50</t>
        </is>
      </c>
      <c r="T326" s="32" t="n">
        <v>-3.67</v>
      </c>
      <c r="U326" s="32" t="n">
        <v>26.18</v>
      </c>
      <c r="V326" s="32" t="n">
        <v>30.98</v>
      </c>
      <c r="W326" s="32" t="n">
        <v>8.300000000000001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Negative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Between 0.7 to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IF(B327=0,"",RANK(B327,$B$2:$B$335,0))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3" t="inlineStr">
        <is>
          <t>RAJRATAN</t>
        </is>
      </c>
      <c r="D327" s="33" t="inlineStr">
        <is>
          <t>Rajratan Global Wire Ltd</t>
        </is>
      </c>
      <c r="E327" s="31" t="inlineStr">
        <is>
          <t>metals &amp; mining</t>
        </is>
      </c>
      <c r="F327" s="31" t="inlineStr">
        <is>
          <t>steel - medium / small</t>
        </is>
      </c>
      <c r="G327" s="31" t="inlineStr">
        <is>
          <t>smallcap</t>
        </is>
      </c>
      <c r="H327" s="32" t="n">
        <v>2441.07</v>
      </c>
      <c r="I327" s="32" t="n">
        <v>478</v>
      </c>
      <c r="J327" s="32" t="n">
        <v>-0.58</v>
      </c>
      <c r="K327" s="32" t="n">
        <v>54044</v>
      </c>
      <c r="L327" s="31" t="n">
        <v>44</v>
      </c>
      <c r="M327" s="31" t="inlineStr">
        <is>
          <t>Underperforming</t>
        </is>
      </c>
      <c r="N327" s="32">
        <f>IF(M327="Underperforming",-5,IF(L327&gt;=95,15,IF(L327&gt;=90,10,IF(L327&gt;=80,5,0))))</f>
        <v/>
      </c>
      <c r="O327" s="32" t="n">
        <v>59.23</v>
      </c>
      <c r="P327" s="32" t="n">
        <v>9.390000000000001</v>
      </c>
      <c r="Q327" s="32" t="n">
        <v>360.47</v>
      </c>
      <c r="R327" s="31" t="inlineStr">
        <is>
          <t>Earnings / Momentum Support</t>
        </is>
      </c>
      <c r="S327" s="31" t="inlineStr">
        <is>
          <t>Nifty Metal</t>
        </is>
      </c>
      <c r="T327" s="32" t="n">
        <v>34.04</v>
      </c>
      <c r="U327" s="32" t="n">
        <v>14.07</v>
      </c>
      <c r="V327" s="32" t="n">
        <v>-14.9</v>
      </c>
      <c r="W327" s="32" t="n">
        <v>8.619999999999999</v>
      </c>
      <c r="X327" s="31" t="inlineStr">
        <is>
          <t>Cyclical in an Upturn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Cyclical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Volatile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Between 50% to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IF(B328=0,"",RANK(B328,$B$2:$B$335,0))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TVSMOTOR</t>
        </is>
      </c>
      <c r="D328" s="31" t="inlineStr">
        <is>
          <t>Tvs Motor Company Limited</t>
        </is>
      </c>
      <c r="E328" s="31" t="inlineStr">
        <is>
          <t>auto</t>
        </is>
      </c>
      <c r="F328" s="31" t="inlineStr">
        <is>
          <t>automobiles - motorcycles / mopeds</t>
        </is>
      </c>
      <c r="G328" s="31" t="inlineStr">
        <is>
          <t>largecap</t>
        </is>
      </c>
      <c r="H328" s="32" t="n">
        <v>174684.78</v>
      </c>
      <c r="I328" s="32" t="n">
        <v>3608.4</v>
      </c>
      <c r="J328" s="32" t="n">
        <v>-1.86</v>
      </c>
      <c r="K328" s="32" t="n">
        <v>636848</v>
      </c>
      <c r="L328" s="31" t="n">
        <v>25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53.33</v>
      </c>
      <c r="P328" s="32" t="n">
        <v>9.359999999999999</v>
      </c>
      <c r="Q328" s="32" t="n">
        <v>3104.84</v>
      </c>
      <c r="R328" s="31" t="inlineStr">
        <is>
          <t>Earnings / Momentum Support</t>
        </is>
      </c>
      <c r="S328" s="31" t="inlineStr">
        <is>
          <t>Nifty Auto</t>
        </is>
      </c>
      <c r="T328" s="32" t="n">
        <v>11.1</v>
      </c>
      <c r="U328" s="32" t="n">
        <v>27.08</v>
      </c>
      <c r="V328" s="32" t="n">
        <v>14.38</v>
      </c>
      <c r="W328" s="32" t="n">
        <v>4.8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Between 12 to 20%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Less than 50% and Borrowings are increasing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More than 1.2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IF(B329=0,"",RANK(B329,$B$2:$B$335,0))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ETHOSLTD</t>
        </is>
      </c>
      <c r="D329" s="33" t="inlineStr">
        <is>
          <t>Ethos Ltd</t>
        </is>
      </c>
      <c r="E329" s="31" t="inlineStr">
        <is>
          <t>consumer discretionary</t>
        </is>
      </c>
      <c r="F329" s="31" t="inlineStr">
        <is>
          <t>trading</t>
        </is>
      </c>
      <c r="G329" s="31" t="inlineStr">
        <is>
          <t>midcap</t>
        </is>
      </c>
      <c r="H329" s="32" t="n">
        <v>7088.11</v>
      </c>
      <c r="I329" s="32" t="n">
        <v>2645.7</v>
      </c>
      <c r="J329" s="32" t="n">
        <v>-0.12</v>
      </c>
      <c r="K329" s="32" t="n">
        <v>36162</v>
      </c>
      <c r="L329" s="31" t="n">
        <v>9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57.45</v>
      </c>
      <c r="P329" s="32" t="n">
        <v>7.85</v>
      </c>
      <c r="Q329" s="32" t="n">
        <v>2026.39</v>
      </c>
      <c r="R329" s="31" t="inlineStr">
        <is>
          <t>Earnings / Momentum Support</t>
        </is>
      </c>
      <c r="S329" s="31" t="inlineStr">
        <is>
          <t>Nifty 50</t>
        </is>
      </c>
      <c r="T329" s="32" t="n">
        <v>-3.67</v>
      </c>
      <c r="U329" s="32" t="n">
        <v>-6.49</v>
      </c>
      <c r="V329" s="32" t="n">
        <v>-2.93</v>
      </c>
      <c r="W329" s="32" t="n">
        <v>0.97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1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Less than 50%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IF(B330=0,"",RANK(B330,$B$2:$B$335,0))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BHARTIARTL</t>
        </is>
      </c>
      <c r="D330" s="31" t="inlineStr">
        <is>
          <t>Bharti Airtel Limited</t>
        </is>
      </c>
      <c r="E330" s="31" t="inlineStr">
        <is>
          <t>telecom-service</t>
        </is>
      </c>
      <c r="F330" s="31" t="inlineStr">
        <is>
          <t>telecommunications - service provider</t>
        </is>
      </c>
      <c r="G330" s="31" t="inlineStr">
        <is>
          <t>largecap</t>
        </is>
      </c>
      <c r="H330" s="32" t="n">
        <v>1186942.73</v>
      </c>
      <c r="I330" s="32" t="n">
        <v>1936.5</v>
      </c>
      <c r="J330" s="32" t="n">
        <v>1.82</v>
      </c>
      <c r="K330" s="32" t="n">
        <v>6964062</v>
      </c>
      <c r="L330" s="31" t="n">
        <v>9</v>
      </c>
      <c r="M330" s="31" t="inlineStr">
        <is>
          <t>Outperforming</t>
        </is>
      </c>
      <c r="N330" s="32">
        <f>IF(M330="Underperforming",-5,IF(L330&gt;=95,15,IF(L330&gt;=90,10,IF(L330&gt;=80,5,0))))</f>
        <v/>
      </c>
      <c r="O330" s="32" t="n">
        <v>53.72</v>
      </c>
      <c r="P330" s="32" t="n">
        <v>19.6</v>
      </c>
      <c r="Q330" s="32" t="n">
        <v>1680.15</v>
      </c>
      <c r="R330" s="31" t="inlineStr">
        <is>
          <t>Earnings / Momentum Support</t>
        </is>
      </c>
      <c r="S330" s="31" t="inlineStr">
        <is>
          <t>Nifty 50</t>
        </is>
      </c>
      <c r="T330" s="32" t="n">
        <v>-3.67</v>
      </c>
      <c r="U330" s="32" t="n">
        <v>1.87</v>
      </c>
      <c r="V330" s="32" t="n">
        <v>5.75</v>
      </c>
      <c r="W330" s="32" t="n">
        <v>1.47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Oligopoly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Yes</t>
        </is>
      </c>
      <c r="AC330" s="31">
        <f>IF(AB330="No",5,0)</f>
        <v/>
      </c>
      <c r="AD330" s="31" t="inlineStr">
        <is>
          <t>Headwind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0 to 20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1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Between 0.7 to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IF(B331=0,"",RANK(B331,$B$2:$B$335,0))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KIRLOSBROS</t>
        </is>
      </c>
      <c r="D331" s="33" t="inlineStr">
        <is>
          <t>Kirloskar Brothers Limited</t>
        </is>
      </c>
      <c r="E331" s="31" t="inlineStr">
        <is>
          <t>industrials</t>
        </is>
      </c>
      <c r="F331" s="31" t="inlineStr">
        <is>
          <t>pumps</t>
        </is>
      </c>
      <c r="G331" s="31" t="inlineStr">
        <is>
          <t>midcap</t>
        </is>
      </c>
      <c r="H331" s="32" t="n">
        <v>15484.74</v>
      </c>
      <c r="I331" s="32" t="n">
        <v>1929.9</v>
      </c>
      <c r="J331" s="32" t="n">
        <v>-1.03</v>
      </c>
      <c r="K331" s="32" t="n">
        <v>92516</v>
      </c>
      <c r="L331" s="31" t="n">
        <v>7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59.49</v>
      </c>
      <c r="P331" s="32" t="n">
        <v>17.78</v>
      </c>
      <c r="Q331" s="32" t="n">
        <v>1548.57</v>
      </c>
      <c r="R331" s="31" t="inlineStr">
        <is>
          <t>Earnings / Momentum Support</t>
        </is>
      </c>
      <c r="S331" s="31" t="inlineStr">
        <is>
          <t>Nifty 50</t>
        </is>
      </c>
      <c r="T331" s="32" t="n">
        <v>-3.67</v>
      </c>
      <c r="U331" s="32" t="n">
        <v>-8.91</v>
      </c>
      <c r="V331" s="32" t="n">
        <v>-5.44</v>
      </c>
      <c r="W331" s="32" t="n">
        <v>0.65</v>
      </c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Negative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Between 50% to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IF(B332=0,"",RANK(B332,$B$2:$B$335,0))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BALAMINES</t>
        </is>
      </c>
      <c r="D332" s="31" t="inlineStr">
        <is>
          <t>Balaji Amines Limited</t>
        </is>
      </c>
      <c r="E332" s="31" t="inlineStr">
        <is>
          <t>chemicals</t>
        </is>
      </c>
      <c r="F332" s="31" t="inlineStr">
        <is>
          <t>chemicals</t>
        </is>
      </c>
      <c r="G332" s="31" t="inlineStr">
        <is>
          <t>midcap</t>
        </is>
      </c>
      <c r="H332" s="32" t="n">
        <v>7584.75</v>
      </c>
      <c r="I332" s="32" t="n">
        <v>2311.5</v>
      </c>
      <c r="J332" s="32" t="n">
        <v>-1.26</v>
      </c>
      <c r="K332" s="32" t="n">
        <v>154373</v>
      </c>
      <c r="L332" s="31" t="n">
        <v>91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74.47</v>
      </c>
      <c r="P332" s="32" t="n">
        <v>57.04</v>
      </c>
      <c r="Q332" s="32" t="n">
        <v>1790.79</v>
      </c>
      <c r="R332" s="31" t="inlineStr">
        <is>
          <t>Near 52W High Breakout</t>
        </is>
      </c>
      <c r="S332" s="31" t="inlineStr">
        <is>
          <t>Nifty 50</t>
        </is>
      </c>
      <c r="T332" s="32" t="n">
        <v>-3.67</v>
      </c>
      <c r="U332" s="32" t="n">
        <v>32.68</v>
      </c>
      <c r="V332" s="32" t="n">
        <v>37.74</v>
      </c>
      <c r="W332" s="32" t="n">
        <v>33.7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Duopoly That Cooperate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Headwind</t>
        </is>
      </c>
      <c r="AE332" s="31">
        <f>IF(AD332="Tailwind",10,0)</f>
        <v/>
      </c>
      <c r="AF332" s="31" t="inlineStr">
        <is>
          <t>Shallow Cyclical (2 to 3 Years Growth)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Yes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20 to 40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4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Downtrend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Overhead supply in last 2 years in last 2 years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No</t>
        </is>
      </c>
      <c r="BM332" s="31">
        <f>IF(BL332="Yes",10,0)</f>
        <v/>
      </c>
      <c r="BN332" s="31" t="inlineStr">
        <is>
          <t>More than 20%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Less than 1.5</t>
        </is>
      </c>
      <c r="BU332" s="31">
        <f>IF(BT332="Above 2",0,IF(BT332="Between 1.5 to 2",5,IF(BT332="Less than 1.5",10,0)))</f>
        <v/>
      </c>
      <c r="BV332" s="31" t="inlineStr">
        <is>
          <t>Between 50% to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IF(B333=0,"",RANK(B333,$B$2:$B$335,0))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FLUOROCHEM</t>
        </is>
      </c>
      <c r="D333" s="31" t="inlineStr">
        <is>
          <t>Gujarat Fluorochemicals Ltd</t>
        </is>
      </c>
      <c r="E333" s="31" t="inlineStr">
        <is>
          <t>chemicals</t>
        </is>
      </c>
      <c r="F333" s="31" t="inlineStr">
        <is>
          <t>chemicals</t>
        </is>
      </c>
      <c r="G333" s="31" t="inlineStr">
        <is>
          <t>largecap</t>
        </is>
      </c>
      <c r="H333" s="32" t="n">
        <v>42833.81</v>
      </c>
      <c r="I333" s="32" t="n">
        <v>3946</v>
      </c>
      <c r="J333" s="32" t="n">
        <v>1.2</v>
      </c>
      <c r="K333" s="32" t="n">
        <v>117141</v>
      </c>
      <c r="L333" s="31" t="n">
        <v>32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61.23</v>
      </c>
      <c r="P333" s="32" t="n">
        <v>17.23</v>
      </c>
      <c r="Q333" s="32" t="n">
        <v>3281.37</v>
      </c>
      <c r="R333" s="31" t="inlineStr">
        <is>
          <t>Near 52W High Breakout</t>
        </is>
      </c>
      <c r="S333" s="31" t="inlineStr">
        <is>
          <t>Nifty 500</t>
        </is>
      </c>
      <c r="T333" s="32" t="n">
        <v>-0.33</v>
      </c>
      <c r="U333" s="32" t="n">
        <v>12.22</v>
      </c>
      <c r="V333" s="32" t="n">
        <v>12.59</v>
      </c>
      <c r="W333" s="32" t="n">
        <v>6.07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Oligopoly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Shallow Cyclical (2 to 3 Years Growth)</t>
        </is>
      </c>
      <c r="AG333" s="31">
        <f>IF(AF333="Structural (10 Years Consistency)",10,IF(AF333="Shallow Cyclical (2 to 3 years growth)",5,0))</f>
        <v/>
      </c>
      <c r="AH333" s="31" t="inlineStr">
        <is>
          <t>Yes due to Product Mix change or Operating Leverage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Volatile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Yes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Allocated capital in Non-core Areas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Above 40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3</t>
        </is>
      </c>
      <c r="BC333" s="31">
        <f>IF(BB333="Stage 2",20,IF(BB333="Stage 1",0,IF(BB333="Stage 3",5,IF(BB333="Stage 4",-5,0))))</f>
        <v/>
      </c>
      <c r="BD333" s="31" t="inlineStr">
        <is>
          <t>Negative Trend</t>
        </is>
      </c>
      <c r="BE333" s="31">
        <f>IF(BD333="Positive Trend",20,IF(BD333="Negative Trend",-10,0))</f>
        <v/>
      </c>
      <c r="BF333" s="31" t="inlineStr">
        <is>
          <t>Sideways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Overhead supply in last 2 years in last 2 years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Less than 1.5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More than 15%</t>
        </is>
      </c>
      <c r="CC333" s="31">
        <f>IF(CB333="More than 15%",-10,IF(CB333="Less than 15%",10,0))</f>
        <v/>
      </c>
      <c r="CD333" s="31" t="inlineStr">
        <is>
          <t>Yes Upto 10%</t>
        </is>
      </c>
      <c r="CE333" s="31">
        <f>IF(CD333="Yes, more than 10%",-10,IF(CD333="No",10,0))</f>
        <v/>
      </c>
    </row>
    <row r="334">
      <c r="A334" s="31">
        <f>IF(B334=0,"",RANK(B334,$B$2:$B$335,0))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RITCO</t>
        </is>
      </c>
      <c r="D334" s="33" t="inlineStr">
        <is>
          <t>Ritco Logistics Ltd</t>
        </is>
      </c>
      <c r="E334" s="31" t="inlineStr">
        <is>
          <t>transportation</t>
        </is>
      </c>
      <c r="F334" s="31" t="inlineStr">
        <is>
          <t>miscellaneous</t>
        </is>
      </c>
      <c r="G334" s="31" t="inlineStr">
        <is>
          <t>smallcap</t>
        </is>
      </c>
      <c r="H334" s="32" t="n">
        <v>754.5</v>
      </c>
      <c r="I334" s="32" t="n">
        <v>265.45</v>
      </c>
      <c r="J334" s="32" t="n">
        <v>0.7</v>
      </c>
      <c r="K334" s="32" t="n">
        <v>231450</v>
      </c>
      <c r="L334" s="31" t="n">
        <v>22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56.33</v>
      </c>
      <c r="P334" s="32" t="n">
        <v>26.58</v>
      </c>
      <c r="Q334" s="32" t="n">
        <v>200.47</v>
      </c>
      <c r="R334" s="31" t="inlineStr">
        <is>
          <t>Earnings / Momentum Support</t>
        </is>
      </c>
      <c r="S334" s="31" t="inlineStr">
        <is>
          <t>Nifty 50</t>
        </is>
      </c>
      <c r="T334" s="32" t="n">
        <v>-3.67</v>
      </c>
      <c r="U334" s="32" t="n">
        <v>-14.61</v>
      </c>
      <c r="V334" s="32" t="n">
        <v>-11.35</v>
      </c>
      <c r="W334" s="32" t="n">
        <v>4.29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20 to 40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Negative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Less than 12%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Negative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More than 1.2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IF(B335=0,"",RANK(B335,$B$2:$B$335,0))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ARVINDFASN</t>
        </is>
      </c>
      <c r="D335" s="33" t="inlineStr">
        <is>
          <t>Arvind Fashions Ltd</t>
        </is>
      </c>
      <c r="E335" s="31" t="inlineStr">
        <is>
          <t>consumer discretionary</t>
        </is>
      </c>
      <c r="F335" s="31" t="inlineStr">
        <is>
          <t>trading</t>
        </is>
      </c>
      <c r="G335" s="31" t="inlineStr">
        <is>
          <t>midcap</t>
        </is>
      </c>
      <c r="H335" s="32" t="n">
        <v>6346.61</v>
      </c>
      <c r="I335" s="32" t="n">
        <v>473.5</v>
      </c>
      <c r="J335" s="32" t="n">
        <v>-0.28</v>
      </c>
      <c r="K335" s="32" t="n">
        <v>318063</v>
      </c>
      <c r="L335" s="31" t="n">
        <v>3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52.52</v>
      </c>
      <c r="P335" s="32" t="n">
        <v>9.18</v>
      </c>
      <c r="Q335" s="32" t="n">
        <v>375.55</v>
      </c>
      <c r="R335" s="31" t="inlineStr">
        <is>
          <t>Earnings / Momentum Support</t>
        </is>
      </c>
      <c r="S335" s="31" t="inlineStr">
        <is>
          <t>Nifty 50</t>
        </is>
      </c>
      <c r="T335" s="32" t="n">
        <v>-3.67</v>
      </c>
      <c r="U335" s="32" t="n">
        <v>-3.77</v>
      </c>
      <c r="V335" s="32" t="n">
        <v>-0.1</v>
      </c>
      <c r="W335" s="32" t="n">
        <v>-0.64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0 to 20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1</t>
        </is>
      </c>
      <c r="BC335" s="31">
        <f>IF(BB335="Stage 2",20,IF(BB335="Stage 1",0,IF(BB335="Stage 3",5,IF(BB335="Stage 4",-5,0))))</f>
        <v/>
      </c>
      <c r="BD335" s="31" t="inlineStr">
        <is>
          <t>Negative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Yes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Between 50% to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Between 0.7 to 1.2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</sheetData>
  <autoFilter ref="A1:CE335"/>
  <conditionalFormatting sqref="B2:B33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3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3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3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3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3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3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3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3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3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3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3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3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3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3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3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3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3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3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3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3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3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3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3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3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3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3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3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3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35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35">
    <cfRule type="cellIs" priority="36" operator="equal" dxfId="3" stopIfTrue="1">
      <formula>"Underperforming"</formula>
    </cfRule>
  </conditionalFormatting>
  <conditionalFormatting sqref="N2:N335">
    <cfRule type="cellIs" priority="37" operator="equal" dxfId="3" stopIfTrue="1">
      <formula>-5</formula>
    </cfRule>
  </conditionalFormatting>
  <conditionalFormatting sqref="Q2:Q335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35" showDropDown="0" showInputMessage="0" showErrorMessage="0" allowBlank="1" type="list">
      <formula1>"Growing Industry,Stagnant Industry,Cyclical in an Upturn"</formula1>
    </dataValidation>
    <dataValidation sqref="Z2:Z33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35" showDropDown="0" showInputMessage="0" showErrorMessage="0" allowBlank="1" type="list">
      <formula1>"Yes,No"</formula1>
    </dataValidation>
    <dataValidation sqref="AD2:AD335" showDropDown="0" showInputMessage="0" showErrorMessage="0" allowBlank="1" type="list">
      <formula1>"Tailwind,Headwind"</formula1>
    </dataValidation>
    <dataValidation sqref="AF2:AF335" showDropDown="0" showInputMessage="0" showErrorMessage="0" allowBlank="1" type="list">
      <formula1>"Structural (10 Years Consistency),Shallow Cyclical (2 to 3 Years Growth),Cyclical"</formula1>
    </dataValidation>
    <dataValidation sqref="AH2:AH335" showDropDown="0" showInputMessage="0" showErrorMessage="0" allowBlank="1" type="list">
      <formula1>"Yes due to Product Mix change or Operating Leverage,Yes, these are peak margins,No"</formula1>
    </dataValidation>
    <dataValidation sqref="AJ2:AJ335" showDropDown="0" showInputMessage="0" showErrorMessage="0" allowBlank="1" type="list">
      <formula1>"Stable,Volatile"</formula1>
    </dataValidation>
    <dataValidation sqref="AL2:AL335" showDropDown="0" showInputMessage="0" showErrorMessage="0" allowBlank="1" type="list">
      <formula1>"Yes,No"</formula1>
    </dataValidation>
    <dataValidation sqref="AN2:AN335" showDropDown="0" showInputMessage="0" showErrorMessage="0" allowBlank="1" type="list">
      <formula1>"B2C,B2B,B2G"</formula1>
    </dataValidation>
    <dataValidation sqref="AP2:AP335" showDropDown="0" showInputMessage="0" showErrorMessage="0" allowBlank="1" type="list">
      <formula1>"Yes,No"</formula1>
    </dataValidation>
    <dataValidation sqref="AR2:AR335" showDropDown="0" showInputMessage="0" showErrorMessage="0" allowBlank="1" type="list">
      <formula1>"Fully Annuity,Higher Annuity, Lower One time,Higher One Time, Lower Annuity,Fully One Time"</formula1>
    </dataValidation>
    <dataValidation sqref="AT2:AT335" showDropDown="0" showInputMessage="0" showErrorMessage="0" allowBlank="1" type="list">
      <formula1>"Good,Allocated capital in Non-core Areas"</formula1>
    </dataValidation>
    <dataValidation sqref="AV2:AV335" showDropDown="0" showInputMessage="0" showErrorMessage="0" allowBlank="1" type="list">
      <formula1>"Yes for more than 2 years,Yes only for next 1 to 2 years,No"</formula1>
    </dataValidation>
    <dataValidation sqref="AX2:AX335" showDropDown="0" showInputMessage="0" showErrorMessage="0" allowBlank="1" type="list">
      <formula1>"Above 40,20 to 40,0 to 20"</formula1>
    </dataValidation>
    <dataValidation sqref="AZ2:AZ335" showDropDown="0" showInputMessage="0" showErrorMessage="0" allowBlank="1" type="list">
      <formula1>"Between 50 to 75,Above 75,Below 45"</formula1>
    </dataValidation>
    <dataValidation sqref="BB2:BB335" showDropDown="0" showInputMessage="0" showErrorMessage="0" allowBlank="1" type="list">
      <formula1>"Stage 1,Stage 2,Stage 3,Stage 4"</formula1>
    </dataValidation>
    <dataValidation sqref="BD2:BD335" showDropDown="0" showInputMessage="0" showErrorMessage="0" allowBlank="1" type="list">
      <formula1>"Positive Trend,Negative Trend"</formula1>
    </dataValidation>
    <dataValidation sqref="BF2:BF335" showDropDown="0" showInputMessage="0" showErrorMessage="0" allowBlank="1" type="list">
      <formula1>"Uptrend,Sideways,Downtrend"</formula1>
    </dataValidation>
    <dataValidation sqref="BH2:BH335" showDropDown="0" showInputMessage="0" showErrorMessage="0" allowBlank="1" type="list">
      <formula1>"Uptrend,Sideways,Downtrend"</formula1>
    </dataValidation>
    <dataValidation sqref="BJ2:BJ33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35" showDropDown="0" showInputMessage="0" showErrorMessage="0" allowBlank="1" type="list">
      <formula1>"Yes,No"</formula1>
    </dataValidation>
    <dataValidation sqref="BN2:BN335" showDropDown="0" showInputMessage="0" showErrorMessage="0" allowBlank="1" type="list">
      <formula1>"More than 20%,Between 12 to 20%,Less than 12%"</formula1>
    </dataValidation>
    <dataValidation sqref="BP2:BP335" showDropDown="0" showInputMessage="0" showErrorMessage="0" allowBlank="1" type="list">
      <formula1>"Yes,No"</formula1>
    </dataValidation>
    <dataValidation sqref="BR2:BR335" showDropDown="0" showInputMessage="0" showErrorMessage="0" allowBlank="1" type="list">
      <formula1>"Yes,No"</formula1>
    </dataValidation>
    <dataValidation sqref="BT2:BT335" showDropDown="0" showInputMessage="0" showErrorMessage="0" allowBlank="1" type="list">
      <formula1>"Above 2,Between 1.5 to 2,Less than 1.5"</formula1>
    </dataValidation>
    <dataValidation sqref="BV2:BV335" showDropDown="0" showInputMessage="0" showErrorMessage="0" allowBlank="1" type="list">
      <formula1>"Above 70%,Between 50% to 70%,Less than 50%,Less than 50% and Borrowings are increasing,Negative"</formula1>
    </dataValidation>
    <dataValidation sqref="BX2:BX335" showDropDown="0" showInputMessage="0" showErrorMessage="0" allowBlank="1" type="list">
      <formula1>"More than 1.2,Between 0.7 to 1.2,Less than 0.7"</formula1>
    </dataValidation>
    <dataValidation sqref="BZ2:BZ335" showDropDown="0" showInputMessage="0" showErrorMessage="0" allowBlank="1" type="list">
      <formula1>"Yes,No"</formula1>
    </dataValidation>
    <dataValidation sqref="CB2:CB335" showDropDown="0" showInputMessage="0" showErrorMessage="0" allowBlank="1" type="list">
      <formula1>"More than 15%,Less than 15%"</formula1>
    </dataValidation>
    <dataValidation sqref="CD2:CD33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5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IF(B2=0,"",RANK(B2,$B$2:$B$57,0))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SATIN</t>
        </is>
      </c>
      <c r="D2" s="31" t="inlineStr">
        <is>
          <t>Satin Creditcare Network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2951.67</v>
      </c>
      <c r="I2" s="32" t="n">
        <v>264.66</v>
      </c>
      <c r="J2" s="32" t="n">
        <v>-0.95</v>
      </c>
      <c r="K2" s="32" t="n">
        <v>788936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75.47</v>
      </c>
      <c r="P2" s="32" t="n">
        <v>65.20999999999999</v>
      </c>
      <c r="Q2" s="32" t="n">
        <v>208.03</v>
      </c>
      <c r="R2" s="31" t="inlineStr">
        <is>
          <t>Near 52W High Breakout</t>
        </is>
      </c>
      <c r="S2" s="31" t="inlineStr">
        <is>
          <t>Nifty Bank</t>
        </is>
      </c>
      <c r="T2" s="32" t="n">
        <v>2.1</v>
      </c>
      <c r="U2" s="32" t="n">
        <v>61.32</v>
      </c>
      <c r="V2" s="32" t="n">
        <v>58.01</v>
      </c>
      <c r="W2" s="32" t="n">
        <v>22.07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IF(B3=0,"",RANK(B3,$B$2:$B$57,0))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PAISALO</t>
        </is>
      </c>
      <c r="D3" s="31" t="inlineStr">
        <is>
          <t>Paisalo Digital Ltd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midcap</t>
        </is>
      </c>
      <c r="H3" s="32" t="n">
        <v>6575.84</v>
      </c>
      <c r="I3" s="32" t="n">
        <v>72.45</v>
      </c>
      <c r="J3" s="32" t="n">
        <v>0.21</v>
      </c>
      <c r="K3" s="32" t="n">
        <v>10042173</v>
      </c>
      <c r="L3" s="31" t="n">
        <v>92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82.77</v>
      </c>
      <c r="P3" s="32" t="n">
        <v>52.12</v>
      </c>
      <c r="Q3" s="32" t="n">
        <v>58.96</v>
      </c>
      <c r="R3" s="31" t="inlineStr">
        <is>
          <t>Near 52W High Breakout</t>
        </is>
      </c>
      <c r="S3" s="31" t="inlineStr">
        <is>
          <t>Nifty Bank</t>
        </is>
      </c>
      <c r="T3" s="32" t="n">
        <v>2.1</v>
      </c>
      <c r="U3" s="32" t="n">
        <v>133.11</v>
      </c>
      <c r="V3" s="32" t="n">
        <v>128.32</v>
      </c>
      <c r="W3" s="32" t="n">
        <v>34.41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IF(B4=0,"",RANK(B4,$B$2:$B$57,0))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FEDERALBNK</t>
        </is>
      </c>
      <c r="D4" s="31" t="inlineStr">
        <is>
          <t>The Federal Bank  Limited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81937.39</v>
      </c>
      <c r="I4" s="32" t="n">
        <v>327.5</v>
      </c>
      <c r="J4" s="32" t="n">
        <v>-1.5</v>
      </c>
      <c r="K4" s="32" t="n">
        <v>3477293</v>
      </c>
      <c r="L4" s="31" t="n">
        <v>59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70</v>
      </c>
      <c r="P4" s="32" t="n">
        <v>27.07</v>
      </c>
      <c r="Q4" s="32" t="n">
        <v>287.28</v>
      </c>
      <c r="R4" s="31" t="inlineStr">
        <is>
          <t>Near 52W High Breakout</t>
        </is>
      </c>
      <c r="S4" s="31" t="inlineStr">
        <is>
          <t>Nifty Bank</t>
        </is>
      </c>
      <c r="T4" s="32" t="n">
        <v>2.1</v>
      </c>
      <c r="U4" s="32" t="n">
        <v>55.07</v>
      </c>
      <c r="V4" s="32" t="n">
        <v>51.89</v>
      </c>
      <c r="W4" s="32" t="n">
        <v>11.9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IF(B5=0,"",RANK(B5,$B$2:$B$57,0))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NORTHARC</t>
        </is>
      </c>
      <c r="D5" s="31" t="inlineStr">
        <is>
          <t>Northern ARC Capital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midcap</t>
        </is>
      </c>
      <c r="H5" s="32" t="n">
        <v>5250.28</v>
      </c>
      <c r="I5" s="32" t="n">
        <v>318.9</v>
      </c>
      <c r="J5" s="32" t="n">
        <v>-1.86</v>
      </c>
      <c r="K5" s="32" t="n">
        <v>629506</v>
      </c>
      <c r="L5" s="31" t="n">
        <v>57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66.62</v>
      </c>
      <c r="P5" s="32" t="n">
        <v>30.56</v>
      </c>
      <c r="Q5" s="32" t="n">
        <v>254.24</v>
      </c>
      <c r="R5" s="31" t="inlineStr">
        <is>
          <t>Near 52W High Breakout</t>
        </is>
      </c>
      <c r="S5" s="31" t="inlineStr">
        <is>
          <t>Nifty Bank</t>
        </is>
      </c>
      <c r="T5" s="32" t="n">
        <v>2.1</v>
      </c>
      <c r="U5" s="32" t="n">
        <v>23.97</v>
      </c>
      <c r="V5" s="32" t="n">
        <v>21.42</v>
      </c>
      <c r="W5" s="32" t="n">
        <v>11.57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IF(B6=0,"",RANK(B6,$B$2:$B$57,0))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UJJIVANSFB</t>
        </is>
      </c>
      <c r="D6" s="31" t="inlineStr">
        <is>
          <t>Ujjivan Small Finance Bank Ltd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midcap</t>
        </is>
      </c>
      <c r="H6" s="32" t="n">
        <v>13007.93</v>
      </c>
      <c r="I6" s="32" t="n">
        <v>65.14</v>
      </c>
      <c r="J6" s="32" t="n">
        <v>-2.59</v>
      </c>
      <c r="K6" s="32" t="n">
        <v>22165903</v>
      </c>
      <c r="L6" s="31" t="n">
        <v>43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62.85</v>
      </c>
      <c r="P6" s="32" t="n">
        <v>25.67</v>
      </c>
      <c r="Q6" s="32" t="n">
        <v>51.13</v>
      </c>
      <c r="R6" s="31" t="inlineStr">
        <is>
          <t>Near 52W High Breakout</t>
        </is>
      </c>
      <c r="S6" s="31" t="inlineStr">
        <is>
          <t>Nifty Bank</t>
        </is>
      </c>
      <c r="T6" s="32" t="n">
        <v>2.1</v>
      </c>
      <c r="U6" s="32" t="n">
        <v>33.29</v>
      </c>
      <c r="V6" s="32" t="n">
        <v>30.56</v>
      </c>
      <c r="W6" s="32" t="n">
        <v>8.539999999999999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IF(B7=0,"",RANK(B7,$B$2:$B$57,0))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STARHEALTH</t>
        </is>
      </c>
      <c r="D7" s="31" t="inlineStr">
        <is>
          <t>Star Health &amp; Allied Insurance Company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largecap</t>
        </is>
      </c>
      <c r="H7" s="32" t="n">
        <v>35289.5</v>
      </c>
      <c r="I7" s="32" t="n">
        <v>600</v>
      </c>
      <c r="J7" s="32" t="n">
        <v>0.04</v>
      </c>
      <c r="K7" s="32" t="n">
        <v>1347400</v>
      </c>
      <c r="L7" s="31" t="n">
        <v>55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71.86</v>
      </c>
      <c r="P7" s="32" t="n">
        <v>43.69</v>
      </c>
      <c r="Q7" s="32" t="n">
        <v>502.92</v>
      </c>
      <c r="R7" s="31" t="inlineStr">
        <is>
          <t>Near 52W High Breakout</t>
        </is>
      </c>
      <c r="S7" s="31" t="inlineStr">
        <is>
          <t>Nifty Bank</t>
        </is>
      </c>
      <c r="T7" s="32" t="n">
        <v>2.1</v>
      </c>
      <c r="U7" s="32" t="n">
        <v>37.83</v>
      </c>
      <c r="V7" s="32" t="n">
        <v>35</v>
      </c>
      <c r="W7" s="32" t="n">
        <v>11.05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IF(B8=0,"",RANK(B8,$B$2:$B$57,0))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RANEHOLDIN</t>
        </is>
      </c>
      <c r="D8" s="31" t="inlineStr">
        <is>
          <t>Rane Holdings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2512.89</v>
      </c>
      <c r="I8" s="32" t="n">
        <v>1753.5</v>
      </c>
      <c r="J8" s="32" t="n">
        <v>-0.37</v>
      </c>
      <c r="K8" s="32" t="n">
        <v>9847</v>
      </c>
      <c r="L8" s="31" t="n">
        <v>75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69.45999999999999</v>
      </c>
      <c r="P8" s="32" t="n">
        <v>33.63</v>
      </c>
      <c r="Q8" s="32" t="n">
        <v>1371.14</v>
      </c>
      <c r="R8" s="31" t="inlineStr">
        <is>
          <t>Near 52W High Breakout</t>
        </is>
      </c>
      <c r="S8" s="31" t="inlineStr">
        <is>
          <t>Nifty Bank</t>
        </is>
      </c>
      <c r="T8" s="32" t="n">
        <v>2.1</v>
      </c>
      <c r="U8" s="32" t="n">
        <v>11.1</v>
      </c>
      <c r="V8" s="32" t="n">
        <v>8.82</v>
      </c>
      <c r="W8" s="32" t="n">
        <v>17.87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IF(B9=0,"",RANK(B9,$B$2:$B$57,0))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HEALTHX</t>
        </is>
      </c>
      <c r="D9" s="31" t="inlineStr">
        <is>
          <t>Health X Platform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1073.92</v>
      </c>
      <c r="I9" s="32" t="n">
        <v>334.35</v>
      </c>
      <c r="J9" s="32" t="n">
        <v>-0.96</v>
      </c>
      <c r="K9" s="32" t="n">
        <v>8486</v>
      </c>
      <c r="L9" s="31" t="n">
        <v>40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61.5</v>
      </c>
      <c r="P9" s="32" t="n">
        <v>25.07</v>
      </c>
      <c r="Q9" s="32" t="n">
        <v>252.37</v>
      </c>
      <c r="R9" s="31" t="inlineStr">
        <is>
          <t>Near 52W High Breakout</t>
        </is>
      </c>
      <c r="S9" s="31" t="inlineStr">
        <is>
          <t>Nifty Bank</t>
        </is>
      </c>
      <c r="T9" s="32" t="n">
        <v>2.1</v>
      </c>
      <c r="U9" s="32" t="n">
        <v>11.41</v>
      </c>
      <c r="V9" s="32" t="n">
        <v>9.130000000000001</v>
      </c>
      <c r="W9" s="32" t="n">
        <v>7.79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IF(B10=0,"",RANK(B10,$B$2:$B$57,0))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SURYODAY</t>
        </is>
      </c>
      <c r="D10" s="31" t="inlineStr">
        <is>
          <t>Suryoday Small Finance Bank Ltd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smallcap</t>
        </is>
      </c>
      <c r="H10" s="32" t="n">
        <v>2036.19</v>
      </c>
      <c r="I10" s="32" t="n">
        <v>187.27</v>
      </c>
      <c r="J10" s="32" t="n">
        <v>-2.24</v>
      </c>
      <c r="K10" s="32" t="n">
        <v>445129</v>
      </c>
      <c r="L10" s="31" t="n">
        <v>61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68.40000000000001</v>
      </c>
      <c r="P10" s="32" t="n">
        <v>39.52</v>
      </c>
      <c r="Q10" s="32" t="n">
        <v>146.11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2.1</v>
      </c>
      <c r="U10" s="32" t="n">
        <v>33.06</v>
      </c>
      <c r="V10" s="32" t="n">
        <v>30.33</v>
      </c>
      <c r="W10" s="32" t="n">
        <v>12.47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IF(B11=0,"",RANK(B11,$B$2:$B$57,0))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FUSION</t>
        </is>
      </c>
      <c r="D11" s="31" t="inlineStr">
        <is>
          <t>Fusion Micro Finance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3843.62</v>
      </c>
      <c r="I11" s="32" t="n">
        <v>230.09</v>
      </c>
      <c r="J11" s="32" t="n">
        <v>-2.97</v>
      </c>
      <c r="K11" s="32" t="n">
        <v>556918</v>
      </c>
      <c r="L11" s="31" t="n">
        <v>57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65.7</v>
      </c>
      <c r="P11" s="32" t="n">
        <v>26.56</v>
      </c>
      <c r="Q11" s="32" t="n">
        <v>173.36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2.1</v>
      </c>
      <c r="U11" s="32" t="n">
        <v>20.38</v>
      </c>
      <c r="V11" s="32" t="n">
        <v>17.91</v>
      </c>
      <c r="W11" s="32" t="n">
        <v>11.57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IF(B12=0,"",RANK(B12,$B$2:$B$57,0))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MANCREDIT</t>
        </is>
      </c>
      <c r="D12" s="31" t="inlineStr">
        <is>
          <t>Mangal Credit &amp; Fincorp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508.09</v>
      </c>
      <c r="I12" s="32" t="n">
        <v>238.5</v>
      </c>
      <c r="J12" s="32" t="n">
        <v>-0.89</v>
      </c>
      <c r="K12" s="32" t="n">
        <v>331960</v>
      </c>
      <c r="L12" s="31" t="n">
        <v>67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74.31999999999999</v>
      </c>
      <c r="P12" s="32" t="n">
        <v>36.24</v>
      </c>
      <c r="Q12" s="32" t="n">
        <v>186.24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2.1</v>
      </c>
      <c r="U12" s="32" t="n">
        <v>25.88</v>
      </c>
      <c r="V12" s="32" t="n">
        <v>23.3</v>
      </c>
      <c r="W12" s="32" t="n">
        <v>14.53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IF(B13=0,"",RANK(B13,$B$2:$B$57,0))</f>
        <v/>
      </c>
      <c r="B13" s="32">
        <f>SUM(N13,Y13,AA13,AC13,AE13,AG13,AI13,AK13,AM13,AO13,AQ13,AS13,AU13,AW13,AY13,BA13,BC13,BE13,BG13,BI13,BK13,BM13,BO13,BQ13,BS13,BU13,BW13,BY13,CA13)</f>
        <v/>
      </c>
      <c r="C13" s="33" t="inlineStr">
        <is>
          <t>MANBA</t>
        </is>
      </c>
      <c r="D13" s="33" t="inlineStr">
        <is>
          <t>Manba Finance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687.22</v>
      </c>
      <c r="I13" s="32" t="n">
        <v>134.81</v>
      </c>
      <c r="J13" s="32" t="n">
        <v>-1.45</v>
      </c>
      <c r="K13" s="32" t="n">
        <v>82251</v>
      </c>
      <c r="L13" s="31" t="n">
        <v>22</v>
      </c>
      <c r="M13" s="31" t="inlineStr">
        <is>
          <t>Underperforming</t>
        </is>
      </c>
      <c r="N13" s="32">
        <f>IF(M13="Underperforming",-5,IF(L13&gt;=95,15,IF(L13&gt;=90,10,IF(L13&gt;=80,5,0))))</f>
        <v/>
      </c>
      <c r="O13" s="32" t="n">
        <v>59.8</v>
      </c>
      <c r="P13" s="32" t="n">
        <v>24.65</v>
      </c>
      <c r="Q13" s="32" t="n">
        <v>111.11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2.1</v>
      </c>
      <c r="U13" s="32" t="n">
        <v>-3.62</v>
      </c>
      <c r="V13" s="32" t="n">
        <v>-5.6</v>
      </c>
      <c r="W13" s="32" t="n">
        <v>4.23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IF(B14=0,"",RANK(B14,$B$2:$B$57,0))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ABCAPITAL</t>
        </is>
      </c>
      <c r="D14" s="31" t="inlineStr">
        <is>
          <t>Aditya Birla Capital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largecap</t>
        </is>
      </c>
      <c r="H14" s="32" t="n">
        <v>111405.24</v>
      </c>
      <c r="I14" s="32" t="n">
        <v>399.25</v>
      </c>
      <c r="J14" s="32" t="n">
        <v>-2.01</v>
      </c>
      <c r="K14" s="32" t="n">
        <v>5398809</v>
      </c>
      <c r="L14" s="31" t="n">
        <v>61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67.76000000000001</v>
      </c>
      <c r="P14" s="32" t="n">
        <v>23</v>
      </c>
      <c r="Q14" s="32" t="n">
        <v>340.19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2.1</v>
      </c>
      <c r="U14" s="32" t="n">
        <v>51.03</v>
      </c>
      <c r="V14" s="32" t="n">
        <v>47.93</v>
      </c>
      <c r="W14" s="32" t="n">
        <v>12.56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IF(B15=0,"",RANK(B15,$B$2:$B$57,0))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LTF</t>
        </is>
      </c>
      <c r="D15" s="31" t="inlineStr">
        <is>
          <t>L&amp;T Finance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largecap</t>
        </is>
      </c>
      <c r="H15" s="32" t="n">
        <v>81353.78999999999</v>
      </c>
      <c r="I15" s="32" t="n">
        <v>315.3</v>
      </c>
      <c r="J15" s="32" t="n">
        <v>-2.9</v>
      </c>
      <c r="K15" s="32" t="n">
        <v>11572636</v>
      </c>
      <c r="L15" s="31" t="n">
        <v>60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59.62</v>
      </c>
      <c r="P15" s="32" t="n">
        <v>22.03</v>
      </c>
      <c r="Q15" s="32" t="n">
        <v>259.16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2.1</v>
      </c>
      <c r="U15" s="32" t="n">
        <v>56.8</v>
      </c>
      <c r="V15" s="32" t="n">
        <v>53.59</v>
      </c>
      <c r="W15" s="32" t="n">
        <v>12.23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IF(B16=0,"",RANK(B16,$B$2:$B$57,0))</f>
        <v/>
      </c>
      <c r="B16" s="32">
        <f>SUM(N16,Y16,AA16,AC16,AE16,AG16,AI16,AK16,AM16,AO16,AQ16,AS16,AU16,AW16,AY16,BA16,BC16,BE16,BG16,BI16,BK16,BM16,BO16,BQ16,BS16,BU16,BW16,BY16,CA16)</f>
        <v/>
      </c>
      <c r="C16" s="33" t="inlineStr">
        <is>
          <t>BFINVEST</t>
        </is>
      </c>
      <c r="D16" s="33" t="inlineStr">
        <is>
          <t>Bf Investment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2016.16</v>
      </c>
      <c r="I16" s="32" t="n">
        <v>488.45</v>
      </c>
      <c r="J16" s="32" t="n">
        <v>-8.74</v>
      </c>
      <c r="K16" s="32" t="n">
        <v>555626</v>
      </c>
      <c r="L16" s="31" t="n">
        <v>25</v>
      </c>
      <c r="M16" s="31" t="inlineStr">
        <is>
          <t>Underperforming</t>
        </is>
      </c>
      <c r="N16" s="32">
        <f>IF(M16="Underperforming",-5,IF(L16&gt;=95,15,IF(L16&gt;=90,10,IF(L16&gt;=80,5,0))))</f>
        <v/>
      </c>
      <c r="O16" s="32" t="n">
        <v>67.09999999999999</v>
      </c>
      <c r="P16" s="32" t="n">
        <v>20.97</v>
      </c>
      <c r="Q16" s="32" t="n">
        <v>370.77</v>
      </c>
      <c r="R16" s="31" t="inlineStr">
        <is>
          <t>Volume Spike &amp; Near 52W High Breakout</t>
        </is>
      </c>
      <c r="S16" s="31" t="inlineStr">
        <is>
          <t>Nifty Bank</t>
        </is>
      </c>
      <c r="T16" s="32" t="n">
        <v>2.1</v>
      </c>
      <c r="U16" s="32" t="n">
        <v>0.83</v>
      </c>
      <c r="V16" s="32" t="n">
        <v>-1.24</v>
      </c>
      <c r="W16" s="32" t="n">
        <v>4.76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IF(B17=0,"",RANK(B17,$B$2:$B$57,0))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CONSOFINVT</t>
        </is>
      </c>
      <c r="D17" s="31" t="inlineStr">
        <is>
          <t>Consolidated Finvest &amp; Holdings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839.58</v>
      </c>
      <c r="I17" s="32" t="n">
        <v>277.52</v>
      </c>
      <c r="J17" s="32" t="n">
        <v>6.85</v>
      </c>
      <c r="K17" s="32" t="n">
        <v>120477</v>
      </c>
      <c r="L17" s="31" t="n">
        <v>63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74.02</v>
      </c>
      <c r="P17" s="32" t="n">
        <v>24.82</v>
      </c>
      <c r="Q17" s="32" t="n">
        <v>215.22</v>
      </c>
      <c r="R17" s="31" t="inlineStr">
        <is>
          <t>Volume Spike &amp; Near 52W High Breakout</t>
        </is>
      </c>
      <c r="S17" s="31" t="inlineStr">
        <is>
          <t>Nifty Bank</t>
        </is>
      </c>
      <c r="T17" s="32" t="n">
        <v>2.1</v>
      </c>
      <c r="U17" s="32" t="n">
        <v>36.31</v>
      </c>
      <c r="V17" s="32" t="n">
        <v>33.51</v>
      </c>
      <c r="W17" s="32" t="n">
        <v>12.8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IF(B18=0,"",RANK(B18,$B$2:$B$57,0))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CUB</t>
        </is>
      </c>
      <c r="D18" s="31" t="inlineStr">
        <is>
          <t>City Union Bank Limited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midcap</t>
        </is>
      </c>
      <c r="H18" s="32" t="n">
        <v>16728.22</v>
      </c>
      <c r="I18" s="32" t="n">
        <v>221.3</v>
      </c>
      <c r="J18" s="32" t="n">
        <v>-1.7</v>
      </c>
      <c r="K18" s="32" t="n">
        <v>1175918</v>
      </c>
      <c r="L18" s="31" t="n">
        <v>52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60.99</v>
      </c>
      <c r="P18" s="32" t="n">
        <v>19.1</v>
      </c>
      <c r="Q18" s="32" t="n">
        <v>182.53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2.1</v>
      </c>
      <c r="U18" s="32" t="n">
        <v>40.17</v>
      </c>
      <c r="V18" s="32" t="n">
        <v>37.29</v>
      </c>
      <c r="W18" s="32" t="n">
        <v>10.4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IF(B19=0,"",RANK(B19,$B$2:$B$57,0))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ANANDRATHI</t>
        </is>
      </c>
      <c r="D19" s="31" t="inlineStr">
        <is>
          <t>Anand Rathi Wealth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35162.56</v>
      </c>
      <c r="I19" s="32" t="n">
        <v>2080.8</v>
      </c>
      <c r="J19" s="32" t="n">
        <v>-1.74</v>
      </c>
      <c r="K19" s="32" t="n">
        <v>287234</v>
      </c>
      <c r="L19" s="31" t="n">
        <v>62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73.52</v>
      </c>
      <c r="P19" s="32" t="n">
        <v>48.55</v>
      </c>
      <c r="Q19" s="32" t="n">
        <v>1838.12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2.1</v>
      </c>
      <c r="U19" s="32" t="n">
        <v>59.39</v>
      </c>
      <c r="V19" s="32" t="n">
        <v>56.12</v>
      </c>
      <c r="W19" s="32" t="n">
        <v>12.75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Above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IF(B20=0,"",RANK(B20,$B$2:$B$57,0))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NAM-INDIA</t>
        </is>
      </c>
      <c r="D20" s="31" t="inlineStr">
        <is>
          <t>Nippon Life India Asset Management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77550.24000000001</v>
      </c>
      <c r="I20" s="32" t="n">
        <v>1192.7</v>
      </c>
      <c r="J20" s="32" t="n">
        <v>-1.86</v>
      </c>
      <c r="K20" s="32" t="n">
        <v>527315</v>
      </c>
      <c r="L20" s="31" t="n">
        <v>58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67.68000000000001</v>
      </c>
      <c r="P20" s="32" t="n">
        <v>43.12</v>
      </c>
      <c r="Q20" s="32" t="n">
        <v>984.6799999999999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2.1</v>
      </c>
      <c r="U20" s="32" t="n">
        <v>44.77</v>
      </c>
      <c r="V20" s="32" t="n">
        <v>41.8</v>
      </c>
      <c r="W20" s="32" t="n">
        <v>11.75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Above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IF(B21=0,"",RANK(B21,$B$2:$B$57,0))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MUTHOOTMF</t>
        </is>
      </c>
      <c r="D21" s="31" t="inlineStr">
        <is>
          <t>Muthoot Microfin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4199.39</v>
      </c>
      <c r="I21" s="32" t="n">
        <v>239.01</v>
      </c>
      <c r="J21" s="32" t="n">
        <v>-2.96</v>
      </c>
      <c r="K21" s="32" t="n">
        <v>628293</v>
      </c>
      <c r="L21" s="31" t="n">
        <v>70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73.76000000000001</v>
      </c>
      <c r="P21" s="32" t="n">
        <v>36.81</v>
      </c>
      <c r="Q21" s="32" t="n">
        <v>181.77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2.1</v>
      </c>
      <c r="U21" s="32" t="n">
        <v>43.89</v>
      </c>
      <c r="V21" s="32" t="n">
        <v>40.93</v>
      </c>
      <c r="W21" s="32" t="n">
        <v>15.54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IF(B22=0,"",RANK(B22,$B$2:$B$57,0))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CGCL</t>
        </is>
      </c>
      <c r="D22" s="31" t="inlineStr">
        <is>
          <t>Capri Global Capital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24693.68</v>
      </c>
      <c r="I22" s="32" t="n">
        <v>257.32</v>
      </c>
      <c r="J22" s="32" t="n">
        <v>0.26</v>
      </c>
      <c r="K22" s="32" t="n">
        <v>2329771</v>
      </c>
      <c r="L22" s="31" t="n">
        <v>72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78.81</v>
      </c>
      <c r="P22" s="32" t="n">
        <v>31.59</v>
      </c>
      <c r="Q22" s="32" t="n">
        <v>213.42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2.1</v>
      </c>
      <c r="U22" s="32" t="n">
        <v>40.18</v>
      </c>
      <c r="V22" s="32" t="n">
        <v>37.3</v>
      </c>
      <c r="W22" s="32" t="n">
        <v>16.42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Above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IF(B23=0,"",RANK(B23,$B$2:$B$57,0))</f>
        <v/>
      </c>
      <c r="B23" s="32">
        <f>SUM(N23,Y23,AA23,AC23,AE23,AG23,AI23,AK23,AM23,AO23,AQ23,AS23,AU23,AW23,AY23,BA23,BC23,BE23,BG23,BI23,BK23,BM23,BO23,BQ23,BS23,BU23,BW23,BY23,CA23)</f>
        <v/>
      </c>
      <c r="C23" s="33" t="inlineStr">
        <is>
          <t>MONARCH</t>
        </is>
      </c>
      <c r="D23" s="33" t="inlineStr">
        <is>
          <t>Monarch Networth Capital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smallcap</t>
        </is>
      </c>
      <c r="H23" s="32" t="n">
        <v>2881.4</v>
      </c>
      <c r="I23" s="32" t="n">
        <v>361</v>
      </c>
      <c r="J23" s="32" t="n">
        <v>-0.6899999999999999</v>
      </c>
      <c r="K23" s="32" t="n">
        <v>35485</v>
      </c>
      <c r="L23" s="31" t="n">
        <v>22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66.08</v>
      </c>
      <c r="P23" s="32" t="n">
        <v>20.65</v>
      </c>
      <c r="Q23" s="32" t="n">
        <v>291.36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2.1</v>
      </c>
      <c r="U23" s="32" t="n">
        <v>-1.86</v>
      </c>
      <c r="V23" s="32" t="n">
        <v>-3.88</v>
      </c>
      <c r="W23" s="32" t="n">
        <v>4.25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between 2.5x to 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IF(B24=0,"",RANK(B24,$B$2:$B$57,0))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SPANDANA</t>
        </is>
      </c>
      <c r="D24" s="31" t="inlineStr">
        <is>
          <t>Spandana Sphoorty Financial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2706.16</v>
      </c>
      <c r="I24" s="32" t="n">
        <v>303.05</v>
      </c>
      <c r="J24" s="32" t="n">
        <v>-0.74</v>
      </c>
      <c r="K24" s="32" t="n">
        <v>254869</v>
      </c>
      <c r="L24" s="31" t="n">
        <v>46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62.06</v>
      </c>
      <c r="P24" s="32" t="n">
        <v>17.14</v>
      </c>
      <c r="Q24" s="32" t="n">
        <v>226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2.1</v>
      </c>
      <c r="U24" s="32" t="n">
        <v>4.05</v>
      </c>
      <c r="V24" s="32" t="n">
        <v>1.92</v>
      </c>
      <c r="W24" s="32" t="n">
        <v>8.9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IF(B25=0,"",RANK(B25,$B$2:$B$57,0))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INDUSINDBK</t>
        </is>
      </c>
      <c r="D25" s="31" t="inlineStr">
        <is>
          <t>Indusind Bank Limited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78915.66</v>
      </c>
      <c r="I25" s="32" t="n">
        <v>997.35</v>
      </c>
      <c r="J25" s="32" t="n">
        <v>-1.54</v>
      </c>
      <c r="K25" s="32" t="n">
        <v>767563</v>
      </c>
      <c r="L25" s="31" t="n">
        <v>38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61.97</v>
      </c>
      <c r="P25" s="32" t="n">
        <v>19.72</v>
      </c>
      <c r="Q25" s="32" t="n">
        <v>858.87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2.1</v>
      </c>
      <c r="U25" s="32" t="n">
        <v>14.82</v>
      </c>
      <c r="V25" s="32" t="n">
        <v>12.46</v>
      </c>
      <c r="W25" s="32" t="n">
        <v>7.37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IF(B26=0,"",RANK(B26,$B$2:$B$57,0))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KTKBANK</t>
        </is>
      </c>
      <c r="D26" s="31" t="inlineStr">
        <is>
          <t>The Karnataka Bank Limited</t>
        </is>
      </c>
      <c r="E26" s="31" t="inlineStr">
        <is>
          <t>bank</t>
        </is>
      </c>
      <c r="F26" s="31" t="inlineStr">
        <is>
          <t>banks - private sector</t>
        </is>
      </c>
      <c r="G26" s="31" t="inlineStr">
        <is>
          <t>midcap</t>
        </is>
      </c>
      <c r="H26" s="32" t="n">
        <v>10548.22</v>
      </c>
      <c r="I26" s="32" t="n">
        <v>274.15</v>
      </c>
      <c r="J26" s="32" t="n">
        <v>-1.72</v>
      </c>
      <c r="K26" s="32" t="n">
        <v>1184953</v>
      </c>
      <c r="L26" s="31" t="n">
        <v>54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64.89</v>
      </c>
      <c r="P26" s="32" t="n">
        <v>49.59</v>
      </c>
      <c r="Q26" s="32" t="n">
        <v>225.34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2.1</v>
      </c>
      <c r="U26" s="32" t="n">
        <v>47.16</v>
      </c>
      <c r="V26" s="32" t="n">
        <v>44.14</v>
      </c>
      <c r="W26" s="32" t="n">
        <v>10.99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Above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Negative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IF(B27=0,"",RANK(B27,$B$2:$B$57,0))</f>
        <v/>
      </c>
      <c r="B27" s="32">
        <f>SUM(N27,Y27,AA27,AC27,AE27,AG27,AI27,AK27,AM27,AO27,AQ27,AS27,AU27,AW27,AY27,BA27,BC27,BE27,BG27,BI27,BK27,BM27,BO27,BQ27,BS27,BU27,BW27,BY27,CA27)</f>
        <v/>
      </c>
      <c r="C27" s="33" t="inlineStr">
        <is>
          <t>PNBHOUSING</t>
        </is>
      </c>
      <c r="D27" s="33" t="inlineStr">
        <is>
          <t>Pnb Housing Finance Limited</t>
        </is>
      </c>
      <c r="E27" s="31" t="inlineStr">
        <is>
          <t>financials</t>
        </is>
      </c>
      <c r="F27" s="31" t="inlineStr">
        <is>
          <t>finance - housing</t>
        </is>
      </c>
      <c r="G27" s="31" t="inlineStr">
        <is>
          <t>largecap</t>
        </is>
      </c>
      <c r="H27" s="32" t="n">
        <v>29236.88</v>
      </c>
      <c r="I27" s="32" t="n">
        <v>1095.5</v>
      </c>
      <c r="J27" s="32" t="n">
        <v>-2.39</v>
      </c>
      <c r="K27" s="32" t="n">
        <v>714326</v>
      </c>
      <c r="L27" s="31" t="n">
        <v>27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64.55</v>
      </c>
      <c r="P27" s="32" t="n">
        <v>30.58</v>
      </c>
      <c r="Q27" s="32" t="n">
        <v>912.78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2.1</v>
      </c>
      <c r="U27" s="32" t="n">
        <v>1.74</v>
      </c>
      <c r="V27" s="32" t="n">
        <v>-0.34</v>
      </c>
      <c r="W27" s="32" t="n">
        <v>5.16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IF(B28=0,"",RANK(B28,$B$2:$B$57,0))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J&amp;KBANK</t>
        </is>
      </c>
      <c r="D28" s="31" t="inlineStr">
        <is>
          <t>The Jammu &amp; Kashmir Bank Limited</t>
        </is>
      </c>
      <c r="E28" s="31" t="inlineStr">
        <is>
          <t>bank</t>
        </is>
      </c>
      <c r="F28" s="31" t="inlineStr">
        <is>
          <t>banks - private sector</t>
        </is>
      </c>
      <c r="G28" s="31" t="inlineStr">
        <is>
          <t>largecap</t>
        </is>
      </c>
      <c r="H28" s="32" t="n">
        <v>20107.59</v>
      </c>
      <c r="I28" s="32" t="n">
        <v>177.4</v>
      </c>
      <c r="J28" s="32" t="n">
        <v>-2.85</v>
      </c>
      <c r="K28" s="32" t="n">
        <v>3442412</v>
      </c>
      <c r="L28" s="31" t="n">
        <v>75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69.09999999999999</v>
      </c>
      <c r="P28" s="32" t="n">
        <v>58.03</v>
      </c>
      <c r="Q28" s="32" t="n">
        <v>153.63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2.1</v>
      </c>
      <c r="U28" s="32" t="n">
        <v>59.02</v>
      </c>
      <c r="V28" s="32" t="n">
        <v>55.76</v>
      </c>
      <c r="W28" s="32" t="n">
        <v>18.01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Above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IF(B29=0,"",RANK(B29,$B$2:$B$57,0))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NUVAMA</t>
        </is>
      </c>
      <c r="D29" s="31" t="inlineStr">
        <is>
          <t>Nuvama Wealth Management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34946.51</v>
      </c>
      <c r="I29" s="32" t="n">
        <v>1933.9</v>
      </c>
      <c r="J29" s="32" t="n">
        <v>0.74</v>
      </c>
      <c r="K29" s="32" t="n">
        <v>466451</v>
      </c>
      <c r="L29" s="31" t="n">
        <v>66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70.73999999999999</v>
      </c>
      <c r="P29" s="32" t="n">
        <v>34.27</v>
      </c>
      <c r="Q29" s="32" t="n">
        <v>1597.86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2.1</v>
      </c>
      <c r="U29" s="32" t="n">
        <v>27.51</v>
      </c>
      <c r="V29" s="32" t="n">
        <v>24.89</v>
      </c>
      <c r="W29" s="32" t="n">
        <v>14.12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above 5x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Blue sky scenario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IF(B30=0,"",RANK(B30,$B$2:$B$57,0))</f>
        <v/>
      </c>
      <c r="B30" s="32">
        <f>SUM(N30,Y30,AA30,AC30,AE30,AG30,AI30,AK30,AM30,AO30,AQ30,AS30,AU30,AW30,AY30,BA30,BC30,BE30,BG30,BI30,BK30,BM30,BO30,BQ30,BS30,BU30,BW30,BY30,CA30)</f>
        <v/>
      </c>
      <c r="C30" s="33" t="inlineStr">
        <is>
          <t>JSFB</t>
        </is>
      </c>
      <c r="D30" s="33" t="inlineStr">
        <is>
          <t>Jana Small Finance Bank Ltd</t>
        </is>
      </c>
      <c r="E30" s="31" t="inlineStr">
        <is>
          <t>bank</t>
        </is>
      </c>
      <c r="F30" s="31" t="inlineStr">
        <is>
          <t>banks - private sector</t>
        </is>
      </c>
      <c r="G30" s="31" t="inlineStr">
        <is>
          <t>midcap</t>
        </is>
      </c>
      <c r="H30" s="32" t="n">
        <v>5127.48</v>
      </c>
      <c r="I30" s="32" t="n">
        <v>489.95</v>
      </c>
      <c r="J30" s="32" t="n">
        <v>0.66</v>
      </c>
      <c r="K30" s="32" t="n">
        <v>692362</v>
      </c>
      <c r="L30" s="31" t="n">
        <v>31</v>
      </c>
      <c r="M30" s="31" t="inlineStr">
        <is>
          <t>Underperforming</t>
        </is>
      </c>
      <c r="N30" s="32">
        <f>IF(M30="Underperforming",-5,IF(L30&gt;=95,15,IF(L30&gt;=90,10,IF(L30&gt;=80,5,0))))</f>
        <v/>
      </c>
      <c r="O30" s="32" t="n">
        <v>60.4</v>
      </c>
      <c r="P30" s="32" t="n">
        <v>29.49</v>
      </c>
      <c r="Q30" s="32" t="n">
        <v>383.73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2.1</v>
      </c>
      <c r="U30" s="32" t="n">
        <v>-0.03</v>
      </c>
      <c r="V30" s="32" t="n">
        <v>-2.08</v>
      </c>
      <c r="W30" s="32" t="n">
        <v>5.82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IF(B31=0,"",RANK(B31,$B$2:$B$57,0))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TFCILTD</t>
        </is>
      </c>
      <c r="D31" s="31" t="inlineStr">
        <is>
          <t>Tourism Finance Corporation Of India Limited</t>
        </is>
      </c>
      <c r="E31" s="31" t="inlineStr">
        <is>
          <t>financials</t>
        </is>
      </c>
      <c r="F31" s="31" t="inlineStr">
        <is>
          <t>finance - term-lending institutions</t>
        </is>
      </c>
      <c r="G31" s="31" t="inlineStr">
        <is>
          <t>smallcap</t>
        </is>
      </c>
      <c r="H31" s="32" t="n">
        <v>3741.32</v>
      </c>
      <c r="I31" s="32" t="n">
        <v>80.53</v>
      </c>
      <c r="J31" s="32" t="n">
        <v>-0.35</v>
      </c>
      <c r="K31" s="32" t="n">
        <v>11591062</v>
      </c>
      <c r="L31" s="31" t="n">
        <v>49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59.95</v>
      </c>
      <c r="P31" s="32" t="n">
        <v>37.89</v>
      </c>
      <c r="Q31" s="32" t="n">
        <v>62.63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2.1</v>
      </c>
      <c r="U31" s="32" t="n">
        <v>41.27</v>
      </c>
      <c r="V31" s="32" t="n">
        <v>38.37</v>
      </c>
      <c r="W31" s="32" t="n">
        <v>9.84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between 2.5x to 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20 to 40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Blue sky scenario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IF(B32=0,"",RANK(B32,$B$2:$B$57,0))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CAPITALSFB</t>
        </is>
      </c>
      <c r="D32" s="33" t="inlineStr">
        <is>
          <t>Capital Small Finance Bank Ltd</t>
        </is>
      </c>
      <c r="E32" s="31" t="inlineStr">
        <is>
          <t>bank</t>
        </is>
      </c>
      <c r="F32" s="31" t="inlineStr">
        <is>
          <t>banks - private sector</t>
        </is>
      </c>
      <c r="G32" s="31" t="inlineStr">
        <is>
          <t>smallcap</t>
        </is>
      </c>
      <c r="H32" s="32" t="n">
        <v>1357.36</v>
      </c>
      <c r="I32" s="32" t="n">
        <v>296.3</v>
      </c>
      <c r="J32" s="32" t="n">
        <v>-0.75</v>
      </c>
      <c r="K32" s="32" t="n">
        <v>30440</v>
      </c>
      <c r="L32" s="31" t="n">
        <v>17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61.66</v>
      </c>
      <c r="P32" s="32" t="n">
        <v>25.98</v>
      </c>
      <c r="Q32" s="32" t="n">
        <v>240.58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2.1</v>
      </c>
      <c r="U32" s="32" t="n">
        <v>-1.16</v>
      </c>
      <c r="V32" s="32" t="n">
        <v>-3.19</v>
      </c>
      <c r="W32" s="32" t="n">
        <v>3.28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IF(B33=0,"",RANK(B33,$B$2:$B$57,0))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SMCGLOBAL</t>
        </is>
      </c>
      <c r="D33" s="31" t="inlineStr">
        <is>
          <t>SMC Global Securities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smallcap</t>
        </is>
      </c>
      <c r="H33" s="32" t="n">
        <v>1602.75</v>
      </c>
      <c r="I33" s="32" t="n">
        <v>79.45</v>
      </c>
      <c r="J33" s="32" t="n">
        <v>3.8</v>
      </c>
      <c r="K33" s="32" t="n">
        <v>2381159</v>
      </c>
      <c r="L33" s="31" t="n">
        <v>38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61.29</v>
      </c>
      <c r="P33" s="32" t="n">
        <v>15.59</v>
      </c>
      <c r="Q33" s="32" t="n">
        <v>59.59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2.1</v>
      </c>
      <c r="U33" s="32" t="n">
        <v>7.65</v>
      </c>
      <c r="V33" s="32" t="n">
        <v>5.44</v>
      </c>
      <c r="W33" s="32" t="n">
        <v>7.24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IF(B34=0,"",RANK(B34,$B$2:$B$57,0))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RBLBANK</t>
        </is>
      </c>
      <c r="D34" s="31" t="inlineStr">
        <is>
          <t>Rbl Bank Limited</t>
        </is>
      </c>
      <c r="E34" s="31" t="inlineStr">
        <is>
          <t>bank</t>
        </is>
      </c>
      <c r="F34" s="31" t="inlineStr">
        <is>
          <t>banks - private sector</t>
        </is>
      </c>
      <c r="G34" s="31" t="inlineStr">
        <is>
          <t>largecap</t>
        </is>
      </c>
      <c r="H34" s="32" t="n">
        <v>58938.12</v>
      </c>
      <c r="I34" s="32" t="n">
        <v>377.95</v>
      </c>
      <c r="J34" s="32" t="n">
        <v>-0.7</v>
      </c>
      <c r="K34" s="32" t="n">
        <v>6595796</v>
      </c>
      <c r="L34" s="31" t="n">
        <v>58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66.59</v>
      </c>
      <c r="P34" s="32" t="n">
        <v>38.23</v>
      </c>
      <c r="Q34" s="32" t="n">
        <v>323.05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2.1</v>
      </c>
      <c r="U34" s="32" t="n">
        <v>44.15</v>
      </c>
      <c r="V34" s="32" t="n">
        <v>41.19</v>
      </c>
      <c r="W34" s="32" t="n">
        <v>11.87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more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Negative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Blue sky scenario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IF(B35=0,"",RANK(B35,$B$2:$B$57,0))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OFSS</t>
        </is>
      </c>
      <c r="D35" s="31" t="inlineStr">
        <is>
          <t>Oracle Financial Services Software Limited</t>
        </is>
      </c>
      <c r="E35" s="31" t="inlineStr">
        <is>
          <t>i.t</t>
        </is>
      </c>
      <c r="F35" s="31" t="inlineStr">
        <is>
          <t>computers - software - large</t>
        </is>
      </c>
      <c r="G35" s="31" t="inlineStr">
        <is>
          <t>largecap</t>
        </is>
      </c>
      <c r="H35" s="32" t="n">
        <v>102274.93</v>
      </c>
      <c r="I35" s="32" t="n">
        <v>11646</v>
      </c>
      <c r="J35" s="32" t="n">
        <v>-0.85</v>
      </c>
      <c r="K35" s="32" t="n">
        <v>243718</v>
      </c>
      <c r="L35" s="31" t="n">
        <v>76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76.09</v>
      </c>
      <c r="P35" s="32" t="n">
        <v>33.39</v>
      </c>
      <c r="Q35" s="32" t="n">
        <v>9513.129999999999</v>
      </c>
      <c r="R35" s="31" t="inlineStr">
        <is>
          <t>Near 52W High Breakout</t>
        </is>
      </c>
      <c r="S35" s="31" t="inlineStr">
        <is>
          <t>Nifty IT</t>
        </is>
      </c>
      <c r="T35" s="32" t="n">
        <v>-22.66</v>
      </c>
      <c r="U35" s="32" t="n">
        <v>38.39</v>
      </c>
      <c r="V35" s="32" t="n">
        <v>78.95</v>
      </c>
      <c r="W35" s="32" t="n">
        <v>18.43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above 5x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20 to 40</t>
        </is>
      </c>
      <c r="BM35" s="31">
        <f>IF(BL35="Above 40",20,IF(BL35="20 to 40",10,IF(BL35="0 to 20",-5,0)))</f>
        <v/>
      </c>
      <c r="BN35" s="31" t="inlineStr">
        <is>
          <t>Above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Blue sky scenario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IF(B36=0,"",RANK(B36,$B$2:$B$57,0))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KICL</t>
        </is>
      </c>
      <c r="D36" s="31" t="inlineStr">
        <is>
          <t>Kalyani Investment Company Limited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smallcap</t>
        </is>
      </c>
      <c r="H36" s="32" t="n">
        <v>2479.28</v>
      </c>
      <c r="I36" s="32" t="n">
        <v>5625</v>
      </c>
      <c r="J36" s="32" t="n">
        <v>-0.96</v>
      </c>
      <c r="K36" s="32" t="n">
        <v>2718</v>
      </c>
      <c r="L36" s="31" t="n">
        <v>29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65.69</v>
      </c>
      <c r="P36" s="32" t="n">
        <v>25.49</v>
      </c>
      <c r="Q36" s="32" t="n">
        <v>4563.75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2.1</v>
      </c>
      <c r="U36" s="32" t="n">
        <v>9.32</v>
      </c>
      <c r="V36" s="32" t="n">
        <v>7.08</v>
      </c>
      <c r="W36" s="32" t="n">
        <v>5.47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IF(B37=0,"",RANK(B37,$B$2:$B$57,0))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TMB</t>
        </is>
      </c>
      <c r="D37" s="31" t="inlineStr">
        <is>
          <t>Tamilnad Mercantile Bank Ltd</t>
        </is>
      </c>
      <c r="E37" s="31" t="inlineStr">
        <is>
          <t>bank</t>
        </is>
      </c>
      <c r="F37" s="31" t="inlineStr">
        <is>
          <t>banks - private sector</t>
        </is>
      </c>
      <c r="G37" s="31" t="inlineStr">
        <is>
          <t>midcap</t>
        </is>
      </c>
      <c r="H37" s="32" t="n">
        <v>12685.54</v>
      </c>
      <c r="I37" s="32" t="n">
        <v>780.35</v>
      </c>
      <c r="J37" s="32" t="n">
        <v>-2.59</v>
      </c>
      <c r="K37" s="32" t="n">
        <v>98285</v>
      </c>
      <c r="L37" s="31" t="n">
        <v>71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64.26000000000001</v>
      </c>
      <c r="P37" s="32" t="n">
        <v>35.22</v>
      </c>
      <c r="Q37" s="32" t="n">
        <v>644.34</v>
      </c>
      <c r="R37" s="31" t="inlineStr">
        <is>
          <t>Near 52W High Breakout</t>
        </is>
      </c>
      <c r="S37" s="31" t="inlineStr">
        <is>
          <t>Nifty Bank</t>
        </is>
      </c>
      <c r="T37" s="32" t="n">
        <v>2.1</v>
      </c>
      <c r="U37" s="32" t="n">
        <v>78.44</v>
      </c>
      <c r="V37" s="32" t="n">
        <v>74.78</v>
      </c>
      <c r="W37" s="32" t="n">
        <v>16.11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more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20 to 40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Negative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Blue sky scenario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IF(B38=0,"",RANK(B38,$B$2:$B$57,0))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IIFL</t>
        </is>
      </c>
      <c r="D38" s="31" t="inlineStr">
        <is>
          <t>IIFL Finance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largecap</t>
        </is>
      </c>
      <c r="H38" s="32" t="n">
        <v>23684.38</v>
      </c>
      <c r="I38" s="32" t="n">
        <v>541.5</v>
      </c>
      <c r="J38" s="32" t="n">
        <v>-2.77</v>
      </c>
      <c r="K38" s="32" t="n">
        <v>1091476</v>
      </c>
      <c r="L38" s="31" t="n">
        <v>26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58.13</v>
      </c>
      <c r="P38" s="32" t="n">
        <v>17.11</v>
      </c>
      <c r="Q38" s="32" t="n">
        <v>428.19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2.1</v>
      </c>
      <c r="U38" s="32" t="n">
        <v>2.36</v>
      </c>
      <c r="V38" s="32" t="n">
        <v>0.26</v>
      </c>
      <c r="W38" s="32" t="n">
        <v>4.94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more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IF(B39=0,"",RANK(B39,$B$2:$B$57,0))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HOMEFIRST</t>
        </is>
      </c>
      <c r="D39" s="33" t="inlineStr">
        <is>
          <t>Home First Finance Company India Ltd</t>
        </is>
      </c>
      <c r="E39" s="31" t="inlineStr">
        <is>
          <t>financials</t>
        </is>
      </c>
      <c r="F39" s="31" t="inlineStr">
        <is>
          <t>finance - housing</t>
        </is>
      </c>
      <c r="G39" s="31" t="inlineStr">
        <is>
          <t>midcap</t>
        </is>
      </c>
      <c r="H39" s="32" t="n">
        <v>13155.76</v>
      </c>
      <c r="I39" s="32" t="n">
        <v>1225</v>
      </c>
      <c r="J39" s="32" t="n">
        <v>-2.85</v>
      </c>
      <c r="K39" s="32" t="n">
        <v>160522</v>
      </c>
      <c r="L39" s="31" t="n">
        <v>5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60.39</v>
      </c>
      <c r="P39" s="32" t="n">
        <v>26.62</v>
      </c>
      <c r="Q39" s="32" t="n">
        <v>967.23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2.1</v>
      </c>
      <c r="U39" s="32" t="n">
        <v>-10.01</v>
      </c>
      <c r="V39" s="32" t="n">
        <v>-11.86</v>
      </c>
      <c r="W39" s="32" t="n">
        <v>0.03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20 to 40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IF(B40=0,"",RANK(B40,$B$2:$B$57,0))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EQUITASBNK</t>
        </is>
      </c>
      <c r="D40" s="31" t="inlineStr">
        <is>
          <t>Equitas Small Finance Bank Ltd</t>
        </is>
      </c>
      <c r="E40" s="31" t="inlineStr">
        <is>
          <t>bank</t>
        </is>
      </c>
      <c r="F40" s="31" t="inlineStr">
        <is>
          <t>banks - private sector</t>
        </is>
      </c>
      <c r="G40" s="31" t="inlineStr">
        <is>
          <t>midcap</t>
        </is>
      </c>
      <c r="H40" s="32" t="n">
        <v>9478.639999999999</v>
      </c>
      <c r="I40" s="32" t="n">
        <v>79.94</v>
      </c>
      <c r="J40" s="32" t="n">
        <v>-3.77</v>
      </c>
      <c r="K40" s="32" t="n">
        <v>2820533</v>
      </c>
      <c r="L40" s="31" t="n">
        <v>50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64.5</v>
      </c>
      <c r="P40" s="32" t="n">
        <v>28.92</v>
      </c>
      <c r="Q40" s="32" t="n">
        <v>66.45999999999999</v>
      </c>
      <c r="R40" s="31" t="inlineStr">
        <is>
          <t>Near 52W High Breakout</t>
        </is>
      </c>
      <c r="S40" s="31" t="inlineStr">
        <is>
          <t>Nifty Bank</t>
        </is>
      </c>
      <c r="T40" s="32" t="n">
        <v>2.1</v>
      </c>
      <c r="U40" s="32" t="n">
        <v>26.31</v>
      </c>
      <c r="V40" s="32" t="n">
        <v>23.72</v>
      </c>
      <c r="W40" s="32" t="n">
        <v>10.08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Cyclical in an Uptick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inlineStr">
        <is>
          <t>Yes</t>
        </is>
      </c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No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No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less than 2.5x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20 to 40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IF(B41=0,"",RANK(B41,$B$2:$B$57,0))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SHAREINDIA</t>
        </is>
      </c>
      <c r="D41" s="33" t="inlineStr">
        <is>
          <t>Share India Securities Ltd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smallcap</t>
        </is>
      </c>
      <c r="H41" s="32" t="n">
        <v>3917.85</v>
      </c>
      <c r="I41" s="32" t="n">
        <v>177.76</v>
      </c>
      <c r="J41" s="32" t="n">
        <v>-0.71</v>
      </c>
      <c r="K41" s="32" t="n">
        <v>1599471</v>
      </c>
      <c r="L41" s="31" t="n">
        <v>31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65.67</v>
      </c>
      <c r="P41" s="32" t="n">
        <v>12.73</v>
      </c>
      <c r="Q41" s="32" t="n">
        <v>133.82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2.1</v>
      </c>
      <c r="U41" s="32" t="n">
        <v>1.16</v>
      </c>
      <c r="V41" s="32" t="n">
        <v>-0.92</v>
      </c>
      <c r="W41" s="32" t="n">
        <v>5.78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more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IF(B42=0,"",RANK(B42,$B$2:$B$57,0))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ESAFSFB</t>
        </is>
      </c>
      <c r="D42" s="31" t="inlineStr">
        <is>
          <t>ESAF Small Finance Bank Ltd</t>
        </is>
      </c>
      <c r="E42" s="31" t="inlineStr">
        <is>
          <t>bank</t>
        </is>
      </c>
      <c r="F42" s="31" t="inlineStr">
        <is>
          <t>banks - private sector</t>
        </is>
      </c>
      <c r="G42" s="31" t="inlineStr">
        <is>
          <t>smallcap</t>
        </is>
      </c>
      <c r="H42" s="32" t="n">
        <v>1826.99</v>
      </c>
      <c r="I42" s="32" t="n">
        <v>35.04</v>
      </c>
      <c r="J42" s="32" t="n">
        <v>-1.1</v>
      </c>
      <c r="K42" s="32" t="n">
        <v>1085731</v>
      </c>
      <c r="L42" s="31" t="n">
        <v>60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63.46</v>
      </c>
      <c r="P42" s="32" t="n">
        <v>25.33</v>
      </c>
      <c r="Q42" s="32" t="n">
        <v>27.27</v>
      </c>
      <c r="R42" s="31" t="inlineStr">
        <is>
          <t>Near 52W High Breakout</t>
        </is>
      </c>
      <c r="S42" s="31" t="inlineStr">
        <is>
          <t>Nifty Bank</t>
        </is>
      </c>
      <c r="T42" s="32" t="n">
        <v>2.1</v>
      </c>
      <c r="U42" s="32" t="n">
        <v>5.07</v>
      </c>
      <c r="V42" s="32" t="n">
        <v>2.91</v>
      </c>
      <c r="W42" s="32" t="n">
        <v>12.38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more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20 to 40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Negative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IF(B43=0,"",RANK(B43,$B$2:$B$57,0))</f>
        <v/>
      </c>
      <c r="B43" s="32">
        <f>SUM(N43,Y43,AA43,AC43,AE43,AG43,AI43,AK43,AM43,AO43,AQ43,AS43,AU43,AW43,AY43,BA43,BC43,BE43,BG43,BI43,BK43,BM43,BO43,BQ43,BS43,BU43,BW43,BY43,CA43)</f>
        <v/>
      </c>
      <c r="C43" s="33" t="inlineStr">
        <is>
          <t>LICI</t>
        </is>
      </c>
      <c r="D43" s="33" t="inlineStr">
        <is>
          <t>Life Insurance Corporation of India Ltd</t>
        </is>
      </c>
      <c r="E43" s="31" t="inlineStr">
        <is>
          <t>financials</t>
        </is>
      </c>
      <c r="F43" s="31" t="inlineStr">
        <is>
          <t>finance &amp; investments</t>
        </is>
      </c>
      <c r="G43" s="31" t="inlineStr">
        <is>
          <t>largecap</t>
        </is>
      </c>
      <c r="H43" s="32" t="n">
        <v>558244.3</v>
      </c>
      <c r="I43" s="32" t="n">
        <v>435.4</v>
      </c>
      <c r="J43" s="32" t="n">
        <v>-1.34</v>
      </c>
      <c r="K43" s="32" t="n">
        <v>3063959</v>
      </c>
      <c r="L43" s="31" t="n">
        <v>7</v>
      </c>
      <c r="M43" s="31" t="inlineStr">
        <is>
          <t>Underperforming</t>
        </is>
      </c>
      <c r="N43" s="32">
        <f>IF(M43="Underperforming",-5,IF(L43&gt;=95,15,IF(L43&gt;=90,10,IF(L43&gt;=80,5,0))))</f>
        <v/>
      </c>
      <c r="O43" s="32" t="n">
        <v>58.53</v>
      </c>
      <c r="P43" s="32" t="n">
        <v>14.37</v>
      </c>
      <c r="Q43" s="32" t="n">
        <v>377.27</v>
      </c>
      <c r="R43" s="31" t="inlineStr">
        <is>
          <t>Near 52W High Breakout</t>
        </is>
      </c>
      <c r="S43" s="31" t="inlineStr">
        <is>
          <t>Nifty Bank</t>
        </is>
      </c>
      <c r="T43" s="32" t="n">
        <v>2.1</v>
      </c>
      <c r="U43" s="32" t="n">
        <v>-2.18</v>
      </c>
      <c r="V43" s="32" t="n">
        <v>-4.19</v>
      </c>
      <c r="W43" s="32" t="n">
        <v>0.83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between 2.5x to 5x and Growth more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IF(B44=0,"",RANK(B44,$B$2:$B$57,0))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GEOJITFSL</t>
        </is>
      </c>
      <c r="D44" s="31" t="inlineStr">
        <is>
          <t>Geojit Financial Services Ltd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smallcap</t>
        </is>
      </c>
      <c r="H44" s="32" t="n">
        <v>2289.64</v>
      </c>
      <c r="I44" s="32" t="n">
        <v>80.75</v>
      </c>
      <c r="J44" s="32" t="n">
        <v>-1.56</v>
      </c>
      <c r="K44" s="32" t="n">
        <v>342064</v>
      </c>
      <c r="L44" s="31" t="n">
        <v>35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65.68000000000001</v>
      </c>
      <c r="P44" s="32" t="n">
        <v>13.14</v>
      </c>
      <c r="Q44" s="32" t="n">
        <v>64.09</v>
      </c>
      <c r="R44" s="31" t="inlineStr">
        <is>
          <t>Near 52W High Breakout</t>
        </is>
      </c>
      <c r="S44" s="31" t="inlineStr">
        <is>
          <t>Nifty Bank</t>
        </is>
      </c>
      <c r="T44" s="32" t="n">
        <v>2.1</v>
      </c>
      <c r="U44" s="32" t="n">
        <v>8.949999999999999</v>
      </c>
      <c r="V44" s="32" t="n">
        <v>6.71</v>
      </c>
      <c r="W44" s="32" t="n">
        <v>6.57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less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IF(B45=0,"",RANK(B45,$B$2:$B$57,0))</f>
        <v/>
      </c>
      <c r="B45" s="32">
        <f>SUM(N45,Y45,AA45,AC45,AE45,AG45,AI45,AK45,AM45,AO45,AQ45,AS45,AU45,AW45,AY45,BA45,BC45,BE45,BG45,BI45,BK45,BM45,BO45,BQ45,BS45,BU45,BW45,BY45,CA45)</f>
        <v/>
      </c>
      <c r="C45" s="33" t="inlineStr">
        <is>
          <t>KIRLOSIND</t>
        </is>
      </c>
      <c r="D45" s="33" t="inlineStr">
        <is>
          <t>Kirloskar Industries Limited</t>
        </is>
      </c>
      <c r="E45" s="31" t="inlineStr">
        <is>
          <t>financials</t>
        </is>
      </c>
      <c r="F45" s="31" t="inlineStr">
        <is>
          <t>finance &amp; investments</t>
        </is>
      </c>
      <c r="G45" s="31" t="inlineStr">
        <is>
          <t>smallcap</t>
        </is>
      </c>
      <c r="H45" s="32" t="n">
        <v>4320.3</v>
      </c>
      <c r="I45" s="32" t="n">
        <v>3939.4</v>
      </c>
      <c r="J45" s="32" t="n">
        <v>-4.17</v>
      </c>
      <c r="K45" s="32" t="n">
        <v>15850</v>
      </c>
      <c r="L45" s="31" t="n">
        <v>19</v>
      </c>
      <c r="M45" s="31" t="inlineStr">
        <is>
          <t>Underperforming</t>
        </is>
      </c>
      <c r="N45" s="32">
        <f>IF(M45="Underperforming",-5,IF(L45&gt;=95,15,IF(L45&gt;=90,10,IF(L45&gt;=80,5,0))))</f>
        <v/>
      </c>
      <c r="O45" s="32" t="n">
        <v>63.11</v>
      </c>
      <c r="P45" s="32" t="n">
        <v>22.19</v>
      </c>
      <c r="Q45" s="32" t="n">
        <v>3113.85</v>
      </c>
      <c r="R45" s="31" t="inlineStr">
        <is>
          <t>Earnings / Momentum Support</t>
        </is>
      </c>
      <c r="S45" s="31" t="inlineStr">
        <is>
          <t>Nifty Bank</t>
        </is>
      </c>
      <c r="T45" s="32" t="n">
        <v>2.1</v>
      </c>
      <c r="U45" s="32" t="n">
        <v>-10.94</v>
      </c>
      <c r="V45" s="32" t="n">
        <v>-12.76</v>
      </c>
      <c r="W45" s="32" t="n">
        <v>3.69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less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20 to 40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IF(B46=0,"",RANK(B46,$B$2:$B$57,0))</f>
        <v/>
      </c>
      <c r="B46" s="32">
        <f>SUM(N46,Y46,AA46,AC46,AE46,AG46,AI46,AK46,AM46,AO46,AQ46,AS46,AU46,AW46,AY46,BA46,BC46,BE46,BG46,BI46,BK46,BM46,BO46,BQ46,BS46,BU46,BW46,BY46,CA46)</f>
        <v/>
      </c>
      <c r="C46" s="33" t="inlineStr">
        <is>
          <t>5PAISA</t>
        </is>
      </c>
      <c r="D46" s="33" t="inlineStr">
        <is>
          <t>5Paisa Capital Ltd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smallcap</t>
        </is>
      </c>
      <c r="H46" s="32" t="n">
        <v>1737.93</v>
      </c>
      <c r="I46" s="32" t="n">
        <v>384.95</v>
      </c>
      <c r="J46" s="32" t="n">
        <v>3.84</v>
      </c>
      <c r="K46" s="32" t="n">
        <v>125828</v>
      </c>
      <c r="L46" s="31" t="n">
        <v>24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61.88</v>
      </c>
      <c r="P46" s="32" t="n">
        <v>11.96</v>
      </c>
      <c r="Q46" s="32" t="n">
        <v>291.18</v>
      </c>
      <c r="R46" s="31" t="inlineStr">
        <is>
          <t>Near 52W High Breakout</t>
        </is>
      </c>
      <c r="S46" s="31" t="inlineStr">
        <is>
          <t>Nifty Bank</t>
        </is>
      </c>
      <c r="T46" s="32" t="n">
        <v>2.1</v>
      </c>
      <c r="U46" s="32" t="n">
        <v>-2.75</v>
      </c>
      <c r="V46" s="32" t="n">
        <v>-4.75</v>
      </c>
      <c r="W46" s="32" t="n">
        <v>4.66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less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IF(B47=0,"",RANK(B47,$B$2:$B$57,0))</f>
        <v/>
      </c>
      <c r="B47" s="32">
        <f>SUM(N47,Y47,AA47,AC47,AE47,AG47,AI47,AK47,AM47,AO47,AQ47,AS47,AU47,AW47,AY47,BA47,BC47,BE47,BG47,BI47,BK47,BM47,BO47,BQ47,BS47,BU47,BW47,BY47,CA47)</f>
        <v/>
      </c>
      <c r="C47" s="31" t="inlineStr">
        <is>
          <t>CHOICEIN</t>
        </is>
      </c>
      <c r="D47" s="31" t="inlineStr">
        <is>
          <t>Choice International Ltd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midcap</t>
        </is>
      </c>
      <c r="H47" s="32" t="n">
        <v>18271.01</v>
      </c>
      <c r="I47" s="32" t="n">
        <v>810.8</v>
      </c>
      <c r="J47" s="32" t="n">
        <v>-1.14</v>
      </c>
      <c r="K47" s="32" t="n">
        <v>678638</v>
      </c>
      <c r="L47" s="31" t="n">
        <v>21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61.21</v>
      </c>
      <c r="P47" s="32" t="n">
        <v>19.93</v>
      </c>
      <c r="Q47" s="32" t="n">
        <v>681.16</v>
      </c>
      <c r="R47" s="31" t="inlineStr">
        <is>
          <t>Near 52W High Breakout</t>
        </is>
      </c>
      <c r="S47" s="31" t="inlineStr">
        <is>
          <t>Nifty Bank</t>
        </is>
      </c>
      <c r="T47" s="32" t="n">
        <v>2.1</v>
      </c>
      <c r="U47" s="32" t="n">
        <v>7.67</v>
      </c>
      <c r="V47" s="32" t="n">
        <v>5.46</v>
      </c>
      <c r="W47" s="32" t="n">
        <v>4.21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above 5x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2</t>
        </is>
      </c>
      <c r="BQ47" s="31">
        <f>IF(BP47="Stage 2",20,IF(BP47="Stage 1",0,IF(BP47="Stage 3",5,IF(BP47="Stage 4",-5,0))))</f>
        <v/>
      </c>
      <c r="BR47" s="31" t="inlineStr">
        <is>
          <t>Positive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Blue sky scenario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IF(B48=0,"",RANK(B48,$B$2:$B$57,0))</f>
        <v/>
      </c>
      <c r="B48" s="32">
        <f>SUM(N48,Y48,AA48,AC48,AE48,AG48,AI48,AK48,AM48,AO48,AQ48,AS48,AU48,AW48,AY48,BA48,BC48,BE48,BG48,BI48,BK48,BM48,BO48,BQ48,BS48,BU48,BW48,BY48,CA48)</f>
        <v/>
      </c>
      <c r="C48" s="31" t="inlineStr">
        <is>
          <t>MOTILALOFS</t>
        </is>
      </c>
      <c r="D48" s="31" t="inlineStr">
        <is>
          <t>Motilal Oswal Financial Services Limited</t>
        </is>
      </c>
      <c r="E48" s="31" t="inlineStr">
        <is>
          <t>financials</t>
        </is>
      </c>
      <c r="F48" s="31" t="inlineStr">
        <is>
          <t>finance &amp; investments</t>
        </is>
      </c>
      <c r="G48" s="31" t="inlineStr">
        <is>
          <t>largecap</t>
        </is>
      </c>
      <c r="H48" s="32" t="n">
        <v>59153.82</v>
      </c>
      <c r="I48" s="32" t="n">
        <v>967</v>
      </c>
      <c r="J48" s="32" t="n">
        <v>-1.61</v>
      </c>
      <c r="K48" s="32" t="n">
        <v>717868</v>
      </c>
      <c r="L48" s="31" t="n">
        <v>30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63.59</v>
      </c>
      <c r="P48" s="32" t="n">
        <v>15.66</v>
      </c>
      <c r="Q48" s="32" t="n">
        <v>798.34</v>
      </c>
      <c r="R48" s="31" t="inlineStr">
        <is>
          <t>Earnings / Momentum Support</t>
        </is>
      </c>
      <c r="S48" s="31" t="inlineStr">
        <is>
          <t>Nifty Bank</t>
        </is>
      </c>
      <c r="T48" s="32" t="n">
        <v>2.1</v>
      </c>
      <c r="U48" s="32" t="n">
        <v>6.93</v>
      </c>
      <c r="V48" s="32" t="n">
        <v>4.74</v>
      </c>
      <c r="W48" s="32" t="n">
        <v>5.74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No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between 2.5x to 5x and Growth more than 20%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2</t>
        </is>
      </c>
      <c r="BQ48" s="31">
        <f>IF(BP48="Stage 2",20,IF(BP48="Stage 1",0,IF(BP48="Stage 3",5,IF(BP48="Stage 4",-5,0))))</f>
        <v/>
      </c>
      <c r="BR48" s="31" t="inlineStr">
        <is>
          <t>Positive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Close to 52 week high or retracement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IF(B49=0,"",RANK(B49,$B$2:$B$57,0))</f>
        <v/>
      </c>
      <c r="B49" s="32">
        <f>SUM(N49,Y49,AA49,AC49,AE49,AG49,AI49,AK49,AM49,AO49,AQ49,AS49,AU49,AW49,AY49,BA49,BC49,BE49,BG49,BI49,BK49,BM49,BO49,BQ49,BS49,BU49,BW49,BY49,CA49)</f>
        <v/>
      </c>
      <c r="C49" s="31" t="inlineStr">
        <is>
          <t>CHOLAFIN</t>
        </is>
      </c>
      <c r="D49" s="31" t="inlineStr">
        <is>
          <t>Cholamandalam Investment And Finance Company Limited</t>
        </is>
      </c>
      <c r="E49" s="31" t="inlineStr">
        <is>
          <t>financials</t>
        </is>
      </c>
      <c r="F49" s="31" t="inlineStr">
        <is>
          <t>finance &amp; investments</t>
        </is>
      </c>
      <c r="G49" s="31" t="inlineStr">
        <is>
          <t>largecap</t>
        </is>
      </c>
      <c r="H49" s="32" t="n">
        <v>154295.41</v>
      </c>
      <c r="I49" s="32" t="n">
        <v>1771.5</v>
      </c>
      <c r="J49" s="32" t="n">
        <v>-2.18</v>
      </c>
      <c r="K49" s="32" t="n">
        <v>1288818</v>
      </c>
      <c r="L49" s="31" t="n">
        <v>28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59.03</v>
      </c>
      <c r="P49" s="32" t="n">
        <v>12.17</v>
      </c>
      <c r="Q49" s="32" t="n">
        <v>1473.53</v>
      </c>
      <c r="R49" s="31" t="inlineStr">
        <is>
          <t>Near 52W High Breakout</t>
        </is>
      </c>
      <c r="S49" s="31" t="inlineStr">
        <is>
          <t>Nifty Bank</t>
        </is>
      </c>
      <c r="T49" s="32" t="n">
        <v>2.1</v>
      </c>
      <c r="U49" s="32" t="n">
        <v>14.09</v>
      </c>
      <c r="V49" s="32" t="n">
        <v>11.75</v>
      </c>
      <c r="W49" s="32" t="n">
        <v>5.31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above 5x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2</t>
        </is>
      </c>
      <c r="BQ49" s="31">
        <f>IF(BP49="Stage 2",20,IF(BP49="Stage 1",0,IF(BP49="Stage 3",5,IF(BP49="Stage 4",-5,0))))</f>
        <v/>
      </c>
      <c r="BR49" s="31" t="inlineStr">
        <is>
          <t>Positive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Blue sky scenario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IF(B50=0,"",RANK(B50,$B$2:$B$57,0))</f>
        <v/>
      </c>
      <c r="B50" s="32">
        <f>SUM(N50,Y50,AA50,AC50,AE50,AG50,AI50,AK50,AM50,AO50,AQ50,AS50,AU50,AW50,AY50,BA50,BC50,BE50,BG50,BI50,BK50,BM50,BO50,BQ50,BS50,BU50,BW50,BY50,CA50)</f>
        <v/>
      </c>
      <c r="C50" s="31" t="inlineStr">
        <is>
          <t>POONAWALLA</t>
        </is>
      </c>
      <c r="D50" s="31" t="inlineStr">
        <is>
          <t>Poonawalla Fincorp Ltd</t>
        </is>
      </c>
      <c r="E50" s="31" t="inlineStr">
        <is>
          <t>financials</t>
        </is>
      </c>
      <c r="F50" s="31" t="inlineStr">
        <is>
          <t>finance &amp; investments</t>
        </is>
      </c>
      <c r="G50" s="31" t="inlineStr">
        <is>
          <t>largecap</t>
        </is>
      </c>
      <c r="H50" s="32" t="n">
        <v>42712.99</v>
      </c>
      <c r="I50" s="32" t="n">
        <v>469.25</v>
      </c>
      <c r="J50" s="32" t="n">
        <v>-3.27</v>
      </c>
      <c r="K50" s="32" t="n">
        <v>767401</v>
      </c>
      <c r="L50" s="31" t="n">
        <v>21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58.47</v>
      </c>
      <c r="P50" s="32" t="n">
        <v>11.04</v>
      </c>
      <c r="Q50" s="32" t="n">
        <v>377.41</v>
      </c>
      <c r="R50" s="31" t="inlineStr">
        <is>
          <t>Earnings / Momentum Support</t>
        </is>
      </c>
      <c r="S50" s="31" t="inlineStr">
        <is>
          <t>Nifty Bank</t>
        </is>
      </c>
      <c r="T50" s="32" t="n">
        <v>2.1</v>
      </c>
      <c r="U50" s="32" t="n">
        <v>3.77</v>
      </c>
      <c r="V50" s="32" t="n">
        <v>1.64</v>
      </c>
      <c r="W50" s="32" t="n">
        <v>4.11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No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between 2.5x to 5x and Growth more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2</t>
        </is>
      </c>
      <c r="BQ50" s="31">
        <f>IF(BP50="Stage 2",20,IF(BP50="Stage 1",0,IF(BP50="Stage 3",5,IF(BP50="Stage 4",-5,0))))</f>
        <v/>
      </c>
      <c r="BR50" s="31" t="inlineStr">
        <is>
          <t>Positive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IF(B51=0,"",RANK(B51,$B$2:$B$57,0))</f>
        <v/>
      </c>
      <c r="B51" s="32">
        <f>SUM(N51,Y51,AA51,AC51,AE51,AG51,AI51,AK51,AM51,AO51,AQ51,AS51,AU51,AW51,AY51,BA51,BC51,BE51,BG51,BI51,BK51,BM51,BO51,BQ51,BS51,BU51,BW51,BY51,CA51)</f>
        <v/>
      </c>
      <c r="C51" s="33" t="inlineStr">
        <is>
          <t>ICICIBANK</t>
        </is>
      </c>
      <c r="D51" s="33" t="inlineStr">
        <is>
          <t>Icici Bank Limited</t>
        </is>
      </c>
      <c r="E51" s="31" t="inlineStr">
        <is>
          <t>bank</t>
        </is>
      </c>
      <c r="F51" s="31" t="inlineStr">
        <is>
          <t>banks - private sector</t>
        </is>
      </c>
      <c r="G51" s="31" t="inlineStr">
        <is>
          <t>largecap</t>
        </is>
      </c>
      <c r="H51" s="32" t="n">
        <v>1009217.87</v>
      </c>
      <c r="I51" s="32" t="n">
        <v>1407.7</v>
      </c>
      <c r="J51" s="32" t="n">
        <v>-0.13</v>
      </c>
      <c r="K51" s="32" t="n">
        <v>14133017</v>
      </c>
      <c r="L51" s="31" t="n">
        <v>8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60.46</v>
      </c>
      <c r="P51" s="32" t="n">
        <v>12.77</v>
      </c>
      <c r="Q51" s="32" t="n">
        <v>1242.42</v>
      </c>
      <c r="R51" s="31" t="inlineStr">
        <is>
          <t>Near 52W High Breakout</t>
        </is>
      </c>
      <c r="S51" s="31" t="inlineStr">
        <is>
          <t>Nifty Bank</t>
        </is>
      </c>
      <c r="T51" s="32" t="n">
        <v>2.1</v>
      </c>
      <c r="U51" s="32" t="n">
        <v>-0.51</v>
      </c>
      <c r="V51" s="32" t="n">
        <v>-2.55</v>
      </c>
      <c r="W51" s="32" t="n">
        <v>0.85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between 2.5x to 5x and Growth less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2</t>
        </is>
      </c>
      <c r="BQ51" s="31">
        <f>IF(BP51="Stage 2",20,IF(BP51="Stage 1",0,IF(BP51="Stage 3",5,IF(BP51="Stage 4",-5,0))))</f>
        <v/>
      </c>
      <c r="BR51" s="31" t="inlineStr">
        <is>
          <t>Positive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Blue sky scenario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IF(B52=0,"",RANK(B52,$B$2:$B$57,0))</f>
        <v/>
      </c>
      <c r="B52" s="32">
        <f>SUM(N52,Y52,AA52,AC52,AE52,AG52,AI52,AK52,AM52,AO52,AQ52,AS52,AU52,AW52,AY52,BA52,BC52,BE52,BG52,BI52,BK52,BM52,BO52,BQ52,BS52,BU52,BW52,BY52,CA52)</f>
        <v/>
      </c>
      <c r="C52" s="33" t="inlineStr">
        <is>
          <t>HDBFS</t>
        </is>
      </c>
      <c r="D52" s="33" t="inlineStr">
        <is>
          <t>HDB Financial Services Ltd</t>
        </is>
      </c>
      <c r="E52" s="31" t="inlineStr">
        <is>
          <t>financials</t>
        </is>
      </c>
      <c r="F52" s="31" t="inlineStr">
        <is>
          <t>finance &amp; investments</t>
        </is>
      </c>
      <c r="G52" s="31" t="inlineStr">
        <is>
          <t>largecap</t>
        </is>
      </c>
      <c r="H52" s="32" t="n">
        <v>62793.5</v>
      </c>
      <c r="I52" s="32" t="n">
        <v>743.9</v>
      </c>
      <c r="J52" s="32" t="n">
        <v>-1.63</v>
      </c>
      <c r="K52" s="32" t="n">
        <v>292518</v>
      </c>
      <c r="L52" s="31" t="n">
        <v>8</v>
      </c>
      <c r="M52" s="31" t="inlineStr">
        <is>
          <t>Underperforming</t>
        </is>
      </c>
      <c r="N52" s="32">
        <f>IF(M52="Underperforming",-5,IF(L52&gt;=95,15,IF(L52&gt;=90,10,IF(L52&gt;=80,5,0))))</f>
        <v/>
      </c>
      <c r="O52" s="32" t="n">
        <v>57.79</v>
      </c>
      <c r="P52" s="32" t="n">
        <v>13.77</v>
      </c>
      <c r="Q52" s="32" t="n">
        <v>631.5</v>
      </c>
      <c r="R52" s="31" t="inlineStr">
        <is>
          <t>Earnings / Momentum Support</t>
        </is>
      </c>
      <c r="S52" s="31" t="inlineStr">
        <is>
          <t>Nifty Bank</t>
        </is>
      </c>
      <c r="T52" s="32" t="n">
        <v>2.1</v>
      </c>
      <c r="U52" s="32" t="n">
        <v>-6.36</v>
      </c>
      <c r="V52" s="32" t="n">
        <v>-8.279999999999999</v>
      </c>
      <c r="W52" s="32" t="n">
        <v>0.88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No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between 2.5x to 5x and Growth more than 20%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0 to 20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2</t>
        </is>
      </c>
      <c r="BQ52" s="31">
        <f>IF(BP52="Stage 2",20,IF(BP52="Stage 1",0,IF(BP52="Stage 3",5,IF(BP52="Stage 4",-5,0))))</f>
        <v/>
      </c>
      <c r="BR52" s="31" t="inlineStr">
        <is>
          <t>Positive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Close to 52 week high or retracement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IF(B53=0,"",RANK(B53,$B$2:$B$57,0))</f>
        <v/>
      </c>
      <c r="B53" s="32">
        <f>SUM(N53,Y53,AA53,AC53,AE53,AG53,AI53,AK53,AM53,AO53,AQ53,AS53,AU53,AW53,AY53,BA53,BC53,BE53,BG53,BI53,BK53,BM53,BO53,BQ53,BS53,BU53,BW53,BY53,CA53)</f>
        <v/>
      </c>
      <c r="C53" s="31" t="inlineStr">
        <is>
          <t>ARMANFIN</t>
        </is>
      </c>
      <c r="D53" s="31" t="inlineStr">
        <is>
          <t>Arman Financial Services Limited</t>
        </is>
      </c>
      <c r="E53" s="31" t="inlineStr">
        <is>
          <t>financials</t>
        </is>
      </c>
      <c r="F53" s="31" t="inlineStr">
        <is>
          <t>finance &amp; investments</t>
        </is>
      </c>
      <c r="G53" s="31" t="inlineStr">
        <is>
          <t>smallcap</t>
        </is>
      </c>
      <c r="H53" s="32" t="n">
        <v>2066.63</v>
      </c>
      <c r="I53" s="32" t="n">
        <v>1958.6</v>
      </c>
      <c r="J53" s="32" t="n">
        <v>-0.37</v>
      </c>
      <c r="K53" s="32" t="n">
        <v>183410</v>
      </c>
      <c r="L53" s="31" t="n">
        <v>49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65.48</v>
      </c>
      <c r="P53" s="32" t="n">
        <v>15.53</v>
      </c>
      <c r="Q53" s="32" t="n">
        <v>1470.45</v>
      </c>
      <c r="R53" s="31" t="inlineStr">
        <is>
          <t>Volume Spike &amp; Near 52W High Breakout</t>
        </is>
      </c>
      <c r="S53" s="31" t="inlineStr">
        <is>
          <t>Nifty Bank</t>
        </is>
      </c>
      <c r="T53" s="32" t="n">
        <v>2.1</v>
      </c>
      <c r="U53" s="32" t="n">
        <v>20.8</v>
      </c>
      <c r="V53" s="32" t="n">
        <v>18.32</v>
      </c>
      <c r="W53" s="32" t="n">
        <v>9.74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Cyclical in an Uptick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Not Applicable</t>
        </is>
      </c>
      <c r="AK53" s="31">
        <f>IF(AJ53="Yes",10,0)</f>
        <v/>
      </c>
      <c r="AL53" s="31" t="inlineStr">
        <is>
          <t>Yes</t>
        </is>
      </c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Not Applicable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between 2.5x to 5x and Growth more than 20%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20 to 40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2</t>
        </is>
      </c>
      <c r="BQ53" s="31">
        <f>IF(BP53="Stage 2",20,IF(BP53="Stage 1",0,IF(BP53="Stage 3",5,IF(BP53="Stage 4",-5,0))))</f>
        <v/>
      </c>
      <c r="BR53" s="31" t="inlineStr">
        <is>
          <t>Positive Trend</t>
        </is>
      </c>
      <c r="BS53" s="31">
        <f>IF(BR53="Positive Trend",20,IF(BR53="Negative Trend",-10,0))</f>
        <v/>
      </c>
      <c r="BT53" s="31" t="inlineStr">
        <is>
          <t>Sideways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Close to 52 week high or retracement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IF(B54=0,"",RANK(B54,$B$2:$B$57,0))</f>
        <v/>
      </c>
      <c r="B54" s="32">
        <f>SUM(N54,Y54,AA54,AC54,AE54,AG54,AI54,AK54,AM54,AO54,AQ54,AS54,AU54,AW54,AY54,BA54,BC54,BE54,BG54,BI54,BK54,BM54,BO54,BQ54,BS54,BU54,BW54,BY54,CA54)</f>
        <v/>
      </c>
      <c r="C54" s="31" t="inlineStr">
        <is>
          <t>BAJFINANCE</t>
        </is>
      </c>
      <c r="D54" s="31" t="inlineStr">
        <is>
          <t>Bajaj Finance Limited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largecap</t>
        </is>
      </c>
      <c r="H54" s="32" t="n">
        <v>636311</v>
      </c>
      <c r="I54" s="32" t="n">
        <v>1006.6</v>
      </c>
      <c r="J54" s="32" t="n">
        <v>-1.56</v>
      </c>
      <c r="K54" s="32" t="n">
        <v>6458595</v>
      </c>
      <c r="L54" s="31" t="n">
        <v>21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58.39</v>
      </c>
      <c r="P54" s="32" t="n">
        <v>10.76</v>
      </c>
      <c r="Q54" s="32" t="n">
        <v>860.86</v>
      </c>
      <c r="R54" s="31" t="inlineStr">
        <is>
          <t>Earnings / Momentum Support</t>
        </is>
      </c>
      <c r="S54" s="31" t="inlineStr">
        <is>
          <t>Nifty Bank</t>
        </is>
      </c>
      <c r="T54" s="32" t="n">
        <v>2.1</v>
      </c>
      <c r="U54" s="32" t="n">
        <v>7.51</v>
      </c>
      <c r="V54" s="32" t="n">
        <v>5.31</v>
      </c>
      <c r="W54" s="32" t="n">
        <v>4.2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No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above 5x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2</t>
        </is>
      </c>
      <c r="BQ54" s="31">
        <f>IF(BP54="Stage 2",20,IF(BP54="Stage 1",0,IF(BP54="Stage 3",5,IF(BP54="Stage 4",-5,0))))</f>
        <v/>
      </c>
      <c r="BR54" s="31" t="inlineStr">
        <is>
          <t>Positive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IF(B55=0,"",RANK(B55,$B$2:$B$57,0))</f>
        <v/>
      </c>
      <c r="B55" s="32">
        <f>SUM(N55,Y55,AA55,AC55,AE55,AG55,AI55,AK55,AM55,AO55,AQ55,AS55,AU55,AW55,AY55,BA55,BC55,BE55,BG55,BI55,BK55,BM55,BO55,BQ55,BS55,BU55,BW55,BY55,CA55)</f>
        <v/>
      </c>
      <c r="C55" s="31" t="inlineStr">
        <is>
          <t>IDFCFIRSTB</t>
        </is>
      </c>
      <c r="D55" s="31" t="inlineStr">
        <is>
          <t>IDFC First Bank Ltd</t>
        </is>
      </c>
      <c r="E55" s="31" t="inlineStr">
        <is>
          <t>bank</t>
        </is>
      </c>
      <c r="F55" s="31" t="inlineStr">
        <is>
          <t>banks - private sector</t>
        </is>
      </c>
      <c r="G55" s="31" t="inlineStr">
        <is>
          <t>largecap</t>
        </is>
      </c>
      <c r="H55" s="32" t="n">
        <v>69312.49000000001</v>
      </c>
      <c r="I55" s="32" t="n">
        <v>79.27</v>
      </c>
      <c r="J55" s="32" t="n">
        <v>-1.63</v>
      </c>
      <c r="K55" s="32" t="n">
        <v>13422071</v>
      </c>
      <c r="L55" s="31" t="n">
        <v>29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58.62</v>
      </c>
      <c r="P55" s="32" t="n">
        <v>18.2</v>
      </c>
      <c r="Q55" s="32" t="n">
        <v>68.42</v>
      </c>
      <c r="R55" s="31" t="inlineStr">
        <is>
          <t>Earnings / Momentum Support</t>
        </is>
      </c>
      <c r="S55" s="31" t="inlineStr">
        <is>
          <t>Nifty Bank</t>
        </is>
      </c>
      <c r="T55" s="32" t="n">
        <v>2.1</v>
      </c>
      <c r="U55" s="32" t="n">
        <v>8.460000000000001</v>
      </c>
      <c r="V55" s="32" t="n">
        <v>6.23</v>
      </c>
      <c r="W55" s="32" t="n">
        <v>5.61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Headwind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less than 2.5x and Growth less than 20%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2</t>
        </is>
      </c>
      <c r="BQ55" s="31">
        <f>IF(BP55="Stage 2",20,IF(BP55="Stage 1",0,IF(BP55="Stage 3",5,IF(BP55="Stage 4",-5,0))))</f>
        <v/>
      </c>
      <c r="BR55" s="31" t="inlineStr">
        <is>
          <t>Positive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IF(B56=0,"",RANK(B56,$B$2:$B$57,0))</f>
        <v/>
      </c>
      <c r="B56" s="32">
        <f>SUM(N56,Y56,AA56,AC56,AE56,AG56,AI56,AK56,AM56,AO56,AQ56,AS56,AU56,AW56,AY56,BA56,BC56,BE56,BG56,BI56,BK56,BM56,BO56,BQ56,BS56,BU56,BW56,BY56,CA56)</f>
        <v/>
      </c>
      <c r="C56" s="31" t="inlineStr">
        <is>
          <t>TVSHLTD</t>
        </is>
      </c>
      <c r="D56" s="31" t="inlineStr">
        <is>
          <t>TVS Holdings Ltd</t>
        </is>
      </c>
      <c r="E56" s="31" t="inlineStr">
        <is>
          <t>financials</t>
        </is>
      </c>
      <c r="F56" s="31" t="inlineStr">
        <is>
          <t>finance &amp; investments</t>
        </is>
      </c>
      <c r="G56" s="31" t="inlineStr">
        <is>
          <t>largecap</t>
        </is>
      </c>
      <c r="H56" s="32" t="n">
        <v>28749.82</v>
      </c>
      <c r="I56" s="32" t="n">
        <v>14060</v>
      </c>
      <c r="J56" s="32" t="n">
        <v>-1.06</v>
      </c>
      <c r="K56" s="32" t="n">
        <v>1822</v>
      </c>
      <c r="L56" s="31" t="n">
        <v>13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52.65</v>
      </c>
      <c r="P56" s="32" t="n">
        <v>10.92</v>
      </c>
      <c r="Q56" s="32" t="n">
        <v>12239.65</v>
      </c>
      <c r="R56" s="31" t="inlineStr">
        <is>
          <t>Earnings / Momentum Support</t>
        </is>
      </c>
      <c r="S56" s="31" t="inlineStr">
        <is>
          <t>Nifty Bank</t>
        </is>
      </c>
      <c r="T56" s="32" t="n">
        <v>2.1</v>
      </c>
      <c r="U56" s="32" t="n">
        <v>15.22</v>
      </c>
      <c r="V56" s="32" t="n">
        <v>12.86</v>
      </c>
      <c r="W56" s="32" t="n">
        <v>2.33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Yes</t>
        </is>
      </c>
      <c r="AK56" s="31">
        <f>IF(AJ56="Yes",10,0)</f>
        <v/>
      </c>
      <c r="AL56" s="31" t="n"/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No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between 2.5x to 5x and Growth more than 20%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0 to 20</t>
        </is>
      </c>
      <c r="BM56" s="31">
        <f>IF(BL56="Above 40",20,IF(BL56="20 to 40",10,IF(BL56="0 to 20",-5,0)))</f>
        <v/>
      </c>
      <c r="BN56" s="31" t="inlineStr">
        <is>
          <t>Between 50 to 75</t>
        </is>
      </c>
      <c r="BO56" s="31">
        <f>IF(BN56="Between 50 to 75",10,IF(BN56="Above 75",0,0))</f>
        <v/>
      </c>
      <c r="BP56" s="31" t="inlineStr">
        <is>
          <t>Stage 1</t>
        </is>
      </c>
      <c r="BQ56" s="31">
        <f>IF(BP56="Stage 2",20,IF(BP56="Stage 1",0,IF(BP56="Stage 3",5,IF(BP56="Stage 4",-5,0))))</f>
        <v/>
      </c>
      <c r="BR56" s="31" t="inlineStr">
        <is>
          <t>Positive Trend</t>
        </is>
      </c>
      <c r="BS56" s="31">
        <f>IF(BR56="Positive Trend",20,IF(BR56="Negative Trend",-10,0))</f>
        <v/>
      </c>
      <c r="BT56" s="31" t="inlineStr">
        <is>
          <t>Uptrend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Close to 52 week high or retracement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  <row r="57">
      <c r="A57" s="31">
        <f>IF(B57=0,"",RANK(B57,$B$2:$B$57,0))</f>
        <v/>
      </c>
      <c r="B57" s="32">
        <f>SUM(N57,Y57,AA57,AC57,AE57,AG57,AI57,AK57,AM57,AO57,AQ57,AS57,AU57,AW57,AY57,BA57,BC57,BE57,BG57,BI57,BK57,BM57,BO57,BQ57,BS57,BU57,BW57,BY57,CA57)</f>
        <v/>
      </c>
      <c r="C57" s="33" t="inlineStr">
        <is>
          <t>INDIASHLTR</t>
        </is>
      </c>
      <c r="D57" s="33" t="inlineStr">
        <is>
          <t>India Shelter Finance Corporation Ltd</t>
        </is>
      </c>
      <c r="E57" s="31" t="inlineStr">
        <is>
          <t>financials</t>
        </is>
      </c>
      <c r="F57" s="31" t="inlineStr">
        <is>
          <t>finance - housing</t>
        </is>
      </c>
      <c r="G57" s="31" t="inlineStr">
        <is>
          <t>midcap</t>
        </is>
      </c>
      <c r="H57" s="32" t="n">
        <v>8952.450000000001</v>
      </c>
      <c r="I57" s="32" t="n">
        <v>815.95</v>
      </c>
      <c r="J57" s="32" t="n">
        <v>-0.87</v>
      </c>
      <c r="K57" s="32" t="n">
        <v>82870</v>
      </c>
      <c r="L57" s="31" t="n">
        <v>1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56.8</v>
      </c>
      <c r="P57" s="32" t="n">
        <v>7.06</v>
      </c>
      <c r="Q57" s="32" t="n">
        <v>673.54</v>
      </c>
      <c r="R57" s="31" t="inlineStr">
        <is>
          <t>Earnings / Momentum Support</t>
        </is>
      </c>
      <c r="S57" s="31" t="inlineStr">
        <is>
          <t>Nifty Bank</t>
        </is>
      </c>
      <c r="T57" s="32" t="n">
        <v>2.1</v>
      </c>
      <c r="U57" s="32" t="n">
        <v>-15.09</v>
      </c>
      <c r="V57" s="32" t="n">
        <v>-16.83</v>
      </c>
      <c r="W57" s="32" t="n">
        <v>-2.42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Fragmented with High ROE</t>
        </is>
      </c>
      <c r="AA57" s="31">
        <f>IF(Z57="Fragmented with Low ROE",-5,IF(Z57="Fragmented with High ROE",10,IF(Z57= "highly cyclical",5,0)))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Consistency)",15,IF(AF57="Shallow Cyclical (2 to 3 years growth)",10,IF(AF57 = "Cyclical in an Uptick",5,IF(AF57 = "Cyclical in an Downtick",-10,0))))</f>
        <v/>
      </c>
      <c r="AH57" s="31" t="inlineStr">
        <is>
          <t>Yes</t>
        </is>
      </c>
      <c r="AI57" s="31">
        <f>IF(AH57="Yes",10,0)</f>
        <v/>
      </c>
      <c r="AJ57" s="31" t="inlineStr">
        <is>
          <t>Yes</t>
        </is>
      </c>
      <c r="AK57" s="31">
        <f>IF(AJ57="Yes",10,0)</f>
        <v/>
      </c>
      <c r="AL57" s="31" t="n"/>
      <c r="AM57" s="31">
        <f>IF(AL57="No",10,0)</f>
        <v/>
      </c>
      <c r="AN57" s="31" t="inlineStr">
        <is>
          <t>Yes</t>
        </is>
      </c>
      <c r="AO57" s="31">
        <f>IF(AN57="Yes",10,0)</f>
        <v/>
      </c>
      <c r="AP57" s="31" t="inlineStr">
        <is>
          <t>No</t>
        </is>
      </c>
      <c r="AQ57" s="31">
        <f>IF(AP57="Yes",10,0)</f>
        <v/>
      </c>
      <c r="AR57" s="31" t="inlineStr">
        <is>
          <t>Yes</t>
        </is>
      </c>
      <c r="AS57" s="31">
        <f>IF(AR57="Yes",5,0)</f>
        <v/>
      </c>
      <c r="AT57" s="31" t="inlineStr">
        <is>
          <t>No</t>
        </is>
      </c>
      <c r="AU57" s="31">
        <f>IF(AT57="No",10,IF(AT57="Yes",-10,0))</f>
        <v/>
      </c>
      <c r="AV57" s="31" t="inlineStr">
        <is>
          <t>No</t>
        </is>
      </c>
      <c r="AW57" s="31">
        <f>IF(AV57="No",10,0)</f>
        <v/>
      </c>
      <c r="AX57" s="31" t="inlineStr">
        <is>
          <t>No</t>
        </is>
      </c>
      <c r="AY57" s="31">
        <f>IF(AX57="No",10,IF(AX57= "Yes CEO Resignation",-5,0))</f>
        <v/>
      </c>
      <c r="AZ57" s="31" t="inlineStr">
        <is>
          <t>No</t>
        </is>
      </c>
      <c r="BA57" s="31">
        <f>IF(AZ57="No",10,IF(AZ57="Yes",-5,0))</f>
        <v/>
      </c>
      <c r="BB57" s="31" t="inlineStr">
        <is>
          <t>No</t>
        </is>
      </c>
      <c r="BC57" s="31">
        <f>IF(BB57="No",5,IF(BB57="Yes",-5,0))</f>
        <v/>
      </c>
      <c r="BD57" s="31" t="inlineStr">
        <is>
          <t>Yes</t>
        </is>
      </c>
      <c r="BE57" s="31">
        <f>IF(BD57="Yes",10,0)</f>
        <v/>
      </c>
      <c r="BF57" s="31" t="inlineStr">
        <is>
          <t>Yes</t>
        </is>
      </c>
      <c r="BG57" s="31">
        <f>IF(BF57="Yes",10,0)</f>
        <v/>
      </c>
      <c r="BH57" s="31" t="inlineStr">
        <is>
          <t>Yes</t>
        </is>
      </c>
      <c r="BI57" s="31">
        <f>IF(BH57="Yes",10,0)</f>
        <v/>
      </c>
      <c r="BJ57" s="31" t="inlineStr">
        <is>
          <t>P/BV between 2.5x to 5x and Growth more than 20%</t>
        </is>
      </c>
      <c r="BK57" s="31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1" t="inlineStr">
        <is>
          <t>0 to 20</t>
        </is>
      </c>
      <c r="BM57" s="31">
        <f>IF(BL57="Above 40",20,IF(BL57="20 to 40",10,IF(BL57="0 to 20",-5,0)))</f>
        <v/>
      </c>
      <c r="BN57" s="31" t="inlineStr">
        <is>
          <t>Between 50 to 75</t>
        </is>
      </c>
      <c r="BO57" s="31">
        <f>IF(BN57="Between 50 to 75",10,IF(BN57="Above 75",0,0))</f>
        <v/>
      </c>
      <c r="BP57" s="31" t="inlineStr">
        <is>
          <t>Stage 1</t>
        </is>
      </c>
      <c r="BQ57" s="31">
        <f>IF(BP57="Stage 2",20,IF(BP57="Stage 1",0,IF(BP57="Stage 3",5,IF(BP57="Stage 4",-5,0))))</f>
        <v/>
      </c>
      <c r="BR57" s="31" t="inlineStr">
        <is>
          <t>Positive Trend</t>
        </is>
      </c>
      <c r="BS57" s="31">
        <f>IF(BR57="Positive Trend",20,IF(BR57="Negative Trend",-10,0))</f>
        <v/>
      </c>
      <c r="BT57" s="31" t="inlineStr">
        <is>
          <t>Uptrend</t>
        </is>
      </c>
      <c r="BU57" s="31">
        <f>IF(BT57="Uptrend",10,IF(BT57="Sideways",5,0))</f>
        <v/>
      </c>
      <c r="BV57" s="31" t="inlineStr">
        <is>
          <t>Uptrend</t>
        </is>
      </c>
      <c r="BW57" s="31">
        <f>IF(BV57="Uptrend",10,IF(BV57="Sideways",5,0))</f>
        <v/>
      </c>
      <c r="BX57" s="31" t="inlineStr">
        <is>
          <t>Close to 52 week high or retracement</t>
        </is>
      </c>
      <c r="BY57" s="31">
        <f>IF(BX57="Overhead supply in last 2 years in last 2 years",-5,IF(BX57="Close to 52 week high or retracement",5,IF(BX57="Blue sky scenario",10,IF(BX57="Long term Downtrend",-10,0))))</f>
        <v/>
      </c>
      <c r="BZ57" s="31" t="inlineStr">
        <is>
          <t>Yes</t>
        </is>
      </c>
      <c r="CA57" s="31">
        <f>IF(BZ57="Yes",10,0)</f>
        <v/>
      </c>
    </row>
  </sheetData>
  <autoFilter ref="A1:CA57"/>
  <conditionalFormatting sqref="B2:B5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57">
    <cfRule type="cellIs" priority="34" operator="equal" dxfId="3" stopIfTrue="1">
      <formula>"Underperforming"</formula>
    </cfRule>
  </conditionalFormatting>
  <conditionalFormatting sqref="N2:N57">
    <cfRule type="cellIs" priority="35" operator="equal" dxfId="3" stopIfTrue="1">
      <formula>-5</formula>
    </cfRule>
  </conditionalFormatting>
  <conditionalFormatting sqref="Q2:Q5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57" showDropDown="0" showInputMessage="0" showErrorMessage="0" allowBlank="1" type="list">
      <formula1>"Growing Industry,Stagnant Industry,Cyclical in an Upturn"</formula1>
    </dataValidation>
    <dataValidation sqref="Z2:Z57" showDropDown="0" showInputMessage="0" showErrorMessage="0" allowBlank="1" type="list">
      <formula1>"Fragmented with Low ROE,Fragmented with High ROE,Highly Cyclical"</formula1>
    </dataValidation>
    <dataValidation sqref="AB2:AB57" showDropDown="0" showInputMessage="0" showErrorMessage="0" allowBlank="1" type="list">
      <formula1>"Yes,No"</formula1>
    </dataValidation>
    <dataValidation sqref="AD2:AD57" showDropDown="0" showInputMessage="0" showErrorMessage="0" allowBlank="1" type="list">
      <formula1>"Tailwind,Headwind"</formula1>
    </dataValidation>
    <dataValidation sqref="AF2:AF5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7" showDropDown="0" showInputMessage="0" showErrorMessage="0" allowBlank="1" type="list">
      <formula1>"Yes,No"</formula1>
    </dataValidation>
    <dataValidation sqref="AJ2:AJ57" showDropDown="0" showInputMessage="0" showErrorMessage="0" allowBlank="1" type="list">
      <formula1>"Yes,No,Not Applicable"</formula1>
    </dataValidation>
    <dataValidation sqref="AL2:AL57" showDropDown="0" showInputMessage="0" showErrorMessage="0" allowBlank="1" type="list">
      <formula1>"Yes,No"</formula1>
    </dataValidation>
    <dataValidation sqref="AN2:AN57" showDropDown="0" showInputMessage="0" showErrorMessage="0" allowBlank="1" type="list">
      <formula1>"Yes,No"</formula1>
    </dataValidation>
    <dataValidation sqref="AP2:AP57" showDropDown="0" showInputMessage="0" showErrorMessage="0" allowBlank="1" type="list">
      <formula1>"Yes,No"</formula1>
    </dataValidation>
    <dataValidation sqref="AR2:AR57" showDropDown="0" showInputMessage="0" showErrorMessage="0" allowBlank="1" type="list">
      <formula1>"Yes,No"</formula1>
    </dataValidation>
    <dataValidation sqref="AT2:AT57" showDropDown="0" showInputMessage="0" showErrorMessage="0" allowBlank="1" type="list">
      <formula1>"No,Yes"</formula1>
    </dataValidation>
    <dataValidation sqref="AV2:AV57" showDropDown="0" showInputMessage="0" showErrorMessage="0" allowBlank="1" type="list">
      <formula1>"No,Yes"</formula1>
    </dataValidation>
    <dataValidation sqref="AX2:AX57" showDropDown="0" showInputMessage="0" showErrorMessage="0" allowBlank="1" type="list">
      <formula1>"No,Yes CEO Resignation,Yes CEO Retirement"</formula1>
    </dataValidation>
    <dataValidation sqref="AZ2:AZ57" showDropDown="0" showInputMessage="0" showErrorMessage="0" allowBlank="1" type="list">
      <formula1>"No,Yes"</formula1>
    </dataValidation>
    <dataValidation sqref="BB2:BB57" showDropDown="0" showInputMessage="0" showErrorMessage="0" allowBlank="1" type="list">
      <formula1>"No,Yes"</formula1>
    </dataValidation>
    <dataValidation sqref="BD2:BD57" showDropDown="0" showInputMessage="0" showErrorMessage="0" allowBlank="1" type="list">
      <formula1>"Yes,No"</formula1>
    </dataValidation>
    <dataValidation sqref="BF2:BF57" showDropDown="0" showInputMessage="0" showErrorMessage="0" allowBlank="1" type="list">
      <formula1>"Yes,No"</formula1>
    </dataValidation>
    <dataValidation sqref="BH2:BH57" showDropDown="0" showInputMessage="0" showErrorMessage="0" allowBlank="1" type="list">
      <formula1>"Yes,No"</formula1>
    </dataValidation>
    <dataValidation sqref="BJ2:BJ5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7" showDropDown="0" showInputMessage="0" showErrorMessage="0" allowBlank="1" type="list">
      <formula1>"Above 40,20 to 40,0 to 20"</formula1>
    </dataValidation>
    <dataValidation sqref="BN2:BN57" showDropDown="0" showInputMessage="0" showErrorMessage="0" allowBlank="1" type="list">
      <formula1>"Between 50 to 75,Above 75,Below 45"</formula1>
    </dataValidation>
    <dataValidation sqref="BP2:BP57" showDropDown="0" showInputMessage="0" showErrorMessage="0" allowBlank="1" type="list">
      <formula1>"Stage 1,Stage 2,Stage 3,Stage 4"</formula1>
    </dataValidation>
    <dataValidation sqref="BR2:BR57" showDropDown="0" showInputMessage="0" showErrorMessage="0" allowBlank="1" type="list">
      <formula1>"Positive Trend,Negative Trend"</formula1>
    </dataValidation>
    <dataValidation sqref="BT2:BT57" showDropDown="0" showInputMessage="0" showErrorMessage="0" allowBlank="1" type="list">
      <formula1>"Uptrend,Sideways,Downtrend"</formula1>
    </dataValidation>
    <dataValidation sqref="BV2:BV57" showDropDown="0" showInputMessage="0" showErrorMessage="0" allowBlank="1" type="list">
      <formula1>"Uptrend,Sideways,Downtrend"</formula1>
    </dataValidation>
    <dataValidation sqref="BX2:BX5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1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IF(B2=0,"",RANK(B2,$B$2:$B$21,0))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138.5</v>
      </c>
      <c r="E2" s="32" t="inlineStr">
        <is>
          <t>5%</t>
        </is>
      </c>
      <c r="F2" s="32" t="n">
        <v>50000</v>
      </c>
      <c r="G2" s="32" t="n">
        <v>102</v>
      </c>
      <c r="H2" s="31" t="inlineStr">
        <is>
          <t>INDOBORAX</t>
        </is>
      </c>
      <c r="I2" s="31" t="inlineStr">
        <is>
          <t>Indo Borax &amp; Chemicals Ltd</t>
        </is>
      </c>
      <c r="J2" s="31" t="inlineStr">
        <is>
          <t>chemicals</t>
        </is>
      </c>
      <c r="K2" s="31" t="inlineStr">
        <is>
          <t>chemicals</t>
        </is>
      </c>
      <c r="L2" s="31" t="inlineStr">
        <is>
          <t>smallcap</t>
        </is>
      </c>
      <c r="M2" s="32" t="n">
        <v>1516.73</v>
      </c>
      <c r="N2" s="32" t="n">
        <v>486.7</v>
      </c>
      <c r="O2" s="32" t="n">
        <v>2.97</v>
      </c>
      <c r="P2" s="32" t="n">
        <v>452210</v>
      </c>
      <c r="Q2" s="31" t="n">
        <v>94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88.59999999999999</v>
      </c>
      <c r="U2" s="32" t="n">
        <v>67.27</v>
      </c>
      <c r="V2" s="32" t="n">
        <v>387.92</v>
      </c>
      <c r="W2" s="31" t="inlineStr">
        <is>
          <t>Near 52W High Breakout</t>
        </is>
      </c>
      <c r="X2" s="31" t="inlineStr">
        <is>
          <t>Nifty 50</t>
        </is>
      </c>
      <c r="Y2" s="32" t="n">
        <v>-3.67</v>
      </c>
      <c r="Z2" s="32" t="n">
        <v>98.22</v>
      </c>
      <c r="AA2" s="32" t="n">
        <v>105.77</v>
      </c>
      <c r="AB2" s="32" t="n">
        <v>37.34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IF(B3=0,"",RANK(B3,$B$2:$B$21,0))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137.1</v>
      </c>
      <c r="E3" s="32" t="inlineStr">
        <is>
          <t>5%</t>
        </is>
      </c>
      <c r="F3" s="32" t="n">
        <v>50000</v>
      </c>
      <c r="G3" s="32" t="n">
        <v>287</v>
      </c>
      <c r="H3" s="31" t="inlineStr">
        <is>
          <t>IOLCP</t>
        </is>
      </c>
      <c r="I3" s="31" t="inlineStr">
        <is>
          <t>Iol Chemicals And Pharmaceuticals Limited</t>
        </is>
      </c>
      <c r="J3" s="31" t="inlineStr">
        <is>
          <t>healthcare</t>
        </is>
      </c>
      <c r="K3" s="31" t="inlineStr">
        <is>
          <t>pharmaceuticals - indian - bulk drugs &amp; formln</t>
        </is>
      </c>
      <c r="L3" s="31" t="inlineStr">
        <is>
          <t>smallcap</t>
        </is>
      </c>
      <c r="M3" s="32" t="n">
        <v>4963.26</v>
      </c>
      <c r="N3" s="32" t="n">
        <v>173.78</v>
      </c>
      <c r="O3" s="32" t="n">
        <v>2.77</v>
      </c>
      <c r="P3" s="32" t="n">
        <v>9033619</v>
      </c>
      <c r="Q3" s="31" t="n">
        <v>94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86.88</v>
      </c>
      <c r="U3" s="32" t="n">
        <v>63.82</v>
      </c>
      <c r="V3" s="32" t="n">
        <v>133.59</v>
      </c>
      <c r="W3" s="31" t="inlineStr">
        <is>
          <t>Near 52W High Breakout</t>
        </is>
      </c>
      <c r="X3" s="31" t="inlineStr">
        <is>
          <t>Nifty Pharma</t>
        </is>
      </c>
      <c r="Y3" s="32" t="n">
        <v>14.67</v>
      </c>
      <c r="Z3" s="32" t="n">
        <v>91.87</v>
      </c>
      <c r="AA3" s="32" t="n">
        <v>67.31999999999999</v>
      </c>
      <c r="AB3" s="32" t="n">
        <v>37.59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IF(B4=0,"",RANK(B4,$B$2:$B$21,0))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139.5</v>
      </c>
      <c r="E4" s="32" t="inlineStr">
        <is>
          <t>5%</t>
        </is>
      </c>
      <c r="F4" s="32" t="n">
        <v>50000</v>
      </c>
      <c r="G4" s="32" t="n">
        <v>7</v>
      </c>
      <c r="H4" s="31" t="inlineStr">
        <is>
          <t>PGHL</t>
        </is>
      </c>
      <c r="I4" s="31" t="inlineStr">
        <is>
          <t>Procter &amp; Gamble Health Ltd</t>
        </is>
      </c>
      <c r="J4" s="31" t="inlineStr">
        <is>
          <t>healthcare</t>
        </is>
      </c>
      <c r="K4" s="31" t="inlineStr">
        <is>
          <t>pharmaceuticals - multinational</t>
        </is>
      </c>
      <c r="L4" s="31" t="inlineStr">
        <is>
          <t>midcap</t>
        </is>
      </c>
      <c r="M4" s="32" t="n">
        <v>11398.8</v>
      </c>
      <c r="N4" s="32" t="n">
        <v>6900</v>
      </c>
      <c r="O4" s="32" t="n">
        <v>0.48</v>
      </c>
      <c r="P4" s="32" t="n">
        <v>42343</v>
      </c>
      <c r="Q4" s="31" t="n">
        <v>63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82.72</v>
      </c>
      <c r="U4" s="32" t="n">
        <v>61.02</v>
      </c>
      <c r="V4" s="32" t="n">
        <v>5941.03</v>
      </c>
      <c r="W4" s="31" t="inlineStr">
        <is>
          <t>Near 52W High Breakout</t>
        </is>
      </c>
      <c r="X4" s="31" t="inlineStr">
        <is>
          <t>Nifty Pharma</t>
        </is>
      </c>
      <c r="Y4" s="32" t="n">
        <v>14.67</v>
      </c>
      <c r="Z4" s="32" t="n">
        <v>22.43</v>
      </c>
      <c r="AA4" s="32" t="n">
        <v>6.77</v>
      </c>
      <c r="AB4" s="32" t="n">
        <v>13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IF(B5=0,"",RANK(B5,$B$2:$B$21,0))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138.9</v>
      </c>
      <c r="E5" s="32" t="inlineStr">
        <is>
          <t>5%</t>
        </is>
      </c>
      <c r="F5" s="32" t="n">
        <v>50000</v>
      </c>
      <c r="G5" s="32" t="n">
        <v>89</v>
      </c>
      <c r="H5" s="31" t="inlineStr">
        <is>
          <t>GNA</t>
        </is>
      </c>
      <c r="I5" s="31" t="inlineStr">
        <is>
          <t>Gna Axles Limited</t>
        </is>
      </c>
      <c r="J5" s="31" t="inlineStr">
        <is>
          <t>auto</t>
        </is>
      </c>
      <c r="K5" s="31" t="inlineStr">
        <is>
          <t>auto ancillaries</t>
        </is>
      </c>
      <c r="L5" s="31" t="inlineStr">
        <is>
          <t>smallcap</t>
        </is>
      </c>
      <c r="M5" s="32" t="n">
        <v>2272.11</v>
      </c>
      <c r="N5" s="32" t="n">
        <v>555.7</v>
      </c>
      <c r="O5" s="32" t="n">
        <v>5</v>
      </c>
      <c r="P5" s="32" t="n">
        <v>1495245</v>
      </c>
      <c r="Q5" s="31" t="n">
        <v>74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76.09</v>
      </c>
      <c r="U5" s="32" t="n">
        <v>23.13</v>
      </c>
      <c r="V5" s="32" t="n">
        <v>423.34</v>
      </c>
      <c r="W5" s="31" t="inlineStr">
        <is>
          <t>Volume Spike &amp; Near 52W High Breakout</t>
        </is>
      </c>
      <c r="X5" s="31" t="inlineStr">
        <is>
          <t>Nifty Auto</t>
        </is>
      </c>
      <c r="Y5" s="32" t="n">
        <v>11.1</v>
      </c>
      <c r="Z5" s="32" t="n">
        <v>65.31999999999999</v>
      </c>
      <c r="AA5" s="32" t="n">
        <v>48.8</v>
      </c>
      <c r="AB5" s="32" t="n">
        <v>17.19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20 to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IF(B6=0,"",RANK(B6,$B$2:$B$21,0))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136.9</v>
      </c>
      <c r="E6" s="32" t="inlineStr">
        <is>
          <t>5%</t>
        </is>
      </c>
      <c r="F6" s="32" t="n">
        <v>50000</v>
      </c>
      <c r="G6" s="32" t="n">
        <v>31</v>
      </c>
      <c r="H6" s="31" t="inlineStr">
        <is>
          <t>CEMPRO</t>
        </is>
      </c>
      <c r="I6" s="31" t="inlineStr">
        <is>
          <t>Cemindia Projects Ltd</t>
        </is>
      </c>
      <c r="J6" s="31" t="inlineStr">
        <is>
          <t>realty</t>
        </is>
      </c>
      <c r="K6" s="31" t="inlineStr">
        <is>
          <t>construction</t>
        </is>
      </c>
      <c r="L6" s="31" t="inlineStr">
        <is>
          <t>largecap</t>
        </is>
      </c>
      <c r="M6" s="32" t="n">
        <v>27206</v>
      </c>
      <c r="N6" s="32" t="n">
        <v>1596.6</v>
      </c>
      <c r="O6" s="32" t="n">
        <v>0.8100000000000001</v>
      </c>
      <c r="P6" s="32" t="n">
        <v>694804</v>
      </c>
      <c r="Q6" s="31" t="n">
        <v>98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84.14</v>
      </c>
      <c r="U6" s="32" t="n">
        <v>51.36</v>
      </c>
      <c r="V6" s="32" t="n">
        <v>1262.05</v>
      </c>
      <c r="W6" s="31" t="inlineStr">
        <is>
          <t>Near 52W High Breakout</t>
        </is>
      </c>
      <c r="X6" s="31" t="inlineStr">
        <is>
          <t>Nifty Realty</t>
        </is>
      </c>
      <c r="Y6" s="32" t="n">
        <v>-8.130000000000001</v>
      </c>
      <c r="Z6" s="32" t="n">
        <v>98.59</v>
      </c>
      <c r="AA6" s="32" t="n">
        <v>116.15</v>
      </c>
      <c r="AB6" s="32" t="n">
        <v>54.62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Less than 50%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IF(B7=0,"",RANK(B7,$B$2:$B$21,0))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139.2</v>
      </c>
      <c r="E7" s="32" t="inlineStr">
        <is>
          <t>5%</t>
        </is>
      </c>
      <c r="F7" s="32" t="n">
        <v>50000</v>
      </c>
      <c r="G7" s="32" t="n">
        <v>32</v>
      </c>
      <c r="H7" s="31" t="inlineStr">
        <is>
          <t>LAURUSLABS</t>
        </is>
      </c>
      <c r="I7" s="31" t="inlineStr">
        <is>
          <t>Laurus Labs Limited</t>
        </is>
      </c>
      <c r="J7" s="31" t="inlineStr">
        <is>
          <t>healthcare</t>
        </is>
      </c>
      <c r="K7" s="31" t="inlineStr">
        <is>
          <t>pharmaceuticals - indian - bulk drugs &amp; formln</t>
        </is>
      </c>
      <c r="L7" s="31" t="inlineStr">
        <is>
          <t>largecap</t>
        </is>
      </c>
      <c r="M7" s="32" t="n">
        <v>84142.05</v>
      </c>
      <c r="N7" s="32" t="n">
        <v>1560.7</v>
      </c>
      <c r="O7" s="32" t="n">
        <v>0.13</v>
      </c>
      <c r="P7" s="32" t="n">
        <v>1288969</v>
      </c>
      <c r="Q7" s="31" t="n">
        <v>81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79.38</v>
      </c>
      <c r="U7" s="32" t="n">
        <v>51.82</v>
      </c>
      <c r="V7" s="32" t="n">
        <v>1328.45</v>
      </c>
      <c r="W7" s="31" t="inlineStr">
        <is>
          <t>Near 52W High Breakout</t>
        </is>
      </c>
      <c r="X7" s="31" t="inlineStr">
        <is>
          <t>Nifty Pharma</t>
        </is>
      </c>
      <c r="Y7" s="32" t="n">
        <v>14.67</v>
      </c>
      <c r="Z7" s="32" t="n">
        <v>89.06</v>
      </c>
      <c r="AA7" s="32" t="n">
        <v>64.87</v>
      </c>
      <c r="AB7" s="32" t="n">
        <v>21.83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Between 12 to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IF(B8=0,"",RANK(B8,$B$2:$B$21,0))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137.6</v>
      </c>
      <c r="E8" s="32" t="inlineStr">
        <is>
          <t>5%</t>
        </is>
      </c>
      <c r="F8" s="32" t="n">
        <v>50000</v>
      </c>
      <c r="G8" s="32" t="n">
        <v>34</v>
      </c>
      <c r="H8" s="31" t="inlineStr">
        <is>
          <t>SENORES</t>
        </is>
      </c>
      <c r="I8" s="31" t="inlineStr">
        <is>
          <t>Senores Pharmaceuticals Ltd</t>
        </is>
      </c>
      <c r="J8" s="31" t="inlineStr">
        <is>
          <t>healthcare</t>
        </is>
      </c>
      <c r="K8" s="31" t="inlineStr">
        <is>
          <t>pharmaceuticals - indian - formulations</t>
        </is>
      </c>
      <c r="L8" s="31" t="inlineStr">
        <is>
          <t>midcap</t>
        </is>
      </c>
      <c r="M8" s="32" t="n">
        <v>6610.99</v>
      </c>
      <c r="N8" s="32" t="n">
        <v>1451.8</v>
      </c>
      <c r="O8" s="32" t="n">
        <v>1.14</v>
      </c>
      <c r="P8" s="32" t="n">
        <v>219960</v>
      </c>
      <c r="Q8" s="31" t="n">
        <v>90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79.22</v>
      </c>
      <c r="U8" s="32" t="n">
        <v>60.93</v>
      </c>
      <c r="V8" s="32" t="n">
        <v>1135.17</v>
      </c>
      <c r="W8" s="31" t="inlineStr">
        <is>
          <t>Near 52W High Breakout</t>
        </is>
      </c>
      <c r="X8" s="31" t="inlineStr">
        <is>
          <t>Nifty Pharma</t>
        </is>
      </c>
      <c r="Y8" s="32" t="n">
        <v>14.67</v>
      </c>
      <c r="Z8" s="32" t="n">
        <v>132.53</v>
      </c>
      <c r="AA8" s="32" t="n">
        <v>102.78</v>
      </c>
      <c r="AB8" s="32" t="n">
        <v>32.6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Yes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Annuity, Lower One Time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Less than 50%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IF(B9=0,"",RANK(B9,$B$2:$B$21,0))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139.3</v>
      </c>
      <c r="E9" s="32" t="inlineStr">
        <is>
          <t>5%</t>
        </is>
      </c>
      <c r="F9" s="32" t="n">
        <v>50000</v>
      </c>
      <c r="G9" s="32" t="n">
        <v>29</v>
      </c>
      <c r="H9" s="31" t="inlineStr">
        <is>
          <t>WELCORP</t>
        </is>
      </c>
      <c r="I9" s="31" t="inlineStr">
        <is>
          <t>Welspun Corp Limited</t>
        </is>
      </c>
      <c r="J9" s="31" t="inlineStr">
        <is>
          <t>industrials</t>
        </is>
      </c>
      <c r="K9" s="31" t="inlineStr">
        <is>
          <t>steel - large</t>
        </is>
      </c>
      <c r="L9" s="31" t="inlineStr">
        <is>
          <t>largecap</t>
        </is>
      </c>
      <c r="M9" s="32" t="n">
        <v>42731.45</v>
      </c>
      <c r="N9" s="32" t="n">
        <v>1683.4</v>
      </c>
      <c r="O9" s="32" t="n">
        <v>3.92</v>
      </c>
      <c r="P9" s="32" t="n">
        <v>4340539</v>
      </c>
      <c r="Q9" s="31" t="n">
        <v>87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88.18000000000001</v>
      </c>
      <c r="U9" s="32" t="n">
        <v>66.95</v>
      </c>
      <c r="V9" s="32" t="n">
        <v>1394.84</v>
      </c>
      <c r="W9" s="31" t="inlineStr">
        <is>
          <t>Near 52W High Breakout</t>
        </is>
      </c>
      <c r="X9" s="31" t="inlineStr">
        <is>
          <t>Nifty Metal</t>
        </is>
      </c>
      <c r="Y9" s="32" t="n">
        <v>34.04</v>
      </c>
      <c r="Z9" s="32" t="n">
        <v>82.89</v>
      </c>
      <c r="AA9" s="32" t="n">
        <v>36.45</v>
      </c>
      <c r="AB9" s="32" t="n">
        <v>27.69</v>
      </c>
      <c r="AC9" s="31" t="inlineStr">
        <is>
          <t>Cyclical in an Upturn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Less than 12%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IF(B10=0,"",RANK(B10,$B$2:$B$21,0))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139.5</v>
      </c>
      <c r="E10" s="32" t="inlineStr">
        <is>
          <t>5%</t>
        </is>
      </c>
      <c r="F10" s="32" t="n">
        <v>50000</v>
      </c>
      <c r="G10" s="32" t="n">
        <v>27</v>
      </c>
      <c r="H10" s="31" t="inlineStr">
        <is>
          <t>IPCALAB</t>
        </is>
      </c>
      <c r="I10" s="31" t="inlineStr">
        <is>
          <t>Ipca Laboratories Limited</t>
        </is>
      </c>
      <c r="J10" s="31" t="inlineStr">
        <is>
          <t>healthcare</t>
        </is>
      </c>
      <c r="K10" s="31" t="inlineStr">
        <is>
          <t>pharmaceuticals - indian - bulk drugs &amp; formln</t>
        </is>
      </c>
      <c r="L10" s="31" t="inlineStr">
        <is>
          <t>largecap</t>
        </is>
      </c>
      <c r="M10" s="32" t="n">
        <v>46257.89</v>
      </c>
      <c r="N10" s="32" t="n">
        <v>1840.4</v>
      </c>
      <c r="O10" s="32" t="n">
        <v>0.9399999999999999</v>
      </c>
      <c r="P10" s="32" t="n">
        <v>241497</v>
      </c>
      <c r="Q10" s="31" t="n">
        <v>53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69.09</v>
      </c>
      <c r="U10" s="32" t="n">
        <v>33.3</v>
      </c>
      <c r="V10" s="32" t="n">
        <v>1519.83</v>
      </c>
      <c r="W10" s="31" t="inlineStr">
        <is>
          <t>Near 52W High Breakout</t>
        </is>
      </c>
      <c r="X10" s="31" t="inlineStr">
        <is>
          <t>Nifty Pharma</t>
        </is>
      </c>
      <c r="Y10" s="32" t="n">
        <v>14.67</v>
      </c>
      <c r="Z10" s="32" t="n">
        <v>25.29</v>
      </c>
      <c r="AA10" s="32" t="n">
        <v>9.26</v>
      </c>
      <c r="AB10" s="32" t="n">
        <v>10.58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Between 50% to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IF(B11=0,"",RANK(B11,$B$2:$B$21,0))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138.2</v>
      </c>
      <c r="E11" s="32" t="inlineStr">
        <is>
          <t>5%</t>
        </is>
      </c>
      <c r="F11" s="32" t="n">
        <v>50000</v>
      </c>
      <c r="G11" s="32" t="n">
        <v>52</v>
      </c>
      <c r="H11" s="31" t="inlineStr">
        <is>
          <t>RATEGAIN</t>
        </is>
      </c>
      <c r="I11" s="31" t="inlineStr">
        <is>
          <t>Rategain Travel Technologies Ltd</t>
        </is>
      </c>
      <c r="J11" s="31" t="inlineStr">
        <is>
          <t>i.t</t>
        </is>
      </c>
      <c r="K11" s="31" t="inlineStr">
        <is>
          <t>computers - software - medium / small</t>
        </is>
      </c>
      <c r="L11" s="31" t="inlineStr">
        <is>
          <t>midcap</t>
        </is>
      </c>
      <c r="M11" s="32" t="n">
        <v>11186.72</v>
      </c>
      <c r="N11" s="32" t="n">
        <v>952.25</v>
      </c>
      <c r="O11" s="32" t="n">
        <v>0.59</v>
      </c>
      <c r="P11" s="32" t="n">
        <v>365514</v>
      </c>
      <c r="Q11" s="31" t="n">
        <v>89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78.86</v>
      </c>
      <c r="U11" s="32" t="n">
        <v>33.77</v>
      </c>
      <c r="V11" s="32" t="n">
        <v>754.61</v>
      </c>
      <c r="W11" s="31" t="inlineStr">
        <is>
          <t>Near 52W High Breakout</t>
        </is>
      </c>
      <c r="X11" s="31" t="inlineStr">
        <is>
          <t>Nifty IT</t>
        </is>
      </c>
      <c r="Y11" s="32" t="n">
        <v>-22.66</v>
      </c>
      <c r="Z11" s="32" t="n">
        <v>104.43</v>
      </c>
      <c r="AA11" s="32" t="n">
        <v>164.34</v>
      </c>
      <c r="AB11" s="32" t="n">
        <v>31.2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Between 50% to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IF(B12=0,"",RANK(B12,$B$2:$B$21,0))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137.2</v>
      </c>
      <c r="E12" s="32" t="inlineStr">
        <is>
          <t>5%</t>
        </is>
      </c>
      <c r="F12" s="32" t="n">
        <v>50000</v>
      </c>
      <c r="G12" s="32" t="n">
        <v>16</v>
      </c>
      <c r="H12" s="31" t="inlineStr">
        <is>
          <t>YASHO</t>
        </is>
      </c>
      <c r="I12" s="31" t="inlineStr">
        <is>
          <t>Yasho Industries Ltd</t>
        </is>
      </c>
      <c r="J12" s="31" t="inlineStr">
        <is>
          <t>chemicals</t>
        </is>
      </c>
      <c r="K12" s="31" t="inlineStr">
        <is>
          <t>chemicals</t>
        </is>
      </c>
      <c r="L12" s="31" t="inlineStr">
        <is>
          <t>smallcap</t>
        </is>
      </c>
      <c r="M12" s="32" t="n">
        <v>3583.97</v>
      </c>
      <c r="N12" s="32" t="n">
        <v>3119.5</v>
      </c>
      <c r="O12" s="32" t="n">
        <v>4.95</v>
      </c>
      <c r="P12" s="32" t="n">
        <v>20193</v>
      </c>
      <c r="Q12" s="31" t="n">
        <v>94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85.47</v>
      </c>
      <c r="U12" s="32" t="n">
        <v>45.18</v>
      </c>
      <c r="V12" s="32" t="n">
        <v>2329.13</v>
      </c>
      <c r="W12" s="31" t="inlineStr">
        <is>
          <t>Near 52W High Breakout</t>
        </is>
      </c>
      <c r="X12" s="31" t="inlineStr">
        <is>
          <t>Nifty 50</t>
        </is>
      </c>
      <c r="Y12" s="32" t="n">
        <v>-3.67</v>
      </c>
      <c r="Z12" s="32" t="n">
        <v>55.34</v>
      </c>
      <c r="AA12" s="32" t="n">
        <v>61.26</v>
      </c>
      <c r="AB12" s="32" t="n">
        <v>36.62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More than 1.2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IF(B13=0,"",RANK(B13,$B$2:$B$21,0))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139.4</v>
      </c>
      <c r="E13" s="32" t="inlineStr">
        <is>
          <t>5%</t>
        </is>
      </c>
      <c r="F13" s="32" t="n">
        <v>50000</v>
      </c>
      <c r="G13" s="32" t="n">
        <v>25</v>
      </c>
      <c r="H13" s="31" t="inlineStr">
        <is>
          <t>SUNPHARMA</t>
        </is>
      </c>
      <c r="I13" s="31" t="inlineStr">
        <is>
          <t>Sun Pharmaceuticals Industries Limited</t>
        </is>
      </c>
      <c r="J13" s="31" t="inlineStr">
        <is>
          <t>healthcare</t>
        </is>
      </c>
      <c r="K13" s="31" t="inlineStr">
        <is>
          <t>pharmaceuticals - indian - bulk drugs &amp; formln</t>
        </is>
      </c>
      <c r="L13" s="31" t="inlineStr">
        <is>
          <t>largecap</t>
        </is>
      </c>
      <c r="M13" s="32" t="n">
        <v>461008.22</v>
      </c>
      <c r="N13" s="32" t="n">
        <v>1942.6</v>
      </c>
      <c r="O13" s="32" t="n">
        <v>1.1</v>
      </c>
      <c r="P13" s="32" t="n">
        <v>2822174</v>
      </c>
      <c r="Q13" s="31" t="n">
        <v>34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65.79000000000001</v>
      </c>
      <c r="U13" s="32" t="n">
        <v>18.54</v>
      </c>
      <c r="V13" s="32" t="n">
        <v>1717.42</v>
      </c>
      <c r="W13" s="31" t="inlineStr">
        <is>
          <t>Near 52W High Breakout</t>
        </is>
      </c>
      <c r="X13" s="31" t="inlineStr">
        <is>
          <t>Nifty Pharma</t>
        </is>
      </c>
      <c r="Y13" s="32" t="n">
        <v>14.67</v>
      </c>
      <c r="Z13" s="32" t="n">
        <v>15.75</v>
      </c>
      <c r="AA13" s="32" t="n">
        <v>0.9399999999999999</v>
      </c>
      <c r="AB13" s="32" t="n">
        <v>6.41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0 to 20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Between 1.5 to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IF(B14=0,"",RANK(B14,$B$2:$B$21,0))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138.9</v>
      </c>
      <c r="E14" s="32" t="inlineStr">
        <is>
          <t>5%</t>
        </is>
      </c>
      <c r="F14" s="32" t="n">
        <v>50000</v>
      </c>
      <c r="G14" s="32" t="n">
        <v>18</v>
      </c>
      <c r="H14" s="31" t="inlineStr">
        <is>
          <t>CAPLIPOINT</t>
        </is>
      </c>
      <c r="I14" s="31" t="inlineStr">
        <is>
          <t>Caplin Point Laboratories Limited</t>
        </is>
      </c>
      <c r="J14" s="31" t="inlineStr">
        <is>
          <t>healthcare</t>
        </is>
      </c>
      <c r="K14" s="31" t="inlineStr">
        <is>
          <t>pharmaceuticals - indian - formulations</t>
        </is>
      </c>
      <c r="L14" s="31" t="inlineStr">
        <is>
          <t>midcap</t>
        </is>
      </c>
      <c r="M14" s="32" t="n">
        <v>19885.42</v>
      </c>
      <c r="N14" s="32" t="n">
        <v>2658.4</v>
      </c>
      <c r="O14" s="32" t="n">
        <v>1.62</v>
      </c>
      <c r="P14" s="32" t="n">
        <v>132710</v>
      </c>
      <c r="Q14" s="31" t="n">
        <v>74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82.02</v>
      </c>
      <c r="U14" s="32" t="n">
        <v>33.1</v>
      </c>
      <c r="V14" s="32" t="n">
        <v>2203.69</v>
      </c>
      <c r="W14" s="31" t="inlineStr">
        <is>
          <t>Near 52W High Breakout</t>
        </is>
      </c>
      <c r="X14" s="31" t="inlineStr">
        <is>
          <t>Nifty Pharma</t>
        </is>
      </c>
      <c r="Y14" s="32" t="n">
        <v>14.67</v>
      </c>
      <c r="Z14" s="32" t="n">
        <v>26.81</v>
      </c>
      <c r="AA14" s="32" t="n">
        <v>10.59</v>
      </c>
      <c r="AB14" s="32" t="n">
        <v>16.86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Between 12 to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Between 1.5 to 2</t>
        </is>
      </c>
      <c r="BZ14" s="31">
        <f>IF(BY14="Above 2",0,IF(BY14="Between 1.5 to 2",5,IF(BY14="Less than 1.5",10,0)))</f>
        <v/>
      </c>
      <c r="CA14" s="31" t="inlineStr">
        <is>
          <t>Between 50% to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IF(B15=0,"",RANK(B15,$B$2:$B$21,0))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137</v>
      </c>
      <c r="E15" s="32" t="inlineStr">
        <is>
          <t>5%</t>
        </is>
      </c>
      <c r="F15" s="32" t="n">
        <v>50000</v>
      </c>
      <c r="G15" s="32" t="n">
        <v>28</v>
      </c>
      <c r="H15" s="31" t="inlineStr">
        <is>
          <t>LALPATHLAB</t>
        </is>
      </c>
      <c r="I15" s="31" t="inlineStr">
        <is>
          <t>Dr. Lal Path Labs Ltd.</t>
        </is>
      </c>
      <c r="J15" s="31" t="inlineStr">
        <is>
          <t>healthcare</t>
        </is>
      </c>
      <c r="K15" s="31" t="inlineStr">
        <is>
          <t>healthcare</t>
        </is>
      </c>
      <c r="L15" s="31" t="inlineStr">
        <is>
          <t>largecap</t>
        </is>
      </c>
      <c r="M15" s="32" t="n">
        <v>28904.92</v>
      </c>
      <c r="N15" s="32" t="n">
        <v>1744.6</v>
      </c>
      <c r="O15" s="32" t="n">
        <v>1.13</v>
      </c>
      <c r="P15" s="32" t="n">
        <v>286108</v>
      </c>
      <c r="Q15" s="31" t="n">
        <v>45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66.41</v>
      </c>
      <c r="U15" s="32" t="n">
        <v>31.05</v>
      </c>
      <c r="V15" s="32" t="n">
        <v>1434.98</v>
      </c>
      <c r="W15" s="31" t="inlineStr">
        <is>
          <t>Near 52W High Breakout</t>
        </is>
      </c>
      <c r="X15" s="31" t="inlineStr">
        <is>
          <t>Nifty Pharma</t>
        </is>
      </c>
      <c r="Y15" s="32" t="n">
        <v>14.67</v>
      </c>
      <c r="Z15" s="32" t="n">
        <v>17.23</v>
      </c>
      <c r="AA15" s="32" t="n">
        <v>2.23</v>
      </c>
      <c r="AB15" s="32" t="n">
        <v>8.77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Yes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Annuity, Lower One Time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IF(B16=0,"",RANK(B16,$B$2:$B$21,0))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138.6</v>
      </c>
      <c r="E16" s="32" t="inlineStr">
        <is>
          <t>5%</t>
        </is>
      </c>
      <c r="F16" s="32" t="n">
        <v>50000</v>
      </c>
      <c r="G16" s="32" t="n">
        <v>29</v>
      </c>
      <c r="H16" s="31" t="inlineStr">
        <is>
          <t>ADANIENSOL</t>
        </is>
      </c>
      <c r="I16" s="31" t="inlineStr">
        <is>
          <t>Adani Energy Solutions Ltd</t>
        </is>
      </c>
      <c r="J16" s="31" t="inlineStr">
        <is>
          <t>power &amp; utilities</t>
        </is>
      </c>
      <c r="K16" s="31" t="inlineStr">
        <is>
          <t>power generation and supply</t>
        </is>
      </c>
      <c r="L16" s="31" t="inlineStr">
        <is>
          <t>largecap</t>
        </is>
      </c>
      <c r="M16" s="32" t="n">
        <v>197562.94</v>
      </c>
      <c r="N16" s="32" t="n">
        <v>1690.3</v>
      </c>
      <c r="O16" s="32" t="n">
        <v>2.78</v>
      </c>
      <c r="P16" s="32" t="n">
        <v>2237295</v>
      </c>
      <c r="Q16" s="31" t="n">
        <v>81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74.98</v>
      </c>
      <c r="U16" s="32" t="n">
        <v>51.79</v>
      </c>
      <c r="V16" s="32" t="n">
        <v>1352.76</v>
      </c>
      <c r="W16" s="31" t="inlineStr">
        <is>
          <t>Near 52W High Breakout</t>
        </is>
      </c>
      <c r="X16" s="31" t="inlineStr">
        <is>
          <t>Nifty IT</t>
        </is>
      </c>
      <c r="Y16" s="32" t="n">
        <v>-22.66</v>
      </c>
      <c r="Z16" s="32" t="n">
        <v>94.43000000000001</v>
      </c>
      <c r="AA16" s="32" t="n">
        <v>151.41</v>
      </c>
      <c r="AB16" s="32" t="n">
        <v>22.33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More than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IF(B17=0,"",RANK(B17,$B$2:$B$21,0))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139.9</v>
      </c>
      <c r="E17" s="32" t="inlineStr">
        <is>
          <t>5%</t>
        </is>
      </c>
      <c r="F17" s="32" t="n">
        <v>50000</v>
      </c>
      <c r="G17" s="32" t="n">
        <v>20</v>
      </c>
      <c r="H17" s="31" t="inlineStr">
        <is>
          <t>JBCHEPHARM</t>
        </is>
      </c>
      <c r="I17" s="31" t="inlineStr">
        <is>
          <t>Jb Chemicals &amp; Pharmaceuticals Limited</t>
        </is>
      </c>
      <c r="J17" s="31" t="inlineStr">
        <is>
          <t>healthcare</t>
        </is>
      </c>
      <c r="K17" s="31" t="inlineStr">
        <is>
          <t>pharmaceuticals - indian - bulk drugs &amp; formln</t>
        </is>
      </c>
      <c r="L17" s="31" t="inlineStr">
        <is>
          <t>largecap</t>
        </is>
      </c>
      <c r="M17" s="32" t="n">
        <v>39497.44</v>
      </c>
      <c r="N17" s="32" t="n">
        <v>2487.6</v>
      </c>
      <c r="O17" s="32" t="n">
        <v>1.12</v>
      </c>
      <c r="P17" s="32" t="n">
        <v>837579</v>
      </c>
      <c r="Q17" s="31" t="n">
        <v>67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77.8</v>
      </c>
      <c r="U17" s="32" t="n">
        <v>44.21</v>
      </c>
      <c r="V17" s="32" t="n">
        <v>2158.01</v>
      </c>
      <c r="W17" s="31" t="inlineStr">
        <is>
          <t>Near 52W High Breakout</t>
        </is>
      </c>
      <c r="X17" s="31" t="inlineStr">
        <is>
          <t>Nifty Pharma</t>
        </is>
      </c>
      <c r="Y17" s="32" t="n">
        <v>14.67</v>
      </c>
      <c r="Z17" s="32" t="n">
        <v>52.62</v>
      </c>
      <c r="AA17" s="32" t="n">
        <v>33.1</v>
      </c>
      <c r="AB17" s="32" t="n">
        <v>14.18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Yes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Annuity, Lower One Time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Less than 12%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Between 50% to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IF(B18=0,"",RANK(B18,$B$2:$B$21,0))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139.4</v>
      </c>
      <c r="E18" s="32" t="inlineStr">
        <is>
          <t>5%</t>
        </is>
      </c>
      <c r="F18" s="32" t="n">
        <v>50000</v>
      </c>
      <c r="G18" s="32" t="n">
        <v>5</v>
      </c>
      <c r="H18" s="31" t="inlineStr">
        <is>
          <t>APOLLOHOSP</t>
        </is>
      </c>
      <c r="I18" s="31" t="inlineStr">
        <is>
          <t>Apollo Hospitals Enterprise Limited</t>
        </is>
      </c>
      <c r="J18" s="31" t="inlineStr">
        <is>
          <t>healthcare</t>
        </is>
      </c>
      <c r="K18" s="31" t="inlineStr">
        <is>
          <t>healthcare</t>
        </is>
      </c>
      <c r="L18" s="31" t="inlineStr">
        <is>
          <t>largecap</t>
        </is>
      </c>
      <c r="M18" s="32" t="n">
        <v>126278.88</v>
      </c>
      <c r="N18" s="32" t="n">
        <v>8900.5</v>
      </c>
      <c r="O18" s="32" t="n">
        <v>1.34</v>
      </c>
      <c r="P18" s="32" t="n">
        <v>412509</v>
      </c>
      <c r="Q18" s="31" t="n">
        <v>39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71.15000000000001</v>
      </c>
      <c r="U18" s="32" t="n">
        <v>22.84</v>
      </c>
      <c r="V18" s="32" t="n">
        <v>7910.08</v>
      </c>
      <c r="W18" s="31" t="inlineStr">
        <is>
          <t>Near 52W High Breakout</t>
        </is>
      </c>
      <c r="X18" s="31" t="inlineStr">
        <is>
          <t>Nifty Pharma</t>
        </is>
      </c>
      <c r="Y18" s="32" t="n">
        <v>14.67</v>
      </c>
      <c r="Z18" s="32" t="n">
        <v>22.18</v>
      </c>
      <c r="AA18" s="32" t="n">
        <v>6.55</v>
      </c>
      <c r="AB18" s="32" t="n">
        <v>7.53</v>
      </c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Oligopoly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Cyclical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B2C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Fully One Time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Above 40</t>
        </is>
      </c>
      <c r="BD18" s="31">
        <f>IF(BC18="Above 40",20,IF(BC18="20 to 40",10,IF(BC18="0 to 20",-5,0)))</f>
        <v/>
      </c>
      <c r="BE18" s="31" t="inlineStr">
        <is>
          <t>Above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Yes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Between 1.5 to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IF(B19=0,"",RANK(B19,$B$2:$B$21,0))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139.7</v>
      </c>
      <c r="E19" s="32" t="inlineStr">
        <is>
          <t>5%</t>
        </is>
      </c>
      <c r="F19" s="32" t="n">
        <v>50000</v>
      </c>
      <c r="G19" s="32" t="n">
        <v>6</v>
      </c>
      <c r="H19" s="33" t="inlineStr">
        <is>
          <t>DIVISLAB</t>
        </is>
      </c>
      <c r="I19" s="33" t="inlineStr">
        <is>
          <t>Divi's Laboratories Limited</t>
        </is>
      </c>
      <c r="J19" s="31" t="inlineStr">
        <is>
          <t>healthcare</t>
        </is>
      </c>
      <c r="K19" s="31" t="inlineStr">
        <is>
          <t>pharmaceuticals - indian - bulk drugs</t>
        </is>
      </c>
      <c r="L19" s="31" t="inlineStr">
        <is>
          <t>largecap</t>
        </is>
      </c>
      <c r="M19" s="32" t="n">
        <v>184195.37</v>
      </c>
      <c r="N19" s="32" t="n">
        <v>7188.5</v>
      </c>
      <c r="O19" s="32" t="n">
        <v>3.6</v>
      </c>
      <c r="P19" s="32" t="n">
        <v>1093246</v>
      </c>
      <c r="Q19" s="31" t="n">
        <v>24</v>
      </c>
      <c r="R19" s="31" t="inlineStr">
        <is>
          <t>Underperforming</t>
        </is>
      </c>
      <c r="S19" s="32">
        <f>IF(R19="Underperforming",-5,IF(Q19&gt;=95,15,IF(Q19&gt;=90,10,IF(Q19&gt;=80,5,0))))</f>
        <v/>
      </c>
      <c r="T19" s="32" t="n">
        <v>69.20999999999999</v>
      </c>
      <c r="U19" s="32" t="n">
        <v>17.69</v>
      </c>
      <c r="V19" s="32" t="n">
        <v>6261.49</v>
      </c>
      <c r="W19" s="31" t="inlineStr">
        <is>
          <t>Near 52W High Breakout</t>
        </is>
      </c>
      <c r="X19" s="31" t="inlineStr">
        <is>
          <t>Nifty Pharma</t>
        </is>
      </c>
      <c r="Y19" s="32" t="n">
        <v>14.67</v>
      </c>
      <c r="Z19" s="32" t="n">
        <v>7.28</v>
      </c>
      <c r="AA19" s="32" t="n">
        <v>-6.45</v>
      </c>
      <c r="AB19" s="32" t="n">
        <v>4.74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Yes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Annuity, Lower One Time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Between 12 to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IF(B20=0,"",RANK(B20,$B$2:$B$21,0))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139.3</v>
      </c>
      <c r="E20" s="32" t="inlineStr">
        <is>
          <t>5%</t>
        </is>
      </c>
      <c r="F20" s="32" t="n">
        <v>50000</v>
      </c>
      <c r="G20" s="32" t="n">
        <v>10</v>
      </c>
      <c r="H20" s="31" t="inlineStr">
        <is>
          <t>TORNTPHARM</t>
        </is>
      </c>
      <c r="I20" s="31" t="inlineStr">
        <is>
          <t>Torrent Pharmaceuticals Limited</t>
        </is>
      </c>
      <c r="J20" s="31" t="inlineStr">
        <is>
          <t>healthcare</t>
        </is>
      </c>
      <c r="K20" s="31" t="inlineStr">
        <is>
          <t>pharmaceuticals - indian - formulations</t>
        </is>
      </c>
      <c r="L20" s="31" t="inlineStr">
        <is>
          <t>largecap</t>
        </is>
      </c>
      <c r="M20" s="32" t="n">
        <v>167567.72</v>
      </c>
      <c r="N20" s="32" t="n">
        <v>4973.5</v>
      </c>
      <c r="O20" s="32" t="n">
        <v>0.45</v>
      </c>
      <c r="P20" s="32" t="n">
        <v>794165</v>
      </c>
      <c r="Q20" s="31" t="n">
        <v>57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74.5</v>
      </c>
      <c r="U20" s="32" t="n">
        <v>35.08</v>
      </c>
      <c r="V20" s="32" t="n">
        <v>4322.02</v>
      </c>
      <c r="W20" s="31" t="inlineStr">
        <is>
          <t>Near 52W High Breakout</t>
        </is>
      </c>
      <c r="X20" s="31" t="inlineStr">
        <is>
          <t>Nifty Pharma</t>
        </is>
      </c>
      <c r="Y20" s="32" t="n">
        <v>14.67</v>
      </c>
      <c r="Z20" s="32" t="n">
        <v>42.49</v>
      </c>
      <c r="AA20" s="32" t="n">
        <v>24.26</v>
      </c>
      <c r="AB20" s="32" t="n">
        <v>11.42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Yes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Annuity, Lower One Time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Between 50% to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Between 0.7 to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IF(B21=0,"",RANK(B21,$B$2:$B$21,0))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139</v>
      </c>
      <c r="E21" s="32" t="inlineStr">
        <is>
          <t>5%</t>
        </is>
      </c>
      <c r="F21" s="32" t="n">
        <v>50000</v>
      </c>
      <c r="G21" s="32" t="n">
        <v>48</v>
      </c>
      <c r="H21" s="33" t="inlineStr">
        <is>
          <t>SHYAMMETL</t>
        </is>
      </c>
      <c r="I21" s="33" t="inlineStr">
        <is>
          <t>Shyam Metalics &amp; Energy Ltd</t>
        </is>
      </c>
      <c r="J21" s="31" t="inlineStr">
        <is>
          <t>metals &amp; mining</t>
        </is>
      </c>
      <c r="K21" s="31" t="inlineStr">
        <is>
          <t>steel - large</t>
        </is>
      </c>
      <c r="L21" s="31" t="inlineStr">
        <is>
          <t>largecap</t>
        </is>
      </c>
      <c r="M21" s="32" t="n">
        <v>28732.44</v>
      </c>
      <c r="N21" s="32" t="n">
        <v>1035.95</v>
      </c>
      <c r="O21" s="32" t="n">
        <v>0.64</v>
      </c>
      <c r="P21" s="32" t="n">
        <v>678871</v>
      </c>
      <c r="Q21" s="31" t="n">
        <v>37</v>
      </c>
      <c r="R21" s="31" t="inlineStr">
        <is>
          <t>Underperforming</t>
        </is>
      </c>
      <c r="S21" s="32">
        <f>IF(R21="Underperforming",-5,IF(Q21&gt;=95,15,IF(Q21&gt;=90,10,IF(Q21&gt;=80,5,0))))</f>
        <v/>
      </c>
      <c r="T21" s="32" t="n">
        <v>66.39</v>
      </c>
      <c r="U21" s="32" t="n">
        <v>15.89</v>
      </c>
      <c r="V21" s="32" t="n">
        <v>851.13</v>
      </c>
      <c r="W21" s="31" t="inlineStr">
        <is>
          <t>Near 52W High Breakout</t>
        </is>
      </c>
      <c r="X21" s="31" t="inlineStr">
        <is>
          <t>Nifty Metal</t>
        </is>
      </c>
      <c r="Y21" s="32" t="n">
        <v>34.04</v>
      </c>
      <c r="Z21" s="32" t="n">
        <v>14.21</v>
      </c>
      <c r="AA21" s="32" t="n">
        <v>-14.8</v>
      </c>
      <c r="AB21" s="32" t="n">
        <v>7.16</v>
      </c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0 to 20</t>
        </is>
      </c>
      <c r="BD21" s="31">
        <f>IF(BC21="Above 40",20,IF(BC21="20 to 40",10,IF(BC21="0 to 20",-5,0)))</f>
        <v/>
      </c>
      <c r="BE21" s="31" t="inlineStr">
        <is>
          <t>Between 50 to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Less than 1.5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</sheetData>
  <autoFilter ref="A1:CJ21"/>
  <conditionalFormatting sqref="B2:B2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1">
    <cfRule type="cellIs" priority="36" operator="equal" dxfId="3" stopIfTrue="1">
      <formula>"Underperforming"</formula>
    </cfRule>
  </conditionalFormatting>
  <conditionalFormatting sqref="S2:S21">
    <cfRule type="cellIs" priority="37" operator="equal" dxfId="3" stopIfTrue="1">
      <formula>-5</formula>
    </cfRule>
  </conditionalFormatting>
  <conditionalFormatting sqref="V2:V21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1" showDropDown="0" showInputMessage="0" showErrorMessage="0" allowBlank="1" type="list">
      <formula1>"Growing Industry,Stagnant Industry,Cyclical in an Upturn"</formula1>
    </dataValidation>
    <dataValidation sqref="AE2:AE2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1" showDropDown="0" showInputMessage="0" showErrorMessage="0" allowBlank="1" type="list">
      <formula1>"Yes,No"</formula1>
    </dataValidation>
    <dataValidation sqref="AI2:AI21" showDropDown="0" showInputMessage="0" showErrorMessage="0" allowBlank="1" type="list">
      <formula1>"Tailwind,Headwind"</formula1>
    </dataValidation>
    <dataValidation sqref="AK2:AK21" showDropDown="0" showInputMessage="0" showErrorMessage="0" allowBlank="1" type="list">
      <formula1>"Structural (10 Years Consistency),Shallow Cyclical (2 to 3 Years Growth),Cyclical"</formula1>
    </dataValidation>
    <dataValidation sqref="AM2:AM21" showDropDown="0" showInputMessage="0" showErrorMessage="0" allowBlank="1" type="list">
      <formula1>"Yes due to Product Mix change or Operating Leverage,Yes, these are peak margins,No"</formula1>
    </dataValidation>
    <dataValidation sqref="AO2:AO21" showDropDown="0" showInputMessage="0" showErrorMessage="0" allowBlank="1" type="list">
      <formula1>"Stable,Volatile"</formula1>
    </dataValidation>
    <dataValidation sqref="AQ2:AQ21" showDropDown="0" showInputMessage="0" showErrorMessage="0" allowBlank="1" type="list">
      <formula1>"Yes,No"</formula1>
    </dataValidation>
    <dataValidation sqref="AS2:AS21" showDropDown="0" showInputMessage="0" showErrorMessage="0" allowBlank="1" type="list">
      <formula1>"B2C,B2B,B2G"</formula1>
    </dataValidation>
    <dataValidation sqref="AU2:AU21" showDropDown="0" showInputMessage="0" showErrorMessage="0" allowBlank="1" type="list">
      <formula1>"Yes,No"</formula1>
    </dataValidation>
    <dataValidation sqref="AW2:AW21" showDropDown="0" showInputMessage="0" showErrorMessage="0" allowBlank="1" type="list">
      <formula1>"Fully Annuity,Higher Annuity, Lower One time,Higher One Time, Lower Annuity,Fully One Time"</formula1>
    </dataValidation>
    <dataValidation sqref="AY2:AY21" showDropDown="0" showInputMessage="0" showErrorMessage="0" allowBlank="1" type="list">
      <formula1>"Good,Allocated capital in Non-core Areas"</formula1>
    </dataValidation>
    <dataValidation sqref="BA2:BA21" showDropDown="0" showInputMessage="0" showErrorMessage="0" allowBlank="1" type="list">
      <formula1>"Yes for more than 2 years,Yes only for next 1 to 2 years,No"</formula1>
    </dataValidation>
    <dataValidation sqref="BC2:BC21" showDropDown="0" showInputMessage="0" showErrorMessage="0" allowBlank="1" type="list">
      <formula1>"Above 40,20 to 40,0 to 20"</formula1>
    </dataValidation>
    <dataValidation sqref="BE2:BE21" showDropDown="0" showInputMessage="0" showErrorMessage="0" allowBlank="1" type="list">
      <formula1>"Between 50 to 75,Above 75,Below 45"</formula1>
    </dataValidation>
    <dataValidation sqref="BG2:BG21" showDropDown="0" showInputMessage="0" showErrorMessage="0" allowBlank="1" type="list">
      <formula1>"Stage 1,Stage 2,Stage 3,Stage 4"</formula1>
    </dataValidation>
    <dataValidation sqref="BI2:BI21" showDropDown="0" showInputMessage="0" showErrorMessage="0" allowBlank="1" type="list">
      <formula1>"Positive Trend,Negative Trend"</formula1>
    </dataValidation>
    <dataValidation sqref="BK2:BK21" showDropDown="0" showInputMessage="0" showErrorMessage="0" allowBlank="1" type="list">
      <formula1>"Uptrend,Sideways,Downtrend"</formula1>
    </dataValidation>
    <dataValidation sqref="BM2:BM21" showDropDown="0" showInputMessage="0" showErrorMessage="0" allowBlank="1" type="list">
      <formula1>"Uptrend,Sideways,Downtrend"</formula1>
    </dataValidation>
    <dataValidation sqref="BO2:BO2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1" showDropDown="0" showInputMessage="0" showErrorMessage="0" allowBlank="1" type="list">
      <formula1>"Yes,No"</formula1>
    </dataValidation>
    <dataValidation sqref="BS2:BS21" showDropDown="0" showInputMessage="0" showErrorMessage="0" allowBlank="1" type="list">
      <formula1>"More than 20%,Between 12 to 20%,Less than 12%"</formula1>
    </dataValidation>
    <dataValidation sqref="BU2:BU21" showDropDown="0" showInputMessage="0" showErrorMessage="0" allowBlank="1" type="list">
      <formula1>"Yes,No"</formula1>
    </dataValidation>
    <dataValidation sqref="BW2:BW21" showDropDown="0" showInputMessage="0" showErrorMessage="0" allowBlank="1" type="list">
      <formula1>"Yes,No"</formula1>
    </dataValidation>
    <dataValidation sqref="BY2:BY21" showDropDown="0" showInputMessage="0" showErrorMessage="0" allowBlank="1" type="list">
      <formula1>"Above 2,Between 1.5 to 2,Less than 1.5"</formula1>
    </dataValidation>
    <dataValidation sqref="CA2:CA21" showDropDown="0" showInputMessage="0" showErrorMessage="0" allowBlank="1" type="list">
      <formula1>"Above 70%,Between 50% to 70%,Less than 50%,Less than 50% and Borrowings are increasing,Negative"</formula1>
    </dataValidation>
    <dataValidation sqref="CC2:CC21" showDropDown="0" showInputMessage="0" showErrorMessage="0" allowBlank="1" type="list">
      <formula1>"More than 1.2,Between 0.7 to 1.2,Less than 0.7"</formula1>
    </dataValidation>
    <dataValidation sqref="CE2:CE21" showDropDown="0" showInputMessage="0" showErrorMessage="0" allowBlank="1" type="list">
      <formula1>"Yes,No"</formula1>
    </dataValidation>
    <dataValidation sqref="CG2:CG21" showDropDown="0" showInputMessage="0" showErrorMessage="0" allowBlank="1" type="list">
      <formula1>"More than 15%,Less than 15%"</formula1>
    </dataValidation>
    <dataValidation sqref="CI2:CI2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IF(B2=0,"",RANK(B2,$B$2:$B$3,0))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138.2</v>
      </c>
      <c r="E2" s="32" t="inlineStr">
        <is>
          <t>5%</t>
        </is>
      </c>
      <c r="F2" s="32" t="n">
        <v>50000</v>
      </c>
      <c r="G2" s="32" t="n">
        <v>180</v>
      </c>
      <c r="H2" s="31" t="inlineStr">
        <is>
          <t>CONSOFINVT</t>
        </is>
      </c>
      <c r="I2" s="31" t="inlineStr">
        <is>
          <t>Consolidated Finvest &amp; Holdings Limited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839.58</v>
      </c>
      <c r="N2" s="32" t="n">
        <v>277.52</v>
      </c>
      <c r="O2" s="32" t="n">
        <v>6.85</v>
      </c>
      <c r="P2" s="32" t="n">
        <v>120477</v>
      </c>
      <c r="Q2" s="31" t="n">
        <v>63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74.02</v>
      </c>
      <c r="U2" s="32" t="n">
        <v>24.82</v>
      </c>
      <c r="V2" s="32" t="n">
        <v>215.22</v>
      </c>
      <c r="W2" s="31" t="inlineStr">
        <is>
          <t>Volume Spike &amp; Near 52W High Breakout</t>
        </is>
      </c>
      <c r="X2" s="31" t="inlineStr">
        <is>
          <t>Nifty Bank</t>
        </is>
      </c>
      <c r="Y2" s="32" t="n">
        <v>2.1</v>
      </c>
      <c r="Z2" s="32" t="n">
        <v>36.31</v>
      </c>
      <c r="AA2" s="32" t="n">
        <v>33.51</v>
      </c>
      <c r="AB2" s="32" t="n">
        <v>12.8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less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IF(B3=0,"",RANK(B3,$B$2:$B$3,0))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137.3</v>
      </c>
      <c r="E3" s="32" t="inlineStr">
        <is>
          <t>5%</t>
        </is>
      </c>
      <c r="F3" s="32" t="n">
        <v>50000</v>
      </c>
      <c r="G3" s="32" t="n">
        <v>194</v>
      </c>
      <c r="H3" s="31" t="inlineStr">
        <is>
          <t>CGCL</t>
        </is>
      </c>
      <c r="I3" s="31" t="inlineStr">
        <is>
          <t>Capri Global Capital Limited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largecap</t>
        </is>
      </c>
      <c r="M3" s="32" t="n">
        <v>24693.68</v>
      </c>
      <c r="N3" s="32" t="n">
        <v>257.32</v>
      </c>
      <c r="O3" s="32" t="n">
        <v>0.26</v>
      </c>
      <c r="P3" s="32" t="n">
        <v>2329771</v>
      </c>
      <c r="Q3" s="31" t="n">
        <v>72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78.81</v>
      </c>
      <c r="U3" s="32" t="n">
        <v>31.59</v>
      </c>
      <c r="V3" s="32" t="n">
        <v>213.42</v>
      </c>
      <c r="W3" s="31" t="inlineStr">
        <is>
          <t>Near 52W High Breakout</t>
        </is>
      </c>
      <c r="X3" s="31" t="inlineStr">
        <is>
          <t>Nifty Bank</t>
        </is>
      </c>
      <c r="Y3" s="32" t="n">
        <v>2.1</v>
      </c>
      <c r="Z3" s="32" t="n">
        <v>40.18</v>
      </c>
      <c r="AA3" s="32" t="n">
        <v>37.3</v>
      </c>
      <c r="AB3" s="32" t="n">
        <v>16.42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between 2.5x to 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Above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</sheetData>
  <autoFilter ref="A1:CF3"/>
  <conditionalFormatting sqref="B2:B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3">
    <cfRule type="cellIs" priority="34" operator="equal" dxfId="3" stopIfTrue="1">
      <formula>"Underperforming"</formula>
    </cfRule>
  </conditionalFormatting>
  <conditionalFormatting sqref="S2:S3">
    <cfRule type="cellIs" priority="35" operator="equal" dxfId="3" stopIfTrue="1">
      <formula>-5</formula>
    </cfRule>
  </conditionalFormatting>
  <conditionalFormatting sqref="V2:V3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3" showDropDown="0" showInputMessage="0" showErrorMessage="0" allowBlank="1" type="list">
      <formula1>"Growing Industry,Stagnant Industry,Cyclical in an Upturn"</formula1>
    </dataValidation>
    <dataValidation sqref="AE2:AE3" showDropDown="0" showInputMessage="0" showErrorMessage="0" allowBlank="1" type="list">
      <formula1>"Fragmented with Low ROE,Fragmented with High ROE,Highly Cyclical"</formula1>
    </dataValidation>
    <dataValidation sqref="AG2:AG3" showDropDown="0" showInputMessage="0" showErrorMessage="0" allowBlank="1" type="list">
      <formula1>"Yes,No"</formula1>
    </dataValidation>
    <dataValidation sqref="AI2:AI3" showDropDown="0" showInputMessage="0" showErrorMessage="0" allowBlank="1" type="list">
      <formula1>"Tailwind,Headwind"</formula1>
    </dataValidation>
    <dataValidation sqref="AK2:AK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3" showDropDown="0" showInputMessage="0" showErrorMessage="0" allowBlank="1" type="list">
      <formula1>"Yes,No"</formula1>
    </dataValidation>
    <dataValidation sqref="AO2:AO3" showDropDown="0" showInputMessage="0" showErrorMessage="0" allowBlank="1" type="list">
      <formula1>"Yes,No,Not Applicable"</formula1>
    </dataValidation>
    <dataValidation sqref="AQ2:AQ3" showDropDown="0" showInputMessage="0" showErrorMessage="0" allowBlank="1" type="list">
      <formula1>"Yes,No"</formula1>
    </dataValidation>
    <dataValidation sqref="AS2:AS3" showDropDown="0" showInputMessage="0" showErrorMessage="0" allowBlank="1" type="list">
      <formula1>"Yes,No"</formula1>
    </dataValidation>
    <dataValidation sqref="AU2:AU3" showDropDown="0" showInputMessage="0" showErrorMessage="0" allowBlank="1" type="list">
      <formula1>"Yes,No"</formula1>
    </dataValidation>
    <dataValidation sqref="AW2:AW3" showDropDown="0" showInputMessage="0" showErrorMessage="0" allowBlank="1" type="list">
      <formula1>"Yes,No"</formula1>
    </dataValidation>
    <dataValidation sqref="AY2:AY3" showDropDown="0" showInputMessage="0" showErrorMessage="0" allowBlank="1" type="list">
      <formula1>"No,Yes"</formula1>
    </dataValidation>
    <dataValidation sqref="BA2:BA3" showDropDown="0" showInputMessage="0" showErrorMessage="0" allowBlank="1" type="list">
      <formula1>"No,Yes"</formula1>
    </dataValidation>
    <dataValidation sqref="BC2:BC3" showDropDown="0" showInputMessage="0" showErrorMessage="0" allowBlank="1" type="list">
      <formula1>"No,Yes CEO Resignation,Yes CEO Retirement"</formula1>
    </dataValidation>
    <dataValidation sqref="BE2:BE3" showDropDown="0" showInputMessage="0" showErrorMessage="0" allowBlank="1" type="list">
      <formula1>"No,Yes"</formula1>
    </dataValidation>
    <dataValidation sqref="BG2:BG3" showDropDown="0" showInputMessage="0" showErrorMessage="0" allowBlank="1" type="list">
      <formula1>"No,Yes"</formula1>
    </dataValidation>
    <dataValidation sqref="BI2:BI3" showDropDown="0" showInputMessage="0" showErrorMessage="0" allowBlank="1" type="list">
      <formula1>"Yes,No"</formula1>
    </dataValidation>
    <dataValidation sqref="BK2:BK3" showDropDown="0" showInputMessage="0" showErrorMessage="0" allowBlank="1" type="list">
      <formula1>"Yes,No"</formula1>
    </dataValidation>
    <dataValidation sqref="BM2:BM3" showDropDown="0" showInputMessage="0" showErrorMessage="0" allowBlank="1" type="list">
      <formula1>"Yes,No"</formula1>
    </dataValidation>
    <dataValidation sqref="BO2:BO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3" showDropDown="0" showInputMessage="0" showErrorMessage="0" allowBlank="1" type="list">
      <formula1>"Above 40,20 to 40,0 to 20"</formula1>
    </dataValidation>
    <dataValidation sqref="BS2:BS3" showDropDown="0" showInputMessage="0" showErrorMessage="0" allowBlank="1" type="list">
      <formula1>"Between 50 to 75,Above 75,Below 45"</formula1>
    </dataValidation>
    <dataValidation sqref="BU2:BU3" showDropDown="0" showInputMessage="0" showErrorMessage="0" allowBlank="1" type="list">
      <formula1>"Stage 1,Stage 2,Stage 3,Stage 4"</formula1>
    </dataValidation>
    <dataValidation sqref="BW2:BW3" showDropDown="0" showInputMessage="0" showErrorMessage="0" allowBlank="1" type="list">
      <formula1>"Positive Trend,Negative Trend"</formula1>
    </dataValidation>
    <dataValidation sqref="BY2:BY3" showDropDown="0" showInputMessage="0" showErrorMessage="0" allowBlank="1" type="list">
      <formula1>"Uptrend,Sideways,Downtrend"</formula1>
    </dataValidation>
    <dataValidation sqref="CA2:CA3" showDropDown="0" showInputMessage="0" showErrorMessage="0" allowBlank="1" type="list">
      <formula1>"Uptrend,Sideways,Downtrend"</formula1>
    </dataValidation>
    <dataValidation sqref="CC2:CC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0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IF(B2=0,"",RANK(B2,$B$2:$B$85,0))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TIMEX</t>
        </is>
      </c>
      <c r="D2" s="31" t="inlineStr">
        <is>
          <t>Timex Group India Ltd</t>
        </is>
      </c>
      <c r="E2" s="31" t="inlineStr">
        <is>
          <t>Consumer Cyclical</t>
        </is>
      </c>
      <c r="F2" s="31" t="inlineStr">
        <is>
          <t>Watches</t>
        </is>
      </c>
      <c r="G2" s="31" t="inlineStr">
        <is>
          <t>midcap</t>
        </is>
      </c>
      <c r="H2" s="32" t="n">
        <v>5531.56</v>
      </c>
      <c r="I2" s="32" t="n">
        <v>547.95</v>
      </c>
      <c r="J2" s="32" t="n">
        <v>-4.94</v>
      </c>
      <c r="K2" s="32" t="n">
        <v>0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73.48</v>
      </c>
      <c r="P2" s="32" t="n">
        <v>40.03</v>
      </c>
      <c r="Q2" s="32" t="n">
        <v>437.99</v>
      </c>
      <c r="R2" s="31" t="inlineStr">
        <is>
          <t>Near 52W High Breakout</t>
        </is>
      </c>
      <c r="S2" s="31" t="inlineStr">
        <is>
          <t>Nifty 50</t>
        </is>
      </c>
      <c r="T2" s="32" t="n">
        <v>-3.67</v>
      </c>
      <c r="U2" s="32" t="n">
        <v>144.48</v>
      </c>
      <c r="V2" s="32" t="n">
        <v>153.79</v>
      </c>
      <c r="W2" s="32" t="n">
        <v>39.87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16</t>
        </is>
      </c>
      <c r="CG2" s="31">
        <f>IF(CF2&gt;20,10,IF(CF2&gt;=10,5,2))</f>
        <v/>
      </c>
    </row>
    <row r="3">
      <c r="A3" s="31">
        <f>IF(B3=0,"",RANK(B3,$B$2:$B$85,0))</f>
        <v/>
      </c>
      <c r="B3" s="32">
        <f>SUM(N3,Y3,AA3,AC3,AE3,AG3,AI3,AK3,AM3,AO3,AQ3,AS3,AU3,AW3,AY3,BA3,BC3,BE3,BG3,BI3,BK3,BM3,BO3,BQ3,BS3,BU3,BW3,BY3,CA3,CC3,CE3,CG3)</f>
        <v/>
      </c>
      <c r="C3" s="34" t="inlineStr">
        <is>
          <t>VENUSREM</t>
        </is>
      </c>
      <c r="D3" s="34" t="inlineStr">
        <is>
          <t>Venus Remedies Ltd</t>
        </is>
      </c>
      <c r="E3" s="31" t="inlineStr">
        <is>
          <t>healthcare</t>
        </is>
      </c>
      <c r="F3" s="31" t="inlineStr">
        <is>
          <t>Pharmaceuticals - I V Fluids</t>
        </is>
      </c>
      <c r="G3" s="31" t="inlineStr">
        <is>
          <t>smallcap</t>
        </is>
      </c>
      <c r="H3" s="32" t="n">
        <v>2533.85</v>
      </c>
      <c r="I3" s="32" t="n">
        <v>1895.6</v>
      </c>
      <c r="J3" s="32" t="n">
        <v>5</v>
      </c>
      <c r="K3" s="32" t="n">
        <v>0</v>
      </c>
      <c r="L3" s="31" t="n">
        <v>97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73.54000000000001</v>
      </c>
      <c r="P3" s="32" t="n">
        <v>59.82</v>
      </c>
      <c r="Q3" s="32" t="n">
        <v>1427.28</v>
      </c>
      <c r="R3" s="31" t="inlineStr">
        <is>
          <t>Near 52W High Breakout</t>
        </is>
      </c>
      <c r="S3" s="31" t="inlineStr">
        <is>
          <t>Nifty Pharma</t>
        </is>
      </c>
      <c r="T3" s="32" t="n">
        <v>14.67</v>
      </c>
      <c r="U3" s="32" t="n">
        <v>243.03</v>
      </c>
      <c r="V3" s="32" t="n">
        <v>199.15</v>
      </c>
      <c r="W3" s="32" t="n">
        <v>50.29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16</t>
        </is>
      </c>
      <c r="CG3" s="31">
        <f>IF(CF3&gt;20,10,IF(CF3&gt;=10,5,2))</f>
        <v/>
      </c>
    </row>
    <row r="4">
      <c r="A4" s="31">
        <f>IF(B4=0,"",RANK(B4,$B$2:$B$85,0))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INDOBORAX</t>
        </is>
      </c>
      <c r="D4" s="31" t="inlineStr">
        <is>
          <t>Indo Borax &amp; Chemicals Ltd</t>
        </is>
      </c>
      <c r="E4" s="31" t="inlineStr">
        <is>
          <t>chemicals</t>
        </is>
      </c>
      <c r="F4" s="31" t="inlineStr">
        <is>
          <t>Chemicals - Inorganic</t>
        </is>
      </c>
      <c r="G4" s="31" t="inlineStr">
        <is>
          <t>smallcap</t>
        </is>
      </c>
      <c r="H4" s="32" t="n">
        <v>1559.57</v>
      </c>
      <c r="I4" s="32" t="n">
        <v>486</v>
      </c>
      <c r="J4" s="32" t="n">
        <v>2.82</v>
      </c>
      <c r="K4" s="32" t="n">
        <v>0</v>
      </c>
      <c r="L4" s="31" t="n">
        <v>94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88.59999999999999</v>
      </c>
      <c r="P4" s="32" t="n">
        <v>67.27</v>
      </c>
      <c r="Q4" s="32" t="n">
        <v>387.92</v>
      </c>
      <c r="R4" s="31" t="inlineStr">
        <is>
          <t>Near 52W High Breakout</t>
        </is>
      </c>
      <c r="S4" s="31" t="inlineStr">
        <is>
          <t>Nifty 50</t>
        </is>
      </c>
      <c r="T4" s="32" t="n">
        <v>-3.67</v>
      </c>
      <c r="U4" s="32" t="n">
        <v>98.22</v>
      </c>
      <c r="V4" s="32" t="n">
        <v>105.77</v>
      </c>
      <c r="W4" s="32" t="n">
        <v>37.34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18</t>
        </is>
      </c>
      <c r="CG4" s="31">
        <f>IF(CF4&gt;20,10,IF(CF4&gt;=10,5,2))</f>
        <v/>
      </c>
    </row>
    <row r="5">
      <c r="A5" s="31">
        <f>IF(B5=0,"",RANK(B5,$B$2:$B$85,0))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IOLCP</t>
        </is>
      </c>
      <c r="D5" s="31" t="inlineStr">
        <is>
          <t>IOL Chemicals &amp; Pharmaceuticals Ltd</t>
        </is>
      </c>
      <c r="E5" s="31" t="inlineStr">
        <is>
          <t>healthcare</t>
        </is>
      </c>
      <c r="F5" s="31" t="inlineStr">
        <is>
          <t>Pharma - API &amp; CRAMS</t>
        </is>
      </c>
      <c r="G5" s="31" t="inlineStr">
        <is>
          <t>midcap</t>
        </is>
      </c>
      <c r="H5" s="32" t="n">
        <v>5115.01</v>
      </c>
      <c r="I5" s="32" t="n">
        <v>174.26</v>
      </c>
      <c r="J5" s="32" t="n">
        <v>3.06</v>
      </c>
      <c r="K5" s="32" t="n">
        <v>0</v>
      </c>
      <c r="L5" s="31" t="n">
        <v>94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86.88</v>
      </c>
      <c r="P5" s="32" t="n">
        <v>63.82</v>
      </c>
      <c r="Q5" s="32" t="n">
        <v>133.59</v>
      </c>
      <c r="R5" s="31" t="inlineStr">
        <is>
          <t>Near 52W High Breakout</t>
        </is>
      </c>
      <c r="S5" s="31" t="inlineStr">
        <is>
          <t>Nifty Pharma</t>
        </is>
      </c>
      <c r="T5" s="32" t="n">
        <v>14.67</v>
      </c>
      <c r="U5" s="32" t="n">
        <v>91.87</v>
      </c>
      <c r="V5" s="32" t="n">
        <v>67.31999999999999</v>
      </c>
      <c r="W5" s="32" t="n">
        <v>37.59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24</t>
        </is>
      </c>
      <c r="CG5" s="31">
        <f>IF(CF5&gt;20,10,IF(CF5&gt;=10,5,2))</f>
        <v/>
      </c>
    </row>
    <row r="6">
      <c r="A6" s="31">
        <f>IF(B6=0,"",RANK(B6,$B$2:$B$85,0))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MODINSU</t>
        </is>
      </c>
      <c r="D6" s="31" t="inlineStr">
        <is>
          <t>Modern Insulators Ltd</t>
        </is>
      </c>
      <c r="E6" s="31" t="inlineStr">
        <is>
          <t>Technology</t>
        </is>
      </c>
      <c r="F6" s="31" t="inlineStr">
        <is>
          <t>Capital Goods - Electric General</t>
        </is>
      </c>
      <c r="G6" s="31" t="inlineStr">
        <is>
          <t>smallcap</t>
        </is>
      </c>
      <c r="H6" s="32" t="n">
        <v>2498.16</v>
      </c>
      <c r="I6" s="32" t="n">
        <v>529.9</v>
      </c>
      <c r="J6" s="32" t="n">
        <v>-0.7</v>
      </c>
      <c r="K6" s="32" t="n">
        <v>0</v>
      </c>
      <c r="L6" s="31" t="n">
        <v>98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73.26000000000001</v>
      </c>
      <c r="P6" s="32" t="n">
        <v>52.19</v>
      </c>
      <c r="Q6" s="32" t="n">
        <v>394.76</v>
      </c>
      <c r="R6" s="31" t="inlineStr">
        <is>
          <t>Near 52W High Breakout</t>
        </is>
      </c>
      <c r="S6" s="31" t="inlineStr">
        <is>
          <t>Nifty 50</t>
        </is>
      </c>
      <c r="T6" s="32" t="n">
        <v>-3.67</v>
      </c>
      <c r="U6" s="32" t="n">
        <v>376.84</v>
      </c>
      <c r="V6" s="32" t="n">
        <v>395.01</v>
      </c>
      <c r="W6" s="32" t="n">
        <v>54.98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Less than 50%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17</t>
        </is>
      </c>
      <c r="CG6" s="31">
        <f>IF(CF6&gt;20,10,IF(CF6&gt;=10,5,2))</f>
        <v/>
      </c>
    </row>
    <row r="7">
      <c r="A7" s="31">
        <f>IF(B7=0,"",RANK(B7,$B$2:$B$85,0))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IBULLSLTD</t>
        </is>
      </c>
      <c r="D7" s="31" t="inlineStr">
        <is>
          <t>Indiabulls Limited</t>
        </is>
      </c>
      <c r="E7" s="31" t="inlineStr">
        <is>
          <t>miscellaneous</t>
        </is>
      </c>
      <c r="F7" s="31" t="inlineStr">
        <is>
          <t>Diversified</t>
        </is>
      </c>
      <c r="G7" s="31" t="inlineStr">
        <is>
          <t>midcap</t>
        </is>
      </c>
      <c r="H7" s="32" t="n">
        <v>7275.16</v>
      </c>
      <c r="I7" s="32" t="n">
        <v>31.23</v>
      </c>
      <c r="J7" s="32" t="n">
        <v>0.42</v>
      </c>
      <c r="K7" s="32" t="n">
        <v>0</v>
      </c>
      <c r="L7" s="31" t="n">
        <v>92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79.84</v>
      </c>
      <c r="P7" s="32" t="n">
        <v>44.18</v>
      </c>
      <c r="Q7" s="32" t="n">
        <v>22.9</v>
      </c>
      <c r="R7" s="31" t="inlineStr">
        <is>
          <t>Near 52W High Breakout</t>
        </is>
      </c>
      <c r="S7" s="31" t="inlineStr">
        <is>
          <t>Nifty 50</t>
        </is>
      </c>
      <c r="T7" s="32" t="n">
        <v>-3.67</v>
      </c>
      <c r="U7" s="32" t="n">
        <v>98.2</v>
      </c>
      <c r="V7" s="32" t="n">
        <v>105.76</v>
      </c>
      <c r="W7" s="32" t="n">
        <v>34.79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20</t>
        </is>
      </c>
      <c r="CG7" s="31">
        <f>IF(CF7&gt;20,10,IF(CF7&gt;=10,5,2))</f>
        <v/>
      </c>
    </row>
    <row r="8">
      <c r="A8" s="31">
        <f>IF(B8=0,"",RANK(B8,$B$2:$B$85,0))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ACCENTMIC</t>
        </is>
      </c>
      <c r="D8" s="31" t="inlineStr">
        <is>
          <t>Accent Microcell Ltd</t>
        </is>
      </c>
      <c r="E8" s="31" t="inlineStr">
        <is>
          <t>unknown</t>
        </is>
      </c>
      <c r="F8" s="31" t="inlineStr">
        <is>
          <t>Pharma - Formulators</t>
        </is>
      </c>
      <c r="G8" s="31" t="inlineStr">
        <is>
          <t>smallcap</t>
        </is>
      </c>
      <c r="H8" s="32" t="n">
        <v>1240.23</v>
      </c>
      <c r="I8" s="32" t="n">
        <v>517</v>
      </c>
      <c r="J8" s="32" t="n">
        <v>-1.42</v>
      </c>
      <c r="K8" s="32" t="n">
        <v>0</v>
      </c>
      <c r="L8" s="31" t="n">
        <v>76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74.89</v>
      </c>
      <c r="P8" s="32" t="n">
        <v>62.56</v>
      </c>
      <c r="Q8" s="32" t="n">
        <v>415.65</v>
      </c>
      <c r="R8" s="31" t="inlineStr">
        <is>
          <t>Near 52W High Breakout</t>
        </is>
      </c>
      <c r="S8" s="31" t="inlineStr">
        <is>
          <t>Nifty 50</t>
        </is>
      </c>
      <c r="T8" s="32" t="n">
        <v>-3.67</v>
      </c>
      <c r="U8" s="32" t="n">
        <v>90.75</v>
      </c>
      <c r="V8" s="32" t="n">
        <v>98.02</v>
      </c>
      <c r="W8" s="32" t="n">
        <v>18.48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18</t>
        </is>
      </c>
      <c r="CG8" s="31">
        <f>IF(CF8&gt;20,10,IF(CF8&gt;=10,5,2))</f>
        <v/>
      </c>
    </row>
    <row r="9">
      <c r="A9" s="31">
        <f>IF(B9=0,"",RANK(B9,$B$2:$B$85,0))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ATHERENERG</t>
        </is>
      </c>
      <c r="D9" s="31" t="inlineStr">
        <is>
          <t>Ather Energy Ltd</t>
        </is>
      </c>
      <c r="E9" s="31" t="inlineStr">
        <is>
          <t>auto</t>
        </is>
      </c>
      <c r="F9" s="31" t="inlineStr">
        <is>
          <t>Auto - 2 &amp; 3 Wheelers</t>
        </is>
      </c>
      <c r="G9" s="31" t="inlineStr">
        <is>
          <t>largecap</t>
        </is>
      </c>
      <c r="H9" s="32" t="n">
        <v>46185.02</v>
      </c>
      <c r="I9" s="32" t="n">
        <v>1204.9</v>
      </c>
      <c r="J9" s="32" t="n">
        <v>1.71</v>
      </c>
      <c r="K9" s="32" t="n">
        <v>0</v>
      </c>
      <c r="L9" s="31" t="n">
        <v>95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74.84</v>
      </c>
      <c r="P9" s="32" t="n">
        <v>54.35</v>
      </c>
      <c r="Q9" s="32" t="n">
        <v>947.63</v>
      </c>
      <c r="R9" s="31" t="inlineStr">
        <is>
          <t>Near 52W High Breakout</t>
        </is>
      </c>
      <c r="S9" s="31" t="inlineStr">
        <is>
          <t>Nifty Auto</t>
        </is>
      </c>
      <c r="T9" s="32" t="n">
        <v>11.1</v>
      </c>
      <c r="U9" s="32" t="n">
        <v>252.12</v>
      </c>
      <c r="V9" s="32" t="n">
        <v>216.93</v>
      </c>
      <c r="W9" s="32" t="n">
        <v>42.47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Negative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15</t>
        </is>
      </c>
      <c r="CG9" s="31">
        <f>IF(CF9&gt;20,10,IF(CF9&gt;=10,5,2))</f>
        <v/>
      </c>
    </row>
    <row r="10">
      <c r="A10" s="31">
        <f>IF(B10=0,"",RANK(B10,$B$2:$B$85,0))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SKMEGGPROD</t>
        </is>
      </c>
      <c r="D10" s="31" t="inlineStr">
        <is>
          <t>SKM Egg Products Export (India) Ltd</t>
        </is>
      </c>
      <c r="E10" s="31" t="inlineStr">
        <is>
          <t>fmcg</t>
        </is>
      </c>
      <c r="F10" s="31" t="inlineStr">
        <is>
          <t>FMCG - Animal/Polutry</t>
        </is>
      </c>
      <c r="G10" s="31" t="inlineStr">
        <is>
          <t>smallcap</t>
        </is>
      </c>
      <c r="H10" s="32" t="n">
        <v>1853.63</v>
      </c>
      <c r="I10" s="32" t="n">
        <v>352</v>
      </c>
      <c r="J10" s="32" t="n">
        <v>-2.47</v>
      </c>
      <c r="K10" s="32" t="n">
        <v>0</v>
      </c>
      <c r="L10" s="31" t="n">
        <v>96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83.06999999999999</v>
      </c>
      <c r="P10" s="32" t="n">
        <v>40.24</v>
      </c>
      <c r="Q10" s="32" t="n">
        <v>260.22</v>
      </c>
      <c r="R10" s="31" t="inlineStr">
        <is>
          <t>Near 52W High Breakout</t>
        </is>
      </c>
      <c r="S10" s="31" t="inlineStr">
        <is>
          <t>Nifty FMCG</t>
        </is>
      </c>
      <c r="T10" s="32" t="n">
        <v>-14.13</v>
      </c>
      <c r="U10" s="32" t="n">
        <v>140.94</v>
      </c>
      <c r="V10" s="32" t="n">
        <v>180.58</v>
      </c>
      <c r="W10" s="32" t="n">
        <v>43.16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Less than 50%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21</t>
        </is>
      </c>
      <c r="CG10" s="31">
        <f>IF(CF10&gt;20,10,IF(CF10&gt;=10,5,2))</f>
        <v/>
      </c>
    </row>
    <row r="11">
      <c r="A11" s="31">
        <f>IF(B11=0,"",RANK(B11,$B$2:$B$85,0))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SAKAR</t>
        </is>
      </c>
      <c r="D11" s="31" t="inlineStr">
        <is>
          <t>Sakar Healthcare Ltd</t>
        </is>
      </c>
      <c r="E11" s="31" t="inlineStr">
        <is>
          <t>healthcare</t>
        </is>
      </c>
      <c r="F11" s="31" t="inlineStr">
        <is>
          <t>Hospitals</t>
        </is>
      </c>
      <c r="G11" s="31" t="inlineStr">
        <is>
          <t>smallcap</t>
        </is>
      </c>
      <c r="H11" s="32" t="n">
        <v>2046.77</v>
      </c>
      <c r="I11" s="32" t="n">
        <v>919.9</v>
      </c>
      <c r="J11" s="32" t="n">
        <v>6.53</v>
      </c>
      <c r="K11" s="32" t="n">
        <v>0</v>
      </c>
      <c r="L11" s="31" t="n">
        <v>91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76.31999999999999</v>
      </c>
      <c r="P11" s="32" t="n">
        <v>56.2</v>
      </c>
      <c r="Q11" s="32" t="n">
        <v>647.96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14.67</v>
      </c>
      <c r="U11" s="32" t="n">
        <v>155.93</v>
      </c>
      <c r="V11" s="32" t="n">
        <v>123.19</v>
      </c>
      <c r="W11" s="32" t="n">
        <v>33.19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18</t>
        </is>
      </c>
      <c r="CG11" s="31">
        <f>IF(CF11&gt;20,10,IF(CF11&gt;=10,5,2))</f>
        <v/>
      </c>
    </row>
    <row r="12">
      <c r="A12" s="31">
        <f>IF(B12=0,"",RANK(B12,$B$2:$B$85,0))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ADFFOODS</t>
        </is>
      </c>
      <c r="D12" s="31" t="inlineStr">
        <is>
          <t>ADF Foods Ltd</t>
        </is>
      </c>
      <c r="E12" s="31" t="inlineStr">
        <is>
          <t>fmcg</t>
        </is>
      </c>
      <c r="F12" s="31" t="inlineStr">
        <is>
          <t>FMCG - Contract Mfg</t>
        </is>
      </c>
      <c r="G12" s="31" t="inlineStr">
        <is>
          <t>smallcap</t>
        </is>
      </c>
      <c r="H12" s="32" t="n">
        <v>3416.76</v>
      </c>
      <c r="I12" s="32" t="n">
        <v>311</v>
      </c>
      <c r="J12" s="32" t="n">
        <v>-2.65</v>
      </c>
      <c r="K12" s="32" t="n">
        <v>0</v>
      </c>
      <c r="L12" s="31" t="n">
        <v>61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66.59999999999999</v>
      </c>
      <c r="P12" s="32" t="n">
        <v>41.23</v>
      </c>
      <c r="Q12" s="32" t="n">
        <v>236.06</v>
      </c>
      <c r="R12" s="31" t="inlineStr">
        <is>
          <t>Near 52W High Breakout</t>
        </is>
      </c>
      <c r="S12" s="31" t="inlineStr">
        <is>
          <t>Nifty FMCG</t>
        </is>
      </c>
      <c r="T12" s="32" t="n">
        <v>-14.13</v>
      </c>
      <c r="U12" s="32" t="n">
        <v>15.05</v>
      </c>
      <c r="V12" s="32" t="n">
        <v>33.98</v>
      </c>
      <c r="W12" s="32" t="n">
        <v>12.56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B2C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Less than 50%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17</t>
        </is>
      </c>
      <c r="CG12" s="31">
        <f>IF(CF12&gt;20,10,IF(CF12&gt;=10,5,2))</f>
        <v/>
      </c>
    </row>
    <row r="13">
      <c r="A13" s="31">
        <f>IF(B13=0,"",RANK(B13,$B$2:$B$85,0))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RADICO</t>
        </is>
      </c>
      <c r="D13" s="31" t="inlineStr">
        <is>
          <t>Radico Khaitan Ltd</t>
        </is>
      </c>
      <c r="E13" s="31" t="inlineStr">
        <is>
          <t>fmcg</t>
        </is>
      </c>
      <c r="F13" s="31" t="inlineStr">
        <is>
          <t>Alcoholic Beverages</t>
        </is>
      </c>
      <c r="G13" s="31" t="inlineStr">
        <is>
          <t>largecap</t>
        </is>
      </c>
      <c r="H13" s="32" t="n">
        <v>54477.24</v>
      </c>
      <c r="I13" s="32" t="n">
        <v>4066</v>
      </c>
      <c r="J13" s="32" t="n">
        <v>0.51</v>
      </c>
      <c r="K13" s="32" t="n">
        <v>0</v>
      </c>
      <c r="L13" s="31" t="n">
        <v>67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78.15000000000001</v>
      </c>
      <c r="P13" s="32" t="n">
        <v>52.26</v>
      </c>
      <c r="Q13" s="32" t="n">
        <v>3442.76</v>
      </c>
      <c r="R13" s="31" t="inlineStr">
        <is>
          <t>Near 52W High Breakout</t>
        </is>
      </c>
      <c r="S13" s="31" t="inlineStr">
        <is>
          <t>Nifty FMCG</t>
        </is>
      </c>
      <c r="T13" s="32" t="n">
        <v>-14.13</v>
      </c>
      <c r="U13" s="32" t="n">
        <v>49.25</v>
      </c>
      <c r="V13" s="32" t="n">
        <v>73.8</v>
      </c>
      <c r="W13" s="32" t="n">
        <v>14.4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15</t>
        </is>
      </c>
      <c r="CG13" s="31">
        <f>IF(CF13&gt;20,10,IF(CF13&gt;=10,5,2))</f>
        <v/>
      </c>
    </row>
    <row r="14">
      <c r="A14" s="31">
        <f>IF(B14=0,"",RANK(B14,$B$2:$B$85,0))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RPTECH</t>
        </is>
      </c>
      <c r="D14" s="31" t="inlineStr">
        <is>
          <t>Rashi Peripherals Ltd</t>
        </is>
      </c>
      <c r="E14" s="31" t="inlineStr">
        <is>
          <t>services</t>
        </is>
      </c>
      <c r="F14" s="31" t="inlineStr">
        <is>
          <t>Trading</t>
        </is>
      </c>
      <c r="G14" s="31" t="inlineStr">
        <is>
          <t>midcap</t>
        </is>
      </c>
      <c r="H14" s="32" t="n">
        <v>5120.4</v>
      </c>
      <c r="I14" s="32" t="n">
        <v>777</v>
      </c>
      <c r="J14" s="32" t="n">
        <v>-0.17</v>
      </c>
      <c r="K14" s="32" t="n">
        <v>0</v>
      </c>
      <c r="L14" s="31" t="n">
        <v>93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84.04000000000001</v>
      </c>
      <c r="P14" s="32" t="n">
        <v>71.56</v>
      </c>
      <c r="Q14" s="32" t="n">
        <v>609.38</v>
      </c>
      <c r="R14" s="31" t="inlineStr">
        <is>
          <t>Near 52W High Breakout</t>
        </is>
      </c>
      <c r="S14" s="31" t="inlineStr">
        <is>
          <t>Nifty 50</t>
        </is>
      </c>
      <c r="T14" s="32" t="n">
        <v>-3.67</v>
      </c>
      <c r="U14" s="32" t="n">
        <v>146.59</v>
      </c>
      <c r="V14" s="32" t="n">
        <v>155.98</v>
      </c>
      <c r="W14" s="32" t="n">
        <v>36.25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Less than 50%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21</t>
        </is>
      </c>
      <c r="CG14" s="31">
        <f>IF(CF14&gt;20,10,IF(CF14&gt;=10,5,2))</f>
        <v/>
      </c>
    </row>
    <row r="15">
      <c r="A15" s="31">
        <f>IF(B15=0,"",RANK(B15,$B$2:$B$85,0))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TIPSMUSIC</t>
        </is>
      </c>
      <c r="D15" s="31" t="inlineStr">
        <is>
          <t>Tips Music Ltd</t>
        </is>
      </c>
      <c r="E15" s="31" t="inlineStr">
        <is>
          <t>media</t>
        </is>
      </c>
      <c r="F15" s="31" t="inlineStr">
        <is>
          <t>Music Licensing</t>
        </is>
      </c>
      <c r="G15" s="31" t="inlineStr">
        <is>
          <t>midcap</t>
        </is>
      </c>
      <c r="H15" s="32" t="n">
        <v>9007.01</v>
      </c>
      <c r="I15" s="32" t="n">
        <v>704.6</v>
      </c>
      <c r="J15" s="32" t="n">
        <v>-1.28</v>
      </c>
      <c r="K15" s="32" t="n">
        <v>0</v>
      </c>
      <c r="L15" s="31" t="n">
        <v>39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63.59</v>
      </c>
      <c r="P15" s="32" t="n">
        <v>41.09</v>
      </c>
      <c r="Q15" s="32" t="n">
        <v>559.24</v>
      </c>
      <c r="R15" s="31" t="inlineStr">
        <is>
          <t>Near 52W High Breakout</t>
        </is>
      </c>
      <c r="S15" s="31" t="inlineStr">
        <is>
          <t>Nifty IT</t>
        </is>
      </c>
      <c r="T15" s="32" t="n">
        <v>-22.66</v>
      </c>
      <c r="U15" s="32" t="n">
        <v>13.31</v>
      </c>
      <c r="V15" s="32" t="n">
        <v>46.51</v>
      </c>
      <c r="W15" s="32" t="n">
        <v>7.45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Close to 52 week high or retracement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21</t>
        </is>
      </c>
      <c r="CG15" s="31">
        <f>IF(CF15&gt;20,10,IF(CF15&gt;=10,5,2))</f>
        <v/>
      </c>
    </row>
    <row r="16">
      <c r="A16" s="31">
        <f>IF(B16=0,"",RANK(B16,$B$2:$B$85,0))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RISHABH</t>
        </is>
      </c>
      <c r="D16" s="31" t="inlineStr">
        <is>
          <t>Rishabh Instruments Ltd</t>
        </is>
      </c>
      <c r="E16" s="31" t="inlineStr">
        <is>
          <t>industrials</t>
        </is>
      </c>
      <c r="F16" s="31" t="inlineStr">
        <is>
          <t>Capital Goods - Electric General</t>
        </is>
      </c>
      <c r="G16" s="31" t="inlineStr">
        <is>
          <t>smallcap</t>
        </is>
      </c>
      <c r="H16" s="32" t="n">
        <v>2590.35</v>
      </c>
      <c r="I16" s="32" t="n">
        <v>670</v>
      </c>
      <c r="J16" s="32" t="n">
        <v>1.53</v>
      </c>
      <c r="K16" s="32" t="n">
        <v>0</v>
      </c>
      <c r="L16" s="31" t="n">
        <v>86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71.31999999999999</v>
      </c>
      <c r="P16" s="32" t="n">
        <v>41.41</v>
      </c>
      <c r="Q16" s="32" t="n">
        <v>490.59</v>
      </c>
      <c r="R16" s="31" t="inlineStr">
        <is>
          <t>Near 52W High Breakout</t>
        </is>
      </c>
      <c r="S16" s="31" t="inlineStr">
        <is>
          <t>Nifty 50</t>
        </is>
      </c>
      <c r="T16" s="32" t="n">
        <v>-3.67</v>
      </c>
      <c r="U16" s="32" t="n">
        <v>117.83</v>
      </c>
      <c r="V16" s="32" t="n">
        <v>126.12</v>
      </c>
      <c r="W16" s="32" t="n">
        <v>26.42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17</t>
        </is>
      </c>
      <c r="CG16" s="31">
        <f>IF(CF16&gt;20,10,IF(CF16&gt;=10,5,2))</f>
        <v/>
      </c>
    </row>
    <row r="17">
      <c r="A17" s="31">
        <f>IF(B17=0,"",RANK(B17,$B$2:$B$85,0))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CUPID</t>
        </is>
      </c>
      <c r="D17" s="31" t="inlineStr">
        <is>
          <t>Cupid Ltd</t>
        </is>
      </c>
      <c r="E17" s="31" t="inlineStr">
        <is>
          <t>fmcg</t>
        </is>
      </c>
      <c r="F17" s="31" t="inlineStr">
        <is>
          <t>Contraceptives/Protectives</t>
        </is>
      </c>
      <c r="G17" s="31" t="inlineStr">
        <is>
          <t>largecap</t>
        </is>
      </c>
      <c r="H17" s="32" t="n">
        <v>29232.92</v>
      </c>
      <c r="I17" s="32" t="n">
        <v>217.4</v>
      </c>
      <c r="J17" s="32" t="n">
        <v>5.11</v>
      </c>
      <c r="K17" s="32" t="n">
        <v>0</v>
      </c>
      <c r="L17" s="31" t="n">
        <v>99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89.06999999999999</v>
      </c>
      <c r="P17" s="32" t="n">
        <v>63.35</v>
      </c>
      <c r="Q17" s="32" t="n">
        <v>170.59</v>
      </c>
      <c r="R17" s="31" t="inlineStr">
        <is>
          <t>Near 52W High Breakout</t>
        </is>
      </c>
      <c r="S17" s="31" t="inlineStr">
        <is>
          <t>Nifty FMCG</t>
        </is>
      </c>
      <c r="T17" s="32" t="n">
        <v>-14.13</v>
      </c>
      <c r="U17" s="32" t="n">
        <v>638.47</v>
      </c>
      <c r="V17" s="32" t="n">
        <v>759.9400000000001</v>
      </c>
      <c r="W17" s="32" t="n">
        <v>77.28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Less than 50%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22</t>
        </is>
      </c>
      <c r="CG17" s="31">
        <f>IF(CF17&gt;20,10,IF(CF17&gt;=10,5,2))</f>
        <v/>
      </c>
    </row>
    <row r="18">
      <c r="A18" s="31">
        <f>IF(B18=0,"",RANK(B18,$B$2:$B$85,0))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BLISSGVS</t>
        </is>
      </c>
      <c r="D18" s="31" t="inlineStr">
        <is>
          <t>Bliss GVS Pharma Ltd</t>
        </is>
      </c>
      <c r="E18" s="31" t="inlineStr">
        <is>
          <t>healthcare</t>
        </is>
      </c>
      <c r="F18" s="31" t="inlineStr">
        <is>
          <t>Pharma - Formulators</t>
        </is>
      </c>
      <c r="G18" s="31" t="inlineStr">
        <is>
          <t>midcap</t>
        </is>
      </c>
      <c r="H18" s="32" t="n">
        <v>5525.53</v>
      </c>
      <c r="I18" s="32" t="n">
        <v>521</v>
      </c>
      <c r="J18" s="32" t="n">
        <v>-0.59</v>
      </c>
      <c r="K18" s="32" t="n">
        <v>0</v>
      </c>
      <c r="L18" s="31" t="n">
        <v>97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90.48</v>
      </c>
      <c r="P18" s="32" t="n">
        <v>74.76000000000001</v>
      </c>
      <c r="Q18" s="32" t="n">
        <v>405.4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14.67</v>
      </c>
      <c r="U18" s="32" t="n">
        <v>226.57</v>
      </c>
      <c r="V18" s="32" t="n">
        <v>184.79</v>
      </c>
      <c r="W18" s="32" t="n">
        <v>52.57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17</t>
        </is>
      </c>
      <c r="CG18" s="31">
        <f>IF(CF18&gt;20,10,IF(CF18&gt;=10,5,2))</f>
        <v/>
      </c>
    </row>
    <row r="19">
      <c r="A19" s="31">
        <f>IF(B19=0,"",RANK(B19,$B$2:$B$85,0))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3" t="inlineStr">
        <is>
          <t>MARKSANS</t>
        </is>
      </c>
      <c r="D19" s="33" t="inlineStr">
        <is>
          <t>Marksans Pharma Ltd</t>
        </is>
      </c>
      <c r="E19" s="31" t="inlineStr">
        <is>
          <t>healthcare</t>
        </is>
      </c>
      <c r="F19" s="31" t="inlineStr">
        <is>
          <t>Pharma - Formulators</t>
        </is>
      </c>
      <c r="G19" s="31" t="inlineStr">
        <is>
          <t>midcap</t>
        </is>
      </c>
      <c r="H19" s="32" t="n">
        <v>12280.74</v>
      </c>
      <c r="I19" s="32" t="n">
        <v>271</v>
      </c>
      <c r="J19" s="32" t="n">
        <v>0.63</v>
      </c>
      <c r="K19" s="32" t="n">
        <v>0</v>
      </c>
      <c r="L19" s="31" t="n">
        <v>68</v>
      </c>
      <c r="M19" s="31" t="inlineStr">
        <is>
          <t>Underperforming</t>
        </is>
      </c>
      <c r="N19" s="32">
        <f>IF(M19="Underperforming",-5,IF(L19&gt;=95,15,IF(L19&gt;=90,10,IF(L19&gt;=80,5,0))))</f>
        <v/>
      </c>
      <c r="O19" s="32" t="n">
        <v>74.03</v>
      </c>
      <c r="P19" s="32" t="n">
        <v>47.29</v>
      </c>
      <c r="Q19" s="32" t="n">
        <v>213.68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14.67</v>
      </c>
      <c r="U19" s="32" t="n">
        <v>6.32</v>
      </c>
      <c r="V19" s="32" t="n">
        <v>-7.28</v>
      </c>
      <c r="W19" s="32" t="n">
        <v>14.63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17</t>
        </is>
      </c>
      <c r="CG19" s="31">
        <f>IF(CF19&gt;20,10,IF(CF19&gt;=10,5,2))</f>
        <v/>
      </c>
    </row>
    <row r="20">
      <c r="A20" s="31">
        <f>IF(B20=0,"",RANK(B20,$B$2:$B$85,0))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THANGAMAYL</t>
        </is>
      </c>
      <c r="D20" s="31" t="inlineStr">
        <is>
          <t>Thangamayil Jewellery Ltd</t>
        </is>
      </c>
      <c r="E20" s="31" t="inlineStr">
        <is>
          <t>consumer discretionary</t>
        </is>
      </c>
      <c r="F20" s="31" t="inlineStr">
        <is>
          <t>Diamond, Gems &amp; Jewellery</t>
        </is>
      </c>
      <c r="G20" s="31" t="inlineStr">
        <is>
          <t>midcap</t>
        </is>
      </c>
      <c r="H20" s="32" t="n">
        <v>19929.79</v>
      </c>
      <c r="I20" s="32" t="n">
        <v>6412</v>
      </c>
      <c r="J20" s="32" t="n">
        <v>2.87</v>
      </c>
      <c r="K20" s="32" t="n">
        <v>0</v>
      </c>
      <c r="L20" s="31" t="n">
        <v>95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76.29000000000001</v>
      </c>
      <c r="P20" s="32" t="n">
        <v>47.66</v>
      </c>
      <c r="Q20" s="32" t="n">
        <v>4901.13</v>
      </c>
      <c r="R20" s="31" t="inlineStr">
        <is>
          <t>Near 52W High Breakout</t>
        </is>
      </c>
      <c r="S20" s="31" t="inlineStr">
        <is>
          <t>Nifty 50</t>
        </is>
      </c>
      <c r="T20" s="32" t="n">
        <v>-3.67</v>
      </c>
      <c r="U20" s="32" t="n">
        <v>243.89</v>
      </c>
      <c r="V20" s="32" t="n">
        <v>256.99</v>
      </c>
      <c r="W20" s="32" t="n">
        <v>42.99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20</t>
        </is>
      </c>
      <c r="CG20" s="31">
        <f>IF(CF20&gt;20,10,IF(CF20&gt;=10,5,2))</f>
        <v/>
      </c>
    </row>
    <row r="21">
      <c r="A21" s="31">
        <f>IF(B21=0,"",RANK(B21,$B$2:$B$85,0))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KPL</t>
        </is>
      </c>
      <c r="D21" s="31" t="inlineStr">
        <is>
          <t>Kwality Pharmaceuticals Ltd</t>
        </is>
      </c>
      <c r="E21" s="31" t="inlineStr">
        <is>
          <t>Healthcare</t>
        </is>
      </c>
      <c r="F21" s="31" t="inlineStr">
        <is>
          <t>Pharma - Formulators</t>
        </is>
      </c>
      <c r="G21" s="31" t="inlineStr">
        <is>
          <t>smallcap</t>
        </is>
      </c>
      <c r="H21" s="32" t="n">
        <v>2743.47</v>
      </c>
      <c r="I21" s="32" t="n">
        <v>2644</v>
      </c>
      <c r="J21" s="32" t="n">
        <v>-0.5</v>
      </c>
      <c r="K21" s="32" t="n">
        <v>0</v>
      </c>
      <c r="L21" s="31" t="n">
        <v>90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76.56</v>
      </c>
      <c r="P21" s="32" t="n">
        <v>61.24</v>
      </c>
      <c r="Q21" s="32" t="n">
        <v>1989.29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14.67</v>
      </c>
      <c r="U21" s="32" t="n">
        <v>126.58</v>
      </c>
      <c r="V21" s="32" t="n">
        <v>97.59</v>
      </c>
      <c r="W21" s="32" t="n">
        <v>32.47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20</t>
        </is>
      </c>
      <c r="CG21" s="31">
        <f>IF(CF21&gt;20,10,IF(CF21&gt;=10,5,2))</f>
        <v/>
      </c>
    </row>
    <row r="22">
      <c r="A22" s="31">
        <f>IF(B22=0,"",RANK(B22,$B$2:$B$85,0))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GRANULES</t>
        </is>
      </c>
      <c r="D22" s="31" t="inlineStr">
        <is>
          <t>Granules India Ltd</t>
        </is>
      </c>
      <c r="E22" s="31" t="inlineStr">
        <is>
          <t>healthcare</t>
        </is>
      </c>
      <c r="F22" s="31" t="inlineStr">
        <is>
          <t>Pharma - API &amp; CRAMS</t>
        </is>
      </c>
      <c r="G22" s="31" t="inlineStr">
        <is>
          <t>largecap</t>
        </is>
      </c>
      <c r="H22" s="32" t="n">
        <v>22213.75</v>
      </c>
      <c r="I22" s="32" t="n">
        <v>896.45</v>
      </c>
      <c r="J22" s="32" t="n">
        <v>-0.13</v>
      </c>
      <c r="K22" s="32" t="n">
        <v>0</v>
      </c>
      <c r="L22" s="31" t="n">
        <v>78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78.69</v>
      </c>
      <c r="P22" s="32" t="n">
        <v>47.72</v>
      </c>
      <c r="Q22" s="32" t="n">
        <v>755.97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14.67</v>
      </c>
      <c r="U22" s="32" t="n">
        <v>80.95999999999999</v>
      </c>
      <c r="V22" s="32" t="n">
        <v>57.81</v>
      </c>
      <c r="W22" s="32" t="n">
        <v>20.6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Between 50% to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18</t>
        </is>
      </c>
      <c r="CG22" s="31">
        <f>IF(CF22&gt;20,10,IF(CF22&gt;=10,5,2))</f>
        <v/>
      </c>
    </row>
    <row r="23">
      <c r="A23" s="31">
        <f>IF(B23=0,"",RANK(B23,$B$2:$B$85,0))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VADILALIND</t>
        </is>
      </c>
      <c r="D23" s="31" t="inlineStr">
        <is>
          <t>Vadilal Industries Ltd</t>
        </is>
      </c>
      <c r="E23" s="31" t="inlineStr">
        <is>
          <t>fmcg</t>
        </is>
      </c>
      <c r="F23" s="31" t="inlineStr">
        <is>
          <t>FMCG - Dairy Products</t>
        </is>
      </c>
      <c r="G23" s="31" t="inlineStr">
        <is>
          <t>smallcap</t>
        </is>
      </c>
      <c r="H23" s="32" t="n">
        <v>4902.1</v>
      </c>
      <c r="I23" s="32" t="n">
        <v>6820</v>
      </c>
      <c r="J23" s="32" t="n">
        <v>6.09</v>
      </c>
      <c r="K23" s="32" t="n">
        <v>0</v>
      </c>
      <c r="L23" s="31" t="n">
        <v>73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73.40000000000001</v>
      </c>
      <c r="P23" s="32" t="n">
        <v>25.69</v>
      </c>
      <c r="Q23" s="32" t="n">
        <v>5431.05</v>
      </c>
      <c r="R23" s="31" t="inlineStr">
        <is>
          <t>Near 52W High Breakout</t>
        </is>
      </c>
      <c r="S23" s="31" t="inlineStr">
        <is>
          <t>Nifty FMCG</t>
        </is>
      </c>
      <c r="T23" s="32" t="n">
        <v>-14.13</v>
      </c>
      <c r="U23" s="32" t="n">
        <v>28.52</v>
      </c>
      <c r="V23" s="32" t="n">
        <v>49.66</v>
      </c>
      <c r="W23" s="32" t="n">
        <v>16.77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17</t>
        </is>
      </c>
      <c r="CG23" s="31">
        <f>IF(CF23&gt;20,10,IF(CF23&gt;=10,5,2))</f>
        <v/>
      </c>
    </row>
    <row r="24">
      <c r="A24" s="31">
        <f>IF(B24=0,"",RANK(B24,$B$2:$B$85,0))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CEMPRO</t>
        </is>
      </c>
      <c r="D24" s="31" t="inlineStr">
        <is>
          <t>Cemindia Projects Ltd</t>
        </is>
      </c>
      <c r="E24" s="31" t="inlineStr">
        <is>
          <t>realty</t>
        </is>
      </c>
      <c r="F24" s="31" t="inlineStr">
        <is>
          <t>Infra - Construction &amp; Contracting</t>
        </is>
      </c>
      <c r="G24" s="31" t="inlineStr">
        <is>
          <t>largecap</t>
        </is>
      </c>
      <c r="H24" s="32" t="n">
        <v>27400.12</v>
      </c>
      <c r="I24" s="32" t="n">
        <v>1595</v>
      </c>
      <c r="J24" s="32" t="n">
        <v>0.71</v>
      </c>
      <c r="K24" s="32" t="n">
        <v>0</v>
      </c>
      <c r="L24" s="31" t="n">
        <v>98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84.14</v>
      </c>
      <c r="P24" s="32" t="n">
        <v>51.36</v>
      </c>
      <c r="Q24" s="32" t="n">
        <v>1262.05</v>
      </c>
      <c r="R24" s="31" t="inlineStr">
        <is>
          <t>Near 52W High Breakout</t>
        </is>
      </c>
      <c r="S24" s="31" t="inlineStr">
        <is>
          <t>Nifty Realty</t>
        </is>
      </c>
      <c r="T24" s="32" t="n">
        <v>-8.130000000000001</v>
      </c>
      <c r="U24" s="32" t="n">
        <v>98.59</v>
      </c>
      <c r="V24" s="32" t="n">
        <v>116.15</v>
      </c>
      <c r="W24" s="32" t="n">
        <v>54.62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Less than 50%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20</t>
        </is>
      </c>
      <c r="CG24" s="31">
        <f>IF(CF24&gt;20,10,IF(CF24&gt;=10,5,2))</f>
        <v/>
      </c>
    </row>
    <row r="25">
      <c r="A25" s="31">
        <f>IF(B25=0,"",RANK(B25,$B$2:$B$85,0))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GNA</t>
        </is>
      </c>
      <c r="D25" s="31" t="inlineStr">
        <is>
          <t>GNA Axles Ltd</t>
        </is>
      </c>
      <c r="E25" s="31" t="inlineStr">
        <is>
          <t>auto</t>
        </is>
      </c>
      <c r="F25" s="31" t="inlineStr">
        <is>
          <t>Auto &amp; Auto Ancl - CV</t>
        </is>
      </c>
      <c r="G25" s="31" t="inlineStr">
        <is>
          <t>smallcap</t>
        </is>
      </c>
      <c r="H25" s="32" t="n">
        <v>2400.05</v>
      </c>
      <c r="I25" s="32" t="n">
        <v>559.05</v>
      </c>
      <c r="J25" s="32" t="n">
        <v>5.63</v>
      </c>
      <c r="K25" s="32" t="n">
        <v>0</v>
      </c>
      <c r="L25" s="31" t="n">
        <v>74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76.09</v>
      </c>
      <c r="P25" s="32" t="n">
        <v>23.13</v>
      </c>
      <c r="Q25" s="32" t="n">
        <v>423.34</v>
      </c>
      <c r="R25" s="31" t="inlineStr">
        <is>
          <t>Volume Spike &amp; Near 52W High Breakout</t>
        </is>
      </c>
      <c r="S25" s="31" t="inlineStr">
        <is>
          <t>Nifty Auto</t>
        </is>
      </c>
      <c r="T25" s="32" t="n">
        <v>11.1</v>
      </c>
      <c r="U25" s="32" t="n">
        <v>65.31999999999999</v>
      </c>
      <c r="V25" s="32" t="n">
        <v>48.8</v>
      </c>
      <c r="W25" s="32" t="n">
        <v>17.19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18</t>
        </is>
      </c>
      <c r="CG25" s="31">
        <f>IF(CF25&gt;20,10,IF(CF25&gt;=10,5,2))</f>
        <v/>
      </c>
    </row>
    <row r="26">
      <c r="A26" s="31">
        <f>IF(B26=0,"",RANK(B26,$B$2:$B$85,0))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GOLDIAM</t>
        </is>
      </c>
      <c r="D26" s="31" t="inlineStr">
        <is>
          <t>Goldiam International Ltd</t>
        </is>
      </c>
      <c r="E26" s="31" t="inlineStr">
        <is>
          <t>Consumer Cyclical</t>
        </is>
      </c>
      <c r="F26" s="31" t="inlineStr">
        <is>
          <t>Lab Grown Diamonds</t>
        </is>
      </c>
      <c r="G26" s="31" t="inlineStr">
        <is>
          <t>midcap</t>
        </is>
      </c>
      <c r="H26" s="32" t="n">
        <v>5368.87</v>
      </c>
      <c r="I26" s="32" t="n">
        <v>356.6</v>
      </c>
      <c r="J26" s="32" t="n">
        <v>-4.79</v>
      </c>
      <c r="K26" s="32" t="n">
        <v>0</v>
      </c>
      <c r="L26" s="31" t="n">
        <v>51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61.67</v>
      </c>
      <c r="P26" s="32" t="n">
        <v>37.21</v>
      </c>
      <c r="Q26" s="32" t="n">
        <v>266.75</v>
      </c>
      <c r="R26" s="31" t="inlineStr">
        <is>
          <t>Near 52W High Breakout</t>
        </is>
      </c>
      <c r="S26" s="31" t="inlineStr">
        <is>
          <t>Nifty 50</t>
        </is>
      </c>
      <c r="T26" s="32" t="n">
        <v>-3.67</v>
      </c>
      <c r="U26" s="32" t="n">
        <v>33.51</v>
      </c>
      <c r="V26" s="32" t="n">
        <v>38.6</v>
      </c>
      <c r="W26" s="32" t="n">
        <v>10.15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17</t>
        </is>
      </c>
      <c r="CG26" s="31">
        <f>IF(CF26&gt;20,10,IF(CF26&gt;=10,5,2))</f>
        <v/>
      </c>
    </row>
    <row r="27">
      <c r="A27" s="31">
        <f>IF(B27=0,"",RANK(B27,$B$2:$B$85,0))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GHCLTEXTIL</t>
        </is>
      </c>
      <c r="D27" s="31" t="inlineStr">
        <is>
          <t>GHCL Textiles Ltd</t>
        </is>
      </c>
      <c r="E27" s="31" t="inlineStr">
        <is>
          <t>textiles</t>
        </is>
      </c>
      <c r="F27" s="31" t="inlineStr">
        <is>
          <t>Textiles - General</t>
        </is>
      </c>
      <c r="G27" s="31" t="inlineStr">
        <is>
          <t>smallcap</t>
        </is>
      </c>
      <c r="H27" s="32" t="n">
        <v>1031.28</v>
      </c>
      <c r="I27" s="32" t="n">
        <v>107.89</v>
      </c>
      <c r="J27" s="32" t="n">
        <v>-1.71</v>
      </c>
      <c r="K27" s="32" t="n">
        <v>0</v>
      </c>
      <c r="L27" s="31" t="n">
        <v>44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67.09</v>
      </c>
      <c r="P27" s="32" t="n">
        <v>23.33</v>
      </c>
      <c r="Q27" s="32" t="n">
        <v>84.29000000000001</v>
      </c>
      <c r="R27" s="31" t="inlineStr">
        <is>
          <t>Near 52W High Breakout</t>
        </is>
      </c>
      <c r="S27" s="31" t="inlineStr">
        <is>
          <t>Nifty 50</t>
        </is>
      </c>
      <c r="T27" s="32" t="n">
        <v>-3.67</v>
      </c>
      <c r="U27" s="32" t="n">
        <v>16.33</v>
      </c>
      <c r="V27" s="32" t="n">
        <v>20.77</v>
      </c>
      <c r="W27" s="32" t="n">
        <v>8.609999999999999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17</t>
        </is>
      </c>
      <c r="CG27" s="31">
        <f>IF(CF27&gt;20,10,IF(CF27&gt;=10,5,2))</f>
        <v/>
      </c>
    </row>
    <row r="28">
      <c r="A28" s="31">
        <f>IF(B28=0,"",RANK(B28,$B$2:$B$85,0))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FILATEX</t>
        </is>
      </c>
      <c r="D28" s="31" t="inlineStr">
        <is>
          <t>Filatex India Ltd</t>
        </is>
      </c>
      <c r="E28" s="31" t="inlineStr">
        <is>
          <t>textiles</t>
        </is>
      </c>
      <c r="F28" s="31" t="inlineStr">
        <is>
          <t>Textiles - Manmade Fibre - PFY/PSF</t>
        </is>
      </c>
      <c r="G28" s="31" t="inlineStr">
        <is>
          <t>smallcap</t>
        </is>
      </c>
      <c r="H28" s="32" t="n">
        <v>2722.08</v>
      </c>
      <c r="I28" s="32" t="n">
        <v>61.3</v>
      </c>
      <c r="J28" s="32" t="n">
        <v>-4.78</v>
      </c>
      <c r="K28" s="32" t="n">
        <v>0</v>
      </c>
      <c r="L28" s="31" t="n">
        <v>50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68</v>
      </c>
      <c r="P28" s="32" t="n">
        <v>20.18</v>
      </c>
      <c r="Q28" s="32" t="n">
        <v>47.24</v>
      </c>
      <c r="R28" s="31" t="inlineStr">
        <is>
          <t>Near 52W High Breakout</t>
        </is>
      </c>
      <c r="S28" s="31" t="inlineStr">
        <is>
          <t>Nifty 50</t>
        </is>
      </c>
      <c r="T28" s="32" t="n">
        <v>-3.67</v>
      </c>
      <c r="U28" s="32" t="n">
        <v>5.3</v>
      </c>
      <c r="V28" s="32" t="n">
        <v>9.32</v>
      </c>
      <c r="W28" s="32" t="n">
        <v>10.01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Between 12 to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16</t>
        </is>
      </c>
      <c r="CG28" s="31">
        <f>IF(CF28&gt;20,10,IF(CF28&gt;=10,5,2))</f>
        <v/>
      </c>
    </row>
    <row r="29">
      <c r="A29" s="31">
        <f>IF(B29=0,"",RANK(B29,$B$2:$B$85,0))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BHARATSE</t>
        </is>
      </c>
      <c r="D29" s="31" t="inlineStr">
        <is>
          <t>Bharat Seats Ltd</t>
        </is>
      </c>
      <c r="E29" s="31" t="inlineStr">
        <is>
          <t>auto</t>
        </is>
      </c>
      <c r="F29" s="31" t="inlineStr">
        <is>
          <t>Auto Ancillaries - Seats</t>
        </is>
      </c>
      <c r="G29" s="31" t="inlineStr">
        <is>
          <t>smallcap</t>
        </is>
      </c>
      <c r="H29" s="32" t="n">
        <v>1544.88</v>
      </c>
      <c r="I29" s="32" t="n">
        <v>246</v>
      </c>
      <c r="J29" s="32" t="n">
        <v>-3.34</v>
      </c>
      <c r="K29" s="32" t="n">
        <v>0</v>
      </c>
      <c r="L29" s="31" t="n">
        <v>89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68.31999999999999</v>
      </c>
      <c r="P29" s="32" t="n">
        <v>28.73</v>
      </c>
      <c r="Q29" s="32" t="n">
        <v>168.91</v>
      </c>
      <c r="R29" s="31" t="inlineStr">
        <is>
          <t>Near 52W High Breakout</t>
        </is>
      </c>
      <c r="S29" s="31" t="inlineStr">
        <is>
          <t>Nifty Auto</t>
        </is>
      </c>
      <c r="T29" s="32" t="n">
        <v>11.1</v>
      </c>
      <c r="U29" s="32" t="n">
        <v>124.21</v>
      </c>
      <c r="V29" s="32" t="n">
        <v>101.81</v>
      </c>
      <c r="W29" s="32" t="n">
        <v>30.7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Between 12 to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15</t>
        </is>
      </c>
      <c r="CG29" s="31">
        <f>IF(CF29&gt;20,10,IF(CF29&gt;=10,5,2))</f>
        <v/>
      </c>
    </row>
    <row r="30">
      <c r="A30" s="31">
        <f>IF(B30=0,"",RANK(B30,$B$2:$B$85,0))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KMCSHIL</t>
        </is>
      </c>
      <c r="D30" s="31" t="inlineStr">
        <is>
          <t>KMC Speciality Hospitals (India) Ltd</t>
        </is>
      </c>
      <c r="E30" s="31" t="inlineStr">
        <is>
          <t>Healthcare</t>
        </is>
      </c>
      <c r="F30" s="31" t="inlineStr">
        <is>
          <t>Hospitals</t>
        </is>
      </c>
      <c r="G30" s="31" t="inlineStr">
        <is>
          <t>smallcap</t>
        </is>
      </c>
      <c r="H30" s="32" t="n">
        <v>2147.83</v>
      </c>
      <c r="I30" s="32" t="n">
        <v>131.7</v>
      </c>
      <c r="J30" s="32" t="n">
        <v>-0.98</v>
      </c>
      <c r="K30" s="32" t="n">
        <v>0</v>
      </c>
      <c r="L30" s="31" t="n">
        <v>85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78.83</v>
      </c>
      <c r="P30" s="32" t="n">
        <v>65.45</v>
      </c>
      <c r="Q30" s="32" t="n">
        <v>105.73</v>
      </c>
      <c r="R30" s="31" t="inlineStr">
        <is>
          <t>Near 52W High Breakout</t>
        </is>
      </c>
      <c r="S30" s="31" t="inlineStr">
        <is>
          <t>Nifty Pharma</t>
        </is>
      </c>
      <c r="T30" s="32" t="n">
        <v>14.67</v>
      </c>
      <c r="U30" s="32" t="n">
        <v>101.17</v>
      </c>
      <c r="V30" s="32" t="n">
        <v>75.43000000000001</v>
      </c>
      <c r="W30" s="32" t="n">
        <v>25.65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20</t>
        </is>
      </c>
      <c r="CG30" s="31">
        <f>IF(CF30&gt;20,10,IF(CF30&gt;=10,5,2))</f>
        <v/>
      </c>
    </row>
    <row r="31">
      <c r="A31" s="31">
        <f>IF(B31=0,"",RANK(B31,$B$2:$B$85,0))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INDNIPPON</t>
        </is>
      </c>
      <c r="D31" s="31" t="inlineStr">
        <is>
          <t>India Nippon Electricals Ltd</t>
        </is>
      </c>
      <c r="E31" s="31" t="inlineStr">
        <is>
          <t>auto</t>
        </is>
      </c>
      <c r="F31" s="31" t="inlineStr">
        <is>
          <t>Auto Ancillaries - Engine Parts</t>
        </is>
      </c>
      <c r="G31" s="31" t="inlineStr">
        <is>
          <t>smallcap</t>
        </is>
      </c>
      <c r="H31" s="32" t="n">
        <v>2725.88</v>
      </c>
      <c r="I31" s="32" t="n">
        <v>1205</v>
      </c>
      <c r="J31" s="32" t="n">
        <v>-2.52</v>
      </c>
      <c r="K31" s="32" t="n">
        <v>0</v>
      </c>
      <c r="L31" s="31" t="n">
        <v>82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77.67</v>
      </c>
      <c r="P31" s="32" t="n">
        <v>27.86</v>
      </c>
      <c r="Q31" s="32" t="n">
        <v>977.4400000000001</v>
      </c>
      <c r="R31" s="31" t="inlineStr">
        <is>
          <t>Near 52W High Breakout</t>
        </is>
      </c>
      <c r="S31" s="31" t="inlineStr">
        <is>
          <t>Nifty Auto</t>
        </is>
      </c>
      <c r="T31" s="32" t="n">
        <v>11.1</v>
      </c>
      <c r="U31" s="32" t="n">
        <v>58.14</v>
      </c>
      <c r="V31" s="32" t="n">
        <v>42.34</v>
      </c>
      <c r="W31" s="32" t="n">
        <v>23.51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Less than 50%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26</t>
        </is>
      </c>
      <c r="CG31" s="31">
        <f>IF(CF31&gt;20,10,IF(CF31&gt;=10,5,2))</f>
        <v/>
      </c>
    </row>
    <row r="32">
      <c r="A32" s="31">
        <f>IF(B32=0,"",RANK(B32,$B$2:$B$85,0))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SIGNPOST</t>
        </is>
      </c>
      <c r="D32" s="31" t="inlineStr">
        <is>
          <t>Signpost India Ltd</t>
        </is>
      </c>
      <c r="E32" s="31" t="inlineStr">
        <is>
          <t>miscellaneous</t>
        </is>
      </c>
      <c r="F32" s="31" t="inlineStr">
        <is>
          <t>Advertisement</t>
        </is>
      </c>
      <c r="G32" s="31" t="inlineStr">
        <is>
          <t>smallcap</t>
        </is>
      </c>
      <c r="H32" s="32" t="n">
        <v>1719.22</v>
      </c>
      <c r="I32" s="32" t="n">
        <v>321.65</v>
      </c>
      <c r="J32" s="32" t="n">
        <v>0.16</v>
      </c>
      <c r="K32" s="32" t="n">
        <v>0</v>
      </c>
      <c r="L32" s="31" t="n">
        <v>64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66.67</v>
      </c>
      <c r="P32" s="32" t="n">
        <v>31.84</v>
      </c>
      <c r="Q32" s="32" t="n">
        <v>225.04</v>
      </c>
      <c r="R32" s="31" t="inlineStr">
        <is>
          <t>Near 52W High Breakout</t>
        </is>
      </c>
      <c r="S32" s="31" t="inlineStr">
        <is>
          <t>Nifty 50</t>
        </is>
      </c>
      <c r="T32" s="32" t="n">
        <v>-3.67</v>
      </c>
      <c r="U32" s="32" t="n">
        <v>35.83</v>
      </c>
      <c r="V32" s="32" t="n">
        <v>41</v>
      </c>
      <c r="W32" s="32" t="n">
        <v>13.17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Less than 50%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19</t>
        </is>
      </c>
      <c r="CG32" s="31">
        <f>IF(CF32&gt;20,10,IF(CF32&gt;=10,5,2))</f>
        <v/>
      </c>
    </row>
    <row r="33">
      <c r="A33" s="31">
        <f>IF(B33=0,"",RANK(B33,$B$2:$B$85,0))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NITTAGELA</t>
        </is>
      </c>
      <c r="D33" s="31" t="inlineStr">
        <is>
          <t>Nitta Gelatin India Ltd</t>
        </is>
      </c>
      <c r="E33" s="31" t="inlineStr">
        <is>
          <t>Basic Materials</t>
        </is>
      </c>
      <c r="F33" s="31" t="inlineStr">
        <is>
          <t>Chemicals - Organic</t>
        </is>
      </c>
      <c r="G33" s="31" t="inlineStr">
        <is>
          <t>smallcap</t>
        </is>
      </c>
      <c r="H33" s="32" t="n">
        <v>1721.05</v>
      </c>
      <c r="I33" s="32" t="n">
        <v>1895.6</v>
      </c>
      <c r="J33" s="32" t="n">
        <v>-2.41</v>
      </c>
      <c r="K33" s="32" t="n">
        <v>0</v>
      </c>
      <c r="L33" s="31" t="n">
        <v>96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71.44</v>
      </c>
      <c r="P33" s="32" t="n">
        <v>57.89</v>
      </c>
      <c r="Q33" s="32" t="n">
        <v>1520.65</v>
      </c>
      <c r="R33" s="31" t="inlineStr">
        <is>
          <t>Earnings / Momentum Support</t>
        </is>
      </c>
      <c r="S33" s="31" t="inlineStr">
        <is>
          <t>Nifty IT</t>
        </is>
      </c>
      <c r="T33" s="32" t="n">
        <v>-22.66</v>
      </c>
      <c r="U33" s="32" t="n">
        <v>98.51000000000001</v>
      </c>
      <c r="V33" s="32" t="n">
        <v>156.68</v>
      </c>
      <c r="W33" s="32" t="n">
        <v>46.13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Cyclical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Volatile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17</t>
        </is>
      </c>
      <c r="CG33" s="31">
        <f>IF(CF33&gt;20,10,IF(CF33&gt;=10,5,2))</f>
        <v/>
      </c>
    </row>
    <row r="34">
      <c r="A34" s="31">
        <f>IF(B34=0,"",RANK(B34,$B$2:$B$85,0))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4" t="inlineStr">
        <is>
          <t>AEGISLOG</t>
        </is>
      </c>
      <c r="D34" s="34" t="inlineStr">
        <is>
          <t>Aegis Logistics Ltd</t>
        </is>
      </c>
      <c r="E34" s="31" t="inlineStr">
        <is>
          <t>services</t>
        </is>
      </c>
      <c r="F34" s="31" t="inlineStr">
        <is>
          <t>Logistics</t>
        </is>
      </c>
      <c r="G34" s="31" t="inlineStr">
        <is>
          <t>largecap</t>
        </is>
      </c>
      <c r="H34" s="32" t="n">
        <v>42850.08</v>
      </c>
      <c r="I34" s="32" t="n">
        <v>1220.8</v>
      </c>
      <c r="J34" s="32" t="n">
        <v>-5.63</v>
      </c>
      <c r="K34" s="32" t="n">
        <v>0</v>
      </c>
      <c r="L34" s="31" t="n">
        <v>88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75.02</v>
      </c>
      <c r="P34" s="32" t="n">
        <v>40.58</v>
      </c>
      <c r="Q34" s="32" t="n">
        <v>1002.49</v>
      </c>
      <c r="R34" s="31" t="inlineStr">
        <is>
          <t>Earnings / Momentum Support</t>
        </is>
      </c>
      <c r="S34" s="31" t="inlineStr">
        <is>
          <t>Nifty 50</t>
        </is>
      </c>
      <c r="T34" s="32" t="n">
        <v>-3.67</v>
      </c>
      <c r="U34" s="32" t="n">
        <v>65.83</v>
      </c>
      <c r="V34" s="32" t="n">
        <v>72.14</v>
      </c>
      <c r="W34" s="32" t="n">
        <v>28.67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No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16</t>
        </is>
      </c>
      <c r="CG34" s="31">
        <f>IF(CF34&gt;20,10,IF(CF34&gt;=10,5,2))</f>
        <v/>
      </c>
    </row>
    <row r="35">
      <c r="A35" s="31">
        <f>IF(B35=0,"",RANK(B35,$B$2:$B$85,0))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WABAG</t>
        </is>
      </c>
      <c r="D35" s="31" t="inlineStr">
        <is>
          <t>Va Tech Wabag Ltd</t>
        </is>
      </c>
      <c r="E35" s="31" t="inlineStr">
        <is>
          <t>realty</t>
        </is>
      </c>
      <c r="F35" s="31" t="inlineStr">
        <is>
          <t>Water Treatment</t>
        </is>
      </c>
      <c r="G35" s="31" t="inlineStr">
        <is>
          <t>midcap</t>
        </is>
      </c>
      <c r="H35" s="32" t="n">
        <v>13232.5</v>
      </c>
      <c r="I35" s="32" t="n">
        <v>2120</v>
      </c>
      <c r="J35" s="32" t="n">
        <v>-3.89</v>
      </c>
      <c r="K35" s="32" t="n">
        <v>0</v>
      </c>
      <c r="L35" s="31" t="n">
        <v>78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73.52</v>
      </c>
      <c r="P35" s="32" t="n">
        <v>28.4</v>
      </c>
      <c r="Q35" s="32" t="n">
        <v>1764.88</v>
      </c>
      <c r="R35" s="31" t="inlineStr">
        <is>
          <t>Near 52W High Breakout</t>
        </is>
      </c>
      <c r="S35" s="31" t="inlineStr">
        <is>
          <t>Nifty Realty</t>
        </is>
      </c>
      <c r="T35" s="32" t="n">
        <v>-8.130000000000001</v>
      </c>
      <c r="U35" s="32" t="n">
        <v>43.04</v>
      </c>
      <c r="V35" s="32" t="n">
        <v>55.69</v>
      </c>
      <c r="W35" s="32" t="n">
        <v>20.25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Between 1.5 to 2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16</t>
        </is>
      </c>
      <c r="CG35" s="31">
        <f>IF(CF35&gt;20,10,IF(CF35&gt;=10,5,2))</f>
        <v/>
      </c>
    </row>
    <row r="36">
      <c r="A36" s="31">
        <f>IF(B36=0,"",RANK(B36,$B$2:$B$85,0))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RPEL</t>
        </is>
      </c>
      <c r="D36" s="31" t="inlineStr">
        <is>
          <t>Raghav Productivity Enhancers Ltd</t>
        </is>
      </c>
      <c r="E36" s="31" t="inlineStr">
        <is>
          <t>building materials</t>
        </is>
      </c>
      <c r="F36" s="31" t="inlineStr">
        <is>
          <t>Steel Products</t>
        </is>
      </c>
      <c r="G36" s="31" t="inlineStr">
        <is>
          <t>midcap</t>
        </is>
      </c>
      <c r="H36" s="32" t="n">
        <v>5763.66</v>
      </c>
      <c r="I36" s="32" t="n">
        <v>1255.1</v>
      </c>
      <c r="J36" s="32" t="n">
        <v>-4.76</v>
      </c>
      <c r="K36" s="32" t="n">
        <v>0</v>
      </c>
      <c r="L36" s="31" t="n">
        <v>90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74.98</v>
      </c>
      <c r="P36" s="32" t="n">
        <v>39.7</v>
      </c>
      <c r="Q36" s="32" t="n">
        <v>1012.75</v>
      </c>
      <c r="R36" s="31" t="inlineStr">
        <is>
          <t>Near 52W High Breakout</t>
        </is>
      </c>
      <c r="S36" s="31" t="inlineStr">
        <is>
          <t>Nifty Infra</t>
        </is>
      </c>
      <c r="T36" s="32" t="n">
        <v>1.45</v>
      </c>
      <c r="U36" s="32" t="n">
        <v>82.55</v>
      </c>
      <c r="V36" s="32" t="n">
        <v>79.94</v>
      </c>
      <c r="W36" s="32" t="n">
        <v>32.2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Less than 50%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16</t>
        </is>
      </c>
      <c r="CG36" s="31">
        <f>IF(CF36&gt;20,10,IF(CF36&gt;=10,5,2))</f>
        <v/>
      </c>
    </row>
    <row r="37">
      <c r="A37" s="31">
        <f>IF(B37=0,"",RANK(B37,$B$2:$B$85,0))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4" t="inlineStr">
        <is>
          <t>PSPPROJECT</t>
        </is>
      </c>
      <c r="D37" s="34" t="inlineStr">
        <is>
          <t>PSP Projects Ltd</t>
        </is>
      </c>
      <c r="E37" s="31" t="inlineStr">
        <is>
          <t>realty</t>
        </is>
      </c>
      <c r="F37" s="31" t="inlineStr">
        <is>
          <t>Construction &amp; Contracting</t>
        </is>
      </c>
      <c r="G37" s="31" t="inlineStr">
        <is>
          <t>smallcap</t>
        </is>
      </c>
      <c r="H37" s="32" t="n">
        <v>4247.62</v>
      </c>
      <c r="I37" s="32" t="n">
        <v>1071.5</v>
      </c>
      <c r="J37" s="32" t="n">
        <v>0.52</v>
      </c>
      <c r="K37" s="32" t="n">
        <v>0</v>
      </c>
      <c r="L37" s="31" t="n">
        <v>73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72.72</v>
      </c>
      <c r="P37" s="32" t="n">
        <v>28.06</v>
      </c>
      <c r="Q37" s="32" t="n">
        <v>822.6799999999999</v>
      </c>
      <c r="R37" s="31" t="inlineStr">
        <is>
          <t>Near 52W High Breakout</t>
        </is>
      </c>
      <c r="S37" s="31" t="inlineStr">
        <is>
          <t>Nifty Realty</t>
        </is>
      </c>
      <c r="T37" s="32" t="n">
        <v>-8.130000000000001</v>
      </c>
      <c r="U37" s="32" t="n">
        <v>30.8</v>
      </c>
      <c r="V37" s="32" t="n">
        <v>42.37</v>
      </c>
      <c r="W37" s="32" t="n">
        <v>16.77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15</t>
        </is>
      </c>
      <c r="CG37" s="31">
        <f>IF(CF37&gt;20,10,IF(CF37&gt;=10,5,2))</f>
        <v/>
      </c>
    </row>
    <row r="38">
      <c r="A38" s="31">
        <f>IF(B38=0,"",RANK(B38,$B$2:$B$85,0))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ACUTAAS</t>
        </is>
      </c>
      <c r="D38" s="31" t="inlineStr">
        <is>
          <t>Acutaas Chemicals Ltd</t>
        </is>
      </c>
      <c r="E38" s="31" t="inlineStr">
        <is>
          <t>healthcare</t>
        </is>
      </c>
      <c r="F38" s="31" t="inlineStr">
        <is>
          <t>Pharma - API &amp; CRAMS</t>
        </is>
      </c>
      <c r="G38" s="31" t="inlineStr">
        <is>
          <t>largecap</t>
        </is>
      </c>
      <c r="H38" s="32" t="n">
        <v>28409.28</v>
      </c>
      <c r="I38" s="32" t="n">
        <v>3470</v>
      </c>
      <c r="J38" s="32" t="n">
        <v>-0.72</v>
      </c>
      <c r="K38" s="32" t="n">
        <v>0</v>
      </c>
      <c r="L38" s="31" t="n">
        <v>92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69.36</v>
      </c>
      <c r="P38" s="32" t="n">
        <v>68.48999999999999</v>
      </c>
      <c r="Q38" s="32" t="n">
        <v>2896.86</v>
      </c>
      <c r="R38" s="31" t="inlineStr">
        <is>
          <t>Earnings / Momentum Support</t>
        </is>
      </c>
      <c r="S38" s="31" t="inlineStr">
        <is>
          <t>Nifty Pharma</t>
        </is>
      </c>
      <c r="T38" s="32" t="n">
        <v>14.67</v>
      </c>
      <c r="U38" s="32" t="n">
        <v>187.83</v>
      </c>
      <c r="V38" s="32" t="n">
        <v>151.01</v>
      </c>
      <c r="W38" s="32" t="n">
        <v>34.43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18</t>
        </is>
      </c>
      <c r="CG38" s="31">
        <f>IF(CF38&gt;20,10,IF(CF38&gt;=10,5,2))</f>
        <v/>
      </c>
    </row>
    <row r="39">
      <c r="A39" s="31">
        <f>IF(B39=0,"",RANK(B39,$B$2:$B$85,0))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HESTERBIO</t>
        </is>
      </c>
      <c r="D39" s="31" t="inlineStr">
        <is>
          <t>Hester Biosciences Ltd</t>
        </is>
      </c>
      <c r="E39" s="31" t="inlineStr">
        <is>
          <t>healthcare</t>
        </is>
      </c>
      <c r="F39" s="31" t="inlineStr">
        <is>
          <t>Pharma - Animal</t>
        </is>
      </c>
      <c r="G39" s="31" t="inlineStr">
        <is>
          <t>smallcap</t>
        </is>
      </c>
      <c r="H39" s="32" t="n">
        <v>2010.6</v>
      </c>
      <c r="I39" s="32" t="n">
        <v>2363.5</v>
      </c>
      <c r="J39" s="32" t="n">
        <v>-7.13</v>
      </c>
      <c r="K39" s="32" t="n">
        <v>0</v>
      </c>
      <c r="L39" s="31" t="n">
        <v>78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75.04000000000001</v>
      </c>
      <c r="P39" s="32" t="n">
        <v>45.92</v>
      </c>
      <c r="Q39" s="32" t="n">
        <v>1809.97</v>
      </c>
      <c r="R39" s="31" t="inlineStr">
        <is>
          <t>Volume Spike &amp; Near 52W High Breakout</t>
        </is>
      </c>
      <c r="S39" s="31" t="inlineStr">
        <is>
          <t>Nifty Pharma</t>
        </is>
      </c>
      <c r="T39" s="32" t="n">
        <v>14.67</v>
      </c>
      <c r="U39" s="32" t="n">
        <v>24.77</v>
      </c>
      <c r="V39" s="32" t="n">
        <v>8.81</v>
      </c>
      <c r="W39" s="32" t="n">
        <v>19.52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16</t>
        </is>
      </c>
      <c r="CG39" s="31">
        <f>IF(CF39&gt;20,10,IF(CF39&gt;=10,5,2))</f>
        <v/>
      </c>
    </row>
    <row r="40">
      <c r="A40" s="31">
        <f>IF(B40=0,"",RANK(B40,$B$2:$B$85,0))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WELCORP</t>
        </is>
      </c>
      <c r="D40" s="31" t="inlineStr">
        <is>
          <t>Welspun Corp Ltd</t>
        </is>
      </c>
      <c r="E40" s="31" t="inlineStr">
        <is>
          <t>industrials</t>
        </is>
      </c>
      <c r="F40" s="31" t="inlineStr">
        <is>
          <t>DI Pipes/Saw Pipes</t>
        </is>
      </c>
      <c r="G40" s="31" t="inlineStr">
        <is>
          <t>largecap</t>
        </is>
      </c>
      <c r="H40" s="32" t="n">
        <v>44448.72</v>
      </c>
      <c r="I40" s="32" t="n">
        <v>1685</v>
      </c>
      <c r="J40" s="32" t="n">
        <v>4.02</v>
      </c>
      <c r="K40" s="32" t="n">
        <v>0</v>
      </c>
      <c r="L40" s="31" t="n">
        <v>87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88.18000000000001</v>
      </c>
      <c r="P40" s="32" t="n">
        <v>66.95</v>
      </c>
      <c r="Q40" s="32" t="n">
        <v>1394.84</v>
      </c>
      <c r="R40" s="31" t="inlineStr">
        <is>
          <t>Near 52W High Breakout</t>
        </is>
      </c>
      <c r="S40" s="31" t="inlineStr">
        <is>
          <t>Nifty Metal</t>
        </is>
      </c>
      <c r="T40" s="32" t="n">
        <v>34.04</v>
      </c>
      <c r="U40" s="32" t="n">
        <v>82.89</v>
      </c>
      <c r="V40" s="32" t="n">
        <v>36.45</v>
      </c>
      <c r="W40" s="32" t="n">
        <v>27.69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Less than 12%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21</t>
        </is>
      </c>
      <c r="CG40" s="31">
        <f>IF(CF40&gt;20,10,IF(CF40&gt;=10,5,2))</f>
        <v/>
      </c>
    </row>
    <row r="41">
      <c r="A41" s="31">
        <f>IF(B41=0,"",RANK(B41,$B$2:$B$85,0))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KMEW</t>
        </is>
      </c>
      <c r="D41" s="31" t="inlineStr">
        <is>
          <t>Knowledge Marine &amp; Engineering Works Ltd</t>
        </is>
      </c>
      <c r="E41" s="31" t="inlineStr">
        <is>
          <t>transportation</t>
        </is>
      </c>
      <c r="F41" s="31" t="inlineStr">
        <is>
          <t>Shipping</t>
        </is>
      </c>
      <c r="G41" s="31" t="inlineStr">
        <is>
          <t>midcap</t>
        </is>
      </c>
      <c r="H41" s="32" t="n">
        <v>5792.93</v>
      </c>
      <c r="I41" s="32" t="n">
        <v>2354.85</v>
      </c>
      <c r="J41" s="32" t="n">
        <v>-3.04</v>
      </c>
      <c r="K41" s="32" t="n">
        <v>0</v>
      </c>
      <c r="L41" s="31" t="n">
        <v>88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67.23999999999999</v>
      </c>
      <c r="P41" s="32" t="n">
        <v>43.9</v>
      </c>
      <c r="Q41" s="32" t="n">
        <v>1727.42</v>
      </c>
      <c r="R41" s="31" t="inlineStr">
        <is>
          <t>Near 52W High Breakout</t>
        </is>
      </c>
      <c r="S41" s="31" t="inlineStr">
        <is>
          <t>Nifty 50</t>
        </is>
      </c>
      <c r="T41" s="32" t="n">
        <v>-3.67</v>
      </c>
      <c r="U41" s="32" t="n">
        <v>156.55</v>
      </c>
      <c r="V41" s="32" t="n">
        <v>166.32</v>
      </c>
      <c r="W41" s="32" t="n">
        <v>29.99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Negative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20</t>
        </is>
      </c>
      <c r="CG41" s="31">
        <f>IF(CF41&gt;20,10,IF(CF41&gt;=10,5,2))</f>
        <v/>
      </c>
    </row>
    <row r="42">
      <c r="A42" s="31">
        <f>IF(B42=0,"",RANK(B42,$B$2:$B$85,0))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SANGAMIND</t>
        </is>
      </c>
      <c r="D42" s="31" t="inlineStr">
        <is>
          <t>Sangam (India) Ltd</t>
        </is>
      </c>
      <c r="E42" s="31" t="inlineStr">
        <is>
          <t>textiles</t>
        </is>
      </c>
      <c r="F42" s="31" t="inlineStr">
        <is>
          <t>Textiles - Spinning</t>
        </is>
      </c>
      <c r="G42" s="31" t="inlineStr">
        <is>
          <t>smallcap</t>
        </is>
      </c>
      <c r="H42" s="32" t="n">
        <v>3139.91</v>
      </c>
      <c r="I42" s="32" t="n">
        <v>624.9</v>
      </c>
      <c r="J42" s="32" t="n">
        <v>0.38</v>
      </c>
      <c r="K42" s="32" t="n">
        <v>0</v>
      </c>
      <c r="L42" s="31" t="n">
        <v>68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78.25</v>
      </c>
      <c r="P42" s="32" t="n">
        <v>43.49</v>
      </c>
      <c r="Q42" s="32" t="n">
        <v>491.69</v>
      </c>
      <c r="R42" s="31" t="inlineStr">
        <is>
          <t>Volume Spike &amp; Near 52W High Breakout</t>
        </is>
      </c>
      <c r="S42" s="31" t="inlineStr">
        <is>
          <t>Nifty 50</t>
        </is>
      </c>
      <c r="T42" s="32" t="n">
        <v>-3.67</v>
      </c>
      <c r="U42" s="32" t="n">
        <v>35.11</v>
      </c>
      <c r="V42" s="32" t="n">
        <v>40.25</v>
      </c>
      <c r="W42" s="32" t="n">
        <v>14.56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18</t>
        </is>
      </c>
      <c r="CG42" s="31">
        <f>IF(CF42&gt;20,10,IF(CF42&gt;=10,5,2))</f>
        <v/>
      </c>
    </row>
    <row r="43">
      <c r="A43" s="31">
        <f>IF(B43=0,"",RANK(B43,$B$2:$B$85,0))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JAYBARMARU</t>
        </is>
      </c>
      <c r="D43" s="31" t="inlineStr">
        <is>
          <t>Jay Bharat Maruti Ltd</t>
        </is>
      </c>
      <c r="E43" s="31" t="inlineStr">
        <is>
          <t>auto</t>
        </is>
      </c>
      <c r="F43" s="31" t="inlineStr">
        <is>
          <t>Auto Ancillaries - Diversified</t>
        </is>
      </c>
      <c r="G43" s="31" t="inlineStr">
        <is>
          <t>smallcap</t>
        </is>
      </c>
      <c r="H43" s="32" t="n">
        <v>2165</v>
      </c>
      <c r="I43" s="32" t="n">
        <v>200</v>
      </c>
      <c r="J43" s="32" t="n">
        <v>1.45</v>
      </c>
      <c r="K43" s="32" t="n">
        <v>0</v>
      </c>
      <c r="L43" s="31" t="n">
        <v>96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80.12</v>
      </c>
      <c r="P43" s="32" t="n">
        <v>38.85</v>
      </c>
      <c r="Q43" s="32" t="n">
        <v>151.59</v>
      </c>
      <c r="R43" s="31" t="inlineStr">
        <is>
          <t>Near 52W High Breakout</t>
        </is>
      </c>
      <c r="S43" s="31" t="inlineStr">
        <is>
          <t>Nifty Auto</t>
        </is>
      </c>
      <c r="T43" s="32" t="n">
        <v>11.1</v>
      </c>
      <c r="U43" s="32" t="n">
        <v>163.65</v>
      </c>
      <c r="V43" s="32" t="n">
        <v>137.3</v>
      </c>
      <c r="W43" s="32" t="n">
        <v>46.63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Between 50% to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18</t>
        </is>
      </c>
      <c r="CG43" s="31">
        <f>IF(CF43&gt;20,10,IF(CF43&gt;=10,5,2))</f>
        <v/>
      </c>
    </row>
    <row r="44">
      <c r="A44" s="31">
        <f>IF(B44=0,"",RANK(B44,$B$2:$B$85,0))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INDOTECH</t>
        </is>
      </c>
      <c r="D44" s="31" t="inlineStr">
        <is>
          <t>Indo Tech Transformers Ltd</t>
        </is>
      </c>
      <c r="E44" s="31" t="inlineStr">
        <is>
          <t>industrials</t>
        </is>
      </c>
      <c r="F44" s="31" t="inlineStr">
        <is>
          <t>Capital Goods - Transformers</t>
        </is>
      </c>
      <c r="G44" s="31" t="inlineStr">
        <is>
          <t>smallcap</t>
        </is>
      </c>
      <c r="H44" s="32" t="n">
        <v>3663.9</v>
      </c>
      <c r="I44" s="32" t="n">
        <v>3450</v>
      </c>
      <c r="J44" s="32" t="n">
        <v>1.58</v>
      </c>
      <c r="K44" s="32" t="n">
        <v>0</v>
      </c>
      <c r="L44" s="31" t="n">
        <v>93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76.05</v>
      </c>
      <c r="P44" s="32" t="n">
        <v>46.69</v>
      </c>
      <c r="Q44" s="32" t="n">
        <v>2553.43</v>
      </c>
      <c r="R44" s="31" t="inlineStr">
        <is>
          <t>Near 52W High Breakout</t>
        </is>
      </c>
      <c r="S44" s="31" t="inlineStr">
        <is>
          <t>Nifty 50</t>
        </is>
      </c>
      <c r="T44" s="32" t="n">
        <v>-3.67</v>
      </c>
      <c r="U44" s="32" t="n">
        <v>84.58</v>
      </c>
      <c r="V44" s="32" t="n">
        <v>91.61</v>
      </c>
      <c r="W44" s="32" t="n">
        <v>35.95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Between 12 to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18</t>
        </is>
      </c>
      <c r="CG44" s="31">
        <f>IF(CF44&gt;20,10,IF(CF44&gt;=10,5,2))</f>
        <v/>
      </c>
    </row>
    <row r="45">
      <c r="A45" s="31">
        <f>IF(B45=0,"",RANK(B45,$B$2:$B$85,0))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SPECTRUM</t>
        </is>
      </c>
      <c r="D45" s="31" t="inlineStr">
        <is>
          <t>Spectrum Electrical Industries Ltd</t>
        </is>
      </c>
      <c r="E45" s="31" t="inlineStr">
        <is>
          <t>industrials</t>
        </is>
      </c>
      <c r="F45" s="31" t="inlineStr">
        <is>
          <t>Capital Goods - Electric General</t>
        </is>
      </c>
      <c r="G45" s="31" t="inlineStr">
        <is>
          <t>smallcap</t>
        </is>
      </c>
      <c r="H45" s="32" t="n">
        <v>3155.5</v>
      </c>
      <c r="I45" s="32" t="n">
        <v>2008.1</v>
      </c>
      <c r="J45" s="32" t="n">
        <v>0.13</v>
      </c>
      <c r="K45" s="32" t="n">
        <v>0</v>
      </c>
      <c r="L45" s="31" t="n">
        <v>81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69.19</v>
      </c>
      <c r="P45" s="32" t="n">
        <v>37.92</v>
      </c>
      <c r="Q45" s="32" t="n">
        <v>1395.89</v>
      </c>
      <c r="R45" s="31" t="inlineStr">
        <is>
          <t>Near 52W High Breakout</t>
        </is>
      </c>
      <c r="S45" s="31" t="inlineStr">
        <is>
          <t>Nifty Infra</t>
        </is>
      </c>
      <c r="T45" s="32" t="n">
        <v>1.45</v>
      </c>
      <c r="U45" s="32" t="n">
        <v>30.1</v>
      </c>
      <c r="V45" s="32" t="n">
        <v>28.24</v>
      </c>
      <c r="W45" s="32" t="n">
        <v>22.35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Between 0.7 to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17</t>
        </is>
      </c>
      <c r="CG45" s="31">
        <f>IF(CF45&gt;20,10,IF(CF45&gt;=10,5,2))</f>
        <v/>
      </c>
    </row>
    <row r="46">
      <c r="A46" s="31">
        <f>IF(B46=0,"",RANK(B46,$B$2:$B$85,0))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4" t="inlineStr">
        <is>
          <t>SKIPPER</t>
        </is>
      </c>
      <c r="D46" s="34" t="inlineStr">
        <is>
          <t>Skipper Ltd</t>
        </is>
      </c>
      <c r="E46" s="31" t="inlineStr">
        <is>
          <t>industrials</t>
        </is>
      </c>
      <c r="F46" s="31" t="inlineStr">
        <is>
          <t>Electrical Equipments/HVDC</t>
        </is>
      </c>
      <c r="G46" s="31" t="inlineStr">
        <is>
          <t>midcap</t>
        </is>
      </c>
      <c r="H46" s="32" t="n">
        <v>6268.02</v>
      </c>
      <c r="I46" s="32" t="n">
        <v>555</v>
      </c>
      <c r="J46" s="32" t="n">
        <v>-0.18</v>
      </c>
      <c r="K46" s="32" t="n">
        <v>0</v>
      </c>
      <c r="L46" s="31" t="n">
        <v>48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64.03</v>
      </c>
      <c r="P46" s="32" t="n">
        <v>35.01</v>
      </c>
      <c r="Q46" s="32" t="n">
        <v>436.01</v>
      </c>
      <c r="R46" s="31" t="inlineStr">
        <is>
          <t>Near 52W High Breakout</t>
        </is>
      </c>
      <c r="S46" s="31" t="inlineStr">
        <is>
          <t>Nifty 50</t>
        </is>
      </c>
      <c r="T46" s="32" t="n">
        <v>-3.67</v>
      </c>
      <c r="U46" s="32" t="n">
        <v>12.45</v>
      </c>
      <c r="V46" s="32" t="n">
        <v>16.73</v>
      </c>
      <c r="W46" s="32" t="n">
        <v>9.369999999999999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15</t>
        </is>
      </c>
      <c r="CG46" s="31">
        <f>IF(CF46&gt;20,10,IF(CF46&gt;=10,5,2))</f>
        <v/>
      </c>
    </row>
    <row r="47">
      <c r="A47" s="31">
        <f>IF(B47=0,"",RANK(B47,$B$2:$B$85,0))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NYKAA</t>
        </is>
      </c>
      <c r="D47" s="31" t="inlineStr">
        <is>
          <t>FSN E-Commerce Ventures Ltd</t>
        </is>
      </c>
      <c r="E47" s="31" t="inlineStr">
        <is>
          <t>i.t</t>
        </is>
      </c>
      <c r="F47" s="31" t="inlineStr">
        <is>
          <t>New age - Platform - E-Retail</t>
        </is>
      </c>
      <c r="G47" s="31" t="inlineStr">
        <is>
          <t>largecap</t>
        </is>
      </c>
      <c r="H47" s="32" t="n">
        <v>92546.53</v>
      </c>
      <c r="I47" s="32" t="n">
        <v>323.15</v>
      </c>
      <c r="J47" s="32" t="n">
        <v>-1.6</v>
      </c>
      <c r="K47" s="32" t="n">
        <v>0</v>
      </c>
      <c r="L47" s="31" t="n">
        <v>64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70.72</v>
      </c>
      <c r="P47" s="32" t="n">
        <v>33.42</v>
      </c>
      <c r="Q47" s="32" t="n">
        <v>279.8</v>
      </c>
      <c r="R47" s="31" t="inlineStr">
        <is>
          <t>Near 52W High Breakout</t>
        </is>
      </c>
      <c r="S47" s="31" t="inlineStr">
        <is>
          <t>Nifty IT</t>
        </is>
      </c>
      <c r="T47" s="32" t="n">
        <v>-22.66</v>
      </c>
      <c r="U47" s="32" t="n">
        <v>52.42</v>
      </c>
      <c r="V47" s="32" t="n">
        <v>97.09</v>
      </c>
      <c r="W47" s="32" t="n">
        <v>13.36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Between 0.7 to 1.2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15</t>
        </is>
      </c>
      <c r="CG47" s="31">
        <f>IF(CF47&gt;20,10,IF(CF47&gt;=10,5,2))</f>
        <v/>
      </c>
    </row>
    <row r="48">
      <c r="A48" s="31">
        <f>IF(B48=0,"",RANK(B48,$B$2:$B$85,0))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HONASA</t>
        </is>
      </c>
      <c r="D48" s="31" t="inlineStr">
        <is>
          <t>Honasa Consumer Ltd</t>
        </is>
      </c>
      <c r="E48" s="31" t="inlineStr">
        <is>
          <t>services</t>
        </is>
      </c>
      <c r="F48" s="31" t="inlineStr">
        <is>
          <t>New age - Platform - E-Retail</t>
        </is>
      </c>
      <c r="G48" s="31" t="inlineStr">
        <is>
          <t>midcap</t>
        </is>
      </c>
      <c r="H48" s="32" t="n">
        <v>15453.55</v>
      </c>
      <c r="I48" s="32" t="n">
        <v>474</v>
      </c>
      <c r="J48" s="32" t="n">
        <v>0.37</v>
      </c>
      <c r="K48" s="32" t="n">
        <v>0</v>
      </c>
      <c r="L48" s="31" t="n">
        <v>77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83.03</v>
      </c>
      <c r="P48" s="32" t="n">
        <v>50.23</v>
      </c>
      <c r="Q48" s="32" t="n">
        <v>386.96</v>
      </c>
      <c r="R48" s="31" t="inlineStr">
        <is>
          <t>Near 52W High Breakout</t>
        </is>
      </c>
      <c r="S48" s="31" t="inlineStr">
        <is>
          <t>Nifty 50</t>
        </is>
      </c>
      <c r="T48" s="32" t="n">
        <v>-3.67</v>
      </c>
      <c r="U48" s="32" t="n">
        <v>65.61</v>
      </c>
      <c r="V48" s="32" t="n">
        <v>71.92</v>
      </c>
      <c r="W48" s="32" t="n">
        <v>19.08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Between 50% to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15</t>
        </is>
      </c>
      <c r="CG48" s="31">
        <f>IF(CF48&gt;20,10,IF(CF48&gt;=10,5,2))</f>
        <v/>
      </c>
    </row>
    <row r="49">
      <c r="A49" s="31">
        <f>IF(B49=0,"",RANK(B49,$B$2:$B$85,0))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NOVARTIND</t>
        </is>
      </c>
      <c r="D49" s="31" t="inlineStr">
        <is>
          <t>Novartis India Ltd</t>
        </is>
      </c>
      <c r="E49" s="31" t="inlineStr">
        <is>
          <t>healthcare</t>
        </is>
      </c>
      <c r="F49" s="31" t="inlineStr">
        <is>
          <t>Pharma - MNC bulk Drugs</t>
        </is>
      </c>
      <c r="G49" s="31" t="inlineStr">
        <is>
          <t>smallcap</t>
        </is>
      </c>
      <c r="H49" s="32" t="n">
        <v>4024.6</v>
      </c>
      <c r="I49" s="32" t="n">
        <v>1630</v>
      </c>
      <c r="J49" s="32" t="n">
        <v>-2.09</v>
      </c>
      <c r="K49" s="32" t="n">
        <v>0</v>
      </c>
      <c r="L49" s="31" t="n">
        <v>84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73.97</v>
      </c>
      <c r="P49" s="32" t="n">
        <v>68.53</v>
      </c>
      <c r="Q49" s="32" t="n">
        <v>1240.49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14.67</v>
      </c>
      <c r="U49" s="32" t="n">
        <v>55.4</v>
      </c>
      <c r="V49" s="32" t="n">
        <v>35.52</v>
      </c>
      <c r="W49" s="32" t="n">
        <v>25.03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Less than 12%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Less than 50%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21</t>
        </is>
      </c>
      <c r="CG49" s="31">
        <f>IF(CF49&gt;20,10,IF(CF49&gt;=10,5,2))</f>
        <v/>
      </c>
    </row>
    <row r="50">
      <c r="A50" s="31">
        <f>IF(B50=0,"",RANK(B50,$B$2:$B$85,0))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TRIVENI</t>
        </is>
      </c>
      <c r="D50" s="31" t="inlineStr">
        <is>
          <t>Triveni Engineering and Industries Ltd</t>
        </is>
      </c>
      <c r="E50" s="31" t="inlineStr">
        <is>
          <t>fmcg</t>
        </is>
      </c>
      <c r="F50" s="31" t="inlineStr">
        <is>
          <t>Sugar</t>
        </is>
      </c>
      <c r="G50" s="31" t="inlineStr">
        <is>
          <t>midcap</t>
        </is>
      </c>
      <c r="H50" s="32" t="n">
        <v>10390.12</v>
      </c>
      <c r="I50" s="32" t="n">
        <v>471.5</v>
      </c>
      <c r="J50" s="32" t="n">
        <v>-1.18</v>
      </c>
      <c r="K50" s="32" t="n">
        <v>0</v>
      </c>
      <c r="L50" s="31" t="n">
        <v>51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70.31</v>
      </c>
      <c r="P50" s="32" t="n">
        <v>23</v>
      </c>
      <c r="Q50" s="32" t="n">
        <v>378.37</v>
      </c>
      <c r="R50" s="31" t="inlineStr">
        <is>
          <t>Near 52W High Breakout</t>
        </is>
      </c>
      <c r="S50" s="31" t="inlineStr">
        <is>
          <t>Nifty FMCG</t>
        </is>
      </c>
      <c r="T50" s="32" t="n">
        <v>-14.13</v>
      </c>
      <c r="U50" s="32" t="n">
        <v>31.59</v>
      </c>
      <c r="V50" s="32" t="n">
        <v>53.24</v>
      </c>
      <c r="W50" s="32" t="n">
        <v>10.22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B2C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Less than 12%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Less than 50%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18</t>
        </is>
      </c>
      <c r="CG50" s="31">
        <f>IF(CF50&gt;20,10,IF(CF50&gt;=10,5,2))</f>
        <v/>
      </c>
    </row>
    <row r="51">
      <c r="A51" s="31">
        <f>IF(B51=0,"",RANK(B51,$B$2:$B$85,0))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FERMENTA</t>
        </is>
      </c>
      <c r="D51" s="31" t="inlineStr">
        <is>
          <t>Fermenta Biotech Ltd</t>
        </is>
      </c>
      <c r="E51" s="31" t="inlineStr">
        <is>
          <t>Healthcare</t>
        </is>
      </c>
      <c r="F51" s="31" t="inlineStr">
        <is>
          <t>Pharma - API</t>
        </is>
      </c>
      <c r="G51" s="31" t="inlineStr">
        <is>
          <t>smallcap</t>
        </is>
      </c>
      <c r="H51" s="32" t="n">
        <v>1349.12</v>
      </c>
      <c r="I51" s="32" t="n">
        <v>458.4</v>
      </c>
      <c r="J51" s="32" t="n">
        <v>2.96</v>
      </c>
      <c r="K51" s="32" t="n">
        <v>0</v>
      </c>
      <c r="L51" s="31" t="n">
        <v>71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71.88</v>
      </c>
      <c r="P51" s="32" t="n">
        <v>21.69</v>
      </c>
      <c r="Q51" s="32" t="n">
        <v>340.89</v>
      </c>
      <c r="R51" s="31" t="inlineStr">
        <is>
          <t>Volume Spike &amp; Near 52W High Breakout</t>
        </is>
      </c>
      <c r="S51" s="31" t="inlineStr">
        <is>
          <t>Nifty Pharma</t>
        </is>
      </c>
      <c r="T51" s="32" t="n">
        <v>14.67</v>
      </c>
      <c r="U51" s="32" t="n">
        <v>22.04</v>
      </c>
      <c r="V51" s="32" t="n">
        <v>6.43</v>
      </c>
      <c r="W51" s="32" t="n">
        <v>16.02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Less than 12%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18</t>
        </is>
      </c>
      <c r="CG51" s="31">
        <f>IF(CF51&gt;20,10,IF(CF51&gt;=10,5,2))</f>
        <v/>
      </c>
    </row>
    <row r="52">
      <c r="A52" s="31">
        <f>IF(B52=0,"",RANK(B52,$B$2:$B$85,0))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SKYGOLD</t>
        </is>
      </c>
      <c r="D52" s="31" t="inlineStr">
        <is>
          <t>Sky Gold &amp; Diamonds Ltd</t>
        </is>
      </c>
      <c r="E52" s="31" t="inlineStr">
        <is>
          <t>consumer discretionary</t>
        </is>
      </c>
      <c r="F52" s="31" t="inlineStr">
        <is>
          <t>Diamond, Gems &amp; Jewellery</t>
        </is>
      </c>
      <c r="G52" s="31" t="inlineStr">
        <is>
          <t>midcap</t>
        </is>
      </c>
      <c r="H52" s="32" t="n">
        <v>9597.530000000001</v>
      </c>
      <c r="I52" s="32" t="n">
        <v>619.7</v>
      </c>
      <c r="J52" s="32" t="n">
        <v>-0.5600000000000001</v>
      </c>
      <c r="K52" s="32" t="n">
        <v>0</v>
      </c>
      <c r="L52" s="31" t="n">
        <v>84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71.70999999999999</v>
      </c>
      <c r="P52" s="32" t="n">
        <v>53.33</v>
      </c>
      <c r="Q52" s="32" t="n">
        <v>460.63</v>
      </c>
      <c r="R52" s="31" t="inlineStr">
        <is>
          <t>Near 52W High Breakout</t>
        </is>
      </c>
      <c r="S52" s="31" t="inlineStr">
        <is>
          <t>Nifty 50</t>
        </is>
      </c>
      <c r="T52" s="32" t="n">
        <v>-3.67</v>
      </c>
      <c r="U52" s="32" t="n">
        <v>89.05</v>
      </c>
      <c r="V52" s="32" t="n">
        <v>96.25</v>
      </c>
      <c r="W52" s="32" t="n">
        <v>24.33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Negative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Between 0.7 to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25</t>
        </is>
      </c>
      <c r="CG52" s="31">
        <f>IF(CF52&gt;20,10,IF(CF52&gt;=10,5,2))</f>
        <v/>
      </c>
    </row>
    <row r="53">
      <c r="A53" s="31">
        <f>IF(B53=0,"",RANK(B53,$B$2:$B$85,0))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AEGISVOPAK</t>
        </is>
      </c>
      <c r="D53" s="31" t="inlineStr">
        <is>
          <t>Aegis Vopak Terminals Ltd</t>
        </is>
      </c>
      <c r="E53" s="31" t="inlineStr">
        <is>
          <t>transportation</t>
        </is>
      </c>
      <c r="F53" s="31" t="inlineStr">
        <is>
          <t>Miscellaneous</t>
        </is>
      </c>
      <c r="G53" s="31" t="inlineStr">
        <is>
          <t>largecap</t>
        </is>
      </c>
      <c r="H53" s="32" t="n">
        <v>31145.64</v>
      </c>
      <c r="I53" s="32" t="n">
        <v>281.1</v>
      </c>
      <c r="J53" s="32" t="n">
        <v>-7.32</v>
      </c>
      <c r="K53" s="32" t="n">
        <v>0</v>
      </c>
      <c r="L53" s="31" t="n">
        <v>47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64.31</v>
      </c>
      <c r="P53" s="32" t="n">
        <v>21.84</v>
      </c>
      <c r="Q53" s="32" t="n">
        <v>203.75</v>
      </c>
      <c r="R53" s="31" t="inlineStr">
        <is>
          <t>Near 52W High Breakout</t>
        </is>
      </c>
      <c r="S53" s="31" t="inlineStr">
        <is>
          <t>Nifty 50</t>
        </is>
      </c>
      <c r="T53" s="32" t="n">
        <v>-3.67</v>
      </c>
      <c r="U53" s="32" t="n">
        <v>-3.51</v>
      </c>
      <c r="V53" s="32" t="n">
        <v>0.17</v>
      </c>
      <c r="W53" s="32" t="n">
        <v>9.19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19</t>
        </is>
      </c>
      <c r="CG53" s="31">
        <f>IF(CF53&gt;20,10,IF(CF53&gt;=10,5,2))</f>
        <v/>
      </c>
    </row>
    <row r="54">
      <c r="A54" s="31">
        <f>IF(B54=0,"",RANK(B54,$B$2:$B$85,0))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AURUM</t>
        </is>
      </c>
      <c r="D54" s="31" t="inlineStr">
        <is>
          <t>Aurum Proptech Ltd</t>
        </is>
      </c>
      <c r="E54" s="31" t="inlineStr">
        <is>
          <t>i.t</t>
        </is>
      </c>
      <c r="F54" s="31" t="inlineStr">
        <is>
          <t>IT Enabled Services</t>
        </is>
      </c>
      <c r="G54" s="31" t="inlineStr">
        <is>
          <t>smallcap</t>
        </is>
      </c>
      <c r="H54" s="32" t="n">
        <v>1707.44</v>
      </c>
      <c r="I54" s="32" t="n">
        <v>237</v>
      </c>
      <c r="J54" s="32" t="n">
        <v>2.23</v>
      </c>
      <c r="K54" s="32" t="n">
        <v>0</v>
      </c>
      <c r="L54" s="31" t="n">
        <v>59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73.31999999999999</v>
      </c>
      <c r="P54" s="32" t="n">
        <v>35.95</v>
      </c>
      <c r="Q54" s="32" t="n">
        <v>191.17</v>
      </c>
      <c r="R54" s="31" t="inlineStr">
        <is>
          <t>Near 52W High Breakout</t>
        </is>
      </c>
      <c r="S54" s="31" t="inlineStr">
        <is>
          <t>Nifty IT</t>
        </is>
      </c>
      <c r="T54" s="32" t="n">
        <v>-22.66</v>
      </c>
      <c r="U54" s="32" t="n">
        <v>20.7</v>
      </c>
      <c r="V54" s="32" t="n">
        <v>56.06</v>
      </c>
      <c r="W54" s="32" t="n">
        <v>11.9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Between 50% to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18</t>
        </is>
      </c>
      <c r="CG54" s="31">
        <f>IF(CF54&gt;20,10,IF(CF54&gt;=10,5,2))</f>
        <v/>
      </c>
    </row>
    <row r="55">
      <c r="A55" s="31">
        <f>IF(B55=0,"",RANK(B55,$B$2:$B$85,0))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HFCL</t>
        </is>
      </c>
      <c r="D55" s="31" t="inlineStr">
        <is>
          <t>HFCL Ltd</t>
        </is>
      </c>
      <c r="E55" s="31" t="inlineStr">
        <is>
          <t>telecom</t>
        </is>
      </c>
      <c r="F55" s="31" t="inlineStr">
        <is>
          <t>Telecom Services</t>
        </is>
      </c>
      <c r="G55" s="31" t="inlineStr">
        <is>
          <t>largecap</t>
        </is>
      </c>
      <c r="H55" s="32" t="n">
        <v>32439.59</v>
      </c>
      <c r="I55" s="32" t="n">
        <v>211.94</v>
      </c>
      <c r="J55" s="32" t="n">
        <v>-1.25</v>
      </c>
      <c r="K55" s="32" t="n">
        <v>0</v>
      </c>
      <c r="L55" s="31" t="n">
        <v>97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82.16</v>
      </c>
      <c r="P55" s="32" t="n">
        <v>69.3</v>
      </c>
      <c r="Q55" s="32" t="n">
        <v>164.68</v>
      </c>
      <c r="R55" s="31" t="inlineStr">
        <is>
          <t>Near 52W High Breakout</t>
        </is>
      </c>
      <c r="S55" s="31" t="inlineStr">
        <is>
          <t>Nifty Infra</t>
        </is>
      </c>
      <c r="T55" s="32" t="n">
        <v>1.45</v>
      </c>
      <c r="U55" s="32" t="n">
        <v>161.26</v>
      </c>
      <c r="V55" s="32" t="n">
        <v>157.52</v>
      </c>
      <c r="W55" s="32" t="n">
        <v>53.77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Oligopoly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Negative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17</t>
        </is>
      </c>
      <c r="CG55" s="31">
        <f>IF(CF55&gt;20,10,IF(CF55&gt;=10,5,2))</f>
        <v/>
      </c>
    </row>
    <row r="56">
      <c r="A56" s="31">
        <f>IF(B56=0,"",RANK(B56,$B$2:$B$85,0))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RATEGAIN</t>
        </is>
      </c>
      <c r="D56" s="31" t="inlineStr">
        <is>
          <t>Rategain Travel Technologies Ltd</t>
        </is>
      </c>
      <c r="E56" s="31" t="inlineStr">
        <is>
          <t>i.t</t>
        </is>
      </c>
      <c r="F56" s="31" t="inlineStr">
        <is>
          <t>IT Product Companies</t>
        </is>
      </c>
      <c r="G56" s="31" t="inlineStr">
        <is>
          <t>midcap</t>
        </is>
      </c>
      <c r="H56" s="32" t="n">
        <v>11291.28</v>
      </c>
      <c r="I56" s="32" t="n">
        <v>953.45</v>
      </c>
      <c r="J56" s="32" t="n">
        <v>0.71</v>
      </c>
      <c r="K56" s="32" t="n">
        <v>0</v>
      </c>
      <c r="L56" s="31" t="n">
        <v>89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78.86</v>
      </c>
      <c r="P56" s="32" t="n">
        <v>33.77</v>
      </c>
      <c r="Q56" s="32" t="n">
        <v>754.61</v>
      </c>
      <c r="R56" s="31" t="inlineStr">
        <is>
          <t>Near 52W High Breakout</t>
        </is>
      </c>
      <c r="S56" s="31" t="inlineStr">
        <is>
          <t>Nifty IT</t>
        </is>
      </c>
      <c r="T56" s="32" t="n">
        <v>-22.66</v>
      </c>
      <c r="U56" s="32" t="n">
        <v>104.43</v>
      </c>
      <c r="V56" s="32" t="n">
        <v>164.34</v>
      </c>
      <c r="W56" s="32" t="n">
        <v>31.2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Between 50% to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16</t>
        </is>
      </c>
      <c r="CG56" s="31">
        <f>IF(CF56&gt;20,10,IF(CF56&gt;=10,5,2))</f>
        <v/>
      </c>
    </row>
    <row r="57">
      <c r="A57" s="31">
        <f>IF(B57=0,"",RANK(B57,$B$2:$B$85,0))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KABRAEXTRU</t>
        </is>
      </c>
      <c r="D57" s="34" t="inlineStr">
        <is>
          <t>Kabra Extrusion Technik Ltd</t>
        </is>
      </c>
      <c r="E57" s="31" t="inlineStr">
        <is>
          <t>industrials</t>
        </is>
      </c>
      <c r="F57" s="31" t="inlineStr">
        <is>
          <t>Capital Goods - Engineering Heavy</t>
        </is>
      </c>
      <c r="G57" s="31" t="inlineStr">
        <is>
          <t>smallcap</t>
        </is>
      </c>
      <c r="H57" s="32" t="n">
        <v>1114.41</v>
      </c>
      <c r="I57" s="32" t="n">
        <v>318.65</v>
      </c>
      <c r="J57" s="32" t="n">
        <v>0.95</v>
      </c>
      <c r="K57" s="32" t="n">
        <v>0</v>
      </c>
      <c r="L57" s="31" t="n">
        <v>46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69.94</v>
      </c>
      <c r="P57" s="32" t="n">
        <v>16.65</v>
      </c>
      <c r="Q57" s="32" t="n">
        <v>232.77</v>
      </c>
      <c r="R57" s="31" t="inlineStr">
        <is>
          <t>Volume Spike &amp; Near 52W High Breakout</t>
        </is>
      </c>
      <c r="S57" s="31" t="inlineStr">
        <is>
          <t>Nifty 50</t>
        </is>
      </c>
      <c r="T57" s="32" t="n">
        <v>-3.67</v>
      </c>
      <c r="U57" s="32" t="n">
        <v>2.58</v>
      </c>
      <c r="V57" s="32" t="n">
        <v>6.49</v>
      </c>
      <c r="W57" s="32" t="n">
        <v>8.970000000000001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0 to 20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16</t>
        </is>
      </c>
      <c r="CG57" s="31">
        <f>IF(CF57&gt;20,10,IF(CF57&gt;=10,5,2))</f>
        <v/>
      </c>
    </row>
    <row r="58">
      <c r="A58" s="31">
        <f>IF(B58=0,"",RANK(B58,$B$2:$B$85,0))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JSWINFRA</t>
        </is>
      </c>
      <c r="D58" s="34" t="inlineStr">
        <is>
          <t>JSW Infrastructure Ltd</t>
        </is>
      </c>
      <c r="E58" s="31" t="inlineStr">
        <is>
          <t>transportation</t>
        </is>
      </c>
      <c r="F58" s="31" t="inlineStr">
        <is>
          <t>Marine Port &amp; Services</t>
        </is>
      </c>
      <c r="G58" s="31" t="inlineStr">
        <is>
          <t>largecap</t>
        </is>
      </c>
      <c r="H58" s="32" t="n">
        <v>80117.10000000001</v>
      </c>
      <c r="I58" s="32" t="n">
        <v>343.85</v>
      </c>
      <c r="J58" s="32" t="n">
        <v>-2.09</v>
      </c>
      <c r="K58" s="32" t="n">
        <v>0</v>
      </c>
      <c r="L58" s="31" t="n">
        <v>45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73.7</v>
      </c>
      <c r="P58" s="32" t="n">
        <v>32.74</v>
      </c>
      <c r="Q58" s="32" t="n">
        <v>283.67</v>
      </c>
      <c r="R58" s="31" t="inlineStr">
        <is>
          <t>Near 52W High Breakout</t>
        </is>
      </c>
      <c r="S58" s="31" t="inlineStr">
        <is>
          <t>Nifty 50</t>
        </is>
      </c>
      <c r="T58" s="32" t="n">
        <v>-3.67</v>
      </c>
      <c r="U58" s="32" t="n">
        <v>13.1</v>
      </c>
      <c r="V58" s="32" t="n">
        <v>17.41</v>
      </c>
      <c r="W58" s="32" t="n">
        <v>8.73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Less than 12%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16</t>
        </is>
      </c>
      <c r="CG58" s="31">
        <f>IF(CF58&gt;20,10,IF(CF58&gt;=10,5,2))</f>
        <v/>
      </c>
    </row>
    <row r="59">
      <c r="A59" s="31">
        <f>IF(B59=0,"",RANK(B59,$B$2:$B$85,0))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BAJAJCON</t>
        </is>
      </c>
      <c r="D59" s="31" t="inlineStr">
        <is>
          <t>Bajaj Consumer Care Ltd</t>
        </is>
      </c>
      <c r="E59" s="31" t="inlineStr">
        <is>
          <t>Consumer Defensive</t>
        </is>
      </c>
      <c r="F59" s="31" t="inlineStr">
        <is>
          <t>FMCG - Personal Care</t>
        </is>
      </c>
      <c r="G59" s="31" t="inlineStr">
        <is>
          <t>midcap</t>
        </is>
      </c>
      <c r="H59" s="32" t="n">
        <v>7718.24</v>
      </c>
      <c r="I59" s="32" t="n">
        <v>590.9</v>
      </c>
      <c r="J59" s="32" t="n">
        <v>-10.53</v>
      </c>
      <c r="K59" s="32" t="n">
        <v>0</v>
      </c>
      <c r="L59" s="31" t="n">
        <v>86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62.73</v>
      </c>
      <c r="P59" s="32" t="n">
        <v>64.16</v>
      </c>
      <c r="Q59" s="32" t="n">
        <v>512.1799999999999</v>
      </c>
      <c r="R59" s="31" t="inlineStr">
        <is>
          <t>Volume Spike / Accumulation</t>
        </is>
      </c>
      <c r="S59" s="31" t="inlineStr">
        <is>
          <t>Nifty 50</t>
        </is>
      </c>
      <c r="T59" s="32" t="n">
        <v>-3.67</v>
      </c>
      <c r="U59" s="32" t="n">
        <v>145.54</v>
      </c>
      <c r="V59" s="32" t="n">
        <v>154.9</v>
      </c>
      <c r="W59" s="32" t="n">
        <v>26.99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Negative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19</t>
        </is>
      </c>
      <c r="CG59" s="31">
        <f>IF(CF59&gt;20,10,IF(CF59&gt;=10,5,2))</f>
        <v/>
      </c>
    </row>
    <row r="60">
      <c r="A60" s="31">
        <f>IF(B60=0,"",RANK(B60,$B$2:$B$85,0))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CCAVENUE</t>
        </is>
      </c>
      <c r="D60" s="31" t="inlineStr">
        <is>
          <t>AvenuesAI Ltd</t>
        </is>
      </c>
      <c r="E60" s="31" t="inlineStr">
        <is>
          <t>i.t</t>
        </is>
      </c>
      <c r="F60" s="31" t="inlineStr">
        <is>
          <t>IT - Software</t>
        </is>
      </c>
      <c r="G60" s="31" t="inlineStr">
        <is>
          <t>midcap</t>
        </is>
      </c>
      <c r="H60" s="32" t="n">
        <v>6226.49</v>
      </c>
      <c r="I60" s="32" t="n">
        <v>17.85</v>
      </c>
      <c r="J60" s="32" t="n">
        <v>-1.98</v>
      </c>
      <c r="K60" s="32" t="n">
        <v>0</v>
      </c>
      <c r="L60" s="31" t="n">
        <v>36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61.47</v>
      </c>
      <c r="P60" s="32" t="n">
        <v>16.59</v>
      </c>
      <c r="Q60" s="32" t="n">
        <v>13.82</v>
      </c>
      <c r="R60" s="31" t="inlineStr">
        <is>
          <t>Earnings / Momentum Support</t>
        </is>
      </c>
      <c r="S60" s="31" t="inlineStr">
        <is>
          <t>Nifty IT</t>
        </is>
      </c>
      <c r="T60" s="32" t="n">
        <v>-22.66</v>
      </c>
      <c r="U60" s="32" t="n">
        <v>12.01</v>
      </c>
      <c r="V60" s="32" t="n">
        <v>44.83</v>
      </c>
      <c r="W60" s="32" t="n">
        <v>6.65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No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0 to 20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16</t>
        </is>
      </c>
      <c r="CG60" s="31">
        <f>IF(CF60&gt;20,10,IF(CF60&gt;=10,5,2))</f>
        <v/>
      </c>
    </row>
    <row r="61">
      <c r="A61" s="31">
        <f>IF(B61=0,"",RANK(B61,$B$2:$B$85,0))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SIGMAADV</t>
        </is>
      </c>
      <c r="D61" s="31" t="inlineStr">
        <is>
          <t>Sigma Advanced System Ltd</t>
        </is>
      </c>
      <c r="E61" s="31" t="inlineStr">
        <is>
          <t>aerospace &amp; defence</t>
        </is>
      </c>
      <c r="F61" s="31" t="inlineStr">
        <is>
          <t>Aerospace &amp; Defence - Equipments</t>
        </is>
      </c>
      <c r="G61" s="31" t="inlineStr">
        <is>
          <t>midcap</t>
        </is>
      </c>
      <c r="H61" s="32" t="n">
        <v>10072.1</v>
      </c>
      <c r="I61" s="32" t="n">
        <v>571.5</v>
      </c>
      <c r="J61" s="32" t="n">
        <v>-1.96</v>
      </c>
      <c r="K61" s="32" t="n">
        <v>0</v>
      </c>
      <c r="L61" s="31" t="n">
        <v>99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77.28</v>
      </c>
      <c r="P61" s="32" t="n">
        <v>64.05</v>
      </c>
      <c r="Q61" s="32" t="n">
        <v>462.34</v>
      </c>
      <c r="R61" s="31" t="inlineStr">
        <is>
          <t>Earnings / Momentum Support</t>
        </is>
      </c>
      <c r="S61" s="31" t="inlineStr">
        <is>
          <t>Nifty 50</t>
        </is>
      </c>
      <c r="T61" s="32" t="n">
        <v>-3.67</v>
      </c>
      <c r="U61" s="32" t="n">
        <v>433.23</v>
      </c>
      <c r="V61" s="32" t="n">
        <v>453.55</v>
      </c>
      <c r="W61" s="32" t="n">
        <v>90.84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No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Negative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22</t>
        </is>
      </c>
      <c r="CG61" s="31">
        <f>IF(CF61&gt;20,10,IF(CF61&gt;=10,5,2))</f>
        <v/>
      </c>
    </row>
    <row r="62">
      <c r="A62" s="31">
        <f>IF(B62=0,"",RANK(B62,$B$2:$B$85,0))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IKS</t>
        </is>
      </c>
      <c r="D62" s="31" t="inlineStr">
        <is>
          <t>Inventurus Knowledge Solutions Ltd</t>
        </is>
      </c>
      <c r="E62" s="31" t="inlineStr">
        <is>
          <t>i.t</t>
        </is>
      </c>
      <c r="F62" s="31" t="inlineStr">
        <is>
          <t>IT Enabled Services/Business Process Outsourcing</t>
        </is>
      </c>
      <c r="G62" s="31" t="inlineStr">
        <is>
          <t>largecap</t>
        </is>
      </c>
      <c r="H62" s="32" t="n">
        <v>32289.84</v>
      </c>
      <c r="I62" s="32" t="n">
        <v>1881</v>
      </c>
      <c r="J62" s="32" t="n">
        <v>-1.18</v>
      </c>
      <c r="K62" s="32" t="n">
        <v>0</v>
      </c>
      <c r="L62" s="31" t="n">
        <v>48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64.78</v>
      </c>
      <c r="P62" s="32" t="n">
        <v>11.43</v>
      </c>
      <c r="Q62" s="32" t="n">
        <v>1558.24</v>
      </c>
      <c r="R62" s="31" t="inlineStr">
        <is>
          <t>Near 52W High Breakout</t>
        </is>
      </c>
      <c r="S62" s="31" t="inlineStr">
        <is>
          <t>Nifty IT</t>
        </is>
      </c>
      <c r="T62" s="32" t="n">
        <v>-22.66</v>
      </c>
      <c r="U62" s="32" t="n">
        <v>18.33</v>
      </c>
      <c r="V62" s="32" t="n">
        <v>53</v>
      </c>
      <c r="W62" s="32" t="n">
        <v>9.33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0 to 20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20</t>
        </is>
      </c>
      <c r="CG62" s="31">
        <f>IF(CF62&gt;20,10,IF(CF62&gt;=10,5,2))</f>
        <v/>
      </c>
    </row>
    <row r="63">
      <c r="A63" s="31">
        <f>IF(B63=0,"",RANK(B63,$B$2:$B$85,0))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UNIABEXAL</t>
        </is>
      </c>
      <c r="D63" s="31" t="inlineStr">
        <is>
          <t>Uni Abex Alloy Products Ltd</t>
        </is>
      </c>
      <c r="E63" s="31" t="inlineStr">
        <is>
          <t>Basic Materials</t>
        </is>
      </c>
      <c r="F63" s="31" t="inlineStr">
        <is>
          <t>Castings, Forgings &amp; Fastners</t>
        </is>
      </c>
      <c r="G63" s="31" t="inlineStr">
        <is>
          <t>smallcap</t>
        </is>
      </c>
      <c r="H63" s="32" t="n">
        <v>1088.42</v>
      </c>
      <c r="I63" s="32" t="n">
        <v>5511</v>
      </c>
      <c r="J63" s="32" t="n">
        <v>-2.06</v>
      </c>
      <c r="K63" s="32" t="n">
        <v>0</v>
      </c>
      <c r="L63" s="31" t="n">
        <v>86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78.23999999999999</v>
      </c>
      <c r="P63" s="32" t="n">
        <v>48.86</v>
      </c>
      <c r="Q63" s="32" t="n">
        <v>4211.72</v>
      </c>
      <c r="R63" s="31" t="inlineStr">
        <is>
          <t>Near 52W High Breakout</t>
        </is>
      </c>
      <c r="S63" s="31" t="inlineStr">
        <is>
          <t>Nifty Metal</t>
        </is>
      </c>
      <c r="T63" s="32" t="n">
        <v>34.04</v>
      </c>
      <c r="U63" s="32" t="n">
        <v>61.81</v>
      </c>
      <c r="V63" s="32" t="n">
        <v>20.72</v>
      </c>
      <c r="W63" s="32" t="n">
        <v>26.6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Less than 50%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19</t>
        </is>
      </c>
      <c r="CG63" s="31">
        <f>IF(CF63&gt;20,10,IF(CF63&gt;=10,5,2))</f>
        <v/>
      </c>
    </row>
    <row r="64">
      <c r="A64" s="31">
        <f>IF(B64=0,"",RANK(B64,$B$2:$B$85,0))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OBEROIRLTY</t>
        </is>
      </c>
      <c r="D64" s="31" t="inlineStr">
        <is>
          <t>Oberoi Realty Ltd</t>
        </is>
      </c>
      <c r="E64" s="31" t="inlineStr">
        <is>
          <t>realty</t>
        </is>
      </c>
      <c r="F64" s="31" t="inlineStr">
        <is>
          <t>Realty - Regional</t>
        </is>
      </c>
      <c r="G64" s="31" t="inlineStr">
        <is>
          <t>largecap</t>
        </is>
      </c>
      <c r="H64" s="32" t="n">
        <v>69629.83</v>
      </c>
      <c r="I64" s="32" t="n">
        <v>1915</v>
      </c>
      <c r="J64" s="32" t="n">
        <v>-0.53</v>
      </c>
      <c r="K64" s="32" t="n">
        <v>0</v>
      </c>
      <c r="L64" s="31" t="n">
        <v>19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67.23</v>
      </c>
      <c r="P64" s="32" t="n">
        <v>16.31</v>
      </c>
      <c r="Q64" s="32" t="n">
        <v>1615.9</v>
      </c>
      <c r="R64" s="31" t="inlineStr">
        <is>
          <t>Near 52W High Breakout</t>
        </is>
      </c>
      <c r="S64" s="31" t="inlineStr">
        <is>
          <t>Nifty Realty</t>
        </is>
      </c>
      <c r="T64" s="32" t="n">
        <v>-8.130000000000001</v>
      </c>
      <c r="U64" s="32" t="n">
        <v>4.96</v>
      </c>
      <c r="V64" s="32" t="n">
        <v>14.24</v>
      </c>
      <c r="W64" s="32" t="n">
        <v>3.61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0 to 20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18</t>
        </is>
      </c>
      <c r="CG64" s="31">
        <f>IF(CF64&gt;20,10,IF(CF64&gt;=10,5,2))</f>
        <v/>
      </c>
    </row>
    <row r="65">
      <c r="A65" s="31">
        <f>IF(B65=0,"",RANK(B65,$B$2:$B$85,0))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IKIO</t>
        </is>
      </c>
      <c r="D65" s="34" t="inlineStr">
        <is>
          <t>IKIO Technologies Ltd</t>
        </is>
      </c>
      <c r="E65" s="31" t="inlineStr">
        <is>
          <t>consumer discretionary</t>
        </is>
      </c>
      <c r="F65" s="31" t="inlineStr">
        <is>
          <t>Capital Goods - Electric General</t>
        </is>
      </c>
      <c r="G65" s="31" t="inlineStr">
        <is>
          <t>smallcap</t>
        </is>
      </c>
      <c r="H65" s="32" t="n">
        <v>1642.99</v>
      </c>
      <c r="I65" s="32" t="n">
        <v>212.6</v>
      </c>
      <c r="J65" s="32" t="n">
        <v>3.8</v>
      </c>
      <c r="K65" s="32" t="n">
        <v>0</v>
      </c>
      <c r="L65" s="31" t="n">
        <v>60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68.18000000000001</v>
      </c>
      <c r="P65" s="32" t="n">
        <v>21.24</v>
      </c>
      <c r="Q65" s="32" t="n">
        <v>151.59</v>
      </c>
      <c r="R65" s="31" t="inlineStr">
        <is>
          <t>Earnings / Momentum Support</t>
        </is>
      </c>
      <c r="S65" s="31" t="inlineStr">
        <is>
          <t>Nifty 50</t>
        </is>
      </c>
      <c r="T65" s="32" t="n">
        <v>-3.67</v>
      </c>
      <c r="U65" s="32" t="n">
        <v>2.13</v>
      </c>
      <c r="V65" s="32" t="n">
        <v>6.02</v>
      </c>
      <c r="W65" s="32" t="n">
        <v>12.43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17</t>
        </is>
      </c>
      <c r="CG65" s="31">
        <f>IF(CF65&gt;20,10,IF(CF65&gt;=10,5,2))</f>
        <v/>
      </c>
    </row>
    <row r="66">
      <c r="A66" s="31">
        <f>IF(B66=0,"",RANK(B66,$B$2:$B$85,0))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KERNEX</t>
        </is>
      </c>
      <c r="D66" s="31" t="inlineStr">
        <is>
          <t>Kernex Microsystems (India) Ltd</t>
        </is>
      </c>
      <c r="E66" s="31" t="inlineStr">
        <is>
          <t>consumer discretionary</t>
        </is>
      </c>
      <c r="F66" s="31" t="inlineStr">
        <is>
          <t>Railways - Kavach/Springs</t>
        </is>
      </c>
      <c r="G66" s="31" t="inlineStr">
        <is>
          <t>smallcap</t>
        </is>
      </c>
      <c r="H66" s="32" t="n">
        <v>3668.23</v>
      </c>
      <c r="I66" s="32" t="n">
        <v>2183</v>
      </c>
      <c r="J66" s="32" t="n">
        <v>-2.26</v>
      </c>
      <c r="K66" s="32" t="n">
        <v>0</v>
      </c>
      <c r="L66" s="31" t="n">
        <v>93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70.04000000000001</v>
      </c>
      <c r="P66" s="32" t="n">
        <v>48.01</v>
      </c>
      <c r="Q66" s="32" t="n">
        <v>1756.38</v>
      </c>
      <c r="R66" s="31" t="inlineStr">
        <is>
          <t>Earnings / Momentum Support</t>
        </is>
      </c>
      <c r="S66" s="31" t="inlineStr">
        <is>
          <t>Nifty 50</t>
        </is>
      </c>
      <c r="T66" s="32" t="n">
        <v>-3.67</v>
      </c>
      <c r="U66" s="32" t="n">
        <v>94.17</v>
      </c>
      <c r="V66" s="32" t="n">
        <v>101.56</v>
      </c>
      <c r="W66" s="32" t="n">
        <v>35.96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Negative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15</t>
        </is>
      </c>
      <c r="CG66" s="31">
        <f>IF(CF66&gt;20,10,IF(CF66&gt;=10,5,2))</f>
        <v/>
      </c>
    </row>
    <row r="67">
      <c r="A67" s="31">
        <f>IF(B67=0,"",RANK(B67,$B$2:$B$85,0))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FREDUN</t>
        </is>
      </c>
      <c r="D67" s="34" t="inlineStr">
        <is>
          <t>Fredun Pharmaceuticals Ltd</t>
        </is>
      </c>
      <c r="E67" s="31" t="inlineStr">
        <is>
          <t>Healthcare</t>
        </is>
      </c>
      <c r="F67" s="31" t="inlineStr">
        <is>
          <t>Pharma - Formulators</t>
        </is>
      </c>
      <c r="G67" s="31" t="inlineStr">
        <is>
          <t>smallcap</t>
        </is>
      </c>
      <c r="H67" s="32" t="n">
        <v>1593.72</v>
      </c>
      <c r="I67" s="32" t="n">
        <v>2891</v>
      </c>
      <c r="J67" s="32" t="n">
        <v>4.99</v>
      </c>
      <c r="K67" s="32" t="n">
        <v>0</v>
      </c>
      <c r="L67" s="31" t="n">
        <v>95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75.14</v>
      </c>
      <c r="P67" s="32" t="n">
        <v>57.92</v>
      </c>
      <c r="Q67" s="32" t="n">
        <v>2057.43</v>
      </c>
      <c r="R67" s="31" t="inlineStr">
        <is>
          <t>Near 52W High Breakout</t>
        </is>
      </c>
      <c r="S67" s="31" t="inlineStr">
        <is>
          <t>Nifty Pharma</t>
        </is>
      </c>
      <c r="T67" s="32" t="n">
        <v>14.67</v>
      </c>
      <c r="U67" s="32" t="n">
        <v>211.2</v>
      </c>
      <c r="V67" s="32" t="n">
        <v>171.39</v>
      </c>
      <c r="W67" s="32" t="n">
        <v>40.05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Less than 12%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Less than 50%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15</t>
        </is>
      </c>
      <c r="CG67" s="31">
        <f>IF(CF67&gt;20,10,IF(CF67&gt;=10,5,2))</f>
        <v/>
      </c>
    </row>
    <row r="68">
      <c r="A68" s="31">
        <f>IF(B68=0,"",RANK(B68,$B$2:$B$85,0))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TBZ</t>
        </is>
      </c>
      <c r="D68" s="31" t="inlineStr">
        <is>
          <t>Tribhovandas Bhimji Zaveri Ltd</t>
        </is>
      </c>
      <c r="E68" s="31" t="inlineStr">
        <is>
          <t>consumer discretionary</t>
        </is>
      </c>
      <c r="F68" s="31" t="inlineStr">
        <is>
          <t>Diamond, Gems &amp; Jewellery</t>
        </is>
      </c>
      <c r="G68" s="31" t="inlineStr">
        <is>
          <t>smallcap</t>
        </is>
      </c>
      <c r="H68" s="32" t="n">
        <v>1741.67</v>
      </c>
      <c r="I68" s="32" t="n">
        <v>261</v>
      </c>
      <c r="J68" s="32" t="n">
        <v>15.94</v>
      </c>
      <c r="K68" s="32" t="n">
        <v>0</v>
      </c>
      <c r="L68" s="31" t="n">
        <v>83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78.38</v>
      </c>
      <c r="P68" s="32" t="n">
        <v>23.88</v>
      </c>
      <c r="Q68" s="32" t="n">
        <v>196.68</v>
      </c>
      <c r="R68" s="31" t="inlineStr">
        <is>
          <t>Volume Spike &amp; Near 52W High Breakout</t>
        </is>
      </c>
      <c r="S68" s="31" t="inlineStr">
        <is>
          <t>Nifty 50</t>
        </is>
      </c>
      <c r="T68" s="32" t="n">
        <v>-3.67</v>
      </c>
      <c r="U68" s="32" t="n">
        <v>30.84</v>
      </c>
      <c r="V68" s="32" t="n">
        <v>35.83</v>
      </c>
      <c r="W68" s="32" t="n">
        <v>24.01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Above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Less than 50% and Borrowings are increasing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22</t>
        </is>
      </c>
      <c r="CG68" s="31">
        <f>IF(CF68&gt;20,10,IF(CF68&gt;=10,5,2))</f>
        <v/>
      </c>
    </row>
    <row r="69">
      <c r="A69" s="31">
        <f>IF(B69=0,"",RANK(B69,$B$2:$B$85,0))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JNKINDIA</t>
        </is>
      </c>
      <c r="D69" s="31" t="inlineStr">
        <is>
          <t>JNK India Ltd</t>
        </is>
      </c>
      <c r="E69" s="31" t="inlineStr">
        <is>
          <t>realty</t>
        </is>
      </c>
      <c r="F69" s="31" t="inlineStr">
        <is>
          <t>Capital Goods - Engineering Heavy</t>
        </is>
      </c>
      <c r="G69" s="31" t="inlineStr">
        <is>
          <t>smallcap</t>
        </is>
      </c>
      <c r="H69" s="32" t="n">
        <v>2988.22</v>
      </c>
      <c r="I69" s="32" t="n">
        <v>534.05</v>
      </c>
      <c r="J69" s="32" t="n">
        <v>5.76</v>
      </c>
      <c r="K69" s="32" t="n">
        <v>0</v>
      </c>
      <c r="L69" s="31" t="n">
        <v>89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75.77</v>
      </c>
      <c r="P69" s="32" t="n">
        <v>46.37</v>
      </c>
      <c r="Q69" s="32" t="n">
        <v>378.7</v>
      </c>
      <c r="R69" s="31" t="inlineStr">
        <is>
          <t>Near 52W High Breakout</t>
        </is>
      </c>
      <c r="S69" s="31" t="inlineStr">
        <is>
          <t>Nifty Realty</t>
        </is>
      </c>
      <c r="T69" s="32" t="n">
        <v>-8.130000000000001</v>
      </c>
      <c r="U69" s="32" t="n">
        <v>60.99</v>
      </c>
      <c r="V69" s="32" t="n">
        <v>75.23</v>
      </c>
      <c r="W69" s="32" t="n">
        <v>30.23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21</t>
        </is>
      </c>
      <c r="CG69" s="31">
        <f>IF(CF69&gt;20,10,IF(CF69&gt;=10,5,2))</f>
        <v/>
      </c>
    </row>
    <row r="70">
      <c r="A70" s="31">
        <f>IF(B70=0,"",RANK(B70,$B$2:$B$85,0))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AZAD</t>
        </is>
      </c>
      <c r="D70" s="31" t="inlineStr">
        <is>
          <t>Azad Engineering Ltd</t>
        </is>
      </c>
      <c r="E70" s="31" t="inlineStr">
        <is>
          <t>aerospace &amp; defence</t>
        </is>
      </c>
      <c r="F70" s="31" t="inlineStr">
        <is>
          <t>Aerospace &amp; Defence - Equipments</t>
        </is>
      </c>
      <c r="G70" s="31" t="inlineStr">
        <is>
          <t>midcap</t>
        </is>
      </c>
      <c r="H70" s="32" t="n">
        <v>15338.16</v>
      </c>
      <c r="I70" s="32" t="n">
        <v>2375</v>
      </c>
      <c r="J70" s="32" t="n">
        <v>-0.15</v>
      </c>
      <c r="K70" s="32" t="n">
        <v>0</v>
      </c>
      <c r="L70" s="31" t="n">
        <v>65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65.16</v>
      </c>
      <c r="P70" s="32" t="n">
        <v>29.42</v>
      </c>
      <c r="Q70" s="32" t="n">
        <v>1879.22</v>
      </c>
      <c r="R70" s="31" t="inlineStr">
        <is>
          <t>Near 52W High Breakout</t>
        </is>
      </c>
      <c r="S70" s="31" t="inlineStr">
        <is>
          <t>Nifty 50</t>
        </is>
      </c>
      <c r="T70" s="32" t="n">
        <v>-3.67</v>
      </c>
      <c r="U70" s="32" t="n">
        <v>46.36</v>
      </c>
      <c r="V70" s="32" t="n">
        <v>51.94</v>
      </c>
      <c r="W70" s="32" t="n">
        <v>13.84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Negative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17</t>
        </is>
      </c>
      <c r="CG70" s="31">
        <f>IF(CF70&gt;20,10,IF(CF70&gt;=10,5,2))</f>
        <v/>
      </c>
    </row>
    <row r="71">
      <c r="A71" s="31">
        <f>IF(B71=0,"",RANK(B71,$B$2:$B$85,0))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AFCOM</t>
        </is>
      </c>
      <c r="D71" s="31" t="inlineStr">
        <is>
          <t>Afcom Holdings Ltd</t>
        </is>
      </c>
      <c r="E71" s="31" t="inlineStr">
        <is>
          <t>Industrials</t>
        </is>
      </c>
      <c r="F71" s="31" t="inlineStr">
        <is>
          <t>Air Transport Service</t>
        </is>
      </c>
      <c r="G71" s="31" t="inlineStr">
        <is>
          <t>smallcap</t>
        </is>
      </c>
      <c r="H71" s="32" t="n">
        <v>4040.77</v>
      </c>
      <c r="I71" s="32" t="n">
        <v>1408</v>
      </c>
      <c r="J71" s="32" t="n">
        <v>-3.98</v>
      </c>
      <c r="K71" s="32" t="n">
        <v>0</v>
      </c>
      <c r="L71" s="31" t="n">
        <v>87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71.40000000000001</v>
      </c>
      <c r="P71" s="32" t="n">
        <v>29.34</v>
      </c>
      <c r="Q71" s="32" t="n">
        <v>1107.92</v>
      </c>
      <c r="R71" s="31" t="inlineStr">
        <is>
          <t>Earnings / Momentum Support</t>
        </is>
      </c>
      <c r="S71" s="31" t="inlineStr">
        <is>
          <t>Nifty 50</t>
        </is>
      </c>
      <c r="T71" s="32" t="n">
        <v>-3.67</v>
      </c>
      <c r="U71" s="32" t="n">
        <v>57.58</v>
      </c>
      <c r="V71" s="32" t="n">
        <v>63.59</v>
      </c>
      <c r="W71" s="32" t="n">
        <v>27.28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17</t>
        </is>
      </c>
      <c r="CG71" s="31">
        <f>IF(CF71&gt;20,10,IF(CF71&gt;=10,5,2))</f>
        <v/>
      </c>
    </row>
    <row r="72">
      <c r="A72" s="31">
        <f>IF(B72=0,"",RANK(B72,$B$2:$B$85,0))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GREAVESCOT</t>
        </is>
      </c>
      <c r="D72" s="31" t="inlineStr">
        <is>
          <t>Greaves Cotton Ltd</t>
        </is>
      </c>
      <c r="E72" s="31" t="inlineStr">
        <is>
          <t>industrials</t>
        </is>
      </c>
      <c r="F72" s="31" t="inlineStr">
        <is>
          <t>Engines</t>
        </is>
      </c>
      <c r="G72" s="31" t="inlineStr">
        <is>
          <t>midcap</t>
        </is>
      </c>
      <c r="H72" s="32" t="n">
        <v>6138.27</v>
      </c>
      <c r="I72" s="32" t="n">
        <v>263.5</v>
      </c>
      <c r="J72" s="32" t="n">
        <v>0.51</v>
      </c>
      <c r="K72" s="32" t="n">
        <v>0</v>
      </c>
      <c r="L72" s="31" t="n">
        <v>79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76.31</v>
      </c>
      <c r="P72" s="32" t="n">
        <v>24.48</v>
      </c>
      <c r="Q72" s="32" t="n">
        <v>205.66</v>
      </c>
      <c r="R72" s="31" t="inlineStr">
        <is>
          <t>Near 52W High Breakout</t>
        </is>
      </c>
      <c r="S72" s="31" t="inlineStr">
        <is>
          <t>Nifty 50</t>
        </is>
      </c>
      <c r="T72" s="32" t="n">
        <v>-3.67</v>
      </c>
      <c r="U72" s="32" t="n">
        <v>28.14</v>
      </c>
      <c r="V72" s="32" t="n">
        <v>33.02</v>
      </c>
      <c r="W72" s="32" t="n">
        <v>20.64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17</t>
        </is>
      </c>
      <c r="CG72" s="31">
        <f>IF(CF72&gt;20,10,IF(CF72&gt;=10,5,2))</f>
        <v/>
      </c>
    </row>
    <row r="73">
      <c r="A73" s="31">
        <f>IF(B73=0,"",RANK(B73,$B$2:$B$85,0))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RML</t>
        </is>
      </c>
      <c r="D73" s="31" t="inlineStr">
        <is>
          <t>Rane (Madras) Ltd</t>
        </is>
      </c>
      <c r="E73" s="31" t="inlineStr">
        <is>
          <t>auto</t>
        </is>
      </c>
      <c r="F73" s="31" t="inlineStr">
        <is>
          <t>Auto Ancillaries - Gears</t>
        </is>
      </c>
      <c r="G73" s="31" t="inlineStr">
        <is>
          <t>smallcap</t>
        </is>
      </c>
      <c r="H73" s="32" t="n">
        <v>3430.05</v>
      </c>
      <c r="I73" s="32" t="n">
        <v>1241.1</v>
      </c>
      <c r="J73" s="32" t="n">
        <v>-1.05</v>
      </c>
      <c r="K73" s="32" t="n">
        <v>0</v>
      </c>
      <c r="L73" s="31" t="n">
        <v>81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69.8</v>
      </c>
      <c r="P73" s="32" t="n">
        <v>35.96</v>
      </c>
      <c r="Q73" s="32" t="n">
        <v>1015.73</v>
      </c>
      <c r="R73" s="31" t="inlineStr">
        <is>
          <t>Near 52W High Breakout</t>
        </is>
      </c>
      <c r="S73" s="31" t="inlineStr">
        <is>
          <t>Nifty Auto</t>
        </is>
      </c>
      <c r="T73" s="32" t="n">
        <v>11.1</v>
      </c>
      <c r="U73" s="32" t="n">
        <v>40.93</v>
      </c>
      <c r="V73" s="32" t="n">
        <v>26.84</v>
      </c>
      <c r="W73" s="32" t="n">
        <v>21.91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Less than 12%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Between 50% to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16</t>
        </is>
      </c>
      <c r="CG73" s="31">
        <f>IF(CF73&gt;20,10,IF(CF73&gt;=10,5,2))</f>
        <v/>
      </c>
    </row>
    <row r="74">
      <c r="A74" s="31">
        <f>IF(B74=0,"",RANK(B74,$B$2:$B$85,0))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PDSL</t>
        </is>
      </c>
      <c r="D74" s="34" t="inlineStr">
        <is>
          <t>PDS Ltd</t>
        </is>
      </c>
      <c r="E74" s="31" t="inlineStr">
        <is>
          <t>textiles</t>
        </is>
      </c>
      <c r="F74" s="31" t="inlineStr">
        <is>
          <t>Services - Others</t>
        </is>
      </c>
      <c r="G74" s="31" t="inlineStr">
        <is>
          <t>midcap</t>
        </is>
      </c>
      <c r="H74" s="32" t="n">
        <v>5381.87</v>
      </c>
      <c r="I74" s="32" t="n">
        <v>380.5</v>
      </c>
      <c r="J74" s="32" t="n">
        <v>5.89</v>
      </c>
      <c r="K74" s="32" t="n">
        <v>0</v>
      </c>
      <c r="L74" s="31" t="n">
        <v>35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63.57</v>
      </c>
      <c r="P74" s="32" t="n">
        <v>19.54</v>
      </c>
      <c r="Q74" s="32" t="n">
        <v>276.27</v>
      </c>
      <c r="R74" s="31" t="inlineStr">
        <is>
          <t>Volume Spike &amp; Near 52W High Breakout</t>
        </is>
      </c>
      <c r="S74" s="31" t="inlineStr">
        <is>
          <t>Nifty 50</t>
        </is>
      </c>
      <c r="T74" s="32" t="n">
        <v>-3.67</v>
      </c>
      <c r="U74" s="32" t="n">
        <v>-1.01</v>
      </c>
      <c r="V74" s="32" t="n">
        <v>2.76</v>
      </c>
      <c r="W74" s="32" t="n">
        <v>6.57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15</t>
        </is>
      </c>
      <c r="CG74" s="31">
        <f>IF(CF74&gt;20,10,IF(CF74&gt;=10,5,2))</f>
        <v/>
      </c>
    </row>
    <row r="75">
      <c r="A75" s="31">
        <f>IF(B75=0,"",RANK(B75,$B$2:$B$85,0))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BLSE</t>
        </is>
      </c>
      <c r="D75" s="31" t="inlineStr">
        <is>
          <t>BLS E-Services Ltd</t>
        </is>
      </c>
      <c r="E75" s="31" t="inlineStr">
        <is>
          <t>i.t</t>
        </is>
      </c>
      <c r="F75" s="31" t="inlineStr">
        <is>
          <t>IT - Software</t>
        </is>
      </c>
      <c r="G75" s="31" t="inlineStr">
        <is>
          <t>smallcap</t>
        </is>
      </c>
      <c r="H75" s="32" t="n">
        <v>2464.03</v>
      </c>
      <c r="I75" s="32" t="n">
        <v>271.2</v>
      </c>
      <c r="J75" s="32" t="n">
        <v>2.12</v>
      </c>
      <c r="K75" s="32" t="n">
        <v>0</v>
      </c>
      <c r="L75" s="31" t="n">
        <v>79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76.7</v>
      </c>
      <c r="P75" s="32" t="n">
        <v>29.93</v>
      </c>
      <c r="Q75" s="32" t="n">
        <v>211.14</v>
      </c>
      <c r="R75" s="31" t="inlineStr">
        <is>
          <t>Near 52W High Breakout</t>
        </is>
      </c>
      <c r="S75" s="31" t="inlineStr">
        <is>
          <t>Nifty IT</t>
        </is>
      </c>
      <c r="T75" s="32" t="n">
        <v>-22.66</v>
      </c>
      <c r="U75" s="32" t="n">
        <v>47.4</v>
      </c>
      <c r="V75" s="32" t="n">
        <v>90.59</v>
      </c>
      <c r="W75" s="32" t="n">
        <v>20.95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Less than 12%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16</t>
        </is>
      </c>
      <c r="CG75" s="31">
        <f>IF(CF75&gt;20,10,IF(CF75&gt;=10,5,2))</f>
        <v/>
      </c>
    </row>
    <row r="76">
      <c r="A76" s="31">
        <f>IF(B76=0,"",RANK(B76,$B$2:$B$85,0))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RPGLIFE</t>
        </is>
      </c>
      <c r="D76" s="34" t="inlineStr">
        <is>
          <t>RPG Life Sciences Ltd</t>
        </is>
      </c>
      <c r="E76" s="31" t="inlineStr">
        <is>
          <t>healthcare</t>
        </is>
      </c>
      <c r="F76" s="31" t="inlineStr">
        <is>
          <t>Pharma - Formulators</t>
        </is>
      </c>
      <c r="G76" s="31" t="inlineStr">
        <is>
          <t>smallcap</t>
        </is>
      </c>
      <c r="H76" s="32" t="n">
        <v>4531.69</v>
      </c>
      <c r="I76" s="32" t="n">
        <v>2740</v>
      </c>
      <c r="J76" s="32" t="n">
        <v>-2.94</v>
      </c>
      <c r="K76" s="32" t="n">
        <v>0</v>
      </c>
      <c r="L76" s="31" t="n">
        <v>54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68.78</v>
      </c>
      <c r="P76" s="32" t="n">
        <v>23.91</v>
      </c>
      <c r="Q76" s="32" t="n">
        <v>2276.11</v>
      </c>
      <c r="R76" s="31" t="inlineStr">
        <is>
          <t>Near 52W High Breakout</t>
        </is>
      </c>
      <c r="S76" s="31" t="inlineStr">
        <is>
          <t>Nifty Pharma</t>
        </is>
      </c>
      <c r="T76" s="32" t="n">
        <v>14.67</v>
      </c>
      <c r="U76" s="32" t="n">
        <v>10.36</v>
      </c>
      <c r="V76" s="32" t="n">
        <v>-3.76</v>
      </c>
      <c r="W76" s="32" t="n">
        <v>10.65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15</t>
        </is>
      </c>
      <c r="CG76" s="31">
        <f>IF(CF76&gt;20,10,IF(CF76&gt;=10,5,2))</f>
        <v/>
      </c>
    </row>
    <row r="77">
      <c r="A77" s="31">
        <f>IF(B77=0,"",RANK(B77,$B$2:$B$85,0))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3" t="inlineStr">
        <is>
          <t>SHYAMMETL</t>
        </is>
      </c>
      <c r="D77" s="33" t="inlineStr">
        <is>
          <t>Shyam Metalics &amp; Energy Ltd</t>
        </is>
      </c>
      <c r="E77" s="31" t="inlineStr">
        <is>
          <t>metals &amp; mining</t>
        </is>
      </c>
      <c r="F77" s="31" t="inlineStr">
        <is>
          <t>Steel Products</t>
        </is>
      </c>
      <c r="G77" s="31" t="inlineStr">
        <is>
          <t>largecap</t>
        </is>
      </c>
      <c r="H77" s="32" t="n">
        <v>28926.43</v>
      </c>
      <c r="I77" s="32" t="n">
        <v>1036.3</v>
      </c>
      <c r="J77" s="32" t="n">
        <v>0.68</v>
      </c>
      <c r="K77" s="32" t="n">
        <v>0</v>
      </c>
      <c r="L77" s="31" t="n">
        <v>37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66.39</v>
      </c>
      <c r="P77" s="32" t="n">
        <v>15.89</v>
      </c>
      <c r="Q77" s="32" t="n">
        <v>851.13</v>
      </c>
      <c r="R77" s="31" t="inlineStr">
        <is>
          <t>Near 52W High Breakout</t>
        </is>
      </c>
      <c r="S77" s="31" t="inlineStr">
        <is>
          <t>Nifty Metal</t>
        </is>
      </c>
      <c r="T77" s="32" t="n">
        <v>34.04</v>
      </c>
      <c r="U77" s="32" t="n">
        <v>14.21</v>
      </c>
      <c r="V77" s="32" t="n">
        <v>-14.8</v>
      </c>
      <c r="W77" s="32" t="n">
        <v>7.16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18</t>
        </is>
      </c>
      <c r="CG77" s="31">
        <f>IF(CF77&gt;20,10,IF(CF77&gt;=10,5,2))</f>
        <v/>
      </c>
    </row>
    <row r="78">
      <c r="A78" s="31">
        <f>IF(B78=0,"",RANK(B78,$B$2:$B$85,0))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PAYTM</t>
        </is>
      </c>
      <c r="D78" s="34" t="inlineStr">
        <is>
          <t>One 97 Communications Ltd</t>
        </is>
      </c>
      <c r="E78" s="31" t="inlineStr">
        <is>
          <t>i.t</t>
        </is>
      </c>
      <c r="F78" s="31" t="inlineStr">
        <is>
          <t>E-Commerce - Platform - Utility</t>
        </is>
      </c>
      <c r="G78" s="31" t="inlineStr">
        <is>
          <t>largecap</t>
        </is>
      </c>
      <c r="H78" s="32" t="n">
        <v>88734.8</v>
      </c>
      <c r="I78" s="32" t="n">
        <v>1385</v>
      </c>
      <c r="J78" s="32" t="n">
        <v>-0.11</v>
      </c>
      <c r="K78" s="32" t="n">
        <v>0</v>
      </c>
      <c r="L78" s="31" t="n">
        <v>57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66.67</v>
      </c>
      <c r="P78" s="32" t="n">
        <v>16.32</v>
      </c>
      <c r="Q78" s="32" t="n">
        <v>1094.94</v>
      </c>
      <c r="R78" s="31" t="inlineStr">
        <is>
          <t>Near 52W High Breakout</t>
        </is>
      </c>
      <c r="S78" s="31" t="inlineStr">
        <is>
          <t>Nifty IT</t>
        </is>
      </c>
      <c r="T78" s="32" t="n">
        <v>-22.66</v>
      </c>
      <c r="U78" s="32" t="n">
        <v>37.92</v>
      </c>
      <c r="V78" s="32" t="n">
        <v>78.33</v>
      </c>
      <c r="W78" s="32" t="n">
        <v>11.43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Negative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16</t>
        </is>
      </c>
      <c r="CG78" s="31">
        <f>IF(CF78&gt;20,10,IF(CF78&gt;=10,5,2))</f>
        <v/>
      </c>
    </row>
    <row r="79">
      <c r="A79" s="31">
        <f>IF(B79=0,"",RANK(B79,$B$2:$B$85,0))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3" t="inlineStr">
        <is>
          <t>KSL</t>
        </is>
      </c>
      <c r="D79" s="33" t="inlineStr">
        <is>
          <t>Kalyani Steels Ltd</t>
        </is>
      </c>
      <c r="E79" s="31" t="inlineStr">
        <is>
          <t>metals &amp; mining</t>
        </is>
      </c>
      <c r="F79" s="31" t="inlineStr">
        <is>
          <t>Steel Products</t>
        </is>
      </c>
      <c r="G79" s="31" t="inlineStr">
        <is>
          <t>smallcap</t>
        </is>
      </c>
      <c r="H79" s="32" t="n">
        <v>4024.81</v>
      </c>
      <c r="I79" s="32" t="n">
        <v>922</v>
      </c>
      <c r="J79" s="32" t="n">
        <v>-5.17</v>
      </c>
      <c r="K79" s="32" t="n">
        <v>0</v>
      </c>
      <c r="L79" s="31" t="n">
        <v>35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64.59</v>
      </c>
      <c r="P79" s="32" t="n">
        <v>20.48</v>
      </c>
      <c r="Q79" s="32" t="n">
        <v>769.2</v>
      </c>
      <c r="R79" s="31" t="inlineStr">
        <is>
          <t>Near 52W High Breakout</t>
        </is>
      </c>
      <c r="S79" s="31" t="inlineStr">
        <is>
          <t>Nifty Metal</t>
        </is>
      </c>
      <c r="T79" s="32" t="n">
        <v>34.04</v>
      </c>
      <c r="U79" s="32" t="n">
        <v>3.87</v>
      </c>
      <c r="V79" s="32" t="n">
        <v>-22.51</v>
      </c>
      <c r="W79" s="32" t="n">
        <v>6.46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Cyclical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Volatile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Less than 12%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15</t>
        </is>
      </c>
      <c r="CG79" s="31">
        <f>IF(CF79&gt;20,10,IF(CF79&gt;=10,5,2))</f>
        <v/>
      </c>
    </row>
    <row r="80">
      <c r="A80" s="31">
        <f>IF(B80=0,"",RANK(B80,$B$2:$B$85,0))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CNL</t>
        </is>
      </c>
      <c r="D80" s="31" t="inlineStr">
        <is>
          <t>Creative Newtech Ltd</t>
        </is>
      </c>
      <c r="E80" s="31" t="inlineStr">
        <is>
          <t>Technology</t>
        </is>
      </c>
      <c r="F80" s="31" t="inlineStr">
        <is>
          <t>E-Commerce - Platform - Utility</t>
        </is>
      </c>
      <c r="G80" s="31" t="inlineStr">
        <is>
          <t>smallcap</t>
        </is>
      </c>
      <c r="H80" s="32" t="n">
        <v>1342.57</v>
      </c>
      <c r="I80" s="32" t="n">
        <v>894.05</v>
      </c>
      <c r="J80" s="32" t="n">
        <v>-4.77</v>
      </c>
      <c r="K80" s="32" t="n">
        <v>0</v>
      </c>
      <c r="L80" s="31" t="n">
        <v>75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76.62</v>
      </c>
      <c r="P80" s="32" t="n">
        <v>29.97</v>
      </c>
      <c r="Q80" s="32" t="n">
        <v>675.3</v>
      </c>
      <c r="R80" s="31" t="inlineStr">
        <is>
          <t>Volume Spike &amp; Near 52W High Breakout</t>
        </is>
      </c>
      <c r="S80" s="31" t="inlineStr">
        <is>
          <t>Nifty 50</t>
        </is>
      </c>
      <c r="T80" s="32" t="n">
        <v>-3.67</v>
      </c>
      <c r="U80" s="32" t="n">
        <v>34.95</v>
      </c>
      <c r="V80" s="32" t="n">
        <v>40.09</v>
      </c>
      <c r="W80" s="32" t="n">
        <v>17.81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Oligopoly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Between 0.7 to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21</t>
        </is>
      </c>
      <c r="CG80" s="31">
        <f>IF(CF80&gt;20,10,IF(CF80&gt;=10,5,2))</f>
        <v/>
      </c>
    </row>
    <row r="81">
      <c r="A81" s="31">
        <f>IF(B81=0,"",RANK(B81,$B$2:$B$85,0))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KAPSTON</t>
        </is>
      </c>
      <c r="D81" s="31" t="inlineStr">
        <is>
          <t>Kapston Services Ltd</t>
        </is>
      </c>
      <c r="E81" s="31" t="inlineStr">
        <is>
          <t>miscellaneous</t>
        </is>
      </c>
      <c r="F81" s="31" t="inlineStr">
        <is>
          <t>Services - Others</t>
        </is>
      </c>
      <c r="G81" s="31" t="inlineStr">
        <is>
          <t>smallcap</t>
        </is>
      </c>
      <c r="H81" s="32" t="n">
        <v>1262.94</v>
      </c>
      <c r="I81" s="32" t="n">
        <v>415</v>
      </c>
      <c r="J81" s="32" t="n">
        <v>0.31</v>
      </c>
      <c r="K81" s="32" t="n">
        <v>0</v>
      </c>
      <c r="L81" s="31" t="n">
        <v>77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68.19</v>
      </c>
      <c r="P81" s="32" t="n">
        <v>18.96</v>
      </c>
      <c r="Q81" s="32" t="n">
        <v>304.4</v>
      </c>
      <c r="R81" s="31" t="inlineStr">
        <is>
          <t>Near 52W High Breakout</t>
        </is>
      </c>
      <c r="S81" s="31" t="inlineStr">
        <is>
          <t>Nifty 50</t>
        </is>
      </c>
      <c r="T81" s="32" t="n">
        <v>-3.67</v>
      </c>
      <c r="U81" s="32" t="n">
        <v>67.23</v>
      </c>
      <c r="V81" s="32" t="n">
        <v>73.59999999999999</v>
      </c>
      <c r="W81" s="32" t="n">
        <v>18.74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Between 1.5 to 2</t>
        </is>
      </c>
      <c r="BU81" s="31">
        <f>IF(BT81="Above 2",0,IF(BT81="Between 1.5 to 2",5,IF(BT81="Less than 1.5",10,0)))</f>
        <v/>
      </c>
      <c r="BV81" s="31" t="inlineStr">
        <is>
          <t>Less than 50% and Borrowings are increasing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18</t>
        </is>
      </c>
      <c r="CG81" s="31">
        <f>IF(CF81&gt;20,10,IF(CF81&gt;=10,5,2))</f>
        <v/>
      </c>
    </row>
    <row r="82">
      <c r="A82" s="31">
        <f>IF(B82=0,"",RANK(B82,$B$2:$B$85,0))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SILVERTUC</t>
        </is>
      </c>
      <c r="D82" s="34" t="inlineStr">
        <is>
          <t>Silver Touch Technologies Ltd</t>
        </is>
      </c>
      <c r="E82" s="31" t="inlineStr">
        <is>
          <t>i.t</t>
        </is>
      </c>
      <c r="F82" s="31" t="inlineStr">
        <is>
          <t>IT - Software</t>
        </is>
      </c>
      <c r="G82" s="31" t="inlineStr">
        <is>
          <t>smallcap</t>
        </is>
      </c>
      <c r="H82" s="32" t="n">
        <v>2504.24</v>
      </c>
      <c r="I82" s="32" t="n">
        <v>197.48</v>
      </c>
      <c r="J82" s="32" t="n">
        <v>5</v>
      </c>
      <c r="K82" s="32" t="n">
        <v>0</v>
      </c>
      <c r="L82" s="31" t="n">
        <v>11</v>
      </c>
      <c r="M82" s="31" t="inlineStr">
        <is>
          <t>Underperforming</t>
        </is>
      </c>
      <c r="N82" s="32">
        <f>IF(M82="Underperforming",-5,IF(L82&gt;=95,15,IF(L82&gt;=90,10,IF(L82&gt;=80,5,0))))</f>
        <v/>
      </c>
      <c r="O82" s="32" t="n">
        <v>42.67</v>
      </c>
      <c r="P82" s="32" t="n">
        <v>28.71</v>
      </c>
      <c r="Q82" s="32" t="n">
        <v>95.67</v>
      </c>
      <c r="R82" s="31" t="inlineStr">
        <is>
          <t>Earnings / Momentum Support</t>
        </is>
      </c>
      <c r="S82" s="31" t="inlineStr">
        <is>
          <t>Nifty IT</t>
        </is>
      </c>
      <c r="T82" s="32" t="n">
        <v>-22.66</v>
      </c>
      <c r="U82" s="32" t="n">
        <v>-72.58</v>
      </c>
      <c r="V82" s="32" t="n">
        <v>-64.55</v>
      </c>
      <c r="W82" s="32" t="n">
        <v>2.03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Below 45</t>
        </is>
      </c>
      <c r="BA82" s="31">
        <f>IF(AZ82="Between 50 to 75",10,IF(AZ82="Above 75",0,0))</f>
        <v/>
      </c>
      <c r="BB82" s="31" t="inlineStr">
        <is>
          <t>Stage 4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Between 1.5 to 2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17</t>
        </is>
      </c>
      <c r="CG82" s="31">
        <f>IF(CF82&gt;20,10,IF(CF82&gt;=10,5,2))</f>
        <v/>
      </c>
    </row>
    <row r="83">
      <c r="A83" s="31">
        <f>IF(B83=0,"",RANK(B83,$B$2:$B$85,0))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SUDARSHAN</t>
        </is>
      </c>
      <c r="D83" s="31" t="inlineStr">
        <is>
          <t>Sudarshan Pharma Industries Ltd</t>
        </is>
      </c>
      <c r="E83" s="31" t="inlineStr">
        <is>
          <t>Basic Materials</t>
        </is>
      </c>
      <c r="F83" s="31" t="inlineStr">
        <is>
          <t>Trading</t>
        </is>
      </c>
      <c r="G83" s="31" t="inlineStr">
        <is>
          <t>smallcap</t>
        </is>
      </c>
      <c r="H83" s="32" t="n">
        <v>1010.77</v>
      </c>
      <c r="I83" s="32" t="n">
        <v>42</v>
      </c>
      <c r="J83" s="32" t="n">
        <v>0.7</v>
      </c>
      <c r="K83" s="32" t="n">
        <v>0</v>
      </c>
      <c r="L83" s="31" t="n">
        <v>74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72.28</v>
      </c>
      <c r="P83" s="32" t="n">
        <v>36.19</v>
      </c>
      <c r="Q83" s="32" t="n">
        <v>31.3</v>
      </c>
      <c r="R83" s="31" t="inlineStr">
        <is>
          <t>Near 52W High Breakout</t>
        </is>
      </c>
      <c r="S83" s="31" t="inlineStr">
        <is>
          <t>Nifty 50</t>
        </is>
      </c>
      <c r="T83" s="32" t="n">
        <v>-3.67</v>
      </c>
      <c r="U83" s="32" t="n">
        <v>44.54</v>
      </c>
      <c r="V83" s="32" t="n">
        <v>50.05</v>
      </c>
      <c r="W83" s="32" t="n">
        <v>17.72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17</t>
        </is>
      </c>
      <c r="CG83" s="31">
        <f>IF(CF83&gt;20,10,IF(CF83&gt;=10,5,2))</f>
        <v/>
      </c>
    </row>
    <row r="84">
      <c r="A84" s="31">
        <f>IF(B84=0,"",RANK(B84,$B$2:$B$85,0))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KRISHANA</t>
        </is>
      </c>
      <c r="D84" s="31" t="inlineStr">
        <is>
          <t>Krishana Phoschem Ltd</t>
        </is>
      </c>
      <c r="E84" s="31" t="inlineStr">
        <is>
          <t>Basic Materials</t>
        </is>
      </c>
      <c r="F84" s="31" t="inlineStr">
        <is>
          <t>Fertilisers</t>
        </is>
      </c>
      <c r="G84" s="31" t="inlineStr">
        <is>
          <t>smallcap</t>
        </is>
      </c>
      <c r="H84" s="32" t="n">
        <v>4246.01</v>
      </c>
      <c r="I84" s="32" t="n">
        <v>137.35</v>
      </c>
      <c r="J84" s="32" t="n">
        <v>-1.19</v>
      </c>
      <c r="K84" s="32" t="n">
        <v>0</v>
      </c>
      <c r="L84" s="31" t="n">
        <v>49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59.48</v>
      </c>
      <c r="P84" s="32" t="n">
        <v>44.03</v>
      </c>
      <c r="Q84" s="32" t="n">
        <v>115.37</v>
      </c>
      <c r="R84" s="31" t="inlineStr">
        <is>
          <t>Earnings / Momentum Support</t>
        </is>
      </c>
      <c r="S84" s="31" t="inlineStr">
        <is>
          <t>Nifty FMCG</t>
        </is>
      </c>
      <c r="T84" s="32" t="n">
        <v>-14.13</v>
      </c>
      <c r="U84" s="32" t="n">
        <v>40.24</v>
      </c>
      <c r="V84" s="32" t="n">
        <v>63.31</v>
      </c>
      <c r="W84" s="32" t="n">
        <v>9.880000000000001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16</t>
        </is>
      </c>
      <c r="CG84" s="31">
        <f>IF(CF84&gt;20,10,IF(CF84&gt;=10,5,2))</f>
        <v/>
      </c>
    </row>
    <row r="85">
      <c r="A85" s="31">
        <f>IF(B85=0,"",RANK(B85,$B$2:$B$85,0))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UTSSAV</t>
        </is>
      </c>
      <c r="D85" s="31" t="inlineStr">
        <is>
          <t>Utssav CZ Gold Jewels Ltd</t>
        </is>
      </c>
      <c r="E85" s="31" t="inlineStr">
        <is>
          <t>unknown</t>
        </is>
      </c>
      <c r="F85" s="31" t="inlineStr">
        <is>
          <t>Diamond, Gems &amp; Jewellery</t>
        </is>
      </c>
      <c r="G85" s="31" t="inlineStr">
        <is>
          <t>smallcap</t>
        </is>
      </c>
      <c r="H85" s="32" t="n">
        <v>1209.21</v>
      </c>
      <c r="I85" s="32" t="n">
        <v>500.75</v>
      </c>
      <c r="J85" s="32" t="n">
        <v>4.99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inlineStr"/>
      <c r="P85" s="32" t="inlineStr"/>
      <c r="Q85" s="32" t="inlineStr"/>
      <c r="R85" s="31" t="inlineStr"/>
      <c r="S85" s="31" t="inlineStr"/>
      <c r="T85" s="32" t="inlineStr"/>
      <c r="U85" s="32" t="inlineStr"/>
      <c r="V85" s="32" t="inlineStr"/>
      <c r="W85" s="32" t="inlineStr"/>
      <c r="X85" s="31" t="n"/>
      <c r="Y85" s="31">
        <f>IF(X85="Growing Industry",10,IF(X85="Cyclical in an Upturn",5,0))</f>
        <v/>
      </c>
      <c r="Z85" s="31" t="n"/>
      <c r="AA85" s="31">
        <f>IF(Z85="Monopoly",10,IF(Z85="Oligopoly",5,IF(Z85="Duopoly that cooperate",10,IF(Z85="Duopoly that compete",5,IF(Z85="Too many players with High ROCE",5,0)))))</f>
        <v/>
      </c>
      <c r="AB85" s="31" t="n"/>
      <c r="AC85" s="31">
        <f>IF(AB85="No",5,0)</f>
        <v/>
      </c>
      <c r="AD85" s="31" t="n"/>
      <c r="AE85" s="31">
        <f>IF(AD85="Tailwind",10,0)</f>
        <v/>
      </c>
      <c r="AF85" s="31" t="n"/>
      <c r="AG85" s="31">
        <f>IF(AF85="Structural (10 Years Consistency)",10,IF(AF85="Shallow Cyclical (2 to 3 years growth)",5,0))</f>
        <v/>
      </c>
      <c r="AH85" s="31" t="n"/>
      <c r="AI85" s="31">
        <f>IF(AH85="Yes due to Product Mix change or Operating Leverage",10,IF(AH85="Yes, these are peak margins",-5,IF(AH85="No",5,0)))</f>
        <v/>
      </c>
      <c r="AJ85" s="31" t="n"/>
      <c r="AK85" s="31">
        <f>IF(AJ85="Stable",10,0)</f>
        <v/>
      </c>
      <c r="AL85" s="31" t="n"/>
      <c r="AM85" s="31">
        <f>IF(AL85="Yes",10,0)</f>
        <v/>
      </c>
      <c r="AN85" s="31" t="n"/>
      <c r="AO85" s="31">
        <f>IF(AN85="B2C",10,IF(AN85="B2B",5,0))</f>
        <v/>
      </c>
      <c r="AP85" s="31" t="n"/>
      <c r="AQ85" s="31">
        <f>IF(AP85="Yes",10,0)</f>
        <v/>
      </c>
      <c r="AR85" s="31" t="n"/>
      <c r="AS85" s="31">
        <f>IF(AR85="Fully Annuity",10,IF(AR85="Higher Annuity, Lower One Time",5,IF(AR85="Higher One Time, Lower Annuity",3,0)))</f>
        <v/>
      </c>
      <c r="AT85" s="31" t="n"/>
      <c r="AU85" s="31">
        <f>IF(AT85="Good",10,0)</f>
        <v/>
      </c>
      <c r="AV85" s="31" t="n"/>
      <c r="AW85" s="31">
        <f>IF(AV85="Yes for more than 2 years",10,IF(AV85="Yes only for next 1 to 2 years",5,0))</f>
        <v/>
      </c>
      <c r="AX85" s="31" t="n"/>
      <c r="AY85" s="31">
        <f>IF(AX85="Above 40",20,IF(AX85="20 to 40",10,IF(AX85="0 to 20",-5,0)))</f>
        <v/>
      </c>
      <c r="AZ85" s="31" t="n"/>
      <c r="BA85" s="31">
        <f>IF(AZ85="Between 50 to 75",10,IF(AZ85="Above 75",0,0))</f>
        <v/>
      </c>
      <c r="BB85" s="31" t="n"/>
      <c r="BC85" s="31">
        <f>IF(BB85="Stage 2",20,IF(BB85="Stage 1",0,IF(BB85="Stage 3",5,IF(BB85="Stage 4",-5,0))))</f>
        <v/>
      </c>
      <c r="BD85" s="31" t="n"/>
      <c r="BE85" s="31">
        <f>IF(BD85="Positive Trend",20,IF(BD85="Negative Trend",-10,0))</f>
        <v/>
      </c>
      <c r="BF85" s="31" t="n"/>
      <c r="BG85" s="31">
        <f>IF(BF85="Uptrend",10,IF(BF85="Sideways",5,0))</f>
        <v/>
      </c>
      <c r="BH85" s="31" t="n"/>
      <c r="BI85" s="31">
        <f>IF(BH85="Uptrend",10,IF(BH85="Sideways",5,0))</f>
        <v/>
      </c>
      <c r="BJ85" s="31" t="n"/>
      <c r="BK85" s="31">
        <f>IF(BJ85="Overhead supply in last 2 years in last 2 years",-5,IF(BJ85="Close to 52 week high or retracement",5,IF(BJ85="Blue sky scenario",10,IF(BJ85="Long term Downtrend",-10,0))))</f>
        <v/>
      </c>
      <c r="BL85" s="31" t="n"/>
      <c r="BM85" s="31">
        <f>IF(BL85="Yes",10,0)</f>
        <v/>
      </c>
      <c r="BN85" s="31" t="n"/>
      <c r="BO85" s="31">
        <f>IF(BN85="More than 20%",10,IF(BN85="Between 12 to 20%",5,IF(BN85="Less than 12%",0,0)))</f>
        <v/>
      </c>
      <c r="BP85" s="31" t="n"/>
      <c r="BQ85" s="31">
        <f>IF(BP85="No",10,0)</f>
        <v/>
      </c>
      <c r="BR85" s="31" t="n"/>
      <c r="BS85" s="31">
        <f>IF(BR85="NO",5,0)</f>
        <v/>
      </c>
      <c r="BT85" s="31" t="n"/>
      <c r="BU85" s="31">
        <f>IF(BT85="Above 2",0,IF(BT85="Between 1.5 to 2",5,IF(BT85="Less than 1.5",10,0)))</f>
        <v/>
      </c>
      <c r="BV85" s="31" t="n"/>
      <c r="BW85" s="31">
        <f>IF(BV85="Above 70%",10,IF(BV85="Between 50% to 70%",5,IF(BV85="Less than 50%",0,IF(BV85="Negative",-10,IF(BV85="Less than 50% and Borrowings are increasing",-5,0)))))</f>
        <v/>
      </c>
      <c r="BX85" s="31" t="n"/>
      <c r="BY85" s="31">
        <f>IF(BX85="More than 1.2",-10,IF(BX85="Between 0.7 to 1.2",0,IF(BX85="Less than 0.7",10,0)))</f>
        <v/>
      </c>
      <c r="BZ85" s="31" t="n"/>
      <c r="CA85" s="31">
        <f>IF(BZ85="Yes",-10,0)</f>
        <v/>
      </c>
      <c r="CB85" s="31" t="n"/>
      <c r="CC85" s="31">
        <f>IF(CB85="More than 15%",-10,IF(CB85="Less than 15%",10,0))</f>
        <v/>
      </c>
      <c r="CD85" s="31" t="n"/>
      <c r="CE85" s="31">
        <f>IF(CD85="Yes, more than 10%",-10,IF(CD85="No",10,0))</f>
        <v/>
      </c>
      <c r="CF85" s="31" t="n"/>
      <c r="CG85" s="31">
        <f>IF(CF85&gt;20,10,IF(CF85&gt;=10,5,2))</f>
        <v/>
      </c>
    </row>
    <row r="89">
      <c r="A89" s="25" t="inlineStr">
        <is>
          <t>❌ REMOVED SCAN MATCH STOCKS (THIS WEEK)</t>
        </is>
      </c>
    </row>
    <row r="90">
      <c r="A90" s="35" t="inlineStr">
        <is>
          <t>Symbol</t>
        </is>
      </c>
      <c r="B90" s="35" t="inlineStr">
        <is>
          <t>Company Name</t>
        </is>
      </c>
      <c r="C90" s="35" t="inlineStr">
        <is>
          <t>Sector</t>
        </is>
      </c>
      <c r="D90" s="35" t="inlineStr">
        <is>
          <t>Date of Removal</t>
        </is>
      </c>
    </row>
    <row r="91">
      <c r="A91" s="36" t="inlineStr">
        <is>
          <t>AVANTEL</t>
        </is>
      </c>
      <c r="B91" s="37" t="inlineStr">
        <is>
          <t>Avantel Limited</t>
        </is>
      </c>
      <c r="C91" s="37" t="inlineStr">
        <is>
          <t>Technology</t>
        </is>
      </c>
      <c r="D91" s="38" t="inlineStr">
        <is>
          <t>2026-07-14</t>
        </is>
      </c>
    </row>
    <row r="92">
      <c r="A92" s="36" t="inlineStr">
        <is>
          <t>BALAMINES</t>
        </is>
      </c>
      <c r="B92" s="37" t="inlineStr">
        <is>
          <t>Balaji Amines Limited</t>
        </is>
      </c>
      <c r="C92" s="37" t="inlineStr">
        <is>
          <t>Basic Materials</t>
        </is>
      </c>
      <c r="D92" s="38" t="inlineStr">
        <is>
          <t>2026-07-14</t>
        </is>
      </c>
    </row>
    <row r="93">
      <c r="A93" s="36" t="inlineStr">
        <is>
          <t>BHAGYANGR</t>
        </is>
      </c>
      <c r="B93" s="37" t="inlineStr">
        <is>
          <t>BHAGYANGR</t>
        </is>
      </c>
      <c r="C93" s="37" t="inlineStr">
        <is>
          <t>unknown</t>
        </is>
      </c>
      <c r="D93" s="38" t="inlineStr">
        <is>
          <t>2026-07-14</t>
        </is>
      </c>
    </row>
    <row r="94">
      <c r="A94" s="36" t="inlineStr">
        <is>
          <t>CRAFTSMAN</t>
        </is>
      </c>
      <c r="B94" s="37" t="inlineStr">
        <is>
          <t>CRAFTSMAN</t>
        </is>
      </c>
      <c r="C94" s="37" t="inlineStr">
        <is>
          <t>unknown</t>
        </is>
      </c>
      <c r="D94" s="38" t="inlineStr">
        <is>
          <t>2026-07-14</t>
        </is>
      </c>
    </row>
    <row r="95">
      <c r="A95" s="36" t="inlineStr">
        <is>
          <t>DIACABS</t>
        </is>
      </c>
      <c r="B95" s="37" t="inlineStr">
        <is>
          <t>Diamond Power Infrastructure Limited</t>
        </is>
      </c>
      <c r="C95" s="37" t="inlineStr">
        <is>
          <t>Industrials</t>
        </is>
      </c>
      <c r="D95" s="38" t="inlineStr">
        <is>
          <t>2026-07-14</t>
        </is>
      </c>
    </row>
    <row r="96">
      <c r="A96" s="36" t="inlineStr">
        <is>
          <t>DIVGIITTS</t>
        </is>
      </c>
      <c r="B96" s="37" t="inlineStr">
        <is>
          <t>Divgi TorqTransfer Systems Limited</t>
        </is>
      </c>
      <c r="C96" s="37" t="inlineStr">
        <is>
          <t>Consumer Cyclical</t>
        </is>
      </c>
      <c r="D96" s="38" t="inlineStr">
        <is>
          <t>2026-07-14</t>
        </is>
      </c>
    </row>
    <row r="97">
      <c r="A97" s="36" t="inlineStr">
        <is>
          <t>RAMCOSYS</t>
        </is>
      </c>
      <c r="B97" s="37" t="inlineStr">
        <is>
          <t>Ramco Systems Limited</t>
        </is>
      </c>
      <c r="C97" s="37" t="inlineStr">
        <is>
          <t>Technology</t>
        </is>
      </c>
      <c r="D97" s="38" t="inlineStr">
        <is>
          <t>2026-07-14</t>
        </is>
      </c>
    </row>
    <row r="98">
      <c r="A98" s="36" t="inlineStr">
        <is>
          <t>SANGHVIMOV</t>
        </is>
      </c>
      <c r="B98" s="37" t="inlineStr">
        <is>
          <t>SANGHVIMOV</t>
        </is>
      </c>
      <c r="C98" s="37" t="inlineStr">
        <is>
          <t>unknown</t>
        </is>
      </c>
      <c r="D98" s="38" t="inlineStr">
        <is>
          <t>2026-07-14</t>
        </is>
      </c>
    </row>
    <row r="99">
      <c r="A99" s="36" t="inlineStr">
        <is>
          <t>SENORES</t>
        </is>
      </c>
      <c r="B99" s="37" t="inlineStr">
        <is>
          <t>SENORES</t>
        </is>
      </c>
      <c r="C99" s="37" t="inlineStr">
        <is>
          <t>Healthcare</t>
        </is>
      </c>
      <c r="D99" s="38" t="inlineStr">
        <is>
          <t>2026-07-14</t>
        </is>
      </c>
    </row>
    <row r="100">
      <c r="A100" s="36" t="inlineStr">
        <is>
          <t>SUVEN</t>
        </is>
      </c>
      <c r="B100" s="37" t="inlineStr">
        <is>
          <t>Suven Life Sciences Limited</t>
        </is>
      </c>
      <c r="C100" s="37" t="inlineStr">
        <is>
          <t>Healthcare</t>
        </is>
      </c>
      <c r="D100" s="38" t="inlineStr">
        <is>
          <t>2026-07-14</t>
        </is>
      </c>
    </row>
    <row r="101">
      <c r="A101" s="36" t="inlineStr">
        <is>
          <t>UNICHEMLAB</t>
        </is>
      </c>
      <c r="B101" s="37" t="inlineStr">
        <is>
          <t>Unichem Laboratories Limited</t>
        </is>
      </c>
      <c r="C101" s="37" t="inlineStr">
        <is>
          <t>Healthcare</t>
        </is>
      </c>
      <c r="D101" s="38" t="inlineStr">
        <is>
          <t>2026-07-14</t>
        </is>
      </c>
    </row>
    <row r="102">
      <c r="A102" s="36" t="inlineStr">
        <is>
          <t>VIJAYA</t>
        </is>
      </c>
      <c r="B102" s="37" t="inlineStr">
        <is>
          <t>Vijaya Diagnostic Centre Limited</t>
        </is>
      </c>
      <c r="C102" s="37" t="inlineStr">
        <is>
          <t>Healthcare</t>
        </is>
      </c>
      <c r="D102" s="38" t="inlineStr">
        <is>
          <t>2026-07-14</t>
        </is>
      </c>
    </row>
  </sheetData>
  <autoFilter ref="A1:CG85"/>
  <conditionalFormatting sqref="B2:B8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5">
    <cfRule type="cellIs" priority="37" operator="equal" dxfId="3" stopIfTrue="1">
      <formula>"Underperforming"</formula>
    </cfRule>
  </conditionalFormatting>
  <conditionalFormatting sqref="N2:N85">
    <cfRule type="cellIs" priority="38" operator="equal" dxfId="3" stopIfTrue="1">
      <formula>-5</formula>
    </cfRule>
  </conditionalFormatting>
  <conditionalFormatting sqref="Q2:Q8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5" showDropDown="0" showInputMessage="0" showErrorMessage="0" allowBlank="1" type="list">
      <formula1>"Growing Industry,Stagnant Industry,Cyclical in an Upturn"</formula1>
    </dataValidation>
    <dataValidation sqref="Z2:Z8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5" showDropDown="0" showInputMessage="0" showErrorMessage="0" allowBlank="1" type="list">
      <formula1>"Yes,No"</formula1>
    </dataValidation>
    <dataValidation sqref="AD2:AD85" showDropDown="0" showInputMessage="0" showErrorMessage="0" allowBlank="1" type="list">
      <formula1>"Tailwind,Headwind"</formula1>
    </dataValidation>
    <dataValidation sqref="AF2:AF85" showDropDown="0" showInputMessage="0" showErrorMessage="0" allowBlank="1" type="list">
      <formula1>"Structural (10 Years Consistency),Shallow Cyclical (2 to 3 Years Growth),Cyclical"</formula1>
    </dataValidation>
    <dataValidation sqref="AH2:AH85" showDropDown="0" showInputMessage="0" showErrorMessage="0" allowBlank="1" type="list">
      <formula1>"Yes due to Product Mix change or Operating Leverage,Yes, these are peak margins,No"</formula1>
    </dataValidation>
    <dataValidation sqref="AJ2:AJ85" showDropDown="0" showInputMessage="0" showErrorMessage="0" allowBlank="1" type="list">
      <formula1>"Stable,Volatile"</formula1>
    </dataValidation>
    <dataValidation sqref="AL2:AL85" showDropDown="0" showInputMessage="0" showErrorMessage="0" allowBlank="1" type="list">
      <formula1>"Yes,No"</formula1>
    </dataValidation>
    <dataValidation sqref="AN2:AN85" showDropDown="0" showInputMessage="0" showErrorMessage="0" allowBlank="1" type="list">
      <formula1>"B2C,B2B,B2G"</formula1>
    </dataValidation>
    <dataValidation sqref="AP2:AP85" showDropDown="0" showInputMessage="0" showErrorMessage="0" allowBlank="1" type="list">
      <formula1>"Yes,No"</formula1>
    </dataValidation>
    <dataValidation sqref="AR2:AR85" showDropDown="0" showInputMessage="0" showErrorMessage="0" allowBlank="1" type="list">
      <formula1>"Fully Annuity,Higher Annuity, Lower One time,Higher One Time, Lower Annuity,Fully One Time"</formula1>
    </dataValidation>
    <dataValidation sqref="AT2:AT85" showDropDown="0" showInputMessage="0" showErrorMessage="0" allowBlank="1" type="list">
      <formula1>"Good,Allocated capital in Non-core Areas"</formula1>
    </dataValidation>
    <dataValidation sqref="AV2:AV85" showDropDown="0" showInputMessage="0" showErrorMessage="0" allowBlank="1" type="list">
      <formula1>"Yes for more than 2 years,Yes only for next 1 to 2 years,No"</formula1>
    </dataValidation>
    <dataValidation sqref="AX2:AX85" showDropDown="0" showInputMessage="0" showErrorMessage="0" allowBlank="1" type="list">
      <formula1>"Above 40,20 to 40,0 to 20"</formula1>
    </dataValidation>
    <dataValidation sqref="AZ2:AZ85" showDropDown="0" showInputMessage="0" showErrorMessage="0" allowBlank="1" type="list">
      <formula1>"Between 50 to 75,Above 75,Below 45"</formula1>
    </dataValidation>
    <dataValidation sqref="BB2:BB85" showDropDown="0" showInputMessage="0" showErrorMessage="0" allowBlank="1" type="list">
      <formula1>"Stage 1,Stage 2,Stage 3,Stage 4"</formula1>
    </dataValidation>
    <dataValidation sqref="BD2:BD85" showDropDown="0" showInputMessage="0" showErrorMessage="0" allowBlank="1" type="list">
      <formula1>"Positive Trend,Negative Trend"</formula1>
    </dataValidation>
    <dataValidation sqref="BF2:BF85" showDropDown="0" showInputMessage="0" showErrorMessage="0" allowBlank="1" type="list">
      <formula1>"Uptrend,Sideways,Downtrend"</formula1>
    </dataValidation>
    <dataValidation sqref="BH2:BH85" showDropDown="0" showInputMessage="0" showErrorMessage="0" allowBlank="1" type="list">
      <formula1>"Uptrend,Sideways,Downtrend"</formula1>
    </dataValidation>
    <dataValidation sqref="BJ2:BJ8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5" showDropDown="0" showInputMessage="0" showErrorMessage="0" allowBlank="1" type="list">
      <formula1>"Yes,No"</formula1>
    </dataValidation>
    <dataValidation sqref="BN2:BN85" showDropDown="0" showInputMessage="0" showErrorMessage="0" allowBlank="1" type="list">
      <formula1>"More than 20%,Between 12 to 20%,Less than 12%"</formula1>
    </dataValidation>
    <dataValidation sqref="BP2:BP85" showDropDown="0" showInputMessage="0" showErrorMessage="0" allowBlank="1" type="list">
      <formula1>"Yes,No"</formula1>
    </dataValidation>
    <dataValidation sqref="BR2:BR85" showDropDown="0" showInputMessage="0" showErrorMessage="0" allowBlank="1" type="list">
      <formula1>"Yes,No"</formula1>
    </dataValidation>
    <dataValidation sqref="BT2:BT85" showDropDown="0" showInputMessage="0" showErrorMessage="0" allowBlank="1" type="list">
      <formula1>"Above 2,Between 1.5 to 2,Less than 1.5"</formula1>
    </dataValidation>
    <dataValidation sqref="BV2:BV85" showDropDown="0" showInputMessage="0" showErrorMessage="0" allowBlank="1" type="list">
      <formula1>"Above 70%,Between 50% to 70%,Less than 50%,Less than 50% and Borrowings are increasing,Negative"</formula1>
    </dataValidation>
    <dataValidation sqref="BX2:BX85" showDropDown="0" showInputMessage="0" showErrorMessage="0" allowBlank="1" type="list">
      <formula1>"More than 1.2,Between 0.7 to 1.2,Less than 0.7"</formula1>
    </dataValidation>
    <dataValidation sqref="BZ2:BZ85" showDropDown="0" showInputMessage="0" showErrorMessage="0" allowBlank="1" type="list">
      <formula1>"Yes,No"</formula1>
    </dataValidation>
    <dataValidation sqref="CB2:CB85" showDropDown="0" showInputMessage="0" showErrorMessage="0" allowBlank="1" type="list">
      <formula1>"More than 15%,Less than 15%"</formula1>
    </dataValidation>
    <dataValidation sqref="CD2:CD8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IF(B2=0,"",RANK(B2,$B$2:$B$17,0))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2915.33</v>
      </c>
      <c r="I2" s="32" t="n">
        <v>263.9</v>
      </c>
      <c r="J2" s="32" t="n">
        <v>-1.23</v>
      </c>
      <c r="K2" s="32" t="n">
        <v>0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75.47</v>
      </c>
      <c r="P2" s="32" t="n">
        <v>65.20999999999999</v>
      </c>
      <c r="Q2" s="32" t="n">
        <v>208.03</v>
      </c>
      <c r="R2" s="31" t="inlineStr">
        <is>
          <t>Near 52W High Breakout</t>
        </is>
      </c>
      <c r="S2" s="31" t="inlineStr">
        <is>
          <t>Nifty Bank</t>
        </is>
      </c>
      <c r="T2" s="32" t="n">
        <v>2.1</v>
      </c>
      <c r="U2" s="32" t="n">
        <v>61.32</v>
      </c>
      <c r="V2" s="32" t="n">
        <v>58.01</v>
      </c>
      <c r="W2" s="32" t="n">
        <v>22.07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21</t>
        </is>
      </c>
      <c r="CC2" s="31">
        <f>IF(CB2&gt;20,10,IF(CB2&gt;=10,5,2))</f>
        <v/>
      </c>
    </row>
    <row r="3">
      <c r="A3" s="31">
        <f>IF(B3=0,"",RANK(B3,$B$2:$B$17,0))</f>
        <v/>
      </c>
      <c r="B3" s="32">
        <f>SUM(N3,Y3,AA3,AC3,AE3,AG3,AI3,AK3,AM3,AO3,AQ3,AS3,AU3,AW3,AY3,BA3,BC3,BE3,BG3,BI3,BK3,BM3,BO3,BQ3,BS3,BU3,BW3,BY3,CA3,CC3)</f>
        <v/>
      </c>
      <c r="C3" s="34" t="inlineStr">
        <is>
          <t>MRUTR</t>
        </is>
      </c>
      <c r="D3" s="34" t="inlineStr">
        <is>
          <t>Mrugesh Trading Ltd</t>
        </is>
      </c>
      <c r="E3" s="31" t="inlineStr">
        <is>
          <t>Consumer Defensive</t>
        </is>
      </c>
      <c r="F3" s="31" t="inlineStr">
        <is>
          <t>NBFC - Others</t>
        </is>
      </c>
      <c r="G3" s="31" t="inlineStr">
        <is>
          <t>smallcap</t>
        </is>
      </c>
      <c r="H3" s="32" t="n">
        <v>4879.43</v>
      </c>
      <c r="I3" s="32" t="n">
        <v>67.54000000000001</v>
      </c>
      <c r="J3" s="32" t="n">
        <v>1.99</v>
      </c>
      <c r="K3" s="32" t="n">
        <v>0</v>
      </c>
      <c r="L3" s="31" t="n">
        <v>99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99.89</v>
      </c>
      <c r="P3" s="32" t="n">
        <v>99.23</v>
      </c>
      <c r="Q3" s="32" t="n">
        <v>59.56</v>
      </c>
      <c r="R3" s="31" t="inlineStr">
        <is>
          <t>Near 52W High Breakout</t>
        </is>
      </c>
      <c r="S3" s="31" t="inlineStr">
        <is>
          <t>Nifty 50</t>
        </is>
      </c>
      <c r="T3" s="32" t="n">
        <v>-3.67</v>
      </c>
      <c r="U3" s="32" t="n">
        <v>14487.47</v>
      </c>
      <c r="V3" s="32" t="n">
        <v>15043.24</v>
      </c>
      <c r="W3" s="32" t="n">
        <v>246.72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less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15</t>
        </is>
      </c>
      <c r="CC3" s="31">
        <f>IF(CB3&gt;20,10,IF(CB3&gt;=10,5,2))</f>
        <v/>
      </c>
    </row>
    <row r="4">
      <c r="A4" s="31">
        <f>IF(B4=0,"",RANK(B4,$B$2:$B$17,0))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UJJIVANSFB</t>
        </is>
      </c>
      <c r="D4" s="31" t="inlineStr">
        <is>
          <t>Ujjivan Small Finance Bank Ltd</t>
        </is>
      </c>
      <c r="E4" s="31" t="inlineStr">
        <is>
          <t>bank</t>
        </is>
      </c>
      <c r="F4" s="31" t="inlineStr">
        <is>
          <t>Banks - Small Finance</t>
        </is>
      </c>
      <c r="G4" s="31" t="inlineStr">
        <is>
          <t>midcap</t>
        </is>
      </c>
      <c r="H4" s="32" t="n">
        <v>12669.29</v>
      </c>
      <c r="I4" s="32" t="n">
        <v>65.11</v>
      </c>
      <c r="J4" s="32" t="n">
        <v>-2.63</v>
      </c>
      <c r="K4" s="32" t="n">
        <v>0</v>
      </c>
      <c r="L4" s="31" t="n">
        <v>43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62.85</v>
      </c>
      <c r="P4" s="32" t="n">
        <v>25.67</v>
      </c>
      <c r="Q4" s="32" t="n">
        <v>51.13</v>
      </c>
      <c r="R4" s="31" t="inlineStr">
        <is>
          <t>Near 52W High Breakout</t>
        </is>
      </c>
      <c r="S4" s="31" t="inlineStr">
        <is>
          <t>Nifty Bank</t>
        </is>
      </c>
      <c r="T4" s="32" t="n">
        <v>2.1</v>
      </c>
      <c r="U4" s="32" t="n">
        <v>33.29</v>
      </c>
      <c r="V4" s="32" t="n">
        <v>30.56</v>
      </c>
      <c r="W4" s="32" t="n">
        <v>8.539999999999999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21</t>
        </is>
      </c>
      <c r="CC4" s="31">
        <f>IF(CB4&gt;20,10,IF(CB4&gt;=10,5,2))</f>
        <v/>
      </c>
    </row>
    <row r="5">
      <c r="A5" s="31">
        <f>IF(B5=0,"",RANK(B5,$B$2:$B$17,0))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- Capital Markets - Brokers</t>
        </is>
      </c>
      <c r="G5" s="31" t="inlineStr">
        <is>
          <t>midcap</t>
        </is>
      </c>
      <c r="H5" s="32" t="n">
        <v>6594.03</v>
      </c>
      <c r="I5" s="32" t="n">
        <v>72.5</v>
      </c>
      <c r="J5" s="32" t="n">
        <v>0.28</v>
      </c>
      <c r="K5" s="32" t="n">
        <v>0</v>
      </c>
      <c r="L5" s="31" t="n">
        <v>92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82.77</v>
      </c>
      <c r="P5" s="32" t="n">
        <v>52.12</v>
      </c>
      <c r="Q5" s="32" t="n">
        <v>58.96</v>
      </c>
      <c r="R5" s="31" t="inlineStr">
        <is>
          <t>Near 52W High Breakout</t>
        </is>
      </c>
      <c r="S5" s="31" t="inlineStr">
        <is>
          <t>Nifty Bank</t>
        </is>
      </c>
      <c r="T5" s="32" t="n">
        <v>2.1</v>
      </c>
      <c r="U5" s="32" t="n">
        <v>133.11</v>
      </c>
      <c r="V5" s="32" t="n">
        <v>128.32</v>
      </c>
      <c r="W5" s="32" t="n">
        <v>34.41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20</t>
        </is>
      </c>
      <c r="CC5" s="31">
        <f>IF(CB5&gt;20,10,IF(CB5&gt;=10,5,2))</f>
        <v/>
      </c>
    </row>
    <row r="6">
      <c r="A6" s="31">
        <f>IF(B6=0,"",RANK(B6,$B$2:$B$17,0))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SGFIN</t>
        </is>
      </c>
      <c r="D6" s="31" t="inlineStr">
        <is>
          <t>SG Finserve Ltd</t>
        </is>
      </c>
      <c r="E6" s="31" t="inlineStr">
        <is>
          <t>Financial Services</t>
        </is>
      </c>
      <c r="F6" s="31" t="inlineStr">
        <is>
          <t>Finance &amp; Investments - MSME Lending</t>
        </is>
      </c>
      <c r="G6" s="31" t="inlineStr">
        <is>
          <t>smallcap</t>
        </is>
      </c>
      <c r="H6" s="32" t="n">
        <v>3993.24</v>
      </c>
      <c r="I6" s="32" t="n">
        <v>606</v>
      </c>
      <c r="J6" s="32" t="n">
        <v>-1.83</v>
      </c>
      <c r="K6" s="32" t="n">
        <v>0</v>
      </c>
      <c r="L6" s="31" t="n">
        <v>65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61.4</v>
      </c>
      <c r="P6" s="32" t="n">
        <v>59.43</v>
      </c>
      <c r="Q6" s="32" t="n">
        <v>511.64</v>
      </c>
      <c r="R6" s="31" t="inlineStr">
        <is>
          <t>Volume Spike / Accumulation</t>
        </is>
      </c>
      <c r="S6" s="31" t="inlineStr">
        <is>
          <t>Nifty Bank</t>
        </is>
      </c>
      <c r="T6" s="32" t="n">
        <v>4.47</v>
      </c>
      <c r="U6" s="32" t="n">
        <v>54.06</v>
      </c>
      <c r="V6" s="32" t="n">
        <v>47.47</v>
      </c>
      <c r="W6" s="32" t="n">
        <v>13.51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20</t>
        </is>
      </c>
      <c r="CC6" s="31">
        <f>IF(CB6&gt;20,10,IF(CB6&gt;=10,5,2))</f>
        <v/>
      </c>
    </row>
    <row r="7">
      <c r="A7" s="31">
        <f>IF(B7=0,"",RANK(B7,$B$2:$B$17,0))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SURYODAY</t>
        </is>
      </c>
      <c r="D7" s="31" t="inlineStr">
        <is>
          <t>Suryoday Small Finance Bank Ltd</t>
        </is>
      </c>
      <c r="E7" s="31" t="inlineStr">
        <is>
          <t>bank</t>
        </is>
      </c>
      <c r="F7" s="31" t="inlineStr">
        <is>
          <t>Banks - Small Finance</t>
        </is>
      </c>
      <c r="G7" s="31" t="inlineStr">
        <is>
          <t>smallcap</t>
        </is>
      </c>
      <c r="H7" s="32" t="n">
        <v>1993.47</v>
      </c>
      <c r="I7" s="32" t="n">
        <v>187.55</v>
      </c>
      <c r="J7" s="32" t="n">
        <v>-2.1</v>
      </c>
      <c r="K7" s="32" t="n">
        <v>0</v>
      </c>
      <c r="L7" s="31" t="n">
        <v>61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68.40000000000001</v>
      </c>
      <c r="P7" s="32" t="n">
        <v>39.52</v>
      </c>
      <c r="Q7" s="32" t="n">
        <v>146.11</v>
      </c>
      <c r="R7" s="31" t="inlineStr">
        <is>
          <t>Near 52W High Breakout</t>
        </is>
      </c>
      <c r="S7" s="31" t="inlineStr">
        <is>
          <t>Nifty Bank</t>
        </is>
      </c>
      <c r="T7" s="32" t="n">
        <v>2.1</v>
      </c>
      <c r="U7" s="32" t="n">
        <v>33.06</v>
      </c>
      <c r="V7" s="32" t="n">
        <v>30.33</v>
      </c>
      <c r="W7" s="32" t="n">
        <v>12.47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19</t>
        </is>
      </c>
      <c r="CC7" s="31">
        <f>IF(CB7&gt;20,10,IF(CB7&gt;=10,5,2))</f>
        <v/>
      </c>
    </row>
    <row r="8">
      <c r="A8" s="31">
        <f>IF(B8=0,"",RANK(B8,$B$2:$B$17,0))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FUSION</t>
        </is>
      </c>
      <c r="D8" s="31" t="inlineStr">
        <is>
          <t>Fusion Finance Ltd</t>
        </is>
      </c>
      <c r="E8" s="31" t="inlineStr">
        <is>
          <t>financials</t>
        </is>
      </c>
      <c r="F8" s="31" t="inlineStr">
        <is>
          <t>Finance &amp; Investments - Microfinance</t>
        </is>
      </c>
      <c r="G8" s="31" t="inlineStr">
        <is>
          <t>smallcap</t>
        </is>
      </c>
      <c r="H8" s="32" t="n">
        <v>3718.73</v>
      </c>
      <c r="I8" s="32" t="n">
        <v>230</v>
      </c>
      <c r="J8" s="32" t="n">
        <v>-3.01</v>
      </c>
      <c r="K8" s="32" t="n">
        <v>0</v>
      </c>
      <c r="L8" s="31" t="n">
        <v>57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65.7</v>
      </c>
      <c r="P8" s="32" t="n">
        <v>26.56</v>
      </c>
      <c r="Q8" s="32" t="n">
        <v>173.36</v>
      </c>
      <c r="R8" s="31" t="inlineStr">
        <is>
          <t>Near 52W High Breakout</t>
        </is>
      </c>
      <c r="S8" s="31" t="inlineStr">
        <is>
          <t>Nifty Bank</t>
        </is>
      </c>
      <c r="T8" s="32" t="n">
        <v>2.1</v>
      </c>
      <c r="U8" s="32" t="n">
        <v>20.38</v>
      </c>
      <c r="V8" s="32" t="n">
        <v>17.91</v>
      </c>
      <c r="W8" s="32" t="n">
        <v>11.57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15</t>
        </is>
      </c>
      <c r="CC8" s="31">
        <f>IF(CB8&gt;20,10,IF(CB8&gt;=10,5,2))</f>
        <v/>
      </c>
    </row>
    <row r="9">
      <c r="A9" s="31">
        <f>IF(B9=0,"",RANK(B9,$B$2:$B$17,0))</f>
        <v/>
      </c>
      <c r="B9" s="32">
        <f>SUM(N9,Y9,AA9,AC9,AE9,AG9,AI9,AK9,AM9,AO9,AQ9,AS9,AU9,AW9,AY9,BA9,BC9,BE9,BG9,BI9,BK9,BM9,BO9,BQ9,BS9,BU9,BW9,BY9,CA9,CC9)</f>
        <v/>
      </c>
      <c r="C9" s="34" t="inlineStr">
        <is>
          <t>NAM-INDIA</t>
        </is>
      </c>
      <c r="D9" s="34" t="inlineStr">
        <is>
          <t>Nippon Life India Asset Management Ltd</t>
        </is>
      </c>
      <c r="E9" s="31" t="inlineStr">
        <is>
          <t>financials</t>
        </is>
      </c>
      <c r="F9" s="31" t="inlineStr">
        <is>
          <t>Finance - AMC</t>
        </is>
      </c>
      <c r="G9" s="31" t="inlineStr">
        <is>
          <t>largecap</t>
        </is>
      </c>
      <c r="H9" s="32" t="n">
        <v>76082.60000000001</v>
      </c>
      <c r="I9" s="32" t="n">
        <v>1190.1</v>
      </c>
      <c r="J9" s="32" t="n">
        <v>-2.07</v>
      </c>
      <c r="K9" s="32" t="n">
        <v>0</v>
      </c>
      <c r="L9" s="31" t="n">
        <v>58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67.68000000000001</v>
      </c>
      <c r="P9" s="32" t="n">
        <v>43.12</v>
      </c>
      <c r="Q9" s="32" t="n">
        <v>984.6799999999999</v>
      </c>
      <c r="R9" s="31" t="inlineStr">
        <is>
          <t>Near 52W High Breakout</t>
        </is>
      </c>
      <c r="S9" s="31" t="inlineStr">
        <is>
          <t>Nifty Bank</t>
        </is>
      </c>
      <c r="T9" s="32" t="n">
        <v>2.1</v>
      </c>
      <c r="U9" s="32" t="n">
        <v>44.77</v>
      </c>
      <c r="V9" s="32" t="n">
        <v>41.8</v>
      </c>
      <c r="W9" s="32" t="n">
        <v>11.75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above 5x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Above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17</t>
        </is>
      </c>
      <c r="CC9" s="31">
        <f>IF(CB9&gt;20,10,IF(CB9&gt;=10,5,2))</f>
        <v/>
      </c>
    </row>
    <row r="10">
      <c r="A10" s="31">
        <f>IF(B10=0,"",RANK(B10,$B$2:$B$17,0))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MUTHOOTMF</t>
        </is>
      </c>
      <c r="D10" s="31" t="inlineStr">
        <is>
          <t>Muthoot Microfin Ltd</t>
        </is>
      </c>
      <c r="E10" s="31" t="inlineStr">
        <is>
          <t>financials</t>
        </is>
      </c>
      <c r="F10" s="31" t="inlineStr">
        <is>
          <t>Finance &amp; Investments - Microfinance</t>
        </is>
      </c>
      <c r="G10" s="31" t="inlineStr">
        <is>
          <t>smallcap</t>
        </is>
      </c>
      <c r="H10" s="32" t="n">
        <v>4078</v>
      </c>
      <c r="I10" s="32" t="n">
        <v>239.19</v>
      </c>
      <c r="J10" s="32" t="n">
        <v>-2.89</v>
      </c>
      <c r="K10" s="32" t="n">
        <v>0</v>
      </c>
      <c r="L10" s="31" t="n">
        <v>70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73.76000000000001</v>
      </c>
      <c r="P10" s="32" t="n">
        <v>36.81</v>
      </c>
      <c r="Q10" s="32" t="n">
        <v>181.77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2.1</v>
      </c>
      <c r="U10" s="32" t="n">
        <v>43.89</v>
      </c>
      <c r="V10" s="32" t="n">
        <v>40.93</v>
      </c>
      <c r="W10" s="32" t="n">
        <v>15.54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16</t>
        </is>
      </c>
      <c r="CC10" s="31">
        <f>IF(CB10&gt;20,10,IF(CB10&gt;=10,5,2))</f>
        <v/>
      </c>
    </row>
    <row r="11">
      <c r="A11" s="31">
        <f>IF(B11=0,"",RANK(B11,$B$2:$B$17,0))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CGCL</t>
        </is>
      </c>
      <c r="D11" s="31" t="inlineStr">
        <is>
          <t>Capri Global Capital Ltd</t>
        </is>
      </c>
      <c r="E11" s="31" t="inlineStr">
        <is>
          <t>financials</t>
        </is>
      </c>
      <c r="F11" s="31" t="inlineStr">
        <is>
          <t>Finance &amp; Investments - Gold Loan</t>
        </is>
      </c>
      <c r="G11" s="31" t="inlineStr">
        <is>
          <t>largecap</t>
        </is>
      </c>
      <c r="H11" s="32" t="n">
        <v>24609.97</v>
      </c>
      <c r="I11" s="32" t="n">
        <v>255.78</v>
      </c>
      <c r="J11" s="32" t="n">
        <v>-0.34</v>
      </c>
      <c r="K11" s="32" t="n">
        <v>0</v>
      </c>
      <c r="L11" s="31" t="n">
        <v>72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78.81</v>
      </c>
      <c r="P11" s="32" t="n">
        <v>31.59</v>
      </c>
      <c r="Q11" s="32" t="n">
        <v>213.42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2.1</v>
      </c>
      <c r="U11" s="32" t="n">
        <v>40.18</v>
      </c>
      <c r="V11" s="32" t="n">
        <v>37.3</v>
      </c>
      <c r="W11" s="32" t="n">
        <v>16.42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Above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24</t>
        </is>
      </c>
      <c r="CC11" s="31">
        <f>IF(CB11&gt;20,10,IF(CB11&gt;=10,5,2))</f>
        <v/>
      </c>
    </row>
    <row r="12">
      <c r="A12" s="31">
        <f>IF(B12=0,"",RANK(B12,$B$2:$B$17,0))</f>
        <v/>
      </c>
      <c r="B12" s="32">
        <f>SUM(N12,Y12,AA12,AC12,AE12,AG12,AI12,AK12,AM12,AO12,AQ12,AS12,AU12,AW12,AY12,BA12,BC12,BE12,BG12,BI12,BK12,BM12,BO12,BQ12,BS12,BU12,BW12,BY12,CA12,CC12)</f>
        <v/>
      </c>
      <c r="C12" s="34" t="inlineStr">
        <is>
          <t>SPANDANA</t>
        </is>
      </c>
      <c r="D12" s="34" t="inlineStr">
        <is>
          <t>Spandana Sphoorty Financial Ltd</t>
        </is>
      </c>
      <c r="E12" s="31" t="inlineStr">
        <is>
          <t>financials</t>
        </is>
      </c>
      <c r="F12" s="31" t="inlineStr">
        <is>
          <t>Finance &amp; Investments - Microfinance</t>
        </is>
      </c>
      <c r="G12" s="31" t="inlineStr">
        <is>
          <t>smallcap</t>
        </is>
      </c>
      <c r="H12" s="32" t="n">
        <v>2166.25</v>
      </c>
      <c r="I12" s="32" t="n">
        <v>303.8</v>
      </c>
      <c r="J12" s="32" t="n">
        <v>-0.49</v>
      </c>
      <c r="K12" s="32" t="n">
        <v>0</v>
      </c>
      <c r="L12" s="31" t="n">
        <v>46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62.06</v>
      </c>
      <c r="P12" s="32" t="n">
        <v>17.14</v>
      </c>
      <c r="Q12" s="32" t="n">
        <v>226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2.1</v>
      </c>
      <c r="U12" s="32" t="n">
        <v>4.05</v>
      </c>
      <c r="V12" s="32" t="n">
        <v>1.92</v>
      </c>
      <c r="W12" s="32" t="n">
        <v>8.9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0 to 20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16</t>
        </is>
      </c>
      <c r="CC12" s="31">
        <f>IF(CB12&gt;20,10,IF(CB12&gt;=10,5,2))</f>
        <v/>
      </c>
    </row>
    <row r="13">
      <c r="A13" s="31">
        <f>IF(B13=0,"",RANK(B13,$B$2:$B$17,0))</f>
        <v/>
      </c>
      <c r="B13" s="32">
        <f>SUM(N13,Y13,AA13,AC13,AE13,AG13,AI13,AK13,AM13,AO13,AQ13,AS13,AU13,AW13,AY13,BA13,BC13,BE13,BG13,BI13,BK13,BM13,BO13,BQ13,BS13,BU13,BW13,BY13,CA13,CC13)</f>
        <v/>
      </c>
      <c r="C13" s="31" t="inlineStr">
        <is>
          <t>GODREJIND</t>
        </is>
      </c>
      <c r="D13" s="31" t="inlineStr">
        <is>
          <t>Godrej Industries Ltd</t>
        </is>
      </c>
      <c r="E13" s="31" t="inlineStr">
        <is>
          <t>chemicals</t>
        </is>
      </c>
      <c r="F13" s="31" t="inlineStr">
        <is>
          <t>Finance - Holding Company</t>
        </is>
      </c>
      <c r="G13" s="31" t="inlineStr">
        <is>
          <t>largecap</t>
        </is>
      </c>
      <c r="H13" s="32" t="n">
        <v>45225.62</v>
      </c>
      <c r="I13" s="32" t="n">
        <v>1342.6</v>
      </c>
      <c r="J13" s="32" t="n">
        <v>-2.88</v>
      </c>
      <c r="K13" s="32" t="n">
        <v>0</v>
      </c>
      <c r="L13" s="31" t="n">
        <v>65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64.8</v>
      </c>
      <c r="P13" s="32" t="n">
        <v>32.77</v>
      </c>
      <c r="Q13" s="32" t="n">
        <v>1099.4</v>
      </c>
      <c r="R13" s="31" t="inlineStr">
        <is>
          <t>Earnings / Momentum Support</t>
        </is>
      </c>
      <c r="S13" s="31" t="inlineStr">
        <is>
          <t>Nifty 500</t>
        </is>
      </c>
      <c r="T13" s="32" t="n">
        <v>-0.33</v>
      </c>
      <c r="U13" s="32" t="n">
        <v>15.76</v>
      </c>
      <c r="V13" s="32" t="n">
        <v>16.14</v>
      </c>
      <c r="W13" s="32" t="n">
        <v>13.43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16</t>
        </is>
      </c>
      <c r="CC13" s="31">
        <f>IF(CB13&gt;20,10,IF(CB13&gt;=10,5,2))</f>
        <v/>
      </c>
    </row>
    <row r="14">
      <c r="A14" s="31">
        <f>IF(B14=0,"",RANK(B14,$B$2:$B$17,0))</f>
        <v/>
      </c>
      <c r="B14" s="32">
        <f>SUM(N14,Y14,AA14,AC14,AE14,AG14,AI14,AK14,AM14,AO14,AQ14,AS14,AU14,AW14,AY14,BA14,BC14,BE14,BG14,BI14,BK14,BM14,BO14,BQ14,BS14,BU14,BW14,BY14,CA14,CC14)</f>
        <v/>
      </c>
      <c r="C14" s="31" t="inlineStr">
        <is>
          <t>AADHARHFC</t>
        </is>
      </c>
      <c r="D14" s="31" t="inlineStr">
        <is>
          <t>Aadhar Housing Finance Ltd</t>
        </is>
      </c>
      <c r="E14" s="31" t="inlineStr">
        <is>
          <t>Financial Services</t>
        </is>
      </c>
      <c r="F14" s="31" t="inlineStr">
        <is>
          <t>Finance - Housing</t>
        </is>
      </c>
      <c r="G14" s="31" t="inlineStr">
        <is>
          <t>largecap</t>
        </is>
      </c>
      <c r="H14" s="32" t="n">
        <v>22649.69</v>
      </c>
      <c r="I14" s="32" t="n">
        <v>517.9</v>
      </c>
      <c r="J14" s="32" t="n">
        <v>-3.36</v>
      </c>
      <c r="K14" s="32" t="n">
        <v>0</v>
      </c>
      <c r="L14" s="31" t="n">
        <v>10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56.64</v>
      </c>
      <c r="P14" s="32" t="n">
        <v>27.38</v>
      </c>
      <c r="Q14" s="32" t="n">
        <v>450.97</v>
      </c>
      <c r="R14" s="31" t="inlineStr">
        <is>
          <t>Earnings / Momentum Support</t>
        </is>
      </c>
      <c r="S14" s="31" t="inlineStr">
        <is>
          <t>Nifty Bank</t>
        </is>
      </c>
      <c r="T14" s="32" t="n">
        <v>2.1</v>
      </c>
      <c r="U14" s="32" t="n">
        <v>2.82</v>
      </c>
      <c r="V14" s="32" t="n">
        <v>0.71</v>
      </c>
      <c r="W14" s="32" t="n">
        <v>1.55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16</t>
        </is>
      </c>
      <c r="CC14" s="31">
        <f>IF(CB14&gt;20,10,IF(CB14&gt;=10,5,2))</f>
        <v/>
      </c>
    </row>
    <row r="15">
      <c r="A15" s="31">
        <f>IF(B15=0,"",RANK(B15,$B$2:$B$17,0))</f>
        <v/>
      </c>
      <c r="B15" s="32">
        <f>SUM(N15,Y15,AA15,AC15,AE15,AG15,AI15,AK15,AM15,AO15,AQ15,AS15,AU15,AW15,AY15,BA15,BC15,BE15,BG15,BI15,BK15,BM15,BO15,BQ15,BS15,BU15,BW15,BY15,CA15,CC15)</f>
        <v/>
      </c>
      <c r="C15" s="31" t="inlineStr">
        <is>
          <t>DHANBANK</t>
        </is>
      </c>
      <c r="D15" s="31" t="inlineStr">
        <is>
          <t>Dhanlaxmi Bank Ltd</t>
        </is>
      </c>
      <c r="E15" s="31" t="inlineStr">
        <is>
          <t>Financial Services</t>
        </is>
      </c>
      <c r="F15" s="31" t="inlineStr">
        <is>
          <t>Banks - Private</t>
        </is>
      </c>
      <c r="G15" s="31" t="inlineStr">
        <is>
          <t>smallcap</t>
        </is>
      </c>
      <c r="H15" s="32" t="n">
        <v>1341.58</v>
      </c>
      <c r="I15" s="32" t="n">
        <v>33.99</v>
      </c>
      <c r="J15" s="32" t="n">
        <v>-2.47</v>
      </c>
      <c r="K15" s="32" t="n">
        <v>0</v>
      </c>
      <c r="L15" s="31" t="n">
        <v>44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63.99</v>
      </c>
      <c r="P15" s="32" t="n">
        <v>36.01</v>
      </c>
      <c r="Q15" s="32" t="n">
        <v>26.38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2.1</v>
      </c>
      <c r="U15" s="32" t="n">
        <v>13.03</v>
      </c>
      <c r="V15" s="32" t="n">
        <v>10.71</v>
      </c>
      <c r="W15" s="32" t="n">
        <v>8.69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Negative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17</t>
        </is>
      </c>
      <c r="CC15" s="31">
        <f>IF(CB15&gt;20,10,IF(CB15&gt;=10,5,2))</f>
        <v/>
      </c>
    </row>
    <row r="16">
      <c r="A16" s="31">
        <f>IF(B16=0,"",RANK(B16,$B$2:$B$17,0))</f>
        <v/>
      </c>
      <c r="B16" s="32">
        <f>SUM(N16,Y16,AA16,AC16,AE16,AG16,AI16,AK16,AM16,AO16,AQ16,AS16,AU16,AW16,AY16,BA16,BC16,BE16,BG16,BI16,BK16,BM16,BO16,BQ16,BS16,BU16,BW16,BY16,CA16,CC16)</f>
        <v/>
      </c>
      <c r="C16" s="31" t="inlineStr">
        <is>
          <t>CHOICEIN</t>
        </is>
      </c>
      <c r="D16" s="31" t="inlineStr">
        <is>
          <t>Choice International Ltd</t>
        </is>
      </c>
      <c r="E16" s="31" t="inlineStr">
        <is>
          <t>financials</t>
        </is>
      </c>
      <c r="F16" s="31" t="inlineStr">
        <is>
          <t>Finance - Capital Markets - Brokers</t>
        </is>
      </c>
      <c r="G16" s="31" t="inlineStr">
        <is>
          <t>midcap</t>
        </is>
      </c>
      <c r="H16" s="32" t="n">
        <v>18011.48</v>
      </c>
      <c r="I16" s="32" t="n">
        <v>808.5</v>
      </c>
      <c r="J16" s="32" t="n">
        <v>-1.42</v>
      </c>
      <c r="K16" s="32" t="n">
        <v>0</v>
      </c>
      <c r="L16" s="31" t="n">
        <v>21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61.21</v>
      </c>
      <c r="P16" s="32" t="n">
        <v>19.93</v>
      </c>
      <c r="Q16" s="32" t="n">
        <v>681.16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2.1</v>
      </c>
      <c r="U16" s="32" t="n">
        <v>7.67</v>
      </c>
      <c r="V16" s="32" t="n">
        <v>5.46</v>
      </c>
      <c r="W16" s="32" t="n">
        <v>4.21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18</t>
        </is>
      </c>
      <c r="CC16" s="31">
        <f>IF(CB16&gt;20,10,IF(CB16&gt;=10,5,2))</f>
        <v/>
      </c>
    </row>
    <row r="17">
      <c r="A17" s="31">
        <f>IF(B17=0,"",RANK(B17,$B$2:$B$17,0))</f>
        <v/>
      </c>
      <c r="B17" s="32">
        <f>SUM(N17,Y17,AA17,AC17,AE17,AG17,AI17,AK17,AM17,AO17,AQ17,AS17,AU17,AW17,AY17,BA17,BC17,BE17,BG17,BI17,BK17,BM17,BO17,BQ17,BS17,BU17,BW17,BY17,CA17,CC17)</f>
        <v/>
      </c>
      <c r="C17" s="34" t="inlineStr">
        <is>
          <t>POONAWALLA</t>
        </is>
      </c>
      <c r="D17" s="34" t="inlineStr">
        <is>
          <t>Poonawalla Fincorp Ltd</t>
        </is>
      </c>
      <c r="E17" s="31" t="inlineStr">
        <is>
          <t>financials</t>
        </is>
      </c>
      <c r="F17" s="31" t="inlineStr">
        <is>
          <t>Conglomerate Backed NBFC</t>
        </is>
      </c>
      <c r="G17" s="31" t="inlineStr">
        <is>
          <t>largecap</t>
        </is>
      </c>
      <c r="H17" s="32" t="n">
        <v>41233.75</v>
      </c>
      <c r="I17" s="32" t="n">
        <v>468.3</v>
      </c>
      <c r="J17" s="32" t="n">
        <v>-3.46</v>
      </c>
      <c r="K17" s="32" t="n">
        <v>0</v>
      </c>
      <c r="L17" s="31" t="n">
        <v>21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58.47</v>
      </c>
      <c r="P17" s="32" t="n">
        <v>11.04</v>
      </c>
      <c r="Q17" s="32" t="n">
        <v>377.41</v>
      </c>
      <c r="R17" s="31" t="inlineStr">
        <is>
          <t>Earnings / Momentum Support</t>
        </is>
      </c>
      <c r="S17" s="31" t="inlineStr">
        <is>
          <t>Nifty Bank</t>
        </is>
      </c>
      <c r="T17" s="32" t="n">
        <v>2.1</v>
      </c>
      <c r="U17" s="32" t="n">
        <v>3.77</v>
      </c>
      <c r="V17" s="32" t="n">
        <v>1.64</v>
      </c>
      <c r="W17" s="32" t="n">
        <v>4.11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No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  <c r="CB17" s="31" t="inlineStr">
        <is>
          <t>15</t>
        </is>
      </c>
      <c r="CC17" s="31">
        <f>IF(CB17&gt;20,10,IF(CB17&gt;=10,5,2))</f>
        <v/>
      </c>
    </row>
    <row r="21">
      <c r="A21" s="25" t="inlineStr">
        <is>
          <t>❌ REMOVED SCAN MATCH STOCKS (THIS WEEK)</t>
        </is>
      </c>
    </row>
    <row r="22">
      <c r="A22" s="35" t="inlineStr">
        <is>
          <t>Symbol</t>
        </is>
      </c>
      <c r="B22" s="35" t="inlineStr">
        <is>
          <t>Company Name</t>
        </is>
      </c>
      <c r="C22" s="35" t="inlineStr">
        <is>
          <t>Sector</t>
        </is>
      </c>
      <c r="D22" s="35" t="inlineStr">
        <is>
          <t>Date of Removal</t>
        </is>
      </c>
    </row>
    <row r="23">
      <c r="A23" s="36" t="inlineStr">
        <is>
          <t>BFINVEST</t>
        </is>
      </c>
      <c r="B23" s="37" t="inlineStr">
        <is>
          <t>BF Investment Limited</t>
        </is>
      </c>
      <c r="C23" s="37" t="inlineStr">
        <is>
          <t>Financial Services</t>
        </is>
      </c>
      <c r="D23" s="38" t="inlineStr">
        <is>
          <t>2026-07-14</t>
        </is>
      </c>
    </row>
    <row r="24">
      <c r="A24" s="36" t="inlineStr">
        <is>
          <t>J&amp;KBANK</t>
        </is>
      </c>
      <c r="B24" s="37" t="inlineStr">
        <is>
          <t>Jammu and Kashmir Bank Limited</t>
        </is>
      </c>
      <c r="C24" s="37" t="inlineStr">
        <is>
          <t>Financial Services</t>
        </is>
      </c>
      <c r="D24" s="38" t="inlineStr">
        <is>
          <t>2026-07-14</t>
        </is>
      </c>
    </row>
    <row r="25">
      <c r="A25" s="36" t="inlineStr">
        <is>
          <t>LTF</t>
        </is>
      </c>
      <c r="B25" s="37" t="inlineStr">
        <is>
          <t>L&amp;T Finance Limited</t>
        </is>
      </c>
      <c r="C25" s="37" t="inlineStr">
        <is>
          <t>Financial Services</t>
        </is>
      </c>
      <c r="D25" s="38" t="inlineStr">
        <is>
          <t>2026-07-14</t>
        </is>
      </c>
    </row>
    <row r="26">
      <c r="A26" s="36" t="inlineStr">
        <is>
          <t>SHAREINDIA</t>
        </is>
      </c>
      <c r="B26" s="37" t="inlineStr">
        <is>
          <t>Share India Securities Limited</t>
        </is>
      </c>
      <c r="C26" s="37" t="inlineStr">
        <is>
          <t>Financial Services</t>
        </is>
      </c>
      <c r="D26" s="38" t="inlineStr">
        <is>
          <t>2026-07-14</t>
        </is>
      </c>
    </row>
  </sheetData>
  <autoFilter ref="A1:CC17"/>
  <conditionalFormatting sqref="B2:B1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7">
    <cfRule type="cellIs" priority="35" operator="equal" dxfId="3" stopIfTrue="1">
      <formula>"Underperforming"</formula>
    </cfRule>
  </conditionalFormatting>
  <conditionalFormatting sqref="N2:N17">
    <cfRule type="cellIs" priority="36" operator="equal" dxfId="3" stopIfTrue="1">
      <formula>-5</formula>
    </cfRule>
  </conditionalFormatting>
  <conditionalFormatting sqref="Q2:Q1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7" showDropDown="0" showInputMessage="0" showErrorMessage="0" allowBlank="1" type="list">
      <formula1>"Growing Industry,Stagnant Industry,Cyclical in an Upturn"</formula1>
    </dataValidation>
    <dataValidation sqref="Z2:Z17" showDropDown="0" showInputMessage="0" showErrorMessage="0" allowBlank="1" type="list">
      <formula1>"Fragmented with Low ROE,Fragmented with High ROE,Highly Cyclical"</formula1>
    </dataValidation>
    <dataValidation sqref="AB2:AB17" showDropDown="0" showInputMessage="0" showErrorMessage="0" allowBlank="1" type="list">
      <formula1>"Yes,No"</formula1>
    </dataValidation>
    <dataValidation sqref="AD2:AD17" showDropDown="0" showInputMessage="0" showErrorMessage="0" allowBlank="1" type="list">
      <formula1>"Tailwind,Headwind"</formula1>
    </dataValidation>
    <dataValidation sqref="AF2:AF1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7" showDropDown="0" showInputMessage="0" showErrorMessage="0" allowBlank="1" type="list">
      <formula1>"Yes,No"</formula1>
    </dataValidation>
    <dataValidation sqref="AJ2:AJ17" showDropDown="0" showInputMessage="0" showErrorMessage="0" allowBlank="1" type="list">
      <formula1>"Yes,No,Not Applicable"</formula1>
    </dataValidation>
    <dataValidation sqref="AL2:AL17" showDropDown="0" showInputMessage="0" showErrorMessage="0" allowBlank="1" type="list">
      <formula1>"Yes,No"</formula1>
    </dataValidation>
    <dataValidation sqref="AN2:AN17" showDropDown="0" showInputMessage="0" showErrorMessage="0" allowBlank="1" type="list">
      <formula1>"Yes,No"</formula1>
    </dataValidation>
    <dataValidation sqref="AP2:AP17" showDropDown="0" showInputMessage="0" showErrorMessage="0" allowBlank="1" type="list">
      <formula1>"Yes,No"</formula1>
    </dataValidation>
    <dataValidation sqref="AR2:AR17" showDropDown="0" showInputMessage="0" showErrorMessage="0" allowBlank="1" type="list">
      <formula1>"Yes,No"</formula1>
    </dataValidation>
    <dataValidation sqref="AT2:AT17" showDropDown="0" showInputMessage="0" showErrorMessage="0" allowBlank="1" type="list">
      <formula1>"No,Yes"</formula1>
    </dataValidation>
    <dataValidation sqref="AV2:AV17" showDropDown="0" showInputMessage="0" showErrorMessage="0" allowBlank="1" type="list">
      <formula1>"No,Yes"</formula1>
    </dataValidation>
    <dataValidation sqref="AX2:AX17" showDropDown="0" showInputMessage="0" showErrorMessage="0" allowBlank="1" type="list">
      <formula1>"No,Yes CEO Resignation,Yes CEO Retirement"</formula1>
    </dataValidation>
    <dataValidation sqref="AZ2:AZ17" showDropDown="0" showInputMessage="0" showErrorMessage="0" allowBlank="1" type="list">
      <formula1>"No,Yes"</formula1>
    </dataValidation>
    <dataValidation sqref="BB2:BB17" showDropDown="0" showInputMessage="0" showErrorMessage="0" allowBlank="1" type="list">
      <formula1>"No,Yes"</formula1>
    </dataValidation>
    <dataValidation sqref="BD2:BD17" showDropDown="0" showInputMessage="0" showErrorMessage="0" allowBlank="1" type="list">
      <formula1>"Yes,No"</formula1>
    </dataValidation>
    <dataValidation sqref="BF2:BF17" showDropDown="0" showInputMessage="0" showErrorMessage="0" allowBlank="1" type="list">
      <formula1>"Yes,No"</formula1>
    </dataValidation>
    <dataValidation sqref="BH2:BH17" showDropDown="0" showInputMessage="0" showErrorMessage="0" allowBlank="1" type="list">
      <formula1>"Yes,No"</formula1>
    </dataValidation>
    <dataValidation sqref="BJ2:BJ1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7" showDropDown="0" showInputMessage="0" showErrorMessage="0" allowBlank="1" type="list">
      <formula1>"Above 40,20 to 40,0 to 20"</formula1>
    </dataValidation>
    <dataValidation sqref="BN2:BN17" showDropDown="0" showInputMessage="0" showErrorMessage="0" allowBlank="1" type="list">
      <formula1>"Between 50 to 75,Above 75,Below 45"</formula1>
    </dataValidation>
    <dataValidation sqref="BP2:BP17" showDropDown="0" showInputMessage="0" showErrorMessage="0" allowBlank="1" type="list">
      <formula1>"Stage 1,Stage 2,Stage 3,Stage 4"</formula1>
    </dataValidation>
    <dataValidation sqref="BR2:BR17" showDropDown="0" showInputMessage="0" showErrorMessage="0" allowBlank="1" type="list">
      <formula1>"Positive Trend,Negative Trend"</formula1>
    </dataValidation>
    <dataValidation sqref="BT2:BT17" showDropDown="0" showInputMessage="0" showErrorMessage="0" allowBlank="1" type="list">
      <formula1>"Uptrend,Sideways,Downtrend"</formula1>
    </dataValidation>
    <dataValidation sqref="BV2:BV17" showDropDown="0" showInputMessage="0" showErrorMessage="0" allowBlank="1" type="list">
      <formula1>"Uptrend,Sideways,Downtrend"</formula1>
    </dataValidation>
    <dataValidation sqref="BX2:BX1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2026-07-14T11:49:36Z</dcterms:created>
  <dcterms:modified xmlns:dcterms="http://purl.org/dc/terms/" xmlns:xsi="http://www.w3.org/2001/XMLSchema-instance" xsi:type="dcterms:W3CDTF">2026-07-14T11:51:51Z</dcterms:modified>
</cp:coreProperties>
</file>