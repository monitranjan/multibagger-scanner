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Formula Map" sheetId="9" state="visible" r:id="rId9"/>
  </sheets>
  <definedNames>
    <definedName name="_xlnm._FilterDatabase" localSheetId="2" hidden="1">'Chartink Universe'!$A$1:$J$186</definedName>
    <definedName name="_xlnm._FilterDatabase" localSheetId="3" hidden="1">'Confluence Overlap'!$A$1:$K$23</definedName>
    <definedName name="_xlnm._FilterDatabase" localSheetId="4" hidden="1">'Monit Non Financial'!$A$1:$CE$174</definedName>
    <definedName name="_xlnm._FilterDatabase" localSheetId="5" hidden="1">'Monit Banks NBFC'!$A$1:$CA$13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15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5" customWidth="1" min="3" max="3"/>
    <col width="47" customWidth="1" min="4" max="4"/>
    <col width="22" customWidth="1" min="5" max="5"/>
    <col width="45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420</v>
      </c>
      <c r="C6" s="17" t="inlineStr">
        <is>
          <t>CYIENTDLM</t>
        </is>
      </c>
      <c r="D6" s="18" t="inlineStr">
        <is>
          <t>Cyient DLM Ltd</t>
        </is>
      </c>
      <c r="E6" s="18" t="inlineStr">
        <is>
          <t>aerospace &amp; defence</t>
        </is>
      </c>
      <c r="F6" s="16" t="n">
        <v>55</v>
      </c>
      <c r="G6" s="19" t="n">
        <v>7179.43</v>
      </c>
      <c r="H6" s="18" t="inlineStr">
        <is>
          <t>Potential Leader</t>
        </is>
      </c>
      <c r="J6" s="18" t="inlineStr">
        <is>
          <t>telecom-service</t>
        </is>
      </c>
      <c r="K6" s="16" t="n">
        <v>10</v>
      </c>
      <c r="L6" s="16" t="n">
        <v>5</v>
      </c>
      <c r="M6" s="20" t="inlineStr">
        <is>
          <t>100.0%</t>
        </is>
      </c>
    </row>
    <row r="7">
      <c r="A7" s="16" t="n">
        <v>2</v>
      </c>
      <c r="B7" s="17" t="n">
        <v>414</v>
      </c>
      <c r="C7" s="17" t="inlineStr">
        <is>
          <t>SETL</t>
        </is>
      </c>
      <c r="D7" s="18" t="inlineStr">
        <is>
          <t>Standard Enginnering Technology Ltd</t>
        </is>
      </c>
      <c r="E7" s="18" t="inlineStr">
        <is>
          <t>industrials</t>
        </is>
      </c>
      <c r="F7" s="16" t="n">
        <v>54</v>
      </c>
      <c r="G7" s="19" t="n">
        <v>9339.200000000001</v>
      </c>
      <c r="H7" s="18" t="inlineStr">
        <is>
          <t>Potential Leader</t>
        </is>
      </c>
      <c r="J7" s="18" t="inlineStr">
        <is>
          <t>power &amp; utilities</t>
        </is>
      </c>
      <c r="K7" s="16" t="n">
        <v>11</v>
      </c>
      <c r="L7" s="16" t="n">
        <v>8</v>
      </c>
      <c r="M7" s="20" t="inlineStr">
        <is>
          <t>37.5%</t>
        </is>
      </c>
    </row>
    <row r="8">
      <c r="A8" s="16" t="n">
        <v>3</v>
      </c>
      <c r="B8" s="17" t="n">
        <v>372</v>
      </c>
      <c r="C8" s="17" t="inlineStr">
        <is>
          <t>SUNDRMFAST</t>
        </is>
      </c>
      <c r="D8" s="18" t="inlineStr">
        <is>
          <t>Sundram Fasteners Limited</t>
        </is>
      </c>
      <c r="E8" s="18" t="inlineStr">
        <is>
          <t>auto</t>
        </is>
      </c>
      <c r="F8" s="16" t="n">
        <v>47</v>
      </c>
      <c r="G8" s="19" t="n">
        <v>26686.3</v>
      </c>
      <c r="H8" s="18" t="inlineStr">
        <is>
          <t>Potential Leader</t>
        </is>
      </c>
      <c r="J8" s="18" t="inlineStr">
        <is>
          <t>aerospace &amp; defence</t>
        </is>
      </c>
      <c r="K8" s="16" t="n">
        <v>65</v>
      </c>
      <c r="L8" s="16" t="n">
        <v>57</v>
      </c>
      <c r="M8" s="20" t="inlineStr">
        <is>
          <t>14.0%</t>
        </is>
      </c>
    </row>
    <row r="9">
      <c r="A9" s="16" t="n">
        <v>4</v>
      </c>
      <c r="B9" s="17" t="n">
        <v>348</v>
      </c>
      <c r="C9" s="17" t="inlineStr">
        <is>
          <t>KABRAEXTRU</t>
        </is>
      </c>
      <c r="D9" s="18" t="inlineStr">
        <is>
          <t>Kabra Extrusion Technik Limited</t>
        </is>
      </c>
      <c r="E9" s="18" t="inlineStr">
        <is>
          <t>industrials</t>
        </is>
      </c>
      <c r="F9" s="16" t="n">
        <v>43</v>
      </c>
      <c r="G9" s="19" t="n">
        <v>2529.06</v>
      </c>
      <c r="H9" s="18" t="inlineStr">
        <is>
          <t>Potential Leader</t>
        </is>
      </c>
      <c r="J9" s="18" t="inlineStr">
        <is>
          <t>services</t>
        </is>
      </c>
      <c r="K9" s="16" t="n">
        <v>43</v>
      </c>
      <c r="L9" s="16" t="n">
        <v>38</v>
      </c>
      <c r="M9" s="20" t="inlineStr">
        <is>
          <t>13.2%</t>
        </is>
      </c>
    </row>
    <row r="10">
      <c r="A10" s="16" t="n">
        <v>5</v>
      </c>
      <c r="B10" s="17" t="n">
        <v>336</v>
      </c>
      <c r="C10" s="17" t="inlineStr">
        <is>
          <t>DIVISLAB</t>
        </is>
      </c>
      <c r="D10" s="18" t="inlineStr">
        <is>
          <t>Divi's Laboratories Limited</t>
        </is>
      </c>
      <c r="E10" s="18" t="inlineStr">
        <is>
          <t>healthcare</t>
        </is>
      </c>
      <c r="F10" s="16" t="n">
        <v>41</v>
      </c>
      <c r="G10" s="19" t="n">
        <v>247469.81</v>
      </c>
      <c r="H10" s="18" t="inlineStr">
        <is>
          <t>Potential Leader</t>
        </is>
      </c>
      <c r="J10" s="18" t="inlineStr">
        <is>
          <t>co-working</t>
        </is>
      </c>
      <c r="K10" s="16" t="n">
        <v>7</v>
      </c>
      <c r="L10" s="16" t="n">
        <v>7</v>
      </c>
      <c r="M10" s="20" t="inlineStr">
        <is>
          <t>0.0%</t>
        </is>
      </c>
    </row>
    <row r="11">
      <c r="A11" s="16" t="n">
        <v>6</v>
      </c>
      <c r="B11" s="17" t="n">
        <v>336</v>
      </c>
      <c r="C11" s="17" t="inlineStr">
        <is>
          <t>MENONBE</t>
        </is>
      </c>
      <c r="D11" s="18" t="inlineStr">
        <is>
          <t>Menon Bearings Limited</t>
        </is>
      </c>
      <c r="E11" s="18" t="inlineStr">
        <is>
          <t>auto</t>
        </is>
      </c>
      <c r="F11" s="16" t="n">
        <v>41</v>
      </c>
      <c r="G11" s="19" t="n">
        <v>1667.19</v>
      </c>
      <c r="H11" s="18" t="inlineStr">
        <is>
          <t>Potential Leader</t>
        </is>
      </c>
      <c r="J11" s="18" t="inlineStr">
        <is>
          <t>healthcare</t>
        </is>
      </c>
      <c r="K11" s="16" t="n">
        <v>240</v>
      </c>
      <c r="L11" s="16" t="n">
        <v>261</v>
      </c>
      <c r="M11" s="21" t="inlineStr">
        <is>
          <t>-8.0%</t>
        </is>
      </c>
    </row>
    <row r="12">
      <c r="A12" s="16" t="n">
        <v>7</v>
      </c>
      <c r="B12" s="17" t="n">
        <v>336</v>
      </c>
      <c r="C12" s="17" t="inlineStr">
        <is>
          <t>TFCILTD</t>
        </is>
      </c>
      <c r="D12" s="18" t="inlineStr">
        <is>
          <t>Tourism Finance Corporation Of India Limited</t>
        </is>
      </c>
      <c r="E12" s="18" t="inlineStr">
        <is>
          <t>financials</t>
        </is>
      </c>
      <c r="F12" s="16" t="n">
        <v>41</v>
      </c>
      <c r="G12" s="19" t="n">
        <v>6550.67</v>
      </c>
      <c r="H12" s="18" t="inlineStr">
        <is>
          <t>Potential Leader</t>
        </is>
      </c>
      <c r="J12" s="18" t="inlineStr">
        <is>
          <t>transportation</t>
        </is>
      </c>
      <c r="K12" s="16" t="n">
        <v>38</v>
      </c>
      <c r="L12" s="16" t="n">
        <v>42</v>
      </c>
      <c r="M12" s="21" t="inlineStr">
        <is>
          <t>-9.5%</t>
        </is>
      </c>
    </row>
    <row r="13">
      <c r="A13" s="16" t="n">
        <v>8</v>
      </c>
      <c r="B13" s="17" t="n">
        <v>336</v>
      </c>
      <c r="C13" s="17" t="inlineStr">
        <is>
          <t>VSSL</t>
        </is>
      </c>
      <c r="D13" s="18" t="inlineStr">
        <is>
          <t>Vardhman Special Steels Limited</t>
        </is>
      </c>
      <c r="E13" s="18" t="inlineStr">
        <is>
          <t>metals &amp; mining</t>
        </is>
      </c>
      <c r="F13" s="16" t="n">
        <v>41</v>
      </c>
      <c r="G13" s="19" t="n">
        <v>3842.77</v>
      </c>
      <c r="H13" s="18" t="inlineStr">
        <is>
          <t>Potential Leader</t>
        </is>
      </c>
      <c r="J13" s="18" t="inlineStr">
        <is>
          <t>realty</t>
        </is>
      </c>
      <c r="K13" s="16" t="n">
        <v>84</v>
      </c>
      <c r="L13" s="16" t="n">
        <v>94</v>
      </c>
      <c r="M13" s="21" t="inlineStr">
        <is>
          <t>-10.6%</t>
        </is>
      </c>
    </row>
    <row r="14">
      <c r="A14" s="16" t="n">
        <v>9</v>
      </c>
      <c r="B14" s="17" t="n">
        <v>324</v>
      </c>
      <c r="C14" s="17" t="inlineStr">
        <is>
          <t>WSTCSTPAPR</t>
        </is>
      </c>
      <c r="D14" s="18" t="inlineStr">
        <is>
          <t>West Coast Paper Mills Limited</t>
        </is>
      </c>
      <c r="E14" s="18" t="inlineStr">
        <is>
          <t>building materials</t>
        </is>
      </c>
      <c r="F14" s="16" t="n">
        <v>39</v>
      </c>
      <c r="G14" s="19" t="n">
        <v>4714.57</v>
      </c>
      <c r="H14" s="18" t="inlineStr">
        <is>
          <t>Potential Leader</t>
        </is>
      </c>
      <c r="J14" s="18" t="inlineStr">
        <is>
          <t>auto</t>
        </is>
      </c>
      <c r="K14" s="16" t="n">
        <v>88</v>
      </c>
      <c r="L14" s="16" t="n">
        <v>100</v>
      </c>
      <c r="M14" s="21" t="inlineStr">
        <is>
          <t>-12.0%</t>
        </is>
      </c>
    </row>
    <row r="15">
      <c r="A15" s="16" t="n">
        <v>10</v>
      </c>
      <c r="B15" s="17" t="n">
        <v>318</v>
      </c>
      <c r="C15" s="17" t="inlineStr">
        <is>
          <t>UNIPARTS</t>
        </is>
      </c>
      <c r="D15" s="18" t="inlineStr">
        <is>
          <t>Uniparts India Ltd</t>
        </is>
      </c>
      <c r="E15" s="18" t="inlineStr">
        <is>
          <t>industrials</t>
        </is>
      </c>
      <c r="F15" s="16" t="n">
        <v>38</v>
      </c>
      <c r="G15" s="19" t="n">
        <v>4051.37</v>
      </c>
      <c r="H15" s="18" t="inlineStr">
        <is>
          <t>Potential Leader</t>
        </is>
      </c>
      <c r="J15" s="18" t="inlineStr">
        <is>
          <t>energy</t>
        </is>
      </c>
      <c r="K15" s="16" t="n">
        <v>64</v>
      </c>
      <c r="L15" s="16" t="n">
        <v>75</v>
      </c>
      <c r="M15" s="21" t="inlineStr">
        <is>
          <t>-14.7%</t>
        </is>
      </c>
    </row>
    <row r="16">
      <c r="A16" s="16" t="n">
        <v>11</v>
      </c>
      <c r="B16" s="17" t="n">
        <v>312</v>
      </c>
      <c r="C16" s="17" t="inlineStr">
        <is>
          <t>PAYTM</t>
        </is>
      </c>
      <c r="D16" s="18" t="inlineStr">
        <is>
          <t>One 97 Communications Ltd</t>
        </is>
      </c>
      <c r="E16" s="18" t="inlineStr">
        <is>
          <t>i.t</t>
        </is>
      </c>
      <c r="F16" s="16" t="n">
        <v>37</v>
      </c>
      <c r="G16" s="19" t="n">
        <v>115740.91</v>
      </c>
      <c r="H16" s="18" t="inlineStr">
        <is>
          <t>Potential Leader</t>
        </is>
      </c>
      <c r="J16" s="18" t="inlineStr">
        <is>
          <t>building materials</t>
        </is>
      </c>
      <c r="K16" s="16" t="n">
        <v>57</v>
      </c>
      <c r="L16" s="16" t="n">
        <v>70</v>
      </c>
      <c r="M16" s="21" t="inlineStr">
        <is>
          <t>-18.6%</t>
        </is>
      </c>
    </row>
    <row r="17">
      <c r="A17" s="16" t="n">
        <v>12</v>
      </c>
      <c r="B17" s="17" t="n">
        <v>306</v>
      </c>
      <c r="C17" s="17" t="inlineStr">
        <is>
          <t>DEEPINDS</t>
        </is>
      </c>
      <c r="D17" s="18" t="inlineStr">
        <is>
          <t>Deep Industries Ltd</t>
        </is>
      </c>
      <c r="E17" s="18" t="inlineStr">
        <is>
          <t>energy</t>
        </is>
      </c>
      <c r="F17" s="16" t="n">
        <v>36</v>
      </c>
      <c r="G17" s="19" t="n">
        <v>4956.16</v>
      </c>
      <c r="H17" s="18" t="inlineStr">
        <is>
          <t>Potential Leader</t>
        </is>
      </c>
      <c r="J17" s="18" t="inlineStr">
        <is>
          <t>consumer discretionary</t>
        </is>
      </c>
      <c r="K17" s="16" t="n">
        <v>104</v>
      </c>
      <c r="L17" s="16" t="n">
        <v>129</v>
      </c>
      <c r="M17" s="21" t="inlineStr">
        <is>
          <t>-19.4%</t>
        </is>
      </c>
    </row>
    <row r="18">
      <c r="A18" s="16" t="n">
        <v>13</v>
      </c>
      <c r="B18" s="17" t="n">
        <v>306</v>
      </c>
      <c r="C18" s="17" t="inlineStr">
        <is>
          <t>REDINGTON</t>
        </is>
      </c>
      <c r="D18" s="18" t="inlineStr">
        <is>
          <t>Redington (india) Limited</t>
        </is>
      </c>
      <c r="E18" s="18" t="inlineStr">
        <is>
          <t>services</t>
        </is>
      </c>
      <c r="F18" s="16" t="n">
        <v>36</v>
      </c>
      <c r="G18" s="19" t="n">
        <v>30778.46</v>
      </c>
      <c r="H18" s="18" t="inlineStr">
        <is>
          <t>Potential Leader</t>
        </is>
      </c>
      <c r="J18" s="18" t="inlineStr">
        <is>
          <t>metals &amp; mining</t>
        </is>
      </c>
      <c r="K18" s="16" t="n">
        <v>112</v>
      </c>
      <c r="L18" s="16" t="n">
        <v>139</v>
      </c>
      <c r="M18" s="21" t="inlineStr">
        <is>
          <t>-19.4%</t>
        </is>
      </c>
    </row>
    <row r="19">
      <c r="A19" s="16" t="n">
        <v>14</v>
      </c>
      <c r="B19" s="17" t="n">
        <v>306</v>
      </c>
      <c r="C19" s="17" t="inlineStr">
        <is>
          <t>SAILIFE</t>
        </is>
      </c>
      <c r="D19" s="18" t="inlineStr">
        <is>
          <t>Sai Life Sciences Ltd</t>
        </is>
      </c>
      <c r="E19" s="18" t="inlineStr">
        <is>
          <t>healthcare</t>
        </is>
      </c>
      <c r="F19" s="16" t="n">
        <v>36</v>
      </c>
      <c r="G19" s="19" t="n">
        <v>33647.33</v>
      </c>
      <c r="H19" s="18" t="inlineStr">
        <is>
          <t>Potential Leader</t>
        </is>
      </c>
      <c r="J19" s="18" t="inlineStr">
        <is>
          <t>industrials</t>
        </is>
      </c>
      <c r="K19" s="16" t="n">
        <v>214</v>
      </c>
      <c r="L19" s="16" t="n">
        <v>271</v>
      </c>
      <c r="M19" s="21" t="inlineStr">
        <is>
          <t>-21.0%</t>
        </is>
      </c>
    </row>
    <row r="20">
      <c r="A20" s="16" t="n">
        <v>15</v>
      </c>
      <c r="B20" s="17" t="n">
        <v>294</v>
      </c>
      <c r="C20" s="17" t="inlineStr">
        <is>
          <t>COMSYN</t>
        </is>
      </c>
      <c r="D20" s="18" t="inlineStr">
        <is>
          <t>Commercial Syn Bags Ltd</t>
        </is>
      </c>
      <c r="E20" s="18" t="inlineStr">
        <is>
          <t>industrials</t>
        </is>
      </c>
      <c r="F20" s="16" t="n">
        <v>34</v>
      </c>
      <c r="G20" s="19" t="n">
        <v>1206.75</v>
      </c>
      <c r="H20" s="18" t="inlineStr">
        <is>
          <t>Potential Leader</t>
        </is>
      </c>
      <c r="J20" s="18" t="inlineStr">
        <is>
          <t>textiles</t>
        </is>
      </c>
      <c r="K20" s="16" t="n">
        <v>65</v>
      </c>
      <c r="L20" s="16" t="n">
        <v>85</v>
      </c>
      <c r="M20" s="21" t="inlineStr">
        <is>
          <t>-23.5%</t>
        </is>
      </c>
    </row>
    <row r="21">
      <c r="A21" s="16" t="n">
        <v>16</v>
      </c>
      <c r="B21" s="17" t="n">
        <v>294</v>
      </c>
      <c r="C21" s="17" t="inlineStr">
        <is>
          <t>GLAND</t>
        </is>
      </c>
      <c r="D21" s="18" t="inlineStr">
        <is>
          <t>Gland Pharma Ltd</t>
        </is>
      </c>
      <c r="E21" s="18" t="inlineStr">
        <is>
          <t>healthcare</t>
        </is>
      </c>
      <c r="F21" s="16" t="n">
        <v>34</v>
      </c>
      <c r="G21" s="19" t="n">
        <v>48206.17</v>
      </c>
      <c r="H21" s="18" t="inlineStr">
        <is>
          <t>Potential Leader</t>
        </is>
      </c>
    </row>
    <row r="22">
      <c r="A22" s="16" t="n">
        <v>17</v>
      </c>
      <c r="B22" s="17" t="n">
        <v>294</v>
      </c>
      <c r="C22" s="17" t="inlineStr">
        <is>
          <t>MAHASTEEL</t>
        </is>
      </c>
      <c r="D22" s="18" t="inlineStr">
        <is>
          <t>Mahamaya Steel Industries Limited</t>
        </is>
      </c>
      <c r="E22" s="18" t="inlineStr">
        <is>
          <t>metals &amp; mining</t>
        </is>
      </c>
      <c r="F22" s="16" t="n">
        <v>34</v>
      </c>
      <c r="G22" s="19" t="n">
        <v>2097.19</v>
      </c>
      <c r="H22" s="18" t="inlineStr">
        <is>
          <t>Potential Leader</t>
        </is>
      </c>
    </row>
    <row r="23">
      <c r="A23" s="16" t="n">
        <v>18</v>
      </c>
      <c r="B23" s="17" t="n">
        <v>288</v>
      </c>
      <c r="C23" s="17" t="inlineStr">
        <is>
          <t>ANTHEM</t>
        </is>
      </c>
      <c r="D23" s="18" t="inlineStr">
        <is>
          <t>Anthem Biosciences Ltd</t>
        </is>
      </c>
      <c r="E23" s="18" t="inlineStr">
        <is>
          <t>healthcare</t>
        </is>
      </c>
      <c r="F23" s="16" t="n">
        <v>33</v>
      </c>
      <c r="G23" s="19" t="n">
        <v>53008.87</v>
      </c>
      <c r="H23" s="18" t="inlineStr">
        <is>
          <t>Potential Leader</t>
        </is>
      </c>
    </row>
    <row r="24">
      <c r="A24" s="16" t="n">
        <v>19</v>
      </c>
      <c r="B24" s="17" t="n">
        <v>288</v>
      </c>
      <c r="C24" s="17" t="inlineStr">
        <is>
          <t>BIRLACABLE</t>
        </is>
      </c>
      <c r="D24" s="18" t="inlineStr">
        <is>
          <t>Birla Cable Limited</t>
        </is>
      </c>
      <c r="E24" s="18" t="inlineStr">
        <is>
          <t>industrials</t>
        </is>
      </c>
      <c r="F24" s="16" t="n">
        <v>33</v>
      </c>
      <c r="G24" s="19" t="n">
        <v>1177.05</v>
      </c>
      <c r="H24" s="18" t="inlineStr">
        <is>
          <t>Potential Leader</t>
        </is>
      </c>
    </row>
    <row r="25">
      <c r="A25" s="16" t="n">
        <v>20</v>
      </c>
      <c r="B25" s="17" t="n">
        <v>288</v>
      </c>
      <c r="C25" s="17" t="inlineStr">
        <is>
          <t>MMP</t>
        </is>
      </c>
      <c r="D25" s="18" t="inlineStr">
        <is>
          <t>MMP Industries Ltd</t>
        </is>
      </c>
      <c r="E25" s="18" t="inlineStr">
        <is>
          <t>metals &amp; mining</t>
        </is>
      </c>
      <c r="F25" s="16" t="n">
        <v>33</v>
      </c>
      <c r="G25" s="19" t="n">
        <v>889.1799999999999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PRABHA</t>
        </is>
      </c>
      <c r="B30" s="18" t="inlineStr">
        <is>
          <t>Prabha Energy Ltd</t>
        </is>
      </c>
      <c r="C30" s="18" t="inlineStr">
        <is>
          <t>energy</t>
        </is>
      </c>
      <c r="D30" s="16" t="n">
        <v>10</v>
      </c>
      <c r="E30" s="16" t="n">
        <v>1</v>
      </c>
      <c r="F30" s="19" t="n">
        <v>3585.76</v>
      </c>
      <c r="J30" s="17" t="inlineStr">
        <is>
          <t>MBECL</t>
        </is>
      </c>
      <c r="K30" s="18" t="inlineStr">
        <is>
          <t>realty</t>
        </is>
      </c>
      <c r="L30" s="19" t="n">
        <v>293</v>
      </c>
      <c r="M30" s="19" t="n">
        <v>1101.33</v>
      </c>
      <c r="N30" s="16" t="n">
        <v>2</v>
      </c>
    </row>
    <row r="31">
      <c r="A31" s="17" t="inlineStr">
        <is>
          <t>GMMPFAUDLR</t>
        </is>
      </c>
      <c r="B31" s="18" t="inlineStr">
        <is>
          <t>GMM Pfaudler Ltd</t>
        </is>
      </c>
      <c r="C31" s="18" t="inlineStr">
        <is>
          <t>industrials</t>
        </is>
      </c>
      <c r="D31" s="16" t="n">
        <v>10</v>
      </c>
      <c r="E31" s="16" t="n">
        <v>1</v>
      </c>
      <c r="F31" s="19" t="n">
        <v>5879.96</v>
      </c>
      <c r="J31" s="17" t="inlineStr">
        <is>
          <t>VISHNU</t>
        </is>
      </c>
      <c r="K31" s="18" t="inlineStr">
        <is>
          <t>chemicals</t>
        </is>
      </c>
      <c r="L31" s="19" t="n">
        <v>288</v>
      </c>
      <c r="M31" s="19" t="n">
        <v>4805.97</v>
      </c>
      <c r="N31" s="16" t="n">
        <v>22</v>
      </c>
    </row>
    <row r="32">
      <c r="A32" s="17" t="inlineStr">
        <is>
          <t>MVGJL</t>
        </is>
      </c>
      <c r="B32" s="18" t="inlineStr">
        <is>
          <t>Manoj Vaibhav Gems N Jewellers Ltd</t>
        </is>
      </c>
      <c r="C32" s="18" t="inlineStr">
        <is>
          <t>consumer discretionary</t>
        </is>
      </c>
      <c r="D32" s="16" t="n">
        <v>9</v>
      </c>
      <c r="E32" s="16" t="n">
        <v>0</v>
      </c>
      <c r="F32" s="19" t="n">
        <v>964.1</v>
      </c>
      <c r="J32" s="17" t="inlineStr">
        <is>
          <t>WELINV</t>
        </is>
      </c>
      <c r="K32" s="18" t="inlineStr">
        <is>
          <t>financials</t>
        </is>
      </c>
      <c r="L32" s="19" t="n">
        <v>285</v>
      </c>
      <c r="M32" s="19" t="n">
        <v>848.5700000000001</v>
      </c>
      <c r="N32" s="16" t="n">
        <v>20</v>
      </c>
    </row>
    <row r="33">
      <c r="A33" s="17" t="inlineStr">
        <is>
          <t>SHREEJISPG</t>
        </is>
      </c>
      <c r="B33" s="18" t="inlineStr">
        <is>
          <t>Shreeji Shipping Global Ltd</t>
        </is>
      </c>
      <c r="C33" s="18" t="inlineStr">
        <is>
          <t>transportation</t>
        </is>
      </c>
      <c r="D33" s="16" t="n">
        <v>9</v>
      </c>
      <c r="E33" s="16" t="n">
        <v>0</v>
      </c>
      <c r="F33" s="19" t="n">
        <v>11269.87</v>
      </c>
      <c r="J33" s="17" t="inlineStr">
        <is>
          <t>DCBBANK</t>
        </is>
      </c>
      <c r="K33" s="18" t="inlineStr">
        <is>
          <t>bank</t>
        </is>
      </c>
      <c r="L33" s="19" t="n">
        <v>285</v>
      </c>
      <c r="M33" s="19" t="n">
        <v>7290.87</v>
      </c>
      <c r="N33" s="16" t="n">
        <v>19</v>
      </c>
    </row>
    <row r="34">
      <c r="A34" s="17" t="inlineStr">
        <is>
          <t>IONEXCHANG</t>
        </is>
      </c>
      <c r="B34" s="18" t="inlineStr">
        <is>
          <t>Ion Exchange (India) Ltd</t>
        </is>
      </c>
      <c r="C34" s="18" t="inlineStr">
        <is>
          <t>realty</t>
        </is>
      </c>
      <c r="D34" s="16" t="n">
        <v>8</v>
      </c>
      <c r="E34" s="16" t="n">
        <v>1</v>
      </c>
      <c r="F34" s="19" t="n">
        <v>6536.93</v>
      </c>
      <c r="J34" s="17" t="inlineStr">
        <is>
          <t>BIRLACABLE</t>
        </is>
      </c>
      <c r="K34" s="18" t="inlineStr">
        <is>
          <t>industrials</t>
        </is>
      </c>
      <c r="L34" s="19" t="n">
        <v>283</v>
      </c>
      <c r="M34" s="19" t="n">
        <v>1177.05</v>
      </c>
      <c r="N34" s="16" t="n">
        <v>30</v>
      </c>
    </row>
    <row r="35">
      <c r="A35" s="17" t="inlineStr">
        <is>
          <t>SMSPHARMA</t>
        </is>
      </c>
      <c r="B35" s="18" t="inlineStr">
        <is>
          <t>Sms Pharmaceuticals Limited</t>
        </is>
      </c>
      <c r="C35" s="18" t="inlineStr">
        <is>
          <t>healthcare</t>
        </is>
      </c>
      <c r="D35" s="16" t="n">
        <v>8</v>
      </c>
      <c r="E35" s="16" t="n">
        <v>2</v>
      </c>
      <c r="F35" s="19" t="n">
        <v>4340.3</v>
      </c>
      <c r="J35" s="17" t="inlineStr">
        <is>
          <t>WELSPUNLIV</t>
        </is>
      </c>
      <c r="K35" s="18" t="inlineStr">
        <is>
          <t>textiles</t>
        </is>
      </c>
      <c r="L35" s="19" t="n">
        <v>283</v>
      </c>
      <c r="M35" s="19" t="n">
        <v>19620.62</v>
      </c>
      <c r="N35" s="16" t="n">
        <v>23</v>
      </c>
    </row>
    <row r="36">
      <c r="A36" s="17" t="inlineStr">
        <is>
          <t>UNITEDPOLY</t>
        </is>
      </c>
      <c r="B36" s="18" t="inlineStr">
        <is>
          <t>United Polyfab Gujarat Ltd</t>
        </is>
      </c>
      <c r="C36" s="18" t="inlineStr">
        <is>
          <t>textiles</t>
        </is>
      </c>
      <c r="D36" s="16" t="n">
        <v>8</v>
      </c>
      <c r="E36" s="16" t="n">
        <v>0</v>
      </c>
      <c r="F36" s="19" t="n">
        <v>993.34</v>
      </c>
      <c r="J36" s="17" t="inlineStr">
        <is>
          <t>TBZ</t>
        </is>
      </c>
      <c r="K36" s="18" t="inlineStr">
        <is>
          <t>consumer discretionary</t>
        </is>
      </c>
      <c r="L36" s="19" t="n">
        <v>283</v>
      </c>
      <c r="M36" s="19" t="n">
        <v>3512.03</v>
      </c>
      <c r="N36" s="16" t="n">
        <v>23</v>
      </c>
    </row>
    <row r="37">
      <c r="A37" s="17" t="inlineStr">
        <is>
          <t>BLUESTONE</t>
        </is>
      </c>
      <c r="B37" s="18" t="inlineStr">
        <is>
          <t>BlueStone Jewellery and Lifestyle Limited</t>
        </is>
      </c>
      <c r="C37" s="18" t="inlineStr">
        <is>
          <t>Consumer Cyclical</t>
        </is>
      </c>
      <c r="D37" s="16" t="n">
        <v>7</v>
      </c>
      <c r="E37" s="16" t="n">
        <v>1</v>
      </c>
      <c r="F37" s="19" t="n">
        <v>12658.48</v>
      </c>
      <c r="J37" s="17" t="inlineStr">
        <is>
          <t>GAYAPROJ</t>
        </is>
      </c>
      <c r="K37" s="18" t="inlineStr">
        <is>
          <t>realty</t>
        </is>
      </c>
      <c r="L37" s="19" t="n">
        <v>283</v>
      </c>
      <c r="M37" s="19" t="n">
        <v>1208.57</v>
      </c>
      <c r="N37" s="16" t="n">
        <v>18</v>
      </c>
    </row>
    <row r="38">
      <c r="A38" s="17" t="inlineStr">
        <is>
          <t>SPLPETRO</t>
        </is>
      </c>
      <c r="B38" s="18" t="inlineStr">
        <is>
          <t>Supreme Petrochem Ltd</t>
        </is>
      </c>
      <c r="C38" s="18" t="inlineStr">
        <is>
          <t>energy</t>
        </is>
      </c>
      <c r="D38" s="16" t="n">
        <v>7</v>
      </c>
      <c r="E38" s="16" t="n">
        <v>0</v>
      </c>
      <c r="F38" s="19" t="n">
        <v>15388.36</v>
      </c>
      <c r="J38" s="17" t="inlineStr">
        <is>
          <t>PASUPTAC</t>
        </is>
      </c>
      <c r="K38" s="18" t="inlineStr">
        <is>
          <t>textiles</t>
        </is>
      </c>
      <c r="L38" s="19" t="n">
        <v>283</v>
      </c>
      <c r="M38" s="19" t="n">
        <v>597.91</v>
      </c>
      <c r="N38" s="16" t="n">
        <v>12</v>
      </c>
    </row>
    <row r="39">
      <c r="A39" s="17" t="inlineStr">
        <is>
          <t>INDIQUBE</t>
        </is>
      </c>
      <c r="B39" s="18" t="inlineStr">
        <is>
          <t>Indiqube Spaces Ltd</t>
        </is>
      </c>
      <c r="C39" s="18" t="inlineStr">
        <is>
          <t>co-working</t>
        </is>
      </c>
      <c r="D39" s="16" t="n">
        <v>7</v>
      </c>
      <c r="E39" s="16" t="n">
        <v>0</v>
      </c>
      <c r="F39" s="19" t="n">
        <v>4300.8</v>
      </c>
      <c r="J39" s="17" t="inlineStr">
        <is>
          <t>UNIVPHOTO</t>
        </is>
      </c>
      <c r="K39" s="18" t="inlineStr">
        <is>
          <t>consumer discretionary</t>
        </is>
      </c>
      <c r="L39" s="19" t="n">
        <v>283</v>
      </c>
      <c r="M39" s="19" t="n">
        <v>591.28</v>
      </c>
      <c r="N39" s="16" t="n">
        <v>14</v>
      </c>
    </row>
    <row r="40">
      <c r="A40" s="17" t="inlineStr">
        <is>
          <t>WENDT</t>
        </is>
      </c>
      <c r="B40" s="18" t="inlineStr">
        <is>
          <t>Wendt (india) Limited</t>
        </is>
      </c>
      <c r="C40" s="18" t="inlineStr">
        <is>
          <t>industrials</t>
        </is>
      </c>
      <c r="D40" s="16" t="n">
        <v>7</v>
      </c>
      <c r="E40" s="16" t="n">
        <v>0</v>
      </c>
      <c r="F40" s="19" t="n">
        <v>1762.5</v>
      </c>
      <c r="J40" s="17" t="inlineStr">
        <is>
          <t>TFCILTD</t>
        </is>
      </c>
      <c r="K40" s="18" t="inlineStr">
        <is>
          <t>financials</t>
        </is>
      </c>
      <c r="L40" s="19" t="n">
        <v>280</v>
      </c>
      <c r="M40" s="19" t="n">
        <v>6550.67</v>
      </c>
      <c r="N40" s="16" t="n">
        <v>30</v>
      </c>
    </row>
    <row r="41">
      <c r="A41" s="17" t="inlineStr">
        <is>
          <t>SRHHYPOLTD</t>
        </is>
      </c>
      <c r="B41" s="18" t="inlineStr">
        <is>
          <t>Sree Rayalaseema Hi-Strength Hypo Limited</t>
        </is>
      </c>
      <c r="C41" s="18" t="inlineStr">
        <is>
          <t>Basic Materials</t>
        </is>
      </c>
      <c r="D41" s="16" t="n">
        <v>7</v>
      </c>
      <c r="E41" s="16" t="n">
        <v>0</v>
      </c>
      <c r="F41" s="19" t="n">
        <v>853.78</v>
      </c>
      <c r="J41" s="17" t="inlineStr">
        <is>
          <t>VENKEYS</t>
        </is>
      </c>
      <c r="K41" s="18" t="inlineStr">
        <is>
          <t>fmcg</t>
        </is>
      </c>
      <c r="L41" s="19" t="n">
        <v>280</v>
      </c>
      <c r="M41" s="19" t="n">
        <v>2517.69</v>
      </c>
      <c r="N41" s="16" t="n">
        <v>21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172.18</v>
      </c>
      <c r="D47" s="28" t="n">
        <v>293</v>
      </c>
      <c r="E47" s="17" t="inlineStr">
        <is>
          <t>MBECL</t>
        </is>
      </c>
      <c r="F47" s="18" t="inlineStr">
        <is>
          <t>Mcnally Bharat Engineering Company Limited</t>
        </is>
      </c>
      <c r="G47" s="18" t="inlineStr">
        <is>
          <t>realty</t>
        </is>
      </c>
      <c r="H47" s="19" t="n">
        <v>1101.33</v>
      </c>
    </row>
    <row r="48">
      <c r="A48" s="16" t="n">
        <v>2</v>
      </c>
      <c r="B48" s="27" t="n">
        <v>98</v>
      </c>
      <c r="C48" s="28" t="n">
        <v>123.47</v>
      </c>
      <c r="D48" s="28" t="n">
        <v>263</v>
      </c>
      <c r="E48" s="17" t="inlineStr">
        <is>
          <t>STLTECH</t>
        </is>
      </c>
      <c r="F48" s="18" t="inlineStr">
        <is>
          <t>Sterlite Technologies Limited</t>
        </is>
      </c>
      <c r="G48" s="18" t="inlineStr">
        <is>
          <t>industrials</t>
        </is>
      </c>
      <c r="H48" s="19" t="n">
        <v>46117.04</v>
      </c>
    </row>
    <row r="49">
      <c r="A49" s="16" t="n">
        <v>3</v>
      </c>
      <c r="B49" s="27" t="n">
        <v>98</v>
      </c>
      <c r="C49" s="28" t="n">
        <v>94.65000000000001</v>
      </c>
      <c r="D49" s="28" t="n">
        <v>255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37650.5</v>
      </c>
    </row>
    <row r="50">
      <c r="A50" s="16" t="n">
        <v>4</v>
      </c>
      <c r="B50" s="27" t="n">
        <v>97</v>
      </c>
      <c r="C50" s="28" t="n">
        <v>85.58</v>
      </c>
      <c r="D50" s="28" t="n">
        <v>273</v>
      </c>
      <c r="E50" s="17" t="inlineStr">
        <is>
          <t>SETL</t>
        </is>
      </c>
      <c r="F50" s="18" t="inlineStr">
        <is>
          <t>Standard Enginnering Technology Ltd</t>
        </is>
      </c>
      <c r="G50" s="18" t="inlineStr">
        <is>
          <t>industrials</t>
        </is>
      </c>
      <c r="H50" s="19" t="n">
        <v>9339.200000000001</v>
      </c>
    </row>
    <row r="51">
      <c r="A51" s="16" t="n">
        <v>5</v>
      </c>
      <c r="B51" s="27" t="n">
        <v>97</v>
      </c>
      <c r="C51" s="28" t="n">
        <v>74.26000000000001</v>
      </c>
      <c r="D51" s="28" t="n">
        <v>283</v>
      </c>
      <c r="E51" s="17" t="inlineStr">
        <is>
          <t>TBZ</t>
        </is>
      </c>
      <c r="F51" s="18" t="inlineStr">
        <is>
          <t>Tribhovandas Bhimji Zaveri Limited</t>
        </is>
      </c>
      <c r="G51" s="18" t="inlineStr">
        <is>
          <t>consumer discretionary</t>
        </is>
      </c>
      <c r="H51" s="19" t="n">
        <v>3512.03</v>
      </c>
    </row>
    <row r="52">
      <c r="A52" s="16" t="n">
        <v>6</v>
      </c>
      <c r="B52" s="27" t="n">
        <v>96</v>
      </c>
      <c r="C52" s="28" t="n">
        <v>65.08</v>
      </c>
      <c r="D52" s="28" t="n">
        <v>258</v>
      </c>
      <c r="E52" s="17" t="inlineStr">
        <is>
          <t>KABRAEXTRU</t>
        </is>
      </c>
      <c r="F52" s="18" t="inlineStr">
        <is>
          <t>Kabra Extrusion Technik Limited</t>
        </is>
      </c>
      <c r="G52" s="18" t="inlineStr">
        <is>
          <t>industrials</t>
        </is>
      </c>
      <c r="H52" s="19" t="n">
        <v>2529.06</v>
      </c>
    </row>
    <row r="53">
      <c r="A53" s="16" t="n">
        <v>7</v>
      </c>
      <c r="B53" s="27" t="n">
        <v>96</v>
      </c>
      <c r="C53" s="28" t="n">
        <v>63.49</v>
      </c>
      <c r="D53" s="28" t="n">
        <v>268</v>
      </c>
      <c r="E53" s="17" t="inlineStr">
        <is>
          <t>SIGMAADV</t>
        </is>
      </c>
      <c r="F53" s="18" t="inlineStr">
        <is>
          <t>Sigma Advanced System Ltd</t>
        </is>
      </c>
      <c r="G53" s="18" t="inlineStr">
        <is>
          <t>aerospace &amp; defence</t>
        </is>
      </c>
      <c r="H53" s="19" t="n">
        <v>15774.61</v>
      </c>
    </row>
    <row r="54">
      <c r="A54" s="16" t="n">
        <v>8</v>
      </c>
      <c r="B54" s="27" t="n">
        <v>95</v>
      </c>
      <c r="C54" s="28" t="n">
        <v>62.52</v>
      </c>
      <c r="D54" s="28" t="n">
        <v>273</v>
      </c>
      <c r="E54" s="17" t="inlineStr">
        <is>
          <t>BODALCHEM</t>
        </is>
      </c>
      <c r="F54" s="18" t="inlineStr">
        <is>
          <t>Bodal Chemicals Limited</t>
        </is>
      </c>
      <c r="G54" s="18" t="inlineStr">
        <is>
          <t>chemicals</t>
        </is>
      </c>
      <c r="H54" s="19" t="n">
        <v>2171.28</v>
      </c>
    </row>
    <row r="55">
      <c r="A55" s="16" t="n">
        <v>9</v>
      </c>
      <c r="B55" s="27" t="n">
        <v>95</v>
      </c>
      <c r="C55" s="28" t="n">
        <v>61.95</v>
      </c>
      <c r="D55" s="28" t="n">
        <v>278</v>
      </c>
      <c r="E55" s="17" t="inlineStr">
        <is>
          <t>MENONBE</t>
        </is>
      </c>
      <c r="F55" s="18" t="inlineStr">
        <is>
          <t>Menon Bearings Limited</t>
        </is>
      </c>
      <c r="G55" s="18" t="inlineStr">
        <is>
          <t>auto</t>
        </is>
      </c>
      <c r="H55" s="19" t="n">
        <v>1667.19</v>
      </c>
    </row>
    <row r="56">
      <c r="A56" s="16" t="n">
        <v>10</v>
      </c>
      <c r="B56" s="29" t="n">
        <v>94</v>
      </c>
      <c r="C56" s="28" t="n">
        <v>56.87</v>
      </c>
      <c r="D56" s="28" t="n">
        <v>268</v>
      </c>
      <c r="E56" s="17" t="inlineStr">
        <is>
          <t>DIACABS</t>
        </is>
      </c>
      <c r="F56" s="18" t="inlineStr">
        <is>
          <t>Diamond Power Infrastructure Ltd</t>
        </is>
      </c>
      <c r="G56" s="18" t="inlineStr">
        <is>
          <t>industrials</t>
        </is>
      </c>
      <c r="H56" s="19" t="n">
        <v>22071.81</v>
      </c>
    </row>
    <row r="57">
      <c r="A57" s="16" t="n">
        <v>11</v>
      </c>
      <c r="B57" s="29" t="n">
        <v>94</v>
      </c>
      <c r="C57" s="28" t="n">
        <v>56.51</v>
      </c>
      <c r="D57" s="28" t="n">
        <v>283</v>
      </c>
      <c r="E57" s="17" t="inlineStr">
        <is>
          <t>BIRLACABLE</t>
        </is>
      </c>
      <c r="F57" s="18" t="inlineStr">
        <is>
          <t>Birla Cable Limited</t>
        </is>
      </c>
      <c r="G57" s="18" t="inlineStr">
        <is>
          <t>industrials</t>
        </is>
      </c>
      <c r="H57" s="19" t="n">
        <v>1177.05</v>
      </c>
    </row>
    <row r="58">
      <c r="A58" s="16" t="n">
        <v>12</v>
      </c>
      <c r="B58" s="29" t="n">
        <v>93</v>
      </c>
      <c r="C58" s="28" t="n">
        <v>55.58</v>
      </c>
      <c r="D58" s="28" t="n">
        <v>270</v>
      </c>
      <c r="E58" s="17" t="inlineStr">
        <is>
          <t>INDSWFTLAB</t>
        </is>
      </c>
      <c r="F58" s="18" t="inlineStr">
        <is>
          <t>Ind-swift Laboratories Limited</t>
        </is>
      </c>
      <c r="G58" s="18" t="inlineStr">
        <is>
          <t>healthcare</t>
        </is>
      </c>
      <c r="H58" s="19" t="n">
        <v>3351.06</v>
      </c>
    </row>
    <row r="59">
      <c r="A59" s="16" t="n">
        <v>13</v>
      </c>
      <c r="B59" s="29" t="n">
        <v>93</v>
      </c>
      <c r="C59" s="28" t="n">
        <v>50.51</v>
      </c>
      <c r="D59" s="28" t="n">
        <v>278</v>
      </c>
      <c r="E59" s="17" t="inlineStr">
        <is>
          <t>SWANDEF</t>
        </is>
      </c>
      <c r="F59" s="18" t="inlineStr">
        <is>
          <t>Swan Defence and Heavy Industries Ltd</t>
        </is>
      </c>
      <c r="G59" s="18" t="inlineStr">
        <is>
          <t>transportation</t>
        </is>
      </c>
      <c r="H59" s="19" t="n">
        <v>14371.16</v>
      </c>
    </row>
    <row r="60">
      <c r="A60" s="16" t="n">
        <v>14</v>
      </c>
      <c r="B60" s="29" t="n">
        <v>92</v>
      </c>
      <c r="C60" s="28" t="n">
        <v>50.06</v>
      </c>
      <c r="D60" s="28" t="n">
        <v>265</v>
      </c>
      <c r="E60" s="17" t="inlineStr">
        <is>
          <t>BLISSGVS</t>
        </is>
      </c>
      <c r="F60" s="18" t="inlineStr">
        <is>
          <t>Bliss Gvs Pharma Limited</t>
        </is>
      </c>
      <c r="G60" s="18" t="inlineStr">
        <is>
          <t>healthcare</t>
        </is>
      </c>
      <c r="H60" s="19" t="n">
        <v>7646.12</v>
      </c>
    </row>
    <row r="61">
      <c r="A61" s="16" t="n">
        <v>15</v>
      </c>
      <c r="B61" s="29" t="n">
        <v>92</v>
      </c>
      <c r="C61" s="28" t="n">
        <v>49.77</v>
      </c>
      <c r="D61" s="28" t="n">
        <v>278</v>
      </c>
      <c r="E61" s="17" t="inlineStr">
        <is>
          <t>WHEELS</t>
        </is>
      </c>
      <c r="F61" s="18" t="inlineStr">
        <is>
          <t>Wheels India Limited</t>
        </is>
      </c>
      <c r="G61" s="18" t="inlineStr">
        <is>
          <t>auto</t>
        </is>
      </c>
      <c r="H61" s="19" t="n">
        <v>5448.81</v>
      </c>
    </row>
    <row r="62">
      <c r="A62" s="16" t="n">
        <v>16</v>
      </c>
      <c r="B62" s="29" t="n">
        <v>91</v>
      </c>
      <c r="C62" s="28" t="n">
        <v>46.82</v>
      </c>
      <c r="D62" s="28" t="n">
        <v>273</v>
      </c>
      <c r="E62" s="17" t="inlineStr">
        <is>
          <t>MODISONLTD</t>
        </is>
      </c>
      <c r="F62" s="18" t="inlineStr">
        <is>
          <t>Modison Ltd</t>
        </is>
      </c>
      <c r="G62" s="18" t="inlineStr">
        <is>
          <t>industrials</t>
        </is>
      </c>
      <c r="H62" s="19" t="n">
        <v>1632.4</v>
      </c>
    </row>
    <row r="63">
      <c r="A63" s="16" t="n">
        <v>17</v>
      </c>
      <c r="B63" s="29" t="n">
        <v>91</v>
      </c>
      <c r="C63" s="28" t="n">
        <v>45.81</v>
      </c>
      <c r="D63" s="28" t="n">
        <v>258</v>
      </c>
      <c r="E63" s="17" t="inlineStr">
        <is>
          <t>PVP</t>
        </is>
      </c>
      <c r="F63" s="18" t="inlineStr">
        <is>
          <t>Pvp Ventures Limited</t>
        </is>
      </c>
      <c r="G63" s="18" t="inlineStr">
        <is>
          <t>realty</t>
        </is>
      </c>
      <c r="H63" s="19" t="n">
        <v>1687.94</v>
      </c>
    </row>
    <row r="64">
      <c r="A64" s="16" t="n">
        <v>18</v>
      </c>
      <c r="B64" s="29" t="n">
        <v>90</v>
      </c>
      <c r="C64" s="28" t="n">
        <v>45.8</v>
      </c>
      <c r="D64" s="28" t="n">
        <v>255</v>
      </c>
      <c r="E64" s="17" t="inlineStr">
        <is>
          <t>MOREPENLAB</t>
        </is>
      </c>
      <c r="F64" s="18" t="inlineStr">
        <is>
          <t>Morepen Laboratories Limited</t>
        </is>
      </c>
      <c r="G64" s="18" t="inlineStr">
        <is>
          <t>healthcare</t>
        </is>
      </c>
      <c r="H64" s="19" t="n">
        <v>6344.21</v>
      </c>
    </row>
    <row r="65">
      <c r="A65" s="16" t="n">
        <v>19</v>
      </c>
      <c r="B65" s="29" t="n">
        <v>90</v>
      </c>
      <c r="C65" s="28" t="n">
        <v>45.61</v>
      </c>
      <c r="D65" s="28" t="n">
        <v>278</v>
      </c>
      <c r="E65" s="17" t="inlineStr">
        <is>
          <t>BHAGYANGR</t>
        </is>
      </c>
      <c r="F65" s="18" t="inlineStr">
        <is>
          <t>Bhagyanagar India</t>
        </is>
      </c>
      <c r="G65" s="18" t="inlineStr">
        <is>
          <t>power &amp; utilities</t>
        </is>
      </c>
      <c r="H65" s="19" t="n">
        <v>1415.39</v>
      </c>
    </row>
    <row r="66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EMUDHRA</t>
        </is>
      </c>
      <c r="B2" s="31" t="inlineStr">
        <is>
          <t>eMudhra Ltd</t>
        </is>
      </c>
      <c r="C2" s="31" t="inlineStr">
        <is>
          <t>i.t</t>
        </is>
      </c>
      <c r="D2" s="31" t="inlineStr">
        <is>
          <t>computers - software - medium / small</t>
        </is>
      </c>
      <c r="E2" s="31" t="inlineStr">
        <is>
          <t>smallcap</t>
        </is>
      </c>
      <c r="F2" s="31" t="n">
        <v>4091.31</v>
      </c>
      <c r="G2" s="31" t="n">
        <v>592.85</v>
      </c>
      <c r="H2" s="31" t="n">
        <v>20</v>
      </c>
      <c r="I2" s="31" t="n">
        <v>1550701</v>
      </c>
      <c r="J2" s="31" t="inlineStr">
        <is>
          <t>543533</t>
        </is>
      </c>
    </row>
    <row r="3">
      <c r="A3" s="31" t="inlineStr">
        <is>
          <t>OPTIEMUS</t>
        </is>
      </c>
      <c r="B3" s="31" t="inlineStr">
        <is>
          <t>Optiemus Infracom Ltd</t>
        </is>
      </c>
      <c r="C3" s="31" t="inlineStr">
        <is>
          <t>telecom</t>
        </is>
      </c>
      <c r="D3" s="31" t="inlineStr">
        <is>
          <t>trading</t>
        </is>
      </c>
      <c r="E3" s="31" t="inlineStr">
        <is>
          <t>midcap</t>
        </is>
      </c>
      <c r="F3" s="31" t="n">
        <v>5105.68</v>
      </c>
      <c r="G3" s="31" t="n">
        <v>604.95</v>
      </c>
      <c r="H3" s="31" t="n">
        <v>6.83</v>
      </c>
      <c r="I3" s="31" t="n">
        <v>1979704</v>
      </c>
      <c r="J3" s="31" t="inlineStr">
        <is>
          <t>530135</t>
        </is>
      </c>
    </row>
    <row r="4">
      <c r="A4" s="31" t="inlineStr">
        <is>
          <t>GRPLTD</t>
        </is>
      </c>
      <c r="B4" s="31" t="inlineStr">
        <is>
          <t>Grp Limited</t>
        </is>
      </c>
      <c r="C4" s="31" t="inlineStr">
        <is>
          <t>fmcg</t>
        </is>
      </c>
      <c r="D4" s="31" t="inlineStr">
        <is>
          <t>miscellaneous</t>
        </is>
      </c>
      <c r="E4" s="31" t="inlineStr">
        <is>
          <t>smallcap</t>
        </is>
      </c>
      <c r="F4" s="31" t="n">
        <v>1026.72</v>
      </c>
      <c r="G4" s="31" t="n">
        <v>2046.2</v>
      </c>
      <c r="H4" s="31" t="n">
        <v>6.29</v>
      </c>
      <c r="I4" s="31" t="n">
        <v>20058</v>
      </c>
      <c r="J4" s="31" t="inlineStr">
        <is>
          <t>509152</t>
        </is>
      </c>
    </row>
    <row r="5">
      <c r="A5" s="31" t="inlineStr">
        <is>
          <t>KOPRAN</t>
        </is>
      </c>
      <c r="B5" s="31" t="inlineStr">
        <is>
          <t>Kopran Limited</t>
        </is>
      </c>
      <c r="C5" s="31" t="inlineStr">
        <is>
          <t>healthcare</t>
        </is>
      </c>
      <c r="D5" s="31" t="inlineStr">
        <is>
          <t>pharmaceuticals - indian - bulk drugs &amp; formln</t>
        </is>
      </c>
      <c r="E5" s="31" t="inlineStr">
        <is>
          <t>smallcap</t>
        </is>
      </c>
      <c r="F5" s="31" t="n">
        <v>1135.97</v>
      </c>
      <c r="G5" s="31" t="n">
        <v>249.9</v>
      </c>
      <c r="H5" s="31" t="n">
        <v>6.22</v>
      </c>
      <c r="I5" s="31" t="n">
        <v>15857726</v>
      </c>
      <c r="J5" s="31" t="inlineStr">
        <is>
          <t>524280</t>
        </is>
      </c>
    </row>
    <row r="6">
      <c r="A6" s="31" t="inlineStr">
        <is>
          <t>PASUPTAC</t>
        </is>
      </c>
      <c r="B6" s="31" t="inlineStr">
        <is>
          <t>Pasupati Acrylon Ltd</t>
        </is>
      </c>
      <c r="C6" s="31" t="inlineStr">
        <is>
          <t>textiles</t>
        </is>
      </c>
      <c r="D6" s="31" t="inlineStr">
        <is>
          <t>textiles - manmade</t>
        </is>
      </c>
      <c r="E6" s="31" t="inlineStr">
        <is>
          <t>smallcap</t>
        </is>
      </c>
      <c r="F6" s="31" t="n">
        <v>597.91</v>
      </c>
      <c r="G6" s="31" t="n">
        <v>70.48</v>
      </c>
      <c r="H6" s="31" t="n">
        <v>5.07</v>
      </c>
      <c r="I6" s="31" t="n">
        <v>667184</v>
      </c>
      <c r="J6" s="31" t="inlineStr">
        <is>
          <t>500456</t>
        </is>
      </c>
    </row>
    <row r="7">
      <c r="A7" s="31" t="inlineStr">
        <is>
          <t>SPECTRUM</t>
        </is>
      </c>
      <c r="B7" s="31" t="inlineStr">
        <is>
          <t>Spectrum Electrical Industries Ltd</t>
        </is>
      </c>
      <c r="C7" s="31" t="inlineStr">
        <is>
          <t>industrials</t>
        </is>
      </c>
      <c r="D7" s="31" t="inlineStr">
        <is>
          <t>electric equipment</t>
        </is>
      </c>
      <c r="E7" s="31" t="inlineStr">
        <is>
          <t>smallcap</t>
        </is>
      </c>
      <c r="F7" s="31" t="n">
        <v>4749.51</v>
      </c>
      <c r="G7" s="31" t="n">
        <v>3173.6</v>
      </c>
      <c r="H7" s="31" t="n">
        <v>5</v>
      </c>
      <c r="I7" s="31" t="n">
        <v>29046</v>
      </c>
      <c r="J7" s="31" t="inlineStr">
        <is>
          <t>535112</t>
        </is>
      </c>
    </row>
    <row r="8">
      <c r="A8" s="31" t="inlineStr">
        <is>
          <t>SOFTTECH</t>
        </is>
      </c>
      <c r="B8" s="31" t="inlineStr">
        <is>
          <t>Softtech Engineers Ltd</t>
        </is>
      </c>
      <c r="C8" s="31" t="inlineStr">
        <is>
          <t>i.t</t>
        </is>
      </c>
      <c r="D8" s="31" t="inlineStr">
        <is>
          <t>computers - software - medium / small</t>
        </is>
      </c>
      <c r="E8" s="31" t="inlineStr">
        <is>
          <t>smallcap</t>
        </is>
      </c>
      <c r="F8" s="31" t="n">
        <v>626.15</v>
      </c>
      <c r="G8" s="31" t="n">
        <v>474.95</v>
      </c>
      <c r="H8" s="31" t="n">
        <v>5</v>
      </c>
      <c r="I8" s="31" t="n">
        <v>13382</v>
      </c>
      <c r="J8" s="31" t="inlineStr">
        <is>
          <t>535078</t>
        </is>
      </c>
    </row>
    <row r="9">
      <c r="A9" s="31" t="inlineStr">
        <is>
          <t>KANORICHEM</t>
        </is>
      </c>
      <c r="B9" s="31" t="inlineStr">
        <is>
          <t>Kanoria Chemicals &amp; Industries Limited</t>
        </is>
      </c>
      <c r="C9" s="31" t="inlineStr">
        <is>
          <t>chemicals</t>
        </is>
      </c>
      <c r="D9" s="31" t="inlineStr">
        <is>
          <t>chemicals</t>
        </is>
      </c>
      <c r="E9" s="31" t="inlineStr">
        <is>
          <t>smallcap</t>
        </is>
      </c>
      <c r="F9" s="31" t="n">
        <v>741.21</v>
      </c>
      <c r="G9" s="31" t="n">
        <v>178.12</v>
      </c>
      <c r="H9" s="31" t="n">
        <v>5</v>
      </c>
      <c r="I9" s="31" t="n">
        <v>67464</v>
      </c>
      <c r="J9" s="31" t="inlineStr">
        <is>
          <t>506525</t>
        </is>
      </c>
    </row>
    <row r="10">
      <c r="A10" s="31" t="inlineStr">
        <is>
          <t>MBECL</t>
        </is>
      </c>
      <c r="B10" s="31" t="inlineStr">
        <is>
          <t>Mcnally Bharat Engineering Company Limited</t>
        </is>
      </c>
      <c r="C10" s="31" t="inlineStr">
        <is>
          <t>realty</t>
        </is>
      </c>
      <c r="D10" s="31" t="inlineStr">
        <is>
          <t>engineering - turnkey services</t>
        </is>
      </c>
      <c r="E10" s="31" t="inlineStr">
        <is>
          <t>smallcap</t>
        </is>
      </c>
      <c r="F10" s="31" t="n">
        <v>1101.33</v>
      </c>
      <c r="G10" s="31" t="n">
        <v>346.92</v>
      </c>
      <c r="H10" s="31" t="n">
        <v>5</v>
      </c>
      <c r="I10" s="31" t="n">
        <v>1134</v>
      </c>
      <c r="J10" s="31" t="inlineStr">
        <is>
          <t>532629</t>
        </is>
      </c>
    </row>
    <row r="11">
      <c r="A11" s="31" t="inlineStr">
        <is>
          <t>DIACABS</t>
        </is>
      </c>
      <c r="B11" s="31" t="inlineStr">
        <is>
          <t>Diamond Power Infrastructure Ltd</t>
        </is>
      </c>
      <c r="C11" s="31" t="inlineStr">
        <is>
          <t>industrials</t>
        </is>
      </c>
      <c r="D11" s="31" t="inlineStr">
        <is>
          <t>cables - power</t>
        </is>
      </c>
      <c r="E11" s="31" t="inlineStr">
        <is>
          <t>largecap</t>
        </is>
      </c>
      <c r="F11" s="31" t="n">
        <v>22071.81</v>
      </c>
      <c r="G11" s="31" t="n">
        <v>387.5</v>
      </c>
      <c r="H11" s="31" t="n">
        <v>5</v>
      </c>
      <c r="I11" s="31" t="n">
        <v>1398719</v>
      </c>
      <c r="J11" s="31" t="inlineStr">
        <is>
          <t>522163</t>
        </is>
      </c>
    </row>
    <row r="12">
      <c r="A12" s="31" t="inlineStr">
        <is>
          <t>IBULLSLTD</t>
        </is>
      </c>
      <c r="B12" s="31" t="inlineStr">
        <is>
          <t>Indiabulls Limited</t>
        </is>
      </c>
      <c r="C12" s="31" t="inlineStr">
        <is>
          <t>miscellaneous</t>
        </is>
      </c>
      <c r="D12" s="31" t="inlineStr">
        <is>
          <t>diversified - medium / small</t>
        </is>
      </c>
      <c r="E12" s="31" t="inlineStr">
        <is>
          <t>midcap</t>
        </is>
      </c>
      <c r="F12" s="31" t="n">
        <v>6089.43</v>
      </c>
      <c r="G12" s="31" t="n">
        <v>27.44</v>
      </c>
      <c r="H12" s="31" t="n">
        <v>4.97</v>
      </c>
      <c r="I12" s="31" t="n">
        <v>2593006</v>
      </c>
      <c r="J12" s="31" t="inlineStr">
        <is>
          <t>533520</t>
        </is>
      </c>
    </row>
    <row r="13">
      <c r="A13" s="31" t="inlineStr">
        <is>
          <t>UNIVPHOTO</t>
        </is>
      </c>
      <c r="B13" s="31" t="inlineStr">
        <is>
          <t>Universus Photo Imagings Ltd</t>
        </is>
      </c>
      <c r="C13" s="31" t="inlineStr">
        <is>
          <t>consumer discretionary</t>
        </is>
      </c>
      <c r="D13" s="31" t="inlineStr">
        <is>
          <t>photographic and allied products</t>
        </is>
      </c>
      <c r="E13" s="31" t="inlineStr">
        <is>
          <t>smallcap</t>
        </is>
      </c>
      <c r="F13" s="31" t="n">
        <v>591.28</v>
      </c>
      <c r="G13" s="31" t="n">
        <v>566.75</v>
      </c>
      <c r="H13" s="31" t="n">
        <v>4.92</v>
      </c>
      <c r="I13" s="31" t="n">
        <v>15446</v>
      </c>
      <c r="J13" s="31" t="inlineStr">
        <is>
          <t>542933</t>
        </is>
      </c>
    </row>
    <row r="14">
      <c r="A14" s="31" t="inlineStr">
        <is>
          <t>ACMESOLAR</t>
        </is>
      </c>
      <c r="B14" s="31" t="inlineStr">
        <is>
          <t>ACME Solar Holdings Ltd</t>
        </is>
      </c>
      <c r="C14" s="31" t="inlineStr">
        <is>
          <t>realty</t>
        </is>
      </c>
      <c r="D14" s="31" t="inlineStr">
        <is>
          <t>engineering - turnkey services</t>
        </is>
      </c>
      <c r="E14" s="31" t="inlineStr">
        <is>
          <t>largecap</t>
        </is>
      </c>
      <c r="F14" s="31" t="n">
        <v>28437.55</v>
      </c>
      <c r="G14" s="31" t="n">
        <v>420.4</v>
      </c>
      <c r="H14" s="31" t="n">
        <v>4.5</v>
      </c>
      <c r="I14" s="31" t="n">
        <v>5262214</v>
      </c>
      <c r="J14" s="31" t="inlineStr">
        <is>
          <t>544283</t>
        </is>
      </c>
    </row>
    <row r="15">
      <c r="A15" s="31" t="inlineStr">
        <is>
          <t>ROSSTECH</t>
        </is>
      </c>
      <c r="B15" s="31" t="inlineStr">
        <is>
          <t>Rossell Techsys Ltd</t>
        </is>
      </c>
      <c r="C15" s="31" t="inlineStr">
        <is>
          <t>aerospace &amp; defence</t>
        </is>
      </c>
      <c r="D15" s="31" t="inlineStr">
        <is>
          <t>engineering</t>
        </is>
      </c>
      <c r="E15" s="31" t="inlineStr">
        <is>
          <t>smallcap</t>
        </is>
      </c>
      <c r="F15" s="31" t="n">
        <v>4577.48</v>
      </c>
      <c r="G15" s="31" t="n">
        <v>1265.4</v>
      </c>
      <c r="H15" s="31" t="n">
        <v>4.21</v>
      </c>
      <c r="I15" s="31" t="n">
        <v>1062808</v>
      </c>
      <c r="J15" s="31" t="inlineStr">
        <is>
          <t>544294</t>
        </is>
      </c>
    </row>
    <row r="16">
      <c r="A16" s="31" t="inlineStr">
        <is>
          <t>HATSUN</t>
        </is>
      </c>
      <c r="B16" s="31" t="inlineStr">
        <is>
          <t>Hatsun Agro Product Limited</t>
        </is>
      </c>
      <c r="C16" s="31" t="inlineStr">
        <is>
          <t>fmcg</t>
        </is>
      </c>
      <c r="D16" s="31" t="inlineStr">
        <is>
          <t>food - processing - indian</t>
        </is>
      </c>
      <c r="E16" s="31" t="inlineStr">
        <is>
          <t>largecap</t>
        </is>
      </c>
      <c r="F16" s="31" t="n">
        <v>27273.3</v>
      </c>
      <c r="G16" s="31" t="n">
        <v>1275</v>
      </c>
      <c r="H16" s="31" t="n">
        <v>4.13</v>
      </c>
      <c r="I16" s="31" t="n">
        <v>874664</v>
      </c>
      <c r="J16" s="31" t="inlineStr">
        <is>
          <t>531531</t>
        </is>
      </c>
    </row>
    <row r="17">
      <c r="A17" s="31" t="inlineStr">
        <is>
          <t>ARROWGREEN</t>
        </is>
      </c>
      <c r="B17" s="31" t="inlineStr">
        <is>
          <t>Arrow Greentech Limited</t>
        </is>
      </c>
      <c r="C17" s="31" t="inlineStr">
        <is>
          <t>plastic products</t>
        </is>
      </c>
      <c r="D17" s="31" t="inlineStr">
        <is>
          <t>plastics products</t>
        </is>
      </c>
      <c r="E17" s="31" t="inlineStr">
        <is>
          <t>smallcap</t>
        </is>
      </c>
      <c r="F17" s="31" t="n">
        <v>1226.65</v>
      </c>
      <c r="G17" s="31" t="n">
        <v>838.55</v>
      </c>
      <c r="H17" s="31" t="n">
        <v>3.14</v>
      </c>
      <c r="I17" s="31" t="n">
        <v>225224</v>
      </c>
      <c r="J17" s="31" t="inlineStr">
        <is>
          <t>516064</t>
        </is>
      </c>
    </row>
    <row r="18">
      <c r="A18" s="31" t="inlineStr">
        <is>
          <t>AHCL</t>
        </is>
      </c>
      <c r="B18" s="31" t="inlineStr">
        <is>
          <t>Anlon Healthcare Ltd</t>
        </is>
      </c>
      <c r="C18" s="31" t="inlineStr">
        <is>
          <t>healthcare</t>
        </is>
      </c>
      <c r="D18" s="31" t="inlineStr">
        <is>
          <t>pharmaceuticals - indian - bulk drugs &amp; formln</t>
        </is>
      </c>
      <c r="E18" s="31" t="inlineStr">
        <is>
          <t>smallcap</t>
        </is>
      </c>
      <c r="F18" s="31" t="n">
        <v>1040.17</v>
      </c>
      <c r="G18" s="31" t="n">
        <v>20.18</v>
      </c>
      <c r="H18" s="31" t="n">
        <v>3.12</v>
      </c>
      <c r="I18" s="31" t="n">
        <v>165056337</v>
      </c>
      <c r="J18" s="31" t="inlineStr">
        <is>
          <t>544497</t>
        </is>
      </c>
    </row>
    <row r="19">
      <c r="A19" s="31" t="inlineStr">
        <is>
          <t>GMMPFAUDLR</t>
        </is>
      </c>
      <c r="B19" s="31" t="inlineStr">
        <is>
          <t>GMM Pfaudler Ltd</t>
        </is>
      </c>
      <c r="C19" s="31" t="inlineStr">
        <is>
          <t>industrials</t>
        </is>
      </c>
      <c r="D19" s="31" t="inlineStr">
        <is>
          <t>engineering</t>
        </is>
      </c>
      <c r="E19" s="31" t="inlineStr">
        <is>
          <t>midcap</t>
        </is>
      </c>
      <c r="F19" s="31" t="n">
        <v>5879.96</v>
      </c>
      <c r="G19" s="31" t="n">
        <v>1348</v>
      </c>
      <c r="H19" s="31" t="n">
        <v>3.07</v>
      </c>
      <c r="I19" s="31" t="n">
        <v>1157001</v>
      </c>
      <c r="J19" s="31" t="inlineStr">
        <is>
          <t>505255</t>
        </is>
      </c>
    </row>
    <row r="20">
      <c r="A20" s="31" t="inlineStr">
        <is>
          <t>SHREEPUSHK</t>
        </is>
      </c>
      <c r="B20" s="31" t="inlineStr">
        <is>
          <t>Shree Pushkar Chemicals &amp; Fertilisers Limited</t>
        </is>
      </c>
      <c r="C20" s="31" t="inlineStr">
        <is>
          <t>chemicals</t>
        </is>
      </c>
      <c r="D20" s="31" t="inlineStr">
        <is>
          <t>dyes and pigments</t>
        </is>
      </c>
      <c r="E20" s="31" t="inlineStr">
        <is>
          <t>smallcap</t>
        </is>
      </c>
      <c r="F20" s="31" t="n">
        <v>1574.52</v>
      </c>
      <c r="G20" s="31" t="n">
        <v>501.45</v>
      </c>
      <c r="H20" s="31" t="n">
        <v>2.99</v>
      </c>
      <c r="I20" s="31" t="n">
        <v>310949</v>
      </c>
      <c r="J20" s="31" t="inlineStr">
        <is>
          <t>539334</t>
        </is>
      </c>
    </row>
    <row r="21">
      <c r="A21" s="31" t="inlineStr">
        <is>
          <t>PFOCUS</t>
        </is>
      </c>
      <c r="B21" s="31" t="inlineStr">
        <is>
          <t>Prime Focus Limited</t>
        </is>
      </c>
      <c r="C21" s="31" t="inlineStr">
        <is>
          <t>realty</t>
        </is>
      </c>
      <c r="D21" s="31" t="inlineStr">
        <is>
          <t>miscellaneous</t>
        </is>
      </c>
      <c r="E21" s="31" t="inlineStr">
        <is>
          <t>largecap</t>
        </is>
      </c>
      <c r="F21" s="31" t="n">
        <v>24137.21</v>
      </c>
      <c r="G21" s="31" t="n">
        <v>319</v>
      </c>
      <c r="H21" s="31" t="n">
        <v>2.62</v>
      </c>
      <c r="I21" s="31" t="n">
        <v>1807027</v>
      </c>
      <c r="J21" s="31" t="inlineStr">
        <is>
          <t>532748</t>
        </is>
      </c>
    </row>
    <row r="22">
      <c r="A22" s="31" t="inlineStr">
        <is>
          <t>BODALCHEM</t>
        </is>
      </c>
      <c r="B22" s="31" t="inlineStr">
        <is>
          <t>Bodal Chemicals Limited</t>
        </is>
      </c>
      <c r="C22" s="31" t="inlineStr">
        <is>
          <t>chemicals</t>
        </is>
      </c>
      <c r="D22" s="31" t="inlineStr">
        <is>
          <t>dyes and pigments</t>
        </is>
      </c>
      <c r="E22" s="31" t="inlineStr">
        <is>
          <t>smallcap</t>
        </is>
      </c>
      <c r="F22" s="31" t="n">
        <v>2171.28</v>
      </c>
      <c r="G22" s="31" t="n">
        <v>176.66</v>
      </c>
      <c r="H22" s="31" t="n">
        <v>2.47</v>
      </c>
      <c r="I22" s="31" t="n">
        <v>2894993</v>
      </c>
      <c r="J22" s="31" t="inlineStr">
        <is>
          <t>524370</t>
        </is>
      </c>
    </row>
    <row r="23">
      <c r="A23" s="31" t="inlineStr">
        <is>
          <t>LIKHITHA</t>
        </is>
      </c>
      <c r="B23" s="31" t="inlineStr">
        <is>
          <t>Likhitha Infrastructure Ltd</t>
        </is>
      </c>
      <c r="C23" s="31" t="inlineStr">
        <is>
          <t>realty</t>
        </is>
      </c>
      <c r="D23" s="31" t="inlineStr">
        <is>
          <t>construction</t>
        </is>
      </c>
      <c r="E23" s="31" t="inlineStr">
        <is>
          <t>smallcap</t>
        </is>
      </c>
      <c r="F23" s="31" t="n">
        <v>856.34</v>
      </c>
      <c r="G23" s="31" t="n">
        <v>222.22</v>
      </c>
      <c r="H23" s="31" t="n">
        <v>2.37</v>
      </c>
      <c r="I23" s="31" t="n">
        <v>176186</v>
      </c>
      <c r="J23" s="31" t="inlineStr">
        <is>
          <t>543240</t>
        </is>
      </c>
    </row>
    <row r="24">
      <c r="A24" s="31" t="inlineStr">
        <is>
          <t>AEGISVOPAK</t>
        </is>
      </c>
      <c r="B24" s="31" t="inlineStr">
        <is>
          <t>Aegis Vopak Terminals Ltd</t>
        </is>
      </c>
      <c r="C24" s="31" t="inlineStr">
        <is>
          <t>transportation</t>
        </is>
      </c>
      <c r="D24" s="31" t="inlineStr">
        <is>
          <t>miscellaneous</t>
        </is>
      </c>
      <c r="E24" s="31" t="inlineStr">
        <is>
          <t>largecap</t>
        </is>
      </c>
      <c r="F24" s="31" t="n">
        <v>32696.83</v>
      </c>
      <c r="G24" s="31" t="n">
        <v>302</v>
      </c>
      <c r="H24" s="31" t="n">
        <v>2.34</v>
      </c>
      <c r="I24" s="31" t="n">
        <v>4447657</v>
      </c>
      <c r="J24" s="31" t="inlineStr">
        <is>
          <t>544407</t>
        </is>
      </c>
    </row>
    <row r="25">
      <c r="A25" s="31" t="inlineStr">
        <is>
          <t>MENONBE</t>
        </is>
      </c>
      <c r="B25" s="31" t="inlineStr">
        <is>
          <t>Menon Bearings Limited</t>
        </is>
      </c>
      <c r="C25" s="31" t="inlineStr">
        <is>
          <t>auto</t>
        </is>
      </c>
      <c r="D25" s="31" t="inlineStr">
        <is>
          <t>auto ancillaries</t>
        </is>
      </c>
      <c r="E25" s="31" t="inlineStr">
        <is>
          <t>smallcap</t>
        </is>
      </c>
      <c r="F25" s="31" t="n">
        <v>1667.19</v>
      </c>
      <c r="G25" s="31" t="n">
        <v>304.35</v>
      </c>
      <c r="H25" s="31" t="n">
        <v>2.3</v>
      </c>
      <c r="I25" s="31" t="n">
        <v>65394</v>
      </c>
      <c r="J25" s="31" t="inlineStr">
        <is>
          <t>523828</t>
        </is>
      </c>
    </row>
    <row r="26">
      <c r="A26" s="31" t="inlineStr">
        <is>
          <t>KILITCH</t>
        </is>
      </c>
      <c r="B26" s="31" t="inlineStr">
        <is>
          <t>Kilitch Drugs (india) Limited</t>
        </is>
      </c>
      <c r="C26" s="31" t="inlineStr">
        <is>
          <t>healthcare</t>
        </is>
      </c>
      <c r="D26" s="31" t="inlineStr">
        <is>
          <t>pharmaceuticals - indian - formulations</t>
        </is>
      </c>
      <c r="E26" s="31" t="inlineStr">
        <is>
          <t>smallcap</t>
        </is>
      </c>
      <c r="F26" s="31" t="n">
        <v>650.1799999999999</v>
      </c>
      <c r="G26" s="31" t="n">
        <v>190.2</v>
      </c>
      <c r="H26" s="31" t="n">
        <v>2.27</v>
      </c>
      <c r="I26" s="31" t="n">
        <v>28652</v>
      </c>
      <c r="J26" s="31" t="inlineStr">
        <is>
          <t>524500</t>
        </is>
      </c>
    </row>
    <row r="27">
      <c r="A27" s="31" t="inlineStr">
        <is>
          <t>MACPOWER</t>
        </is>
      </c>
      <c r="B27" s="31" t="inlineStr">
        <is>
          <t>Macpower CNC Machines Ltd</t>
        </is>
      </c>
      <c r="C27" s="31" t="inlineStr">
        <is>
          <t>industrials</t>
        </is>
      </c>
      <c r="D27" s="31" t="inlineStr">
        <is>
          <t>engineering</t>
        </is>
      </c>
      <c r="E27" s="31" t="inlineStr">
        <is>
          <t>smallcap</t>
        </is>
      </c>
      <c r="F27" s="31" t="n">
        <v>1843.77</v>
      </c>
      <c r="G27" s="31" t="n">
        <v>1882.3</v>
      </c>
      <c r="H27" s="31" t="n">
        <v>2.13</v>
      </c>
      <c r="I27" s="31" t="n">
        <v>51674</v>
      </c>
      <c r="J27" s="31" t="inlineStr">
        <is>
          <t>535057</t>
        </is>
      </c>
    </row>
    <row r="28">
      <c r="A28" s="31" t="inlineStr">
        <is>
          <t>LOTUSDEV</t>
        </is>
      </c>
      <c r="B28" s="31" t="inlineStr">
        <is>
          <t>Sri Lotus Developers &amp; Realty Ltd</t>
        </is>
      </c>
      <c r="C28" s="31" t="inlineStr">
        <is>
          <t>realty</t>
        </is>
      </c>
      <c r="D28" s="31" t="inlineStr">
        <is>
          <t>construction</t>
        </is>
      </c>
      <c r="E28" s="31" t="inlineStr">
        <is>
          <t>midcap</t>
        </is>
      </c>
      <c r="F28" s="31" t="n">
        <v>10227.52</v>
      </c>
      <c r="G28" s="31" t="n">
        <v>213.54</v>
      </c>
      <c r="H28" s="31" t="n">
        <v>2.04</v>
      </c>
      <c r="I28" s="31" t="n">
        <v>2311800</v>
      </c>
      <c r="J28" s="31" t="inlineStr">
        <is>
          <t>544469</t>
        </is>
      </c>
    </row>
    <row r="29">
      <c r="A29" s="31" t="inlineStr">
        <is>
          <t>BAFNAPH</t>
        </is>
      </c>
      <c r="B29" s="31" t="inlineStr">
        <is>
          <t>Bafna Pharmaceuticals Ltd</t>
        </is>
      </c>
      <c r="C29" s="31" t="inlineStr">
        <is>
          <t>healthcare</t>
        </is>
      </c>
      <c r="D29" s="31" t="inlineStr">
        <is>
          <t>pharmaceuticals - indian - formulations</t>
        </is>
      </c>
      <c r="E29" s="31" t="inlineStr">
        <is>
          <t>smallcap</t>
        </is>
      </c>
      <c r="F29" s="31" t="n">
        <v>713.12</v>
      </c>
      <c r="G29" s="31" t="n">
        <v>307.3</v>
      </c>
      <c r="H29" s="31" t="n">
        <v>1.94</v>
      </c>
      <c r="I29" s="31" t="n">
        <v>12177</v>
      </c>
      <c r="J29" s="31" t="inlineStr">
        <is>
          <t>532989</t>
        </is>
      </c>
    </row>
    <row r="30">
      <c r="A30" s="31" t="inlineStr">
        <is>
          <t>PANACHE</t>
        </is>
      </c>
      <c r="B30" s="31" t="inlineStr">
        <is>
          <t>Panache Digilife Ltd</t>
        </is>
      </c>
      <c r="C30" s="31" t="inlineStr">
        <is>
          <t>i.t</t>
        </is>
      </c>
      <c r="D30" s="31" t="inlineStr">
        <is>
          <t>computers - hardware</t>
        </is>
      </c>
      <c r="E30" s="31" t="inlineStr">
        <is>
          <t>smallcap</t>
        </is>
      </c>
      <c r="F30" s="31" t="n">
        <v>831.13</v>
      </c>
      <c r="G30" s="31" t="n">
        <v>529</v>
      </c>
      <c r="H30" s="31" t="n">
        <v>1.93</v>
      </c>
      <c r="I30" s="31" t="n">
        <v>11038</v>
      </c>
      <c r="J30" s="31" t="inlineStr">
        <is>
          <t>538424</t>
        </is>
      </c>
    </row>
    <row r="31">
      <c r="A31" s="31" t="inlineStr">
        <is>
          <t>GUJTHEM</t>
        </is>
      </c>
      <c r="B31" s="31" t="inlineStr">
        <is>
          <t>Gujarat Themis Biosyn Ltd</t>
        </is>
      </c>
      <c r="C31" s="31" t="inlineStr">
        <is>
          <t>healthcare</t>
        </is>
      </c>
      <c r="D31" s="31" t="inlineStr">
        <is>
          <t>pharmaceuticals - indian - bulk drugs</t>
        </is>
      </c>
      <c r="E31" s="31" t="inlineStr">
        <is>
          <t>midcap</t>
        </is>
      </c>
      <c r="F31" s="31" t="n">
        <v>5500.86</v>
      </c>
      <c r="G31" s="31" t="n">
        <v>430.45</v>
      </c>
      <c r="H31" s="31" t="n">
        <v>1.85</v>
      </c>
      <c r="I31" s="31" t="n">
        <v>668088</v>
      </c>
      <c r="J31" s="31" t="inlineStr">
        <is>
          <t>506879</t>
        </is>
      </c>
    </row>
    <row r="32">
      <c r="A32" s="31" t="inlineStr">
        <is>
          <t>CYIENT</t>
        </is>
      </c>
      <c r="B32" s="31" t="inlineStr">
        <is>
          <t>Cyient Limited</t>
        </is>
      </c>
      <c r="C32" s="31" t="inlineStr">
        <is>
          <t>i.t</t>
        </is>
      </c>
      <c r="D32" s="31" t="inlineStr">
        <is>
          <t>computers - software - medium / small</t>
        </is>
      </c>
      <c r="E32" s="31" t="inlineStr">
        <is>
          <t>midcap</t>
        </is>
      </c>
      <c r="F32" s="31" t="n">
        <v>11096.35</v>
      </c>
      <c r="G32" s="31" t="n">
        <v>1078.9</v>
      </c>
      <c r="H32" s="31" t="n">
        <v>1.84</v>
      </c>
      <c r="I32" s="31" t="n">
        <v>857646</v>
      </c>
      <c r="J32" s="31" t="inlineStr">
        <is>
          <t>532175</t>
        </is>
      </c>
    </row>
    <row r="33">
      <c r="A33" s="31" t="inlineStr">
        <is>
          <t>ASIANHOTNR</t>
        </is>
      </c>
      <c r="B33" s="31" t="inlineStr">
        <is>
          <t>Asian Hotels (north) Limited</t>
        </is>
      </c>
      <c r="C33" s="31" t="inlineStr">
        <is>
          <t>services</t>
        </is>
      </c>
      <c r="D33" s="31" t="inlineStr">
        <is>
          <t>hotels</t>
        </is>
      </c>
      <c r="E33" s="31" t="inlineStr">
        <is>
          <t>smallcap</t>
        </is>
      </c>
      <c r="F33" s="31" t="n">
        <v>1614.95</v>
      </c>
      <c r="G33" s="31" t="n">
        <v>385.45</v>
      </c>
      <c r="H33" s="31" t="n">
        <v>1.76</v>
      </c>
      <c r="I33" s="31" t="n">
        <v>111275</v>
      </c>
      <c r="J33" s="31" t="inlineStr">
        <is>
          <t>500023</t>
        </is>
      </c>
    </row>
    <row r="34">
      <c r="A34" s="31" t="inlineStr">
        <is>
          <t>NRAIL</t>
        </is>
      </c>
      <c r="B34" s="31" t="inlineStr">
        <is>
          <t>N R Agarwal Industries Ltd</t>
        </is>
      </c>
      <c r="C34" s="31" t="inlineStr">
        <is>
          <t>building materials</t>
        </is>
      </c>
      <c r="D34" s="31" t="inlineStr">
        <is>
          <t>paper</t>
        </is>
      </c>
      <c r="E34" s="31" t="inlineStr">
        <is>
          <t>smallcap</t>
        </is>
      </c>
      <c r="F34" s="31" t="n">
        <v>1068.63</v>
      </c>
      <c r="G34" s="31" t="n">
        <v>638.85</v>
      </c>
      <c r="H34" s="31" t="n">
        <v>1.74</v>
      </c>
      <c r="I34" s="31" t="n">
        <v>113606</v>
      </c>
      <c r="J34" s="31" t="inlineStr">
        <is>
          <t>516082</t>
        </is>
      </c>
    </row>
    <row r="35">
      <c r="A35" s="31" t="inlineStr">
        <is>
          <t>NRL</t>
        </is>
      </c>
      <c r="B35" s="31" t="inlineStr">
        <is>
          <t>Nupur Recyclers Ltd</t>
        </is>
      </c>
      <c r="C35" s="31" t="inlineStr">
        <is>
          <t>services</t>
        </is>
      </c>
      <c r="D35" s="31" t="inlineStr">
        <is>
          <t>trading</t>
        </is>
      </c>
      <c r="E35" s="31" t="inlineStr">
        <is>
          <t>smallcap</t>
        </is>
      </c>
      <c r="F35" s="31" t="n">
        <v>919.03</v>
      </c>
      <c r="G35" s="31" t="n">
        <v>135.35</v>
      </c>
      <c r="H35" s="31" t="n">
        <v>1.72</v>
      </c>
      <c r="I35" s="31" t="n">
        <v>118553</v>
      </c>
      <c r="J35" s="31" t="inlineStr">
        <is>
          <t>535413</t>
        </is>
      </c>
    </row>
    <row r="36">
      <c r="A36" s="31" t="inlineStr">
        <is>
          <t>STLNETWORK</t>
        </is>
      </c>
      <c r="B36" s="31" t="inlineStr">
        <is>
          <t>STL Networks Ltd</t>
        </is>
      </c>
      <c r="C36" s="31" t="inlineStr">
        <is>
          <t>telecom-service</t>
        </is>
      </c>
      <c r="D36" s="31" t="inlineStr">
        <is>
          <t>telecommunications - service provider</t>
        </is>
      </c>
      <c r="E36" s="31" t="inlineStr">
        <is>
          <t>smallcap</t>
        </is>
      </c>
      <c r="F36" s="31" t="n">
        <v>1786.36</v>
      </c>
      <c r="G36" s="31" t="n">
        <v>37.2</v>
      </c>
      <c r="H36" s="31" t="n">
        <v>1.64</v>
      </c>
      <c r="I36" s="31" t="n">
        <v>14945148</v>
      </c>
      <c r="J36" s="31" t="inlineStr">
        <is>
          <t>544395</t>
        </is>
      </c>
    </row>
    <row r="37">
      <c r="A37" s="31" t="inlineStr">
        <is>
          <t>IL&amp;FSENGG</t>
        </is>
      </c>
      <c r="B37" s="31" t="inlineStr">
        <is>
          <t>Il&amp;fs Engineering And Construction Company Limited</t>
        </is>
      </c>
      <c r="C37" s="31" t="inlineStr">
        <is>
          <t>realty</t>
        </is>
      </c>
      <c r="D37" s="31" t="inlineStr">
        <is>
          <t>construction</t>
        </is>
      </c>
      <c r="E37" s="31" t="inlineStr">
        <is>
          <t>smallcap</t>
        </is>
      </c>
      <c r="F37" s="31" t="n">
        <v>505.34</v>
      </c>
      <c r="G37" s="31" t="n">
        <v>39.17</v>
      </c>
      <c r="H37" s="31" t="n">
        <v>1.63</v>
      </c>
      <c r="I37" s="31" t="n">
        <v>25777</v>
      </c>
      <c r="J37" s="31" t="inlineStr">
        <is>
          <t>532907</t>
        </is>
      </c>
    </row>
    <row r="38">
      <c r="A38" s="31" t="inlineStr">
        <is>
          <t>YATHARTH</t>
        </is>
      </c>
      <c r="B38" s="31" t="inlineStr">
        <is>
          <t>Yatharth Hospital &amp; Trauma Care Services Ltd</t>
        </is>
      </c>
      <c r="C38" s="31" t="inlineStr">
        <is>
          <t>healthcare</t>
        </is>
      </c>
      <c r="D38" s="31" t="inlineStr">
        <is>
          <t>healthcare</t>
        </is>
      </c>
      <c r="E38" s="31" t="inlineStr">
        <is>
          <t>midcap</t>
        </is>
      </c>
      <c r="F38" s="31" t="n">
        <v>9310.719999999999</v>
      </c>
      <c r="G38" s="31" t="n">
        <v>981.8</v>
      </c>
      <c r="H38" s="31" t="n">
        <v>1.6</v>
      </c>
      <c r="I38" s="31" t="n">
        <v>693776</v>
      </c>
      <c r="J38" s="31" t="inlineStr">
        <is>
          <t>543950</t>
        </is>
      </c>
    </row>
    <row r="39">
      <c r="A39" s="31" t="inlineStr">
        <is>
          <t>CUPID</t>
        </is>
      </c>
      <c r="B39" s="31" t="inlineStr">
        <is>
          <t>Cupid Limited</t>
        </is>
      </c>
      <c r="C39" s="31" t="inlineStr">
        <is>
          <t>fmcg</t>
        </is>
      </c>
      <c r="D39" s="31" t="inlineStr">
        <is>
          <t>personal care - indian</t>
        </is>
      </c>
      <c r="E39" s="31" t="inlineStr">
        <is>
          <t>largecap</t>
        </is>
      </c>
      <c r="F39" s="31" t="n">
        <v>37650.5</v>
      </c>
      <c r="G39" s="31" t="n">
        <v>284.4</v>
      </c>
      <c r="H39" s="31" t="n">
        <v>1.57</v>
      </c>
      <c r="I39" s="31" t="n">
        <v>10885946</v>
      </c>
      <c r="J39" s="31" t="inlineStr">
        <is>
          <t>530843</t>
        </is>
      </c>
    </row>
    <row r="40">
      <c r="A40" s="31" t="inlineStr">
        <is>
          <t>MAXESTATES</t>
        </is>
      </c>
      <c r="B40" s="31" t="inlineStr">
        <is>
          <t>Max Estates Ltd</t>
        </is>
      </c>
      <c r="C40" s="31" t="inlineStr">
        <is>
          <t>realty</t>
        </is>
      </c>
      <c r="D40" s="31" t="inlineStr">
        <is>
          <t>construction</t>
        </is>
      </c>
      <c r="E40" s="31" t="inlineStr">
        <is>
          <t>midcap</t>
        </is>
      </c>
      <c r="F40" s="31" t="n">
        <v>9163.200000000001</v>
      </c>
      <c r="G40" s="31" t="n">
        <v>568.9</v>
      </c>
      <c r="H40" s="31" t="n">
        <v>1.51</v>
      </c>
      <c r="I40" s="31" t="n">
        <v>257350</v>
      </c>
      <c r="J40" s="31" t="inlineStr">
        <is>
          <t>544008</t>
        </is>
      </c>
    </row>
    <row r="41">
      <c r="A41" s="31" t="inlineStr">
        <is>
          <t>MAHASTEEL</t>
        </is>
      </c>
      <c r="B41" s="31" t="inlineStr">
        <is>
          <t>Mahamaya Steel Industries Limited</t>
        </is>
      </c>
      <c r="C41" s="31" t="inlineStr">
        <is>
          <t>metals &amp; mining</t>
        </is>
      </c>
      <c r="D41" s="31" t="inlineStr">
        <is>
          <t>steel - medium / small</t>
        </is>
      </c>
      <c r="E41" s="31" t="inlineStr">
        <is>
          <t>smallcap</t>
        </is>
      </c>
      <c r="F41" s="31" t="n">
        <v>2097.19</v>
      </c>
      <c r="G41" s="31" t="n">
        <v>1294.5</v>
      </c>
      <c r="H41" s="31" t="n">
        <v>1.44</v>
      </c>
      <c r="I41" s="31" t="n">
        <v>10124</v>
      </c>
      <c r="J41" s="31" t="inlineStr">
        <is>
          <t>513554</t>
        </is>
      </c>
    </row>
    <row r="42">
      <c r="A42" s="31" t="inlineStr">
        <is>
          <t>QUADFUTURE</t>
        </is>
      </c>
      <c r="B42" s="31" t="inlineStr">
        <is>
          <t>Quadrant Future Tek Ltd</t>
        </is>
      </c>
      <c r="C42" s="31" t="inlineStr">
        <is>
          <t>industrials</t>
        </is>
      </c>
      <c r="D42" s="31" t="inlineStr">
        <is>
          <t>cables - power</t>
        </is>
      </c>
      <c r="E42" s="31" t="inlineStr">
        <is>
          <t>smallcap</t>
        </is>
      </c>
      <c r="F42" s="31" t="n">
        <v>1914</v>
      </c>
      <c r="G42" s="31" t="n">
        <v>484.6</v>
      </c>
      <c r="H42" s="31" t="n">
        <v>1.27</v>
      </c>
      <c r="I42" s="31" t="n">
        <v>4009846</v>
      </c>
      <c r="J42" s="31" t="inlineStr">
        <is>
          <t>544336</t>
        </is>
      </c>
    </row>
    <row r="43">
      <c r="A43" s="31" t="inlineStr">
        <is>
          <t>MANBA</t>
        </is>
      </c>
      <c r="B43" s="31" t="inlineStr">
        <is>
          <t>Manba Finance Ltd</t>
        </is>
      </c>
      <c r="C43" s="31" t="inlineStr">
        <is>
          <t>financials</t>
        </is>
      </c>
      <c r="D43" s="31" t="inlineStr">
        <is>
          <t>finance &amp; investments</t>
        </is>
      </c>
      <c r="E43" s="31" t="inlineStr">
        <is>
          <t>smallcap</t>
        </is>
      </c>
      <c r="F43" s="31" t="n">
        <v>665.52</v>
      </c>
      <c r="G43" s="31" t="n">
        <v>133.87</v>
      </c>
      <c r="H43" s="31" t="n">
        <v>1.06</v>
      </c>
      <c r="I43" s="31" t="n">
        <v>104730</v>
      </c>
      <c r="J43" s="31" t="inlineStr">
        <is>
          <t>544262</t>
        </is>
      </c>
    </row>
    <row r="44">
      <c r="A44" s="31" t="inlineStr">
        <is>
          <t>EMCURE</t>
        </is>
      </c>
      <c r="B44" s="31" t="inlineStr">
        <is>
          <t>Emcure Pharmaceuticals Ltd</t>
        </is>
      </c>
      <c r="C44" s="31" t="inlineStr">
        <is>
          <t>healthcare</t>
        </is>
      </c>
      <c r="D44" s="31" t="inlineStr">
        <is>
          <t>pharmaceuticals - indian - bulk drugs &amp; formln</t>
        </is>
      </c>
      <c r="E44" s="31" t="inlineStr">
        <is>
          <t>largecap</t>
        </is>
      </c>
      <c r="F44" s="31" t="n">
        <v>37535.8</v>
      </c>
      <c r="G44" s="31" t="n">
        <v>1993</v>
      </c>
      <c r="H44" s="31" t="n">
        <v>0.71</v>
      </c>
      <c r="I44" s="31" t="n">
        <v>239137</v>
      </c>
      <c r="J44" s="31" t="inlineStr">
        <is>
          <t>544210</t>
        </is>
      </c>
    </row>
    <row r="45">
      <c r="A45" s="31" t="inlineStr">
        <is>
          <t>SVLL</t>
        </is>
      </c>
      <c r="B45" s="31" t="inlineStr">
        <is>
          <t>Shree Vasu Logistics Ltd</t>
        </is>
      </c>
      <c r="C45" s="31" t="inlineStr">
        <is>
          <t>transportation</t>
        </is>
      </c>
      <c r="D45" s="31" t="inlineStr">
        <is>
          <t>miscellaneous</t>
        </is>
      </c>
      <c r="E45" s="31" t="inlineStr">
        <is>
          <t>smallcap</t>
        </is>
      </c>
      <c r="F45" s="31" t="n">
        <v>902.3099999999999</v>
      </c>
      <c r="G45" s="31" t="n">
        <v>790.4</v>
      </c>
      <c r="H45" s="31" t="n">
        <v>0.68</v>
      </c>
      <c r="I45" s="31" t="n">
        <v>1173</v>
      </c>
      <c r="J45" s="31" t="inlineStr">
        <is>
          <t>535084</t>
        </is>
      </c>
    </row>
    <row r="46">
      <c r="A46" s="31" t="inlineStr">
        <is>
          <t>CEIGALL</t>
        </is>
      </c>
      <c r="B46" s="31" t="inlineStr">
        <is>
          <t>Ceigall India Ltd</t>
        </is>
      </c>
      <c r="C46" s="31" t="inlineStr">
        <is>
          <t>realty</t>
        </is>
      </c>
      <c r="D46" s="31" t="inlineStr">
        <is>
          <t>construction</t>
        </is>
      </c>
      <c r="E46" s="31" t="inlineStr">
        <is>
          <t>midcap</t>
        </is>
      </c>
      <c r="F46" s="31" t="n">
        <v>6626.75</v>
      </c>
      <c r="G46" s="31" t="n">
        <v>382.25</v>
      </c>
      <c r="H46" s="31" t="n">
        <v>0.49</v>
      </c>
      <c r="I46" s="31" t="n">
        <v>317006</v>
      </c>
      <c r="J46" s="31" t="inlineStr">
        <is>
          <t>544223</t>
        </is>
      </c>
    </row>
    <row r="47">
      <c r="A47" s="31" t="inlineStr">
        <is>
          <t>FOSECOIND</t>
        </is>
      </c>
      <c r="B47" s="31" t="inlineStr">
        <is>
          <t>Foseco India Limited</t>
        </is>
      </c>
      <c r="C47" s="31" t="inlineStr">
        <is>
          <t>chemicals</t>
        </is>
      </c>
      <c r="D47" s="31" t="inlineStr">
        <is>
          <t>chemicals</t>
        </is>
      </c>
      <c r="E47" s="31" t="inlineStr">
        <is>
          <t>smallcap</t>
        </is>
      </c>
      <c r="F47" s="31" t="n">
        <v>4668.96</v>
      </c>
      <c r="G47" s="31" t="n">
        <v>6223.5</v>
      </c>
      <c r="H47" s="31" t="n">
        <v>0.47</v>
      </c>
      <c r="I47" s="31" t="n">
        <v>11949</v>
      </c>
      <c r="J47" s="31" t="inlineStr">
        <is>
          <t>500150</t>
        </is>
      </c>
    </row>
    <row r="48">
      <c r="A48" s="31" t="inlineStr">
        <is>
          <t>GAYAPROJ</t>
        </is>
      </c>
      <c r="B48" s="31" t="inlineStr">
        <is>
          <t>Gayatri Projects Limited</t>
        </is>
      </c>
      <c r="C48" s="31" t="inlineStr">
        <is>
          <t>realty</t>
        </is>
      </c>
      <c r="D48" s="31" t="inlineStr">
        <is>
          <t>construction</t>
        </is>
      </c>
      <c r="E48" s="31" t="inlineStr">
        <is>
          <t>smallcap</t>
        </is>
      </c>
      <c r="F48" s="31" t="n">
        <v>1208.57</v>
      </c>
      <c r="G48" s="31" t="n">
        <v>26.15</v>
      </c>
      <c r="H48" s="31" t="n">
        <v>0.46</v>
      </c>
      <c r="I48" s="31" t="n">
        <v>3617474</v>
      </c>
      <c r="J48" s="31" t="inlineStr">
        <is>
          <t>532767</t>
        </is>
      </c>
    </row>
    <row r="49">
      <c r="A49" s="31" t="inlineStr">
        <is>
          <t>RATNAVEER</t>
        </is>
      </c>
      <c r="B49" s="31" t="inlineStr">
        <is>
          <t>Ratnaveer Precision Engineering Ltd</t>
        </is>
      </c>
      <c r="C49" s="31" t="inlineStr">
        <is>
          <t>metals &amp; mining</t>
        </is>
      </c>
      <c r="D49" s="31" t="inlineStr">
        <is>
          <t>steel - medium / small</t>
        </is>
      </c>
      <c r="E49" s="31" t="inlineStr">
        <is>
          <t>smallcap</t>
        </is>
      </c>
      <c r="F49" s="31" t="n">
        <v>2059.23</v>
      </c>
      <c r="G49" s="31" t="n">
        <v>289.6</v>
      </c>
      <c r="H49" s="31" t="n">
        <v>0.45</v>
      </c>
      <c r="I49" s="31" t="n">
        <v>6487828</v>
      </c>
      <c r="J49" s="31" t="inlineStr">
        <is>
          <t>543978</t>
        </is>
      </c>
    </row>
    <row r="50">
      <c r="A50" s="31" t="inlineStr">
        <is>
          <t>GOODLUCK</t>
        </is>
      </c>
      <c r="B50" s="31" t="inlineStr">
        <is>
          <t>Goodluck India Limited</t>
        </is>
      </c>
      <c r="C50" s="31" t="inlineStr">
        <is>
          <t>metals &amp; mining</t>
        </is>
      </c>
      <c r="D50" s="31" t="inlineStr">
        <is>
          <t>steel - medium / small</t>
        </is>
      </c>
      <c r="E50" s="31" t="inlineStr">
        <is>
          <t>midcap</t>
        </is>
      </c>
      <c r="F50" s="31" t="n">
        <v>5153.8</v>
      </c>
      <c r="G50" s="31" t="n">
        <v>519.15</v>
      </c>
      <c r="H50" s="31" t="n">
        <v>0.45</v>
      </c>
      <c r="I50" s="31" t="n">
        <v>708900</v>
      </c>
      <c r="J50" s="31" t="inlineStr">
        <is>
          <t>530655</t>
        </is>
      </c>
    </row>
    <row r="51">
      <c r="A51" s="31" t="inlineStr">
        <is>
          <t>DOLPHIN</t>
        </is>
      </c>
      <c r="B51" s="31" t="inlineStr">
        <is>
          <t>Dolphin Offshore Enterprises (India) Ltd</t>
        </is>
      </c>
      <c r="C51" s="31" t="inlineStr">
        <is>
          <t>energy</t>
        </is>
      </c>
      <c r="D51" s="31" t="inlineStr">
        <is>
          <t>oil drilling / allied services</t>
        </is>
      </c>
      <c r="E51" s="31" t="inlineStr">
        <is>
          <t>smallcap</t>
        </is>
      </c>
      <c r="F51" s="31" t="n">
        <v>2596.3</v>
      </c>
      <c r="G51" s="31" t="n">
        <v>651.05</v>
      </c>
      <c r="H51" s="31" t="n">
        <v>0.32</v>
      </c>
      <c r="I51" s="31" t="n">
        <v>52528</v>
      </c>
      <c r="J51" s="31" t="inlineStr">
        <is>
          <t>522261</t>
        </is>
      </c>
    </row>
    <row r="52">
      <c r="A52" s="31" t="inlineStr">
        <is>
          <t>PAISALO</t>
        </is>
      </c>
      <c r="B52" s="31" t="inlineStr">
        <is>
          <t>Paisalo Digital Ltd</t>
        </is>
      </c>
      <c r="C52" s="31" t="inlineStr">
        <is>
          <t>financials</t>
        </is>
      </c>
      <c r="D52" s="31" t="inlineStr">
        <is>
          <t>finance &amp; investments</t>
        </is>
      </c>
      <c r="E52" s="31" t="inlineStr">
        <is>
          <t>midcap</t>
        </is>
      </c>
      <c r="F52" s="31" t="n">
        <v>7660.9</v>
      </c>
      <c r="G52" s="31" t="n">
        <v>84.47</v>
      </c>
      <c r="H52" s="31" t="n">
        <v>0.28</v>
      </c>
      <c r="I52" s="31" t="n">
        <v>14460925</v>
      </c>
      <c r="J52" s="31" t="inlineStr">
        <is>
          <t>532900</t>
        </is>
      </c>
    </row>
    <row r="53">
      <c r="A53" s="31" t="inlineStr">
        <is>
          <t>ANTHEM</t>
        </is>
      </c>
      <c r="B53" s="31" t="inlineStr">
        <is>
          <t>Anthem Biosciences Ltd</t>
        </is>
      </c>
      <c r="C53" s="31" t="inlineStr">
        <is>
          <t>healthcare</t>
        </is>
      </c>
      <c r="D53" s="31" t="inlineStr">
        <is>
          <t>pharmaceuticals - indian - bulk drugs &amp; formln</t>
        </is>
      </c>
      <c r="E53" s="31" t="inlineStr">
        <is>
          <t>largecap</t>
        </is>
      </c>
      <c r="F53" s="31" t="n">
        <v>53008.87</v>
      </c>
      <c r="G53" s="31" t="n">
        <v>942.85</v>
      </c>
      <c r="H53" s="31" t="n">
        <v>0.21</v>
      </c>
      <c r="I53" s="31" t="n">
        <v>599280</v>
      </c>
      <c r="J53" s="31" t="inlineStr">
        <is>
          <t>544449</t>
        </is>
      </c>
    </row>
    <row r="54">
      <c r="A54" s="31" t="inlineStr">
        <is>
          <t>CONSOFINVT</t>
        </is>
      </c>
      <c r="B54" s="31" t="inlineStr">
        <is>
          <t>Consolidated Finvest &amp; Holdings Limited</t>
        </is>
      </c>
      <c r="C54" s="31" t="inlineStr">
        <is>
          <t>financials</t>
        </is>
      </c>
      <c r="D54" s="31" t="inlineStr">
        <is>
          <t>finance &amp; investments</t>
        </is>
      </c>
      <c r="E54" s="31" t="inlineStr">
        <is>
          <t>smallcap</t>
        </is>
      </c>
      <c r="F54" s="31" t="n">
        <v>974.64</v>
      </c>
      <c r="G54" s="31" t="n">
        <v>302</v>
      </c>
      <c r="H54" s="31" t="n">
        <v>0.17</v>
      </c>
      <c r="I54" s="31" t="n">
        <v>8390</v>
      </c>
      <c r="J54" s="31" t="inlineStr">
        <is>
          <t>500226</t>
        </is>
      </c>
    </row>
    <row r="55">
      <c r="A55" s="31" t="inlineStr">
        <is>
          <t>KIRLOSIND</t>
        </is>
      </c>
      <c r="B55" s="31" t="inlineStr">
        <is>
          <t>Kirloskar Industries Limited</t>
        </is>
      </c>
      <c r="C55" s="31" t="inlineStr">
        <is>
          <t>financials</t>
        </is>
      </c>
      <c r="D55" s="31" t="inlineStr">
        <is>
          <t>finance &amp; investments</t>
        </is>
      </c>
      <c r="E55" s="31" t="inlineStr">
        <is>
          <t>smallcap</t>
        </is>
      </c>
      <c r="F55" s="31" t="n">
        <v>4023.3</v>
      </c>
      <c r="G55" s="31" t="n">
        <v>3834</v>
      </c>
      <c r="H55" s="31" t="n">
        <v>0.15</v>
      </c>
      <c r="I55" s="31" t="n">
        <v>37165</v>
      </c>
      <c r="J55" s="31" t="inlineStr">
        <is>
          <t>500243</t>
        </is>
      </c>
    </row>
    <row r="56">
      <c r="A56" s="31" t="inlineStr">
        <is>
          <t>GCSL</t>
        </is>
      </c>
      <c r="B56" s="31" t="inlineStr">
        <is>
          <t>Gretex Corporate Services Ltd</t>
        </is>
      </c>
      <c r="C56" s="31" t="inlineStr">
        <is>
          <t>financials</t>
        </is>
      </c>
      <c r="D56" s="31" t="inlineStr">
        <is>
          <t>finance &amp; investments</t>
        </is>
      </c>
      <c r="E56" s="31" t="inlineStr">
        <is>
          <t>smallcap</t>
        </is>
      </c>
      <c r="F56" s="31" t="n">
        <v>1451.25</v>
      </c>
      <c r="G56" s="31" t="n">
        <v>601.55</v>
      </c>
      <c r="H56" s="31" t="n">
        <v>0.14</v>
      </c>
      <c r="I56" s="31" t="n">
        <v>1181049</v>
      </c>
      <c r="J56" s="31" t="inlineStr">
        <is>
          <t>543324</t>
        </is>
      </c>
    </row>
    <row r="57">
      <c r="A57" s="31" t="inlineStr">
        <is>
          <t>GPTHEALTH</t>
        </is>
      </c>
      <c r="B57" s="31" t="inlineStr">
        <is>
          <t>GPT Healthcare Ltd</t>
        </is>
      </c>
      <c r="C57" s="31" t="inlineStr">
        <is>
          <t>healthcare</t>
        </is>
      </c>
      <c r="D57" s="31" t="inlineStr">
        <is>
          <t>healthcare</t>
        </is>
      </c>
      <c r="E57" s="31" t="inlineStr">
        <is>
          <t>smallcap</t>
        </is>
      </c>
      <c r="F57" s="31" t="n">
        <v>1307.79</v>
      </c>
      <c r="G57" s="31" t="n">
        <v>159.45</v>
      </c>
      <c r="H57" s="31" t="n">
        <v>0.04</v>
      </c>
      <c r="I57" s="31" t="n">
        <v>140502</v>
      </c>
      <c r="J57" s="31" t="inlineStr">
        <is>
          <t>544131</t>
        </is>
      </c>
    </row>
    <row r="58">
      <c r="A58" s="31" t="inlineStr">
        <is>
          <t>KIRLFER</t>
        </is>
      </c>
      <c r="B58" s="31" t="inlineStr">
        <is>
          <t>Kirloskar Ferrous Industries Ltd</t>
        </is>
      </c>
      <c r="C58" s="31" t="inlineStr">
        <is>
          <t>metals &amp; mining</t>
        </is>
      </c>
      <c r="D58" s="31" t="inlineStr">
        <is>
          <t>steel - large</t>
        </is>
      </c>
      <c r="E58" s="31" t="inlineStr">
        <is>
          <t>midcap</t>
        </is>
      </c>
      <c r="F58" s="31" t="n">
        <v>7673.8</v>
      </c>
      <c r="G58" s="31" t="n">
        <v>464.85</v>
      </c>
      <c r="H58" s="31" t="n">
        <v>-0.05</v>
      </c>
      <c r="I58" s="31" t="n">
        <v>211119</v>
      </c>
      <c r="J58" s="31" t="inlineStr">
        <is>
          <t>500245</t>
        </is>
      </c>
    </row>
    <row r="59">
      <c r="A59" s="31" t="inlineStr">
        <is>
          <t>WSTCSTPAPR</t>
        </is>
      </c>
      <c r="B59" s="31" t="inlineStr">
        <is>
          <t>West Coast Paper Mills Limited</t>
        </is>
      </c>
      <c r="C59" s="31" t="inlineStr">
        <is>
          <t>building materials</t>
        </is>
      </c>
      <c r="D59" s="31" t="inlineStr">
        <is>
          <t>paper</t>
        </is>
      </c>
      <c r="E59" s="31" t="inlineStr">
        <is>
          <t>smallcap</t>
        </is>
      </c>
      <c r="F59" s="31" t="n">
        <v>4714.57</v>
      </c>
      <c r="G59" s="31" t="n">
        <v>713.3</v>
      </c>
      <c r="H59" s="31" t="n">
        <v>-0.07000000000000001</v>
      </c>
      <c r="I59" s="31" t="n">
        <v>375037</v>
      </c>
      <c r="J59" s="31" t="inlineStr">
        <is>
          <t>500444</t>
        </is>
      </c>
    </row>
    <row r="60">
      <c r="A60" s="31" t="inlineStr">
        <is>
          <t>RACLGEAR</t>
        </is>
      </c>
      <c r="B60" s="31" t="inlineStr">
        <is>
          <t>RACL Geartech Ltd</t>
        </is>
      </c>
      <c r="C60" s="31" t="inlineStr">
        <is>
          <t>auto</t>
        </is>
      </c>
      <c r="D60" s="31" t="inlineStr">
        <is>
          <t>auto ancillaries</t>
        </is>
      </c>
      <c r="E60" s="31" t="inlineStr">
        <is>
          <t>smallcap</t>
        </is>
      </c>
      <c r="F60" s="31" t="n">
        <v>2070.81</v>
      </c>
      <c r="G60" s="31" t="n">
        <v>1755.2</v>
      </c>
      <c r="H60" s="31" t="n">
        <v>-0.09</v>
      </c>
      <c r="I60" s="31" t="n">
        <v>219097</v>
      </c>
      <c r="J60" s="31" t="inlineStr">
        <is>
          <t>520073</t>
        </is>
      </c>
    </row>
    <row r="61">
      <c r="A61" s="31" t="inlineStr">
        <is>
          <t>LUMAXTECH</t>
        </is>
      </c>
      <c r="B61" s="31" t="inlineStr">
        <is>
          <t>Lumax Auto Technologies Limited</t>
        </is>
      </c>
      <c r="C61" s="31" t="inlineStr">
        <is>
          <t>auto</t>
        </is>
      </c>
      <c r="D61" s="31" t="inlineStr">
        <is>
          <t>auto ancillaries</t>
        </is>
      </c>
      <c r="E61" s="31" t="inlineStr">
        <is>
          <t>midcap</t>
        </is>
      </c>
      <c r="F61" s="31" t="n">
        <v>13588.6</v>
      </c>
      <c r="G61" s="31" t="n">
        <v>1991.3</v>
      </c>
      <c r="H61" s="31" t="n">
        <v>-0.12</v>
      </c>
      <c r="I61" s="31" t="n">
        <v>233217</v>
      </c>
      <c r="J61" s="31" t="inlineStr">
        <is>
          <t>532796</t>
        </is>
      </c>
    </row>
    <row r="62">
      <c r="A62" s="31" t="inlineStr">
        <is>
          <t>ABDL</t>
        </is>
      </c>
      <c r="B62" s="31" t="inlineStr">
        <is>
          <t>Allied Blenders &amp; Distillers Ltd</t>
        </is>
      </c>
      <c r="C62" s="31" t="inlineStr">
        <is>
          <t>fmcg</t>
        </is>
      </c>
      <c r="D62" s="31" t="inlineStr">
        <is>
          <t>breweries &amp; distilleries</t>
        </is>
      </c>
      <c r="E62" s="31" t="inlineStr">
        <is>
          <t>midcap</t>
        </is>
      </c>
      <c r="F62" s="31" t="n">
        <v>17691.67</v>
      </c>
      <c r="G62" s="31" t="n">
        <v>631.6</v>
      </c>
      <c r="H62" s="31" t="n">
        <v>-0.14</v>
      </c>
      <c r="I62" s="31" t="n">
        <v>522432</v>
      </c>
      <c r="J62" s="31" t="inlineStr">
        <is>
          <t>544203</t>
        </is>
      </c>
    </row>
    <row r="63">
      <c r="A63" s="31" t="inlineStr">
        <is>
          <t>DYNAMATECH</t>
        </is>
      </c>
      <c r="B63" s="31" t="inlineStr">
        <is>
          <t>Dynamatic Technologies Limited</t>
        </is>
      </c>
      <c r="C63" s="31" t="inlineStr">
        <is>
          <t>aerospace &amp; defence</t>
        </is>
      </c>
      <c r="D63" s="31" t="inlineStr">
        <is>
          <t>engineering</t>
        </is>
      </c>
      <c r="E63" s="31" t="inlineStr">
        <is>
          <t>midcap</t>
        </is>
      </c>
      <c r="F63" s="31" t="n">
        <v>8215.610000000001</v>
      </c>
      <c r="G63" s="31" t="n">
        <v>12071</v>
      </c>
      <c r="H63" s="31" t="n">
        <v>-0.21</v>
      </c>
      <c r="I63" s="31" t="n">
        <v>22745</v>
      </c>
      <c r="J63" s="31" t="inlineStr">
        <is>
          <t>505242</t>
        </is>
      </c>
    </row>
    <row r="64">
      <c r="A64" s="31" t="inlineStr">
        <is>
          <t>SUNDARMFIN</t>
        </is>
      </c>
      <c r="B64" s="31" t="inlineStr">
        <is>
          <t>Sundaram Finance Limited</t>
        </is>
      </c>
      <c r="C64" s="31" t="inlineStr">
        <is>
          <t>financials</t>
        </is>
      </c>
      <c r="D64" s="31" t="inlineStr">
        <is>
          <t>finance &amp; investments</t>
        </is>
      </c>
      <c r="E64" s="31" t="inlineStr">
        <is>
          <t>largecap</t>
        </is>
      </c>
      <c r="F64" s="31" t="n">
        <v>52337.7</v>
      </c>
      <c r="G64" s="31" t="n">
        <v>4695</v>
      </c>
      <c r="H64" s="31" t="n">
        <v>-0.33</v>
      </c>
      <c r="I64" s="31" t="n">
        <v>64086</v>
      </c>
      <c r="J64" s="31" t="inlineStr">
        <is>
          <t>590071</t>
        </is>
      </c>
    </row>
    <row r="65">
      <c r="A65" s="31" t="inlineStr">
        <is>
          <t>TBZ</t>
        </is>
      </c>
      <c r="B65" s="31" t="inlineStr">
        <is>
          <t>Tribhovandas Bhimji Zaveri Limited</t>
        </is>
      </c>
      <c r="C65" s="31" t="inlineStr">
        <is>
          <t>consumer discretionary</t>
        </is>
      </c>
      <c r="D65" s="31" t="inlineStr">
        <is>
          <t>diamond cutting / jewellery</t>
        </is>
      </c>
      <c r="E65" s="31" t="inlineStr">
        <is>
          <t>smallcap</t>
        </is>
      </c>
      <c r="F65" s="31" t="n">
        <v>3512.03</v>
      </c>
      <c r="G65" s="31" t="n">
        <v>524.45</v>
      </c>
      <c r="H65" s="31" t="n">
        <v>-0.35</v>
      </c>
      <c r="I65" s="31" t="n">
        <v>1933695</v>
      </c>
      <c r="J65" s="31" t="inlineStr">
        <is>
          <t>534369</t>
        </is>
      </c>
    </row>
    <row r="66">
      <c r="A66" s="31" t="inlineStr">
        <is>
          <t>ZYDUSWELL</t>
        </is>
      </c>
      <c r="B66" s="31" t="inlineStr">
        <is>
          <t>Zydus Wellness Limited</t>
        </is>
      </c>
      <c r="C66" s="31" t="inlineStr">
        <is>
          <t>fmcg</t>
        </is>
      </c>
      <c r="D66" s="31" t="inlineStr">
        <is>
          <t>food - processing - indian</t>
        </is>
      </c>
      <c r="E66" s="31" t="inlineStr">
        <is>
          <t>midcap</t>
        </is>
      </c>
      <c r="F66" s="31" t="n">
        <v>17562.47</v>
      </c>
      <c r="G66" s="31" t="n">
        <v>549.95</v>
      </c>
      <c r="H66" s="31" t="n">
        <v>-0.37</v>
      </c>
      <c r="I66" s="31" t="n">
        <v>260004</v>
      </c>
      <c r="J66" s="31" t="inlineStr">
        <is>
          <t>531335</t>
        </is>
      </c>
    </row>
    <row r="67">
      <c r="A67" s="31" t="inlineStr">
        <is>
          <t>LGBBROSLTD</t>
        </is>
      </c>
      <c r="B67" s="31" t="inlineStr">
        <is>
          <t>Lg Balakrishnan &amp; Bros Limited</t>
        </is>
      </c>
      <c r="C67" s="31" t="inlineStr">
        <is>
          <t>auto</t>
        </is>
      </c>
      <c r="D67" s="31" t="inlineStr">
        <is>
          <t>bearings</t>
        </is>
      </c>
      <c r="E67" s="31" t="inlineStr">
        <is>
          <t>midcap</t>
        </is>
      </c>
      <c r="F67" s="31" t="n">
        <v>5456.79</v>
      </c>
      <c r="G67" s="31" t="n">
        <v>1703.2</v>
      </c>
      <c r="H67" s="31" t="n">
        <v>-0.46</v>
      </c>
      <c r="I67" s="31" t="n">
        <v>21277</v>
      </c>
      <c r="J67" s="31" t="inlineStr">
        <is>
          <t>500250</t>
        </is>
      </c>
    </row>
    <row r="68">
      <c r="A68" s="31" t="inlineStr">
        <is>
          <t>ARIES</t>
        </is>
      </c>
      <c r="B68" s="31" t="inlineStr">
        <is>
          <t>Aries Agro Limited</t>
        </is>
      </c>
      <c r="C68" s="31" t="inlineStr">
        <is>
          <t>chemicals</t>
        </is>
      </c>
      <c r="D68" s="31" t="inlineStr">
        <is>
          <t>fertilizers</t>
        </is>
      </c>
      <c r="E68" s="31" t="inlineStr">
        <is>
          <t>smallcap</t>
        </is>
      </c>
      <c r="F68" s="31" t="n">
        <v>618.49</v>
      </c>
      <c r="G68" s="31" t="n">
        <v>473.3</v>
      </c>
      <c r="H68" s="31" t="n">
        <v>-0.48</v>
      </c>
      <c r="I68" s="31" t="n">
        <v>25734</v>
      </c>
      <c r="J68" s="31" t="inlineStr">
        <is>
          <t>532935</t>
        </is>
      </c>
    </row>
    <row r="69">
      <c r="A69" s="31" t="inlineStr">
        <is>
          <t>GLOBAL</t>
        </is>
      </c>
      <c r="B69" s="31" t="inlineStr">
        <is>
          <t>Global Education Ltd</t>
        </is>
      </c>
      <c r="C69" s="31" t="inlineStr">
        <is>
          <t>services</t>
        </is>
      </c>
      <c r="D69" s="31" t="inlineStr">
        <is>
          <t>miscellaneous</t>
        </is>
      </c>
      <c r="E69" s="31" t="inlineStr">
        <is>
          <t>smallcap</t>
        </is>
      </c>
      <c r="F69" s="31" t="n">
        <v>645.99</v>
      </c>
      <c r="G69" s="31" t="n">
        <v>126.23</v>
      </c>
      <c r="H69" s="31" t="n">
        <v>-0.54</v>
      </c>
      <c r="I69" s="31" t="n">
        <v>86903</v>
      </c>
      <c r="J69" s="31" t="inlineStr">
        <is>
          <t>538406</t>
        </is>
      </c>
    </row>
    <row r="70">
      <c r="A70" s="31" t="inlineStr">
        <is>
          <t>INNOVACAP</t>
        </is>
      </c>
      <c r="B70" s="31" t="inlineStr">
        <is>
          <t>Innova Captab Ltd</t>
        </is>
      </c>
      <c r="C70" s="31" t="inlineStr">
        <is>
          <t>healthcare</t>
        </is>
      </c>
      <c r="D70" s="31" t="inlineStr">
        <is>
          <t>pharmaceuticals - indian - bulk drugs &amp; formln</t>
        </is>
      </c>
      <c r="E70" s="31" t="inlineStr">
        <is>
          <t>midcap</t>
        </is>
      </c>
      <c r="F70" s="31" t="n">
        <v>6564.84</v>
      </c>
      <c r="G70" s="31" t="n">
        <v>1140.1</v>
      </c>
      <c r="H70" s="31" t="n">
        <v>-0.62</v>
      </c>
      <c r="I70" s="31" t="n">
        <v>216521</v>
      </c>
      <c r="J70" s="31" t="inlineStr">
        <is>
          <t>544067</t>
        </is>
      </c>
    </row>
    <row r="71">
      <c r="A71" s="31" t="inlineStr">
        <is>
          <t>MVGJL</t>
        </is>
      </c>
      <c r="B71" s="31" t="inlineStr">
        <is>
          <t>Manoj Vaibhav Gems N Jewellers Ltd</t>
        </is>
      </c>
      <c r="C71" s="31" t="inlineStr">
        <is>
          <t>consumer discretionary</t>
        </is>
      </c>
      <c r="D71" s="31" t="inlineStr">
        <is>
          <t>diamond cutting / jewellery</t>
        </is>
      </c>
      <c r="E71" s="31" t="inlineStr">
        <is>
          <t>smallcap</t>
        </is>
      </c>
      <c r="F71" s="31" t="n">
        <v>964.1</v>
      </c>
      <c r="G71" s="31" t="n">
        <v>196.05</v>
      </c>
      <c r="H71" s="31" t="n">
        <v>-0.67</v>
      </c>
      <c r="I71" s="31" t="n">
        <v>407195</v>
      </c>
      <c r="J71" s="31" t="inlineStr">
        <is>
          <t>543995</t>
        </is>
      </c>
    </row>
    <row r="72">
      <c r="A72" s="31" t="inlineStr">
        <is>
          <t>RAYMOND</t>
        </is>
      </c>
      <c r="B72" s="31" t="inlineStr">
        <is>
          <t>Raymond Limited</t>
        </is>
      </c>
      <c r="C72" s="31" t="inlineStr">
        <is>
          <t>transportation</t>
        </is>
      </c>
      <c r="D72" s="31" t="inlineStr">
        <is>
          <t>transport - airlines</t>
        </is>
      </c>
      <c r="E72" s="31" t="inlineStr">
        <is>
          <t>midcap</t>
        </is>
      </c>
      <c r="F72" s="31" t="n">
        <v>6676.01</v>
      </c>
      <c r="G72" s="31" t="n">
        <v>995.95</v>
      </c>
      <c r="H72" s="31" t="n">
        <v>-0.68</v>
      </c>
      <c r="I72" s="31" t="n">
        <v>22726056</v>
      </c>
      <c r="J72" s="31" t="inlineStr">
        <is>
          <t>500330</t>
        </is>
      </c>
    </row>
    <row r="73">
      <c r="A73" s="31" t="inlineStr">
        <is>
          <t>ENTERO</t>
        </is>
      </c>
      <c r="B73" s="31" t="inlineStr">
        <is>
          <t>Entero Healthcare Solutions Ltd</t>
        </is>
      </c>
      <c r="C73" s="31" t="inlineStr">
        <is>
          <t>healthcare</t>
        </is>
      </c>
      <c r="D73" s="31" t="inlineStr">
        <is>
          <t>trading</t>
        </is>
      </c>
      <c r="E73" s="31" t="inlineStr">
        <is>
          <t>midcap</t>
        </is>
      </c>
      <c r="F73" s="31" t="n">
        <v>7901.18</v>
      </c>
      <c r="G73" s="31" t="n">
        <v>1802.1</v>
      </c>
      <c r="H73" s="31" t="n">
        <v>-0.73</v>
      </c>
      <c r="I73" s="31" t="n">
        <v>144363</v>
      </c>
      <c r="J73" s="31" t="inlineStr">
        <is>
          <t>544122</t>
        </is>
      </c>
    </row>
    <row r="74">
      <c r="A74" s="31" t="inlineStr">
        <is>
          <t>THEJO</t>
        </is>
      </c>
      <c r="B74" s="31" t="inlineStr">
        <is>
          <t>Thejo Engineering Ltd</t>
        </is>
      </c>
      <c r="C74" s="31" t="inlineStr">
        <is>
          <t>industrials</t>
        </is>
      </c>
      <c r="D74" s="31" t="inlineStr">
        <is>
          <t>engineering</t>
        </is>
      </c>
      <c r="E74" s="31" t="inlineStr">
        <is>
          <t>smallcap</t>
        </is>
      </c>
      <c r="F74" s="31" t="n">
        <v>2378.42</v>
      </c>
      <c r="G74" s="31" t="n">
        <v>2175.2</v>
      </c>
      <c r="H74" s="31" t="n">
        <v>-0.79</v>
      </c>
      <c r="I74" s="31" t="n">
        <v>14877</v>
      </c>
      <c r="J74" s="31" t="inlineStr">
        <is>
          <t>500492</t>
        </is>
      </c>
    </row>
    <row r="75">
      <c r="A75" s="31" t="inlineStr">
        <is>
          <t>SHAREINDIA</t>
        </is>
      </c>
      <c r="B75" s="31" t="inlineStr">
        <is>
          <t>Share India Securities Ltd</t>
        </is>
      </c>
      <c r="C75" s="31" t="inlineStr">
        <is>
          <t>financials</t>
        </is>
      </c>
      <c r="D75" s="31" t="inlineStr">
        <is>
          <t>finance &amp; investments</t>
        </is>
      </c>
      <c r="E75" s="31" t="inlineStr">
        <is>
          <t>smallcap</t>
        </is>
      </c>
      <c r="F75" s="31" t="n">
        <v>4353.1</v>
      </c>
      <c r="G75" s="31" t="n">
        <v>197.2</v>
      </c>
      <c r="H75" s="31" t="n">
        <v>-0.87</v>
      </c>
      <c r="I75" s="31" t="n">
        <v>4211096</v>
      </c>
      <c r="J75" s="31" t="inlineStr">
        <is>
          <t>540725</t>
        </is>
      </c>
    </row>
    <row r="76">
      <c r="A76" s="31" t="inlineStr">
        <is>
          <t>GLAND</t>
        </is>
      </c>
      <c r="B76" s="31" t="inlineStr">
        <is>
          <t>Gland Pharma Ltd</t>
        </is>
      </c>
      <c r="C76" s="31" t="inlineStr">
        <is>
          <t>healthcare</t>
        </is>
      </c>
      <c r="D76" s="31" t="inlineStr">
        <is>
          <t>pharmaceuticals - indian - formulations</t>
        </is>
      </c>
      <c r="E76" s="31" t="inlineStr">
        <is>
          <t>largecap</t>
        </is>
      </c>
      <c r="F76" s="31" t="n">
        <v>48206.17</v>
      </c>
      <c r="G76" s="31" t="n">
        <v>2895.5</v>
      </c>
      <c r="H76" s="31" t="n">
        <v>-0.92</v>
      </c>
      <c r="I76" s="31" t="n">
        <v>497958</v>
      </c>
      <c r="J76" s="31" t="inlineStr">
        <is>
          <t>543245</t>
        </is>
      </c>
    </row>
    <row r="77">
      <c r="A77" s="31" t="inlineStr">
        <is>
          <t>KAMDHENU</t>
        </is>
      </c>
      <c r="B77" s="31" t="inlineStr">
        <is>
          <t>Kamdhenu Limited</t>
        </is>
      </c>
      <c r="C77" s="31" t="inlineStr">
        <is>
          <t>metals &amp; mining</t>
        </is>
      </c>
      <c r="D77" s="31" t="inlineStr">
        <is>
          <t>steel - medium / small</t>
        </is>
      </c>
      <c r="E77" s="31" t="inlineStr">
        <is>
          <t>smallcap</t>
        </is>
      </c>
      <c r="F77" s="31" t="n">
        <v>1101.88</v>
      </c>
      <c r="G77" s="31" t="n">
        <v>38.66</v>
      </c>
      <c r="H77" s="31" t="n">
        <v>-1.1</v>
      </c>
      <c r="I77" s="31" t="n">
        <v>432685</v>
      </c>
      <c r="J77" s="31" t="inlineStr">
        <is>
          <t>532741</t>
        </is>
      </c>
    </row>
    <row r="78">
      <c r="A78" s="31" t="inlineStr">
        <is>
          <t>SHREEJISPG</t>
        </is>
      </c>
      <c r="B78" s="31" t="inlineStr">
        <is>
          <t>Shreeji Shipping Global Ltd</t>
        </is>
      </c>
      <c r="C78" s="31" t="inlineStr">
        <is>
          <t>transportation</t>
        </is>
      </c>
      <c r="D78" s="31" t="inlineStr">
        <is>
          <t>shipping</t>
        </is>
      </c>
      <c r="E78" s="31" t="inlineStr">
        <is>
          <t>midcap</t>
        </is>
      </c>
      <c r="F78" s="31" t="n">
        <v>11269.87</v>
      </c>
      <c r="G78" s="31" t="n">
        <v>684</v>
      </c>
      <c r="H78" s="31" t="n">
        <v>-1.12</v>
      </c>
      <c r="I78" s="31" t="n">
        <v>3269593</v>
      </c>
      <c r="J78" s="31" t="inlineStr">
        <is>
          <t>544490</t>
        </is>
      </c>
    </row>
    <row r="79">
      <c r="A79" s="31" t="inlineStr">
        <is>
          <t>EBGNG</t>
        </is>
      </c>
      <c r="B79" s="31" t="inlineStr">
        <is>
          <t>GNG Electronics Ltd</t>
        </is>
      </c>
      <c r="C79" s="31" t="inlineStr">
        <is>
          <t>services</t>
        </is>
      </c>
      <c r="D79" s="31" t="inlineStr">
        <is>
          <t>trading</t>
        </is>
      </c>
      <c r="E79" s="31" t="inlineStr">
        <is>
          <t>midcap</t>
        </is>
      </c>
      <c r="F79" s="31" t="n">
        <v>7748.79</v>
      </c>
      <c r="G79" s="31" t="n">
        <v>671.45</v>
      </c>
      <c r="H79" s="31" t="n">
        <v>-1.21</v>
      </c>
      <c r="I79" s="31" t="n">
        <v>1306597</v>
      </c>
      <c r="J79" s="31" t="inlineStr">
        <is>
          <t>544455</t>
        </is>
      </c>
    </row>
    <row r="80">
      <c r="A80" s="31" t="inlineStr">
        <is>
          <t>NITINSPIN</t>
        </is>
      </c>
      <c r="B80" s="31" t="inlineStr">
        <is>
          <t>Nitin Spinners Limited</t>
        </is>
      </c>
      <c r="C80" s="31" t="inlineStr">
        <is>
          <t>textiles</t>
        </is>
      </c>
      <c r="D80" s="31" t="inlineStr">
        <is>
          <t>textiles - cotton/blended</t>
        </is>
      </c>
      <c r="E80" s="31" t="inlineStr">
        <is>
          <t>smallcap</t>
        </is>
      </c>
      <c r="F80" s="31" t="n">
        <v>3660.2</v>
      </c>
      <c r="G80" s="31" t="n">
        <v>643.15</v>
      </c>
      <c r="H80" s="31" t="n">
        <v>-1.21</v>
      </c>
      <c r="I80" s="31" t="n">
        <v>182683</v>
      </c>
      <c r="J80" s="31" t="inlineStr">
        <is>
          <t>532698</t>
        </is>
      </c>
    </row>
    <row r="81">
      <c r="A81" s="31" t="inlineStr">
        <is>
          <t>UNITEDPOLY</t>
        </is>
      </c>
      <c r="B81" s="31" t="inlineStr">
        <is>
          <t>United Polyfab Gujarat Ltd</t>
        </is>
      </c>
      <c r="C81" s="31" t="inlineStr">
        <is>
          <t>textiles</t>
        </is>
      </c>
      <c r="D81" s="31" t="inlineStr">
        <is>
          <t>textiles - products</t>
        </is>
      </c>
      <c r="E81" s="31" t="inlineStr">
        <is>
          <t>smallcap</t>
        </is>
      </c>
      <c r="F81" s="31" t="n">
        <v>993.34</v>
      </c>
      <c r="G81" s="31" t="n">
        <v>42.75</v>
      </c>
      <c r="H81" s="31" t="n">
        <v>-1.22</v>
      </c>
      <c r="I81" s="31" t="n">
        <v>129163</v>
      </c>
      <c r="J81" s="31" t="inlineStr">
        <is>
          <t>533024</t>
        </is>
      </c>
    </row>
    <row r="82">
      <c r="A82" s="31" t="inlineStr">
        <is>
          <t>SBC</t>
        </is>
      </c>
      <c r="B82" s="31" t="inlineStr">
        <is>
          <t>SBC Exports Ltd</t>
        </is>
      </c>
      <c r="C82" s="31" t="inlineStr">
        <is>
          <t>textiles</t>
        </is>
      </c>
      <c r="D82" s="31" t="inlineStr">
        <is>
          <t>textiles - products</t>
        </is>
      </c>
      <c r="E82" s="31" t="inlineStr">
        <is>
          <t>smallcap</t>
        </is>
      </c>
      <c r="F82" s="31" t="n">
        <v>2301.43</v>
      </c>
      <c r="G82" s="31" t="n">
        <v>47.73</v>
      </c>
      <c r="H82" s="31" t="n">
        <v>-1.24</v>
      </c>
      <c r="I82" s="31" t="n">
        <v>9919587</v>
      </c>
      <c r="J82" s="31" t="inlineStr">
        <is>
          <t>542725</t>
        </is>
      </c>
    </row>
    <row r="83">
      <c r="A83" s="31" t="inlineStr">
        <is>
          <t>JUBLPHARMA</t>
        </is>
      </c>
      <c r="B83" s="31" t="inlineStr">
        <is>
          <t>Jubilant Pharmova Ltd</t>
        </is>
      </c>
      <c r="C83" s="31" t="inlineStr">
        <is>
          <t>healthcare</t>
        </is>
      </c>
      <c r="D83" s="31" t="inlineStr">
        <is>
          <t>pharmaceuticals - indian - bulk drugs</t>
        </is>
      </c>
      <c r="E83" s="31" t="inlineStr">
        <is>
          <t>midcap</t>
        </is>
      </c>
      <c r="F83" s="31" t="n">
        <v>16329.5</v>
      </c>
      <c r="G83" s="31" t="n">
        <v>1011.95</v>
      </c>
      <c r="H83" s="31" t="n">
        <v>-1.29</v>
      </c>
      <c r="I83" s="31" t="n">
        <v>190713</v>
      </c>
      <c r="J83" s="31" t="inlineStr">
        <is>
          <t>530019</t>
        </is>
      </c>
    </row>
    <row r="84">
      <c r="A84" s="31" t="inlineStr">
        <is>
          <t>DIVISLAB</t>
        </is>
      </c>
      <c r="B84" s="31" t="inlineStr">
        <is>
          <t>Divi's Laboratories Limited</t>
        </is>
      </c>
      <c r="C84" s="31" t="inlineStr">
        <is>
          <t>healthcare</t>
        </is>
      </c>
      <c r="D84" s="31" t="inlineStr">
        <is>
          <t>pharmaceuticals - indian - bulk drugs</t>
        </is>
      </c>
      <c r="E84" s="31" t="inlineStr">
        <is>
          <t>largecap</t>
        </is>
      </c>
      <c r="F84" s="31" t="n">
        <v>247469.81</v>
      </c>
      <c r="G84" s="31" t="n">
        <v>9198</v>
      </c>
      <c r="H84" s="31" t="n">
        <v>-1.33</v>
      </c>
      <c r="I84" s="31" t="n">
        <v>380826</v>
      </c>
      <c r="J84" s="31" t="inlineStr">
        <is>
          <t>532488</t>
        </is>
      </c>
    </row>
    <row r="85">
      <c r="A85" s="31" t="inlineStr">
        <is>
          <t>GOCLCORP</t>
        </is>
      </c>
      <c r="B85" s="31" t="inlineStr">
        <is>
          <t>Gocl Corporation Limited</t>
        </is>
      </c>
      <c r="C85" s="31" t="inlineStr">
        <is>
          <t>miscellaneous</t>
        </is>
      </c>
      <c r="D85" s="31" t="inlineStr">
        <is>
          <t>diversified - medium / small</t>
        </is>
      </c>
      <c r="E85" s="31" t="inlineStr">
        <is>
          <t>smallcap</t>
        </is>
      </c>
      <c r="F85" s="31" t="n">
        <v>2188.87</v>
      </c>
      <c r="G85" s="31" t="n">
        <v>435.65</v>
      </c>
      <c r="H85" s="31" t="n">
        <v>-1.34</v>
      </c>
      <c r="I85" s="31" t="n">
        <v>209907</v>
      </c>
      <c r="J85" s="31" t="inlineStr">
        <is>
          <t>506480</t>
        </is>
      </c>
    </row>
    <row r="86">
      <c r="A86" s="31" t="inlineStr">
        <is>
          <t>AKUMS</t>
        </is>
      </c>
      <c r="B86" s="31" t="inlineStr">
        <is>
          <t>Akums Drugs &amp; Pharmaceuticals Ltd</t>
        </is>
      </c>
      <c r="C86" s="31" t="inlineStr">
        <is>
          <t>healthcare</t>
        </is>
      </c>
      <c r="D86" s="31" t="inlineStr">
        <is>
          <t>pharmaceuticals - indian - bulk drugs &amp; formln</t>
        </is>
      </c>
      <c r="E86" s="31" t="inlineStr">
        <is>
          <t>midcap</t>
        </is>
      </c>
      <c r="F86" s="31" t="n">
        <v>12219.28</v>
      </c>
      <c r="G86" s="31" t="n">
        <v>765.65</v>
      </c>
      <c r="H86" s="31" t="n">
        <v>-1.38</v>
      </c>
      <c r="I86" s="31" t="n">
        <v>345164</v>
      </c>
      <c r="J86" s="31" t="inlineStr">
        <is>
          <t>544222</t>
        </is>
      </c>
    </row>
    <row r="87">
      <c r="A87" s="31" t="inlineStr">
        <is>
          <t>INDIQUBE</t>
        </is>
      </c>
      <c r="B87" s="31" t="inlineStr">
        <is>
          <t>Indiqube Spaces Ltd</t>
        </is>
      </c>
      <c r="C87" s="31" t="inlineStr">
        <is>
          <t>co-working</t>
        </is>
      </c>
      <c r="D87" s="31" t="inlineStr">
        <is>
          <t>miscellaneous</t>
        </is>
      </c>
      <c r="E87" s="31" t="inlineStr">
        <is>
          <t>smallcap</t>
        </is>
      </c>
      <c r="F87" s="31" t="n">
        <v>4300.8</v>
      </c>
      <c r="G87" s="31" t="n">
        <v>199.43</v>
      </c>
      <c r="H87" s="31" t="n">
        <v>-1.7</v>
      </c>
      <c r="I87" s="31" t="n">
        <v>30153</v>
      </c>
      <c r="J87" s="31" t="inlineStr">
        <is>
          <t>544454</t>
        </is>
      </c>
    </row>
    <row r="88">
      <c r="A88" s="31" t="inlineStr">
        <is>
          <t>INDSWFTLAB</t>
        </is>
      </c>
      <c r="B88" s="31" t="inlineStr">
        <is>
          <t>Ind-swift Laboratories Limited</t>
        </is>
      </c>
      <c r="C88" s="31" t="inlineStr">
        <is>
          <t>healthcare</t>
        </is>
      </c>
      <c r="D88" s="31" t="inlineStr">
        <is>
          <t>pharmaceuticals - indian - bulk drugs &amp; formln</t>
        </is>
      </c>
      <c r="E88" s="31" t="inlineStr">
        <is>
          <t>smallcap</t>
        </is>
      </c>
      <c r="F88" s="31" t="n">
        <v>3351.06</v>
      </c>
      <c r="G88" s="31" t="n">
        <v>378.75</v>
      </c>
      <c r="H88" s="31" t="n">
        <v>-1.71</v>
      </c>
      <c r="I88" s="31" t="n">
        <v>366134</v>
      </c>
      <c r="J88" s="31" t="inlineStr">
        <is>
          <t>532305</t>
        </is>
      </c>
    </row>
    <row r="89">
      <c r="A89" s="31" t="inlineStr">
        <is>
          <t>SUBEXLTD</t>
        </is>
      </c>
      <c r="B89" s="31" t="inlineStr">
        <is>
          <t>Subex Ltd</t>
        </is>
      </c>
      <c r="C89" s="31" t="inlineStr">
        <is>
          <t>i.t</t>
        </is>
      </c>
      <c r="D89" s="31" t="inlineStr">
        <is>
          <t>computers - software - medium / small</t>
        </is>
      </c>
      <c r="E89" s="31" t="inlineStr">
        <is>
          <t>smallcap</t>
        </is>
      </c>
      <c r="F89" s="31" t="n">
        <v>1168.97</v>
      </c>
      <c r="G89" s="31" t="n">
        <v>20.44</v>
      </c>
      <c r="H89" s="31" t="n">
        <v>-1.73</v>
      </c>
      <c r="I89" s="31" t="n">
        <v>25531437</v>
      </c>
      <c r="J89" s="31" t="inlineStr">
        <is>
          <t>532348</t>
        </is>
      </c>
    </row>
    <row r="90">
      <c r="A90" s="31" t="inlineStr">
        <is>
          <t>YESBANK</t>
        </is>
      </c>
      <c r="B90" s="31" t="inlineStr">
        <is>
          <t>Yes Bank Limited</t>
        </is>
      </c>
      <c r="C90" s="31" t="inlineStr">
        <is>
          <t>bank</t>
        </is>
      </c>
      <c r="D90" s="31" t="inlineStr">
        <is>
          <t>banks - private sector</t>
        </is>
      </c>
      <c r="E90" s="31" t="inlineStr">
        <is>
          <t>largecap</t>
        </is>
      </c>
      <c r="F90" s="31" t="n">
        <v>73696.12</v>
      </c>
      <c r="G90" s="31" t="n">
        <v>23.07</v>
      </c>
      <c r="H90" s="31" t="n">
        <v>-1.75</v>
      </c>
      <c r="I90" s="31" t="n">
        <v>95413759</v>
      </c>
      <c r="J90" s="31" t="inlineStr">
        <is>
          <t>532648</t>
        </is>
      </c>
    </row>
    <row r="91">
      <c r="A91" s="31" t="inlineStr">
        <is>
          <t>EMIL</t>
        </is>
      </c>
      <c r="B91" s="31" t="inlineStr">
        <is>
          <t>Electronics Mart India Ltd</t>
        </is>
      </c>
      <c r="C91" s="31" t="inlineStr">
        <is>
          <t>consumer discretionary</t>
        </is>
      </c>
      <c r="D91" s="31" t="inlineStr">
        <is>
          <t>trading</t>
        </is>
      </c>
      <c r="E91" s="31" t="inlineStr">
        <is>
          <t>midcap</t>
        </is>
      </c>
      <c r="F91" s="31" t="n">
        <v>7247.9</v>
      </c>
      <c r="G91" s="31" t="n">
        <v>185.06</v>
      </c>
      <c r="H91" s="31" t="n">
        <v>-1.76</v>
      </c>
      <c r="I91" s="31" t="n">
        <v>1398144</v>
      </c>
      <c r="J91" s="31" t="inlineStr">
        <is>
          <t>543626</t>
        </is>
      </c>
    </row>
    <row r="92">
      <c r="A92" s="31" t="inlineStr">
        <is>
          <t>SAKAR</t>
        </is>
      </c>
      <c r="B92" s="31" t="inlineStr">
        <is>
          <t>Sakar Healthcare Ltd</t>
        </is>
      </c>
      <c r="C92" s="31" t="inlineStr">
        <is>
          <t>healthcare</t>
        </is>
      </c>
      <c r="D92" s="31" t="inlineStr">
        <is>
          <t>pharmaceuticals - indian - bulk drugs &amp; formln</t>
        </is>
      </c>
      <c r="E92" s="31" t="inlineStr">
        <is>
          <t>smallcap</t>
        </is>
      </c>
      <c r="F92" s="31" t="n">
        <v>2577.76</v>
      </c>
      <c r="G92" s="31" t="n">
        <v>1137.55</v>
      </c>
      <c r="H92" s="31" t="n">
        <v>-1.81</v>
      </c>
      <c r="I92" s="31" t="n">
        <v>119031</v>
      </c>
      <c r="J92" s="31" t="inlineStr">
        <is>
          <t>538377</t>
        </is>
      </c>
    </row>
    <row r="93">
      <c r="A93" s="31" t="inlineStr">
        <is>
          <t>IPCALAB</t>
        </is>
      </c>
      <c r="B93" s="31" t="inlineStr">
        <is>
          <t>Ipca Laboratories Limited</t>
        </is>
      </c>
      <c r="C93" s="31" t="inlineStr">
        <is>
          <t>healthcare</t>
        </is>
      </c>
      <c r="D93" s="31" t="inlineStr">
        <is>
          <t>pharmaceuticals - indian - bulk drugs &amp; formln</t>
        </is>
      </c>
      <c r="E93" s="31" t="inlineStr">
        <is>
          <t>largecap</t>
        </is>
      </c>
      <c r="F93" s="31" t="n">
        <v>49941.68</v>
      </c>
      <c r="G93" s="31" t="n">
        <v>1932.4</v>
      </c>
      <c r="H93" s="31" t="n">
        <v>-1.83</v>
      </c>
      <c r="I93" s="31" t="n">
        <v>274487</v>
      </c>
      <c r="J93" s="31" t="inlineStr">
        <is>
          <t>524494</t>
        </is>
      </c>
    </row>
    <row r="94">
      <c r="A94" s="31" t="inlineStr">
        <is>
          <t>DCBBANK</t>
        </is>
      </c>
      <c r="B94" s="31" t="inlineStr">
        <is>
          <t>Dcb Bank Limited</t>
        </is>
      </c>
      <c r="C94" s="31" t="inlineStr">
        <is>
          <t>bank</t>
        </is>
      </c>
      <c r="D94" s="31" t="inlineStr">
        <is>
          <t>banks - private sector</t>
        </is>
      </c>
      <c r="E94" s="31" t="inlineStr">
        <is>
          <t>midcap</t>
        </is>
      </c>
      <c r="F94" s="31" t="n">
        <v>7290.87</v>
      </c>
      <c r="G94" s="31" t="n">
        <v>221.89</v>
      </c>
      <c r="H94" s="31" t="n">
        <v>-1.98</v>
      </c>
      <c r="I94" s="31" t="n">
        <v>845015</v>
      </c>
      <c r="J94" s="31" t="inlineStr">
        <is>
          <t>532772</t>
        </is>
      </c>
    </row>
    <row r="95">
      <c r="A95" s="31" t="inlineStr">
        <is>
          <t>WELINV</t>
        </is>
      </c>
      <c r="B95" s="31" t="inlineStr">
        <is>
          <t>Welspun Investments And Commercials Limited</t>
        </is>
      </c>
      <c r="C95" s="31" t="inlineStr">
        <is>
          <t>financials</t>
        </is>
      </c>
      <c r="D95" s="31" t="inlineStr">
        <is>
          <t>finance &amp; investments</t>
        </is>
      </c>
      <c r="E95" s="31" t="inlineStr">
        <is>
          <t>smallcap</t>
        </is>
      </c>
      <c r="F95" s="31" t="n">
        <v>848.5700000000001</v>
      </c>
      <c r="G95" s="31" t="n">
        <v>2276</v>
      </c>
      <c r="H95" s="31" t="n">
        <v>-1.98</v>
      </c>
      <c r="I95" s="31" t="n">
        <v>292</v>
      </c>
      <c r="J95" s="31" t="inlineStr">
        <is>
          <t>533252</t>
        </is>
      </c>
    </row>
    <row r="96">
      <c r="A96" s="31" t="inlineStr">
        <is>
          <t>AMANTA</t>
        </is>
      </c>
      <c r="B96" s="31" t="inlineStr">
        <is>
          <t>Amanta Healthcare Ltd</t>
        </is>
      </c>
      <c r="C96" s="31" t="inlineStr">
        <is>
          <t>healthcare</t>
        </is>
      </c>
      <c r="D96" s="31" t="inlineStr">
        <is>
          <t>pharmaceuticals - indian - bulk drugs &amp; formln</t>
        </is>
      </c>
      <c r="E96" s="31" t="inlineStr">
        <is>
          <t>smallcap</t>
        </is>
      </c>
      <c r="F96" s="31" t="n">
        <v>767.85</v>
      </c>
      <c r="G96" s="31" t="n">
        <v>193.8</v>
      </c>
      <c r="H96" s="31" t="n">
        <v>-2</v>
      </c>
      <c r="I96" s="31" t="n">
        <v>15941</v>
      </c>
      <c r="J96" s="31" t="inlineStr">
        <is>
          <t>544502</t>
        </is>
      </c>
    </row>
    <row r="97">
      <c r="A97" s="31" t="inlineStr">
        <is>
          <t>VALIANTORG</t>
        </is>
      </c>
      <c r="B97" s="31" t="inlineStr">
        <is>
          <t>Valiant Organics Ltd</t>
        </is>
      </c>
      <c r="C97" s="31" t="inlineStr">
        <is>
          <t>chemicals</t>
        </is>
      </c>
      <c r="D97" s="31" t="inlineStr">
        <is>
          <t>chemicals</t>
        </is>
      </c>
      <c r="E97" s="31" t="inlineStr">
        <is>
          <t>smallcap</t>
        </is>
      </c>
      <c r="F97" s="31" t="n">
        <v>1111.01</v>
      </c>
      <c r="G97" s="31" t="n">
        <v>388.35</v>
      </c>
      <c r="H97" s="31" t="n">
        <v>-2.01</v>
      </c>
      <c r="I97" s="31" t="n">
        <v>74859</v>
      </c>
      <c r="J97" s="31" t="inlineStr">
        <is>
          <t>540145</t>
        </is>
      </c>
    </row>
    <row r="98">
      <c r="A98" s="31" t="inlineStr">
        <is>
          <t>MGEL</t>
        </is>
      </c>
      <c r="B98" s="31" t="inlineStr">
        <is>
          <t>Mangalam Global Enterprise Ltd</t>
        </is>
      </c>
      <c r="C98" s="31" t="inlineStr">
        <is>
          <t>services</t>
        </is>
      </c>
      <c r="D98" s="31" t="inlineStr">
        <is>
          <t>trading</t>
        </is>
      </c>
      <c r="E98" s="31" t="inlineStr">
        <is>
          <t>smallcap</t>
        </is>
      </c>
      <c r="F98" s="31" t="n">
        <v>522.6799999999999</v>
      </c>
      <c r="G98" s="31" t="n">
        <v>15.53</v>
      </c>
      <c r="H98" s="31" t="n">
        <v>-2.08</v>
      </c>
      <c r="I98" s="31" t="n">
        <v>227004</v>
      </c>
      <c r="J98" s="31" t="inlineStr">
        <is>
          <t>535349</t>
        </is>
      </c>
    </row>
    <row r="99">
      <c r="A99" s="31" t="inlineStr">
        <is>
          <t>VSSL</t>
        </is>
      </c>
      <c r="B99" s="31" t="inlineStr">
        <is>
          <t>Vardhman Special Steels Limited</t>
        </is>
      </c>
      <c r="C99" s="31" t="inlineStr">
        <is>
          <t>metals &amp; mining</t>
        </is>
      </c>
      <c r="D99" s="31" t="inlineStr">
        <is>
          <t>steel - medium / small</t>
        </is>
      </c>
      <c r="E99" s="31" t="inlineStr">
        <is>
          <t>smallcap</t>
        </is>
      </c>
      <c r="F99" s="31" t="n">
        <v>3842.77</v>
      </c>
      <c r="G99" s="31" t="n">
        <v>389.1</v>
      </c>
      <c r="H99" s="31" t="n">
        <v>-2.1</v>
      </c>
      <c r="I99" s="31" t="n">
        <v>203103</v>
      </c>
      <c r="J99" s="31" t="inlineStr">
        <is>
          <t>534392</t>
        </is>
      </c>
    </row>
    <row r="100">
      <c r="A100" s="31" t="inlineStr">
        <is>
          <t>PRABHA</t>
        </is>
      </c>
      <c r="B100" s="31" t="inlineStr">
        <is>
          <t>Prabha Energy Ltd</t>
        </is>
      </c>
      <c r="C100" s="31" t="inlineStr">
        <is>
          <t>energy</t>
        </is>
      </c>
      <c r="D100" s="31" t="inlineStr">
        <is>
          <t>oil drilling / allied services</t>
        </is>
      </c>
      <c r="E100" s="31" t="inlineStr">
        <is>
          <t>smallcap</t>
        </is>
      </c>
      <c r="F100" s="31" t="n">
        <v>3585.76</v>
      </c>
      <c r="G100" s="31" t="n">
        <v>239.42</v>
      </c>
      <c r="H100" s="31" t="n">
        <v>-2.13</v>
      </c>
      <c r="I100" s="31" t="n">
        <v>307312</v>
      </c>
      <c r="J100" s="31" t="inlineStr">
        <is>
          <t>544379</t>
        </is>
      </c>
    </row>
    <row r="101">
      <c r="A101" s="31" t="inlineStr">
        <is>
          <t>LAURUSLABS</t>
        </is>
      </c>
      <c r="B101" s="31" t="inlineStr">
        <is>
          <t>Laurus Labs Limited</t>
        </is>
      </c>
      <c r="C101" s="31" t="inlineStr">
        <is>
          <t>healthcare</t>
        </is>
      </c>
      <c r="D101" s="31" t="inlineStr">
        <is>
          <t>pharmaceuticals - indian - bulk drugs &amp; formln</t>
        </is>
      </c>
      <c r="E101" s="31" t="inlineStr">
        <is>
          <t>largecap</t>
        </is>
      </c>
      <c r="F101" s="31" t="n">
        <v>106375.14</v>
      </c>
      <c r="G101" s="31" t="n">
        <v>1926.9</v>
      </c>
      <c r="H101" s="31" t="n">
        <v>-2.14</v>
      </c>
      <c r="I101" s="31" t="n">
        <v>1538262</v>
      </c>
      <c r="J101" s="31" t="inlineStr">
        <is>
          <t>540222</t>
        </is>
      </c>
    </row>
    <row r="102">
      <c r="A102" s="31" t="inlineStr">
        <is>
          <t>RBLBANK</t>
        </is>
      </c>
      <c r="B102" s="31" t="inlineStr">
        <is>
          <t>Rbl Bank Limited</t>
        </is>
      </c>
      <c r="C102" s="31" t="inlineStr">
        <is>
          <t>bank</t>
        </is>
      </c>
      <c r="D102" s="31" t="inlineStr">
        <is>
          <t>banks - private sector</t>
        </is>
      </c>
      <c r="E102" s="31" t="inlineStr">
        <is>
          <t>largecap</t>
        </is>
      </c>
      <c r="F102" s="31" t="n">
        <v>63885.76</v>
      </c>
      <c r="G102" s="31" t="n">
        <v>403.6</v>
      </c>
      <c r="H102" s="31" t="n">
        <v>-2.17</v>
      </c>
      <c r="I102" s="31" t="n">
        <v>1249135</v>
      </c>
      <c r="J102" s="31" t="inlineStr">
        <is>
          <t>540065</t>
        </is>
      </c>
    </row>
    <row r="103">
      <c r="A103" s="31" t="inlineStr">
        <is>
          <t>ANDHRAPAP</t>
        </is>
      </c>
      <c r="B103" s="31" t="inlineStr">
        <is>
          <t>Andhra Paper Ltd</t>
        </is>
      </c>
      <c r="C103" s="31" t="inlineStr">
        <is>
          <t>building materials</t>
        </is>
      </c>
      <c r="D103" s="31" t="inlineStr">
        <is>
          <t>paper</t>
        </is>
      </c>
      <c r="E103" s="31" t="inlineStr">
        <is>
          <t>smallcap</t>
        </is>
      </c>
      <c r="F103" s="31" t="n">
        <v>1458.77</v>
      </c>
      <c r="G103" s="31" t="n">
        <v>71.64</v>
      </c>
      <c r="H103" s="31" t="n">
        <v>-2.34</v>
      </c>
      <c r="I103" s="31" t="n">
        <v>1506455</v>
      </c>
      <c r="J103" s="31" t="inlineStr">
        <is>
          <t>502330</t>
        </is>
      </c>
    </row>
    <row r="104">
      <c r="A104" s="31" t="inlineStr">
        <is>
          <t>TFCILTD</t>
        </is>
      </c>
      <c r="B104" s="31" t="inlineStr">
        <is>
          <t>Tourism Finance Corporation Of India Limited</t>
        </is>
      </c>
      <c r="C104" s="31" t="inlineStr">
        <is>
          <t>financials</t>
        </is>
      </c>
      <c r="D104" s="31" t="inlineStr">
        <is>
          <t>finance - term-lending institutions</t>
        </is>
      </c>
      <c r="E104" s="31" t="inlineStr">
        <is>
          <t>midcap</t>
        </is>
      </c>
      <c r="F104" s="31" t="n">
        <v>6550.67</v>
      </c>
      <c r="G104" s="31" t="n">
        <v>138.18</v>
      </c>
      <c r="H104" s="31" t="n">
        <v>-2.34</v>
      </c>
      <c r="I104" s="31" t="n">
        <v>9687578</v>
      </c>
      <c r="J104" s="31" t="inlineStr">
        <is>
          <t>526650</t>
        </is>
      </c>
    </row>
    <row r="105">
      <c r="A105" s="31" t="inlineStr">
        <is>
          <t>RGL</t>
        </is>
      </c>
      <c r="B105" s="31" t="inlineStr">
        <is>
          <t>Renaissance Global Ltd</t>
        </is>
      </c>
      <c r="C105" s="31" t="inlineStr">
        <is>
          <t>consumer discretionary</t>
        </is>
      </c>
      <c r="D105" s="31" t="inlineStr">
        <is>
          <t>diamond cutting / jewellery</t>
        </is>
      </c>
      <c r="E105" s="31" t="inlineStr">
        <is>
          <t>smallcap</t>
        </is>
      </c>
      <c r="F105" s="31" t="n">
        <v>1669.47</v>
      </c>
      <c r="G105" s="31" t="n">
        <v>151.77</v>
      </c>
      <c r="H105" s="31" t="n">
        <v>-2.39</v>
      </c>
      <c r="I105" s="31" t="n">
        <v>1223848</v>
      </c>
      <c r="J105" s="31" t="inlineStr">
        <is>
          <t>532923</t>
        </is>
      </c>
    </row>
    <row r="106">
      <c r="A106" s="31" t="inlineStr">
        <is>
          <t>CYIENTDLM</t>
        </is>
      </c>
      <c r="B106" s="31" t="inlineStr">
        <is>
          <t>Cyient DLM Ltd</t>
        </is>
      </c>
      <c r="C106" s="31" t="inlineStr">
        <is>
          <t>aerospace &amp; defence</t>
        </is>
      </c>
      <c r="D106" s="31" t="inlineStr">
        <is>
          <t>electronics - components</t>
        </is>
      </c>
      <c r="E106" s="31" t="inlineStr">
        <is>
          <t>midcap</t>
        </is>
      </c>
      <c r="F106" s="31" t="n">
        <v>7179.43</v>
      </c>
      <c r="G106" s="31" t="n">
        <v>882.7</v>
      </c>
      <c r="H106" s="31" t="n">
        <v>-2.4</v>
      </c>
      <c r="I106" s="31" t="n">
        <v>468701</v>
      </c>
      <c r="J106" s="31" t="inlineStr">
        <is>
          <t>543933</t>
        </is>
      </c>
    </row>
    <row r="107">
      <c r="A107" s="31" t="inlineStr">
        <is>
          <t>MUKKA</t>
        </is>
      </c>
      <c r="B107" s="31" t="inlineStr">
        <is>
          <t>Mukka Proteins Ltd</t>
        </is>
      </c>
      <c r="C107" s="31" t="inlineStr">
        <is>
          <t>fmcg</t>
        </is>
      </c>
      <c r="D107" s="31" t="inlineStr">
        <is>
          <t>food - processing - indian</t>
        </is>
      </c>
      <c r="E107" s="31" t="inlineStr">
        <is>
          <t>smallcap</t>
        </is>
      </c>
      <c r="F107" s="31" t="n">
        <v>965.1</v>
      </c>
      <c r="G107" s="31" t="n">
        <v>31.39</v>
      </c>
      <c r="H107" s="31" t="n">
        <v>-2.42</v>
      </c>
      <c r="I107" s="31" t="n">
        <v>2284101</v>
      </c>
      <c r="J107" s="31" t="inlineStr">
        <is>
          <t>544135</t>
        </is>
      </c>
    </row>
    <row r="108">
      <c r="A108" s="31" t="inlineStr">
        <is>
          <t>TNPETRO</t>
        </is>
      </c>
      <c r="B108" s="31" t="inlineStr">
        <is>
          <t>Tamilnadu Petroproducts Limited</t>
        </is>
      </c>
      <c r="C108" s="31" t="inlineStr">
        <is>
          <t>energy</t>
        </is>
      </c>
      <c r="D108" s="31" t="inlineStr">
        <is>
          <t>petrochemicals</t>
        </is>
      </c>
      <c r="E108" s="31" t="inlineStr">
        <is>
          <t>smallcap</t>
        </is>
      </c>
      <c r="F108" s="31" t="n">
        <v>1159.73</v>
      </c>
      <c r="G108" s="31" t="n">
        <v>125.71</v>
      </c>
      <c r="H108" s="31" t="n">
        <v>-2.47</v>
      </c>
      <c r="I108" s="31" t="n">
        <v>1021991</v>
      </c>
      <c r="J108" s="31" t="inlineStr">
        <is>
          <t>500777</t>
        </is>
      </c>
    </row>
    <row r="109">
      <c r="A109" s="31" t="inlineStr">
        <is>
          <t>SUNDRMFAST</t>
        </is>
      </c>
      <c r="B109" s="31" t="inlineStr">
        <is>
          <t>Sundram Fasteners Limited</t>
        </is>
      </c>
      <c r="C109" s="31" t="inlineStr">
        <is>
          <t>auto</t>
        </is>
      </c>
      <c r="D109" s="31" t="inlineStr">
        <is>
          <t>auto ancillaries</t>
        </is>
      </c>
      <c r="E109" s="31" t="inlineStr">
        <is>
          <t>largecap</t>
        </is>
      </c>
      <c r="F109" s="31" t="n">
        <v>26686.3</v>
      </c>
      <c r="G109" s="31" t="n">
        <v>1237.3</v>
      </c>
      <c r="H109" s="31" t="n">
        <v>-2.57</v>
      </c>
      <c r="I109" s="31" t="n">
        <v>130043</v>
      </c>
      <c r="J109" s="31" t="inlineStr">
        <is>
          <t>500403</t>
        </is>
      </c>
    </row>
    <row r="110">
      <c r="A110" s="31" t="inlineStr">
        <is>
          <t>BLACKBUCK</t>
        </is>
      </c>
      <c r="B110" s="31" t="inlineStr">
        <is>
          <t>BlackBuck Ltd</t>
        </is>
      </c>
      <c r="C110" s="31" t="inlineStr">
        <is>
          <t>transportation</t>
        </is>
      </c>
      <c r="D110" s="31" t="inlineStr">
        <is>
          <t>miscellaneous</t>
        </is>
      </c>
      <c r="E110" s="31" t="inlineStr">
        <is>
          <t>midcap</t>
        </is>
      </c>
      <c r="F110" s="31" t="n">
        <v>11441.03</v>
      </c>
      <c r="G110" s="31" t="n">
        <v>611.9</v>
      </c>
      <c r="H110" s="31" t="n">
        <v>-2.59</v>
      </c>
      <c r="I110" s="31" t="n">
        <v>1773025</v>
      </c>
      <c r="J110" s="31" t="inlineStr">
        <is>
          <t>544288</t>
        </is>
      </c>
    </row>
    <row r="111">
      <c r="A111" s="31" t="inlineStr">
        <is>
          <t>MMP</t>
        </is>
      </c>
      <c r="B111" s="31" t="inlineStr">
        <is>
          <t>MMP Industries Ltd</t>
        </is>
      </c>
      <c r="C111" s="31" t="inlineStr">
        <is>
          <t>metals &amp; mining</t>
        </is>
      </c>
      <c r="D111" s="31" t="inlineStr">
        <is>
          <t>aluminium and aluminium products</t>
        </is>
      </c>
      <c r="E111" s="31" t="inlineStr">
        <is>
          <t>smallcap</t>
        </is>
      </c>
      <c r="F111" s="31" t="n">
        <v>889.1799999999999</v>
      </c>
      <c r="G111" s="31" t="n">
        <v>457.7</v>
      </c>
      <c r="H111" s="31" t="n">
        <v>-2.61</v>
      </c>
      <c r="I111" s="31" t="n">
        <v>68004</v>
      </c>
      <c r="J111" s="31" t="inlineStr">
        <is>
          <t>535071</t>
        </is>
      </c>
    </row>
    <row r="112">
      <c r="A112" s="31" t="inlineStr">
        <is>
          <t>NEOGEN</t>
        </is>
      </c>
      <c r="B112" s="31" t="inlineStr">
        <is>
          <t>Neogen Chemicals Ltd</t>
        </is>
      </c>
      <c r="C112" s="31" t="inlineStr">
        <is>
          <t>chemicals</t>
        </is>
      </c>
      <c r="D112" s="31" t="inlineStr">
        <is>
          <t>chemicals</t>
        </is>
      </c>
      <c r="E112" s="31" t="inlineStr">
        <is>
          <t>midcap</t>
        </is>
      </c>
      <c r="F112" s="31" t="n">
        <v>6497.67</v>
      </c>
      <c r="G112" s="31" t="n">
        <v>2310.3</v>
      </c>
      <c r="H112" s="31" t="n">
        <v>-2.64</v>
      </c>
      <c r="I112" s="31" t="n">
        <v>264415</v>
      </c>
      <c r="J112" s="31" t="inlineStr">
        <is>
          <t>542665</t>
        </is>
      </c>
    </row>
    <row r="113">
      <c r="A113" s="31" t="inlineStr">
        <is>
          <t>WENDT</t>
        </is>
      </c>
      <c r="B113" s="31" t="inlineStr">
        <is>
          <t>Wendt (india) Limited</t>
        </is>
      </c>
      <c r="C113" s="31" t="inlineStr">
        <is>
          <t>industrials</t>
        </is>
      </c>
      <c r="D113" s="31" t="inlineStr">
        <is>
          <t>abrasives and grinding wheels</t>
        </is>
      </c>
      <c r="E113" s="31" t="inlineStr">
        <is>
          <t>smallcap</t>
        </is>
      </c>
      <c r="F113" s="31" t="n">
        <v>1762.5</v>
      </c>
      <c r="G113" s="31" t="n">
        <v>8580</v>
      </c>
      <c r="H113" s="31" t="n">
        <v>-2.64</v>
      </c>
      <c r="I113" s="31" t="n">
        <v>38273</v>
      </c>
      <c r="J113" s="31" t="inlineStr">
        <is>
          <t>505412</t>
        </is>
      </c>
    </row>
    <row r="114">
      <c r="A114" s="31" t="inlineStr">
        <is>
          <t>UFLEX</t>
        </is>
      </c>
      <c r="B114" s="31" t="inlineStr">
        <is>
          <t>Uflex Limited</t>
        </is>
      </c>
      <c r="C114" s="31" t="inlineStr">
        <is>
          <t>industrials</t>
        </is>
      </c>
      <c r="D114" s="31" t="inlineStr">
        <is>
          <t>packaging</t>
        </is>
      </c>
      <c r="E114" s="31" t="inlineStr">
        <is>
          <t>smallcap</t>
        </is>
      </c>
      <c r="F114" s="31" t="n">
        <v>4718.66</v>
      </c>
      <c r="G114" s="31" t="n">
        <v>636.1</v>
      </c>
      <c r="H114" s="31" t="n">
        <v>-2.66</v>
      </c>
      <c r="I114" s="31" t="n">
        <v>129497</v>
      </c>
      <c r="J114" s="31" t="inlineStr">
        <is>
          <t>500148</t>
        </is>
      </c>
    </row>
    <row r="115">
      <c r="A115" s="31" t="inlineStr">
        <is>
          <t>SAILIFE</t>
        </is>
      </c>
      <c r="B115" s="31" t="inlineStr">
        <is>
          <t>Sai Life Sciences Ltd</t>
        </is>
      </c>
      <c r="C115" s="31" t="inlineStr">
        <is>
          <t>healthcare</t>
        </is>
      </c>
      <c r="D115" s="31" t="inlineStr">
        <is>
          <t>pharmaceuticals - indian - bulk drugs &amp; formln</t>
        </is>
      </c>
      <c r="E115" s="31" t="inlineStr">
        <is>
          <t>largecap</t>
        </is>
      </c>
      <c r="F115" s="31" t="n">
        <v>33647.33</v>
      </c>
      <c r="G115" s="31" t="n">
        <v>1541.5</v>
      </c>
      <c r="H115" s="31" t="n">
        <v>-2.74</v>
      </c>
      <c r="I115" s="31" t="n">
        <v>433185</v>
      </c>
      <c r="J115" s="31" t="inlineStr">
        <is>
          <t>544306</t>
        </is>
      </c>
    </row>
    <row r="116">
      <c r="A116" s="31" t="inlineStr">
        <is>
          <t>ASAHIINDIA</t>
        </is>
      </c>
      <c r="B116" s="31" t="inlineStr">
        <is>
          <t>Asahi India Glass Limited</t>
        </is>
      </c>
      <c r="C116" s="31" t="inlineStr">
        <is>
          <t>building materials</t>
        </is>
      </c>
      <c r="D116" s="31" t="inlineStr">
        <is>
          <t>glass &amp; glass products</t>
        </is>
      </c>
      <c r="E116" s="31" t="inlineStr">
        <is>
          <t>largecap</t>
        </is>
      </c>
      <c r="F116" s="31" t="n">
        <v>25130.72</v>
      </c>
      <c r="G116" s="31" t="n">
        <v>958.8</v>
      </c>
      <c r="H116" s="31" t="n">
        <v>-2.74</v>
      </c>
      <c r="I116" s="31" t="n">
        <v>181950</v>
      </c>
      <c r="J116" s="31" t="inlineStr">
        <is>
          <t>515030</t>
        </is>
      </c>
    </row>
    <row r="117">
      <c r="A117" s="31" t="inlineStr">
        <is>
          <t>WINDLAS</t>
        </is>
      </c>
      <c r="B117" s="31" t="inlineStr">
        <is>
          <t>Windlas Biotech Ltd</t>
        </is>
      </c>
      <c r="C117" s="31" t="inlineStr">
        <is>
          <t>healthcare</t>
        </is>
      </c>
      <c r="D117" s="31" t="inlineStr">
        <is>
          <t>pharmaceuticals - indian - formulations</t>
        </is>
      </c>
      <c r="E117" s="31" t="inlineStr">
        <is>
          <t>smallcap</t>
        </is>
      </c>
      <c r="F117" s="31" t="n">
        <v>2330.35</v>
      </c>
      <c r="G117" s="31" t="n">
        <v>1098.15</v>
      </c>
      <c r="H117" s="31" t="n">
        <v>-2.75</v>
      </c>
      <c r="I117" s="31" t="n">
        <v>83578</v>
      </c>
      <c r="J117" s="31" t="inlineStr">
        <is>
          <t>543329</t>
        </is>
      </c>
    </row>
    <row r="118">
      <c r="A118" s="31" t="inlineStr">
        <is>
          <t>STAR</t>
        </is>
      </c>
      <c r="B118" s="31" t="inlineStr">
        <is>
          <t>Strides Shasun Limited</t>
        </is>
      </c>
      <c r="C118" s="31" t="inlineStr">
        <is>
          <t>healthcare</t>
        </is>
      </c>
      <c r="D118" s="31" t="inlineStr">
        <is>
          <t>pharmaceuticals - indian - bulk drugs &amp; formln</t>
        </is>
      </c>
      <c r="E118" s="31" t="inlineStr">
        <is>
          <t>midcap</t>
        </is>
      </c>
      <c r="F118" s="31" t="n">
        <v>10907.72</v>
      </c>
      <c r="G118" s="31" t="n">
        <v>1150.6</v>
      </c>
      <c r="H118" s="31" t="n">
        <v>-2.77</v>
      </c>
      <c r="I118" s="31" t="n">
        <v>421480</v>
      </c>
      <c r="J118" s="31" t="inlineStr">
        <is>
          <t>532531</t>
        </is>
      </c>
    </row>
    <row r="119">
      <c r="A119" s="31" t="inlineStr">
        <is>
          <t>SWANDEF</t>
        </is>
      </c>
      <c r="B119" s="31" t="inlineStr">
        <is>
          <t>Swan Defence and Heavy Industries Ltd</t>
        </is>
      </c>
      <c r="C119" s="31" t="inlineStr">
        <is>
          <t>transportation</t>
        </is>
      </c>
      <c r="D119" s="31" t="inlineStr">
        <is>
          <t>miscellaneous</t>
        </is>
      </c>
      <c r="E119" s="31" t="inlineStr">
        <is>
          <t>midcap</t>
        </is>
      </c>
      <c r="F119" s="31" t="n">
        <v>14371.16</v>
      </c>
      <c r="G119" s="31" t="n">
        <v>2650.5</v>
      </c>
      <c r="H119" s="31" t="n">
        <v>-2.84</v>
      </c>
      <c r="I119" s="31" t="n">
        <v>21102</v>
      </c>
      <c r="J119" s="31" t="inlineStr">
        <is>
          <t>533107</t>
        </is>
      </c>
    </row>
    <row r="120">
      <c r="A120" s="31" t="inlineStr">
        <is>
          <t>PPL</t>
        </is>
      </c>
      <c r="B120" s="31" t="inlineStr">
        <is>
          <t>Prakash Pipes Ltd</t>
        </is>
      </c>
      <c r="C120" s="31" t="inlineStr">
        <is>
          <t>plastic products</t>
        </is>
      </c>
      <c r="D120" s="31" t="inlineStr">
        <is>
          <t>plastics products</t>
        </is>
      </c>
      <c r="E120" s="31" t="inlineStr">
        <is>
          <t>smallcap</t>
        </is>
      </c>
      <c r="F120" s="31" t="n">
        <v>682.99</v>
      </c>
      <c r="G120" s="31" t="n">
        <v>277.45</v>
      </c>
      <c r="H120" s="31" t="n">
        <v>-2.84</v>
      </c>
      <c r="I120" s="31" t="n">
        <v>35468</v>
      </c>
      <c r="J120" s="31" t="inlineStr">
        <is>
          <t>542684</t>
        </is>
      </c>
    </row>
    <row r="121">
      <c r="A121" s="31" t="inlineStr">
        <is>
          <t>ORIENTBELL</t>
        </is>
      </c>
      <c r="B121" s="31" t="inlineStr">
        <is>
          <t>Orient Bell Limited</t>
        </is>
      </c>
      <c r="C121" s="31" t="inlineStr">
        <is>
          <t>building materials</t>
        </is>
      </c>
      <c r="D121" s="31" t="inlineStr">
        <is>
          <t>ceramics - tiles / sanitaryware</t>
        </is>
      </c>
      <c r="E121" s="31" t="inlineStr">
        <is>
          <t>smallcap</t>
        </is>
      </c>
      <c r="F121" s="31" t="n">
        <v>591.29</v>
      </c>
      <c r="G121" s="31" t="n">
        <v>390.45</v>
      </c>
      <c r="H121" s="31" t="n">
        <v>-2.86</v>
      </c>
      <c r="I121" s="31" t="n">
        <v>55451</v>
      </c>
      <c r="J121" s="31" t="inlineStr">
        <is>
          <t>530365</t>
        </is>
      </c>
    </row>
    <row r="122">
      <c r="A122" s="31" t="inlineStr">
        <is>
          <t>SEAMECLTD</t>
        </is>
      </c>
      <c r="B122" s="31" t="inlineStr">
        <is>
          <t>Seamec Limited</t>
        </is>
      </c>
      <c r="C122" s="31" t="inlineStr">
        <is>
          <t>miscellaneous</t>
        </is>
      </c>
      <c r="D122" s="31" t="inlineStr">
        <is>
          <t>miscellaneous</t>
        </is>
      </c>
      <c r="E122" s="31" t="inlineStr">
        <is>
          <t>smallcap</t>
        </is>
      </c>
      <c r="F122" s="31" t="n">
        <v>4547.01</v>
      </c>
      <c r="G122" s="31" t="n">
        <v>1736.9</v>
      </c>
      <c r="H122" s="31" t="n">
        <v>-2.88</v>
      </c>
      <c r="I122" s="31" t="n">
        <v>83528</v>
      </c>
      <c r="J122" s="31" t="inlineStr">
        <is>
          <t>526807</t>
        </is>
      </c>
    </row>
    <row r="123">
      <c r="A123" s="31" t="inlineStr">
        <is>
          <t>WELSPUNLIV</t>
        </is>
      </c>
      <c r="B123" s="31" t="inlineStr">
        <is>
          <t>Welspun Living Ltd</t>
        </is>
      </c>
      <c r="C123" s="31" t="inlineStr">
        <is>
          <t>textiles</t>
        </is>
      </c>
      <c r="D123" s="31" t="inlineStr">
        <is>
          <t>textiles - products</t>
        </is>
      </c>
      <c r="E123" s="31" t="inlineStr">
        <is>
          <t>midcap</t>
        </is>
      </c>
      <c r="F123" s="31" t="n">
        <v>19620.62</v>
      </c>
      <c r="G123" s="31" t="n">
        <v>201.63</v>
      </c>
      <c r="H123" s="31" t="n">
        <v>-2.91</v>
      </c>
      <c r="I123" s="31" t="n">
        <v>5087632</v>
      </c>
      <c r="J123" s="31" t="inlineStr">
        <is>
          <t>514162</t>
        </is>
      </c>
    </row>
    <row r="124">
      <c r="A124" s="31" t="inlineStr">
        <is>
          <t>IONEXCHANG</t>
        </is>
      </c>
      <c r="B124" s="31" t="inlineStr">
        <is>
          <t>Ion Exchange (India) Ltd</t>
        </is>
      </c>
      <c r="C124" s="31" t="inlineStr">
        <is>
          <t>realty</t>
        </is>
      </c>
      <c r="D124" s="31" t="inlineStr">
        <is>
          <t>engineering - turnkey services</t>
        </is>
      </c>
      <c r="E124" s="31" t="inlineStr">
        <is>
          <t>midcap</t>
        </is>
      </c>
      <c r="F124" s="31" t="n">
        <v>6536.93</v>
      </c>
      <c r="G124" s="31" t="n">
        <v>432</v>
      </c>
      <c r="H124" s="31" t="n">
        <v>-3.07</v>
      </c>
      <c r="I124" s="31" t="n">
        <v>401926</v>
      </c>
      <c r="J124" s="31" t="inlineStr">
        <is>
          <t>500214</t>
        </is>
      </c>
    </row>
    <row r="125">
      <c r="A125" s="31" t="inlineStr">
        <is>
          <t>COMSYN</t>
        </is>
      </c>
      <c r="B125" s="31" t="inlineStr">
        <is>
          <t>Commercial Syn Bags Ltd</t>
        </is>
      </c>
      <c r="C125" s="31" t="inlineStr">
        <is>
          <t>industrials</t>
        </is>
      </c>
      <c r="D125" s="31" t="inlineStr">
        <is>
          <t>packaging</t>
        </is>
      </c>
      <c r="E125" s="31" t="inlineStr">
        <is>
          <t>smallcap</t>
        </is>
      </c>
      <c r="F125" s="31" t="n">
        <v>1206.75</v>
      </c>
      <c r="G125" s="31" t="n">
        <v>289.8</v>
      </c>
      <c r="H125" s="31" t="n">
        <v>-3.13</v>
      </c>
      <c r="I125" s="31" t="n">
        <v>208274</v>
      </c>
      <c r="J125" s="31" t="inlineStr">
        <is>
          <t>539986</t>
        </is>
      </c>
    </row>
    <row r="126">
      <c r="A126" s="31" t="inlineStr">
        <is>
          <t>NOCIL</t>
        </is>
      </c>
      <c r="B126" s="31" t="inlineStr">
        <is>
          <t>Nocil Limited</t>
        </is>
      </c>
      <c r="C126" s="31" t="inlineStr">
        <is>
          <t>chemicals</t>
        </is>
      </c>
      <c r="D126" s="31" t="inlineStr">
        <is>
          <t>chemicals</t>
        </is>
      </c>
      <c r="E126" s="31" t="inlineStr">
        <is>
          <t>smallcap</t>
        </is>
      </c>
      <c r="F126" s="31" t="n">
        <v>3167.63</v>
      </c>
      <c r="G126" s="31" t="n">
        <v>183.6</v>
      </c>
      <c r="H126" s="31" t="n">
        <v>-3.19</v>
      </c>
      <c r="I126" s="31" t="n">
        <v>1291473</v>
      </c>
      <c r="J126" s="31" t="inlineStr">
        <is>
          <t>500730</t>
        </is>
      </c>
    </row>
    <row r="127">
      <c r="A127" s="31" t="inlineStr">
        <is>
          <t>YUKEN</t>
        </is>
      </c>
      <c r="B127" s="31" t="inlineStr">
        <is>
          <t>Yuken India Ltd</t>
        </is>
      </c>
      <c r="C127" s="31" t="inlineStr">
        <is>
          <t>industrials</t>
        </is>
      </c>
      <c r="D127" s="31" t="inlineStr">
        <is>
          <t>engineering</t>
        </is>
      </c>
      <c r="E127" s="31" t="inlineStr">
        <is>
          <t>smallcap</t>
        </is>
      </c>
      <c r="F127" s="31" t="n">
        <v>1512.92</v>
      </c>
      <c r="G127" s="31" t="n">
        <v>1077.6</v>
      </c>
      <c r="H127" s="31" t="n">
        <v>-3.25</v>
      </c>
      <c r="I127" s="31" t="n">
        <v>43272</v>
      </c>
      <c r="J127" s="31" t="inlineStr">
        <is>
          <t>522108</t>
        </is>
      </c>
    </row>
    <row r="128">
      <c r="A128" s="31" t="inlineStr">
        <is>
          <t>BHAGERIA</t>
        </is>
      </c>
      <c r="B128" s="31" t="inlineStr">
        <is>
          <t>Bhageria Industries Limited</t>
        </is>
      </c>
      <c r="C128" s="31" t="inlineStr">
        <is>
          <t>chemicals</t>
        </is>
      </c>
      <c r="D128" s="31" t="inlineStr">
        <is>
          <t>dyes and pigments</t>
        </is>
      </c>
      <c r="E128" s="31" t="inlineStr">
        <is>
          <t>smallcap</t>
        </is>
      </c>
      <c r="F128" s="31" t="n">
        <v>1383.74</v>
      </c>
      <c r="G128" s="31" t="n">
        <v>306.5</v>
      </c>
      <c r="H128" s="31" t="n">
        <v>-3.33</v>
      </c>
      <c r="I128" s="31" t="n">
        <v>176159</v>
      </c>
      <c r="J128" s="31" t="inlineStr">
        <is>
          <t>530803</t>
        </is>
      </c>
    </row>
    <row r="129">
      <c r="A129" s="31" t="inlineStr">
        <is>
          <t>MANORAMA</t>
        </is>
      </c>
      <c r="B129" s="31" t="inlineStr">
        <is>
          <t>Manorama Industries Ltd</t>
        </is>
      </c>
      <c r="C129" s="31" t="inlineStr">
        <is>
          <t>fmcg</t>
        </is>
      </c>
      <c r="D129" s="31" t="inlineStr">
        <is>
          <t>food - processing - indian</t>
        </is>
      </c>
      <c r="E129" s="31" t="inlineStr">
        <is>
          <t>midcap</t>
        </is>
      </c>
      <c r="F129" s="31" t="n">
        <v>12274.28</v>
      </c>
      <c r="G129" s="31" t="n">
        <v>1987.1</v>
      </c>
      <c r="H129" s="31" t="n">
        <v>-3.34</v>
      </c>
      <c r="I129" s="31" t="n">
        <v>151439</v>
      </c>
      <c r="J129" s="31" t="inlineStr">
        <is>
          <t>541974</t>
        </is>
      </c>
    </row>
    <row r="130">
      <c r="A130" s="31" t="inlineStr">
        <is>
          <t>CONFIPET</t>
        </is>
      </c>
      <c r="B130" s="31" t="inlineStr">
        <is>
          <t>Confidence Petroleum India Ltd</t>
        </is>
      </c>
      <c r="C130" s="31" t="inlineStr">
        <is>
          <t>miscellaneous</t>
        </is>
      </c>
      <c r="D130" s="31" t="inlineStr">
        <is>
          <t>miscellaneous</t>
        </is>
      </c>
      <c r="E130" s="31" t="inlineStr">
        <is>
          <t>smallcap</t>
        </is>
      </c>
      <c r="F130" s="31" t="n">
        <v>2964.25</v>
      </c>
      <c r="G130" s="31" t="n">
        <v>86.09999999999999</v>
      </c>
      <c r="H130" s="31" t="n">
        <v>-3.5</v>
      </c>
      <c r="I130" s="31" t="n">
        <v>4869333</v>
      </c>
      <c r="J130" s="31" t="inlineStr">
        <is>
          <t>526829</t>
        </is>
      </c>
    </row>
    <row r="131">
      <c r="A131" s="31" t="inlineStr">
        <is>
          <t>SPLPETRO</t>
        </is>
      </c>
      <c r="B131" s="31" t="inlineStr">
        <is>
          <t>Supreme Petrochem Ltd</t>
        </is>
      </c>
      <c r="C131" s="31" t="inlineStr">
        <is>
          <t>energy</t>
        </is>
      </c>
      <c r="D131" s="31" t="inlineStr">
        <is>
          <t>petrochemicals</t>
        </is>
      </c>
      <c r="E131" s="31" t="inlineStr">
        <is>
          <t>midcap</t>
        </is>
      </c>
      <c r="F131" s="31" t="n">
        <v>15388.36</v>
      </c>
      <c r="G131" s="31" t="n">
        <v>789.35</v>
      </c>
      <c r="H131" s="31" t="n">
        <v>-3.54</v>
      </c>
      <c r="I131" s="31" t="n">
        <v>170064</v>
      </c>
      <c r="J131" s="31" t="inlineStr">
        <is>
          <t>500405</t>
        </is>
      </c>
    </row>
    <row r="132">
      <c r="A132" s="31" t="inlineStr">
        <is>
          <t>UNIPARTS</t>
        </is>
      </c>
      <c r="B132" s="31" t="inlineStr">
        <is>
          <t>Uniparts India Ltd</t>
        </is>
      </c>
      <c r="C132" s="31" t="inlineStr">
        <is>
          <t>industrials</t>
        </is>
      </c>
      <c r="D132" s="31" t="inlineStr">
        <is>
          <t>engineering</t>
        </is>
      </c>
      <c r="E132" s="31" t="inlineStr">
        <is>
          <t>smallcap</t>
        </is>
      </c>
      <c r="F132" s="31" t="n">
        <v>4051.37</v>
      </c>
      <c r="G132" s="31" t="n">
        <v>865.7</v>
      </c>
      <c r="H132" s="31" t="n">
        <v>-3.54</v>
      </c>
      <c r="I132" s="31" t="n">
        <v>115818</v>
      </c>
      <c r="J132" s="31" t="inlineStr">
        <is>
          <t>543689</t>
        </is>
      </c>
    </row>
    <row r="133">
      <c r="A133" s="31" t="inlineStr">
        <is>
          <t>EIMCOELECO</t>
        </is>
      </c>
      <c r="B133" s="31" t="inlineStr">
        <is>
          <t>Eimco Elecon (india) Limited</t>
        </is>
      </c>
      <c r="C133" s="31" t="inlineStr">
        <is>
          <t>industrials</t>
        </is>
      </c>
      <c r="D133" s="31" t="inlineStr">
        <is>
          <t>engineering</t>
        </is>
      </c>
      <c r="E133" s="31" t="inlineStr">
        <is>
          <t>smallcap</t>
        </is>
      </c>
      <c r="F133" s="31" t="n">
        <v>1341.44</v>
      </c>
      <c r="G133" s="31" t="n">
        <v>2242.2</v>
      </c>
      <c r="H133" s="31" t="n">
        <v>-3.58</v>
      </c>
      <c r="I133" s="31" t="n">
        <v>26475</v>
      </c>
      <c r="J133" s="31" t="inlineStr">
        <is>
          <t>523708</t>
        </is>
      </c>
    </row>
    <row r="134">
      <c r="A134" s="31" t="inlineStr">
        <is>
          <t>BIRLACABLE</t>
        </is>
      </c>
      <c r="B134" s="31" t="inlineStr">
        <is>
          <t>Birla Cable Limited</t>
        </is>
      </c>
      <c r="C134" s="31" t="inlineStr">
        <is>
          <t>industrials</t>
        </is>
      </c>
      <c r="D134" s="31" t="inlineStr">
        <is>
          <t>cables - telephone</t>
        </is>
      </c>
      <c r="E134" s="31" t="inlineStr">
        <is>
          <t>smallcap</t>
        </is>
      </c>
      <c r="F134" s="31" t="n">
        <v>1177.05</v>
      </c>
      <c r="G134" s="31" t="n">
        <v>377.95</v>
      </c>
      <c r="H134" s="31" t="n">
        <v>-3.67</v>
      </c>
      <c r="I134" s="31" t="n">
        <v>1025099</v>
      </c>
      <c r="J134" s="31" t="inlineStr">
        <is>
          <t>500060</t>
        </is>
      </c>
    </row>
    <row r="135">
      <c r="A135" s="31" t="inlineStr">
        <is>
          <t>REDINGTON</t>
        </is>
      </c>
      <c r="B135" s="31" t="inlineStr">
        <is>
          <t>Redington (india) Limited</t>
        </is>
      </c>
      <c r="C135" s="31" t="inlineStr">
        <is>
          <t>services</t>
        </is>
      </c>
      <c r="D135" s="31" t="inlineStr">
        <is>
          <t>trading</t>
        </is>
      </c>
      <c r="E135" s="31" t="inlineStr">
        <is>
          <t>largecap</t>
        </is>
      </c>
      <c r="F135" s="31" t="n">
        <v>30778.46</v>
      </c>
      <c r="G135" s="31" t="n">
        <v>378.95</v>
      </c>
      <c r="H135" s="31" t="n">
        <v>-3.75</v>
      </c>
      <c r="I135" s="31" t="n">
        <v>4338609</v>
      </c>
      <c r="J135" s="31" t="inlineStr">
        <is>
          <t>532805</t>
        </is>
      </c>
    </row>
    <row r="136">
      <c r="A136" s="31" t="inlineStr">
        <is>
          <t>MAHSEAMLES</t>
        </is>
      </c>
      <c r="B136" s="31" t="inlineStr">
        <is>
          <t>Maharashtra Seamless Limited</t>
        </is>
      </c>
      <c r="C136" s="31" t="inlineStr">
        <is>
          <t>metals &amp; mining</t>
        </is>
      </c>
      <c r="D136" s="31" t="inlineStr">
        <is>
          <t>steel - medium / small</t>
        </is>
      </c>
      <c r="E136" s="31" t="inlineStr">
        <is>
          <t>midcap</t>
        </is>
      </c>
      <c r="F136" s="31" t="n">
        <v>9767.209999999999</v>
      </c>
      <c r="G136" s="31" t="n">
        <v>701.1</v>
      </c>
      <c r="H136" s="31" t="n">
        <v>-3.81</v>
      </c>
      <c r="I136" s="31" t="n">
        <v>328878</v>
      </c>
      <c r="J136" s="31" t="inlineStr">
        <is>
          <t>500265</t>
        </is>
      </c>
    </row>
    <row r="137">
      <c r="A137" s="31" t="inlineStr">
        <is>
          <t>VENUSPIPES</t>
        </is>
      </c>
      <c r="B137" s="31" t="inlineStr">
        <is>
          <t>Venus Pipes &amp; Tubes Ltd</t>
        </is>
      </c>
      <c r="C137" s="31" t="inlineStr">
        <is>
          <t>metals &amp; mining</t>
        </is>
      </c>
      <c r="D137" s="31" t="inlineStr">
        <is>
          <t>steel - medium / small</t>
        </is>
      </c>
      <c r="E137" s="31" t="inlineStr">
        <is>
          <t>smallcap</t>
        </is>
      </c>
      <c r="F137" s="31" t="n">
        <v>4184.86</v>
      </c>
      <c r="G137" s="31" t="n">
        <v>1941.6</v>
      </c>
      <c r="H137" s="31" t="n">
        <v>-3.89</v>
      </c>
      <c r="I137" s="31" t="n">
        <v>238550</v>
      </c>
      <c r="J137" s="31" t="inlineStr">
        <is>
          <t>543528</t>
        </is>
      </c>
    </row>
    <row r="138">
      <c r="A138" s="31" t="inlineStr">
        <is>
          <t>RML</t>
        </is>
      </c>
      <c r="B138" s="31" t="inlineStr">
        <is>
          <t>Rane (madras) Limited</t>
        </is>
      </c>
      <c r="C138" s="31" t="inlineStr">
        <is>
          <t>auto</t>
        </is>
      </c>
      <c r="D138" s="31" t="inlineStr">
        <is>
          <t>auto ancillaries</t>
        </is>
      </c>
      <c r="E138" s="31" t="inlineStr">
        <is>
          <t>smallcap</t>
        </is>
      </c>
      <c r="F138" s="31" t="n">
        <v>3758.65</v>
      </c>
      <c r="G138" s="31" t="n">
        <v>1306.5</v>
      </c>
      <c r="H138" s="31" t="n">
        <v>-3.93</v>
      </c>
      <c r="I138" s="31" t="n">
        <v>36201</v>
      </c>
      <c r="J138" s="31" t="inlineStr">
        <is>
          <t>532661</t>
        </is>
      </c>
    </row>
    <row r="139">
      <c r="A139" s="31" t="inlineStr">
        <is>
          <t>OAL</t>
        </is>
      </c>
      <c r="B139" s="31" t="inlineStr">
        <is>
          <t>Oriental Aromatics Ltd</t>
        </is>
      </c>
      <c r="C139" s="31" t="inlineStr">
        <is>
          <t>chemicals</t>
        </is>
      </c>
      <c r="D139" s="31" t="inlineStr">
        <is>
          <t>chemicals</t>
        </is>
      </c>
      <c r="E139" s="31" t="inlineStr">
        <is>
          <t>smallcap</t>
        </is>
      </c>
      <c r="F139" s="31" t="n">
        <v>1790.71</v>
      </c>
      <c r="G139" s="31" t="n">
        <v>510.95</v>
      </c>
      <c r="H139" s="31" t="n">
        <v>-3.97</v>
      </c>
      <c r="I139" s="31" t="n">
        <v>101439</v>
      </c>
      <c r="J139" s="31" t="inlineStr">
        <is>
          <t>500078</t>
        </is>
      </c>
    </row>
    <row r="140">
      <c r="A140" s="31" t="inlineStr">
        <is>
          <t>ZIMLAB</t>
        </is>
      </c>
      <c r="B140" s="31" t="inlineStr">
        <is>
          <t>Zim Laboratories Ltd</t>
        </is>
      </c>
      <c r="C140" s="31" t="inlineStr">
        <is>
          <t>healthcare</t>
        </is>
      </c>
      <c r="D140" s="31" t="inlineStr">
        <is>
          <t>pharmaceuticals - indian - bulk drugs &amp; formln</t>
        </is>
      </c>
      <c r="E140" s="31" t="inlineStr">
        <is>
          <t>smallcap</t>
        </is>
      </c>
      <c r="F140" s="31" t="n">
        <v>745.51</v>
      </c>
      <c r="G140" s="31" t="n">
        <v>133.61</v>
      </c>
      <c r="H140" s="31" t="n">
        <v>-4.03</v>
      </c>
      <c r="I140" s="31" t="n">
        <v>146082</v>
      </c>
      <c r="J140" s="31" t="inlineStr">
        <is>
          <t>541400</t>
        </is>
      </c>
    </row>
    <row r="141">
      <c r="A141" s="31" t="inlineStr">
        <is>
          <t>VENKEYS</t>
        </is>
      </c>
      <c r="B141" s="31" t="inlineStr">
        <is>
          <t>Venky's (india) Limited</t>
        </is>
      </c>
      <c r="C141" s="31" t="inlineStr">
        <is>
          <t>fmcg</t>
        </is>
      </c>
      <c r="D141" s="31" t="inlineStr">
        <is>
          <t>miscellaneous</t>
        </is>
      </c>
      <c r="E141" s="31" t="inlineStr">
        <is>
          <t>smallcap</t>
        </is>
      </c>
      <c r="F141" s="31" t="n">
        <v>2517.69</v>
      </c>
      <c r="G141" s="31" t="n">
        <v>1713.6</v>
      </c>
      <c r="H141" s="31" t="n">
        <v>-4.12</v>
      </c>
      <c r="I141" s="31" t="n">
        <v>115324</v>
      </c>
      <c r="J141" s="31" t="inlineStr">
        <is>
          <t>523261</t>
        </is>
      </c>
    </row>
    <row r="142">
      <c r="A142" s="31" t="inlineStr">
        <is>
          <t>VALIANTLAB</t>
        </is>
      </c>
      <c r="B142" s="31" t="inlineStr">
        <is>
          <t>Valiant Laboratories Ltd</t>
        </is>
      </c>
      <c r="C142" s="31" t="inlineStr">
        <is>
          <t>healthcare</t>
        </is>
      </c>
      <c r="D142" s="31" t="inlineStr">
        <is>
          <t>pharmaceuticals - indian - bulk drugs &amp; formln</t>
        </is>
      </c>
      <c r="E142" s="31" t="inlineStr">
        <is>
          <t>smallcap</t>
        </is>
      </c>
      <c r="F142" s="31" t="n">
        <v>694.71</v>
      </c>
      <c r="G142" s="31" t="n">
        <v>122.63</v>
      </c>
      <c r="H142" s="31" t="n">
        <v>-4.13</v>
      </c>
      <c r="I142" s="31" t="n">
        <v>104961</v>
      </c>
      <c r="J142" s="31" t="n"/>
    </row>
    <row r="143">
      <c r="A143" s="31" t="inlineStr">
        <is>
          <t>BHAGYANGR</t>
        </is>
      </c>
      <c r="B143" s="31" t="inlineStr">
        <is>
          <t>Bhagyanagar India</t>
        </is>
      </c>
      <c r="C143" s="31" t="inlineStr">
        <is>
          <t>power &amp; utilities</t>
        </is>
      </c>
      <c r="D143" s="31" t="inlineStr">
        <is>
          <t>power generation and supply</t>
        </is>
      </c>
      <c r="E143" s="31" t="inlineStr">
        <is>
          <t>smallcap</t>
        </is>
      </c>
      <c r="F143" s="31" t="n">
        <v>1415.39</v>
      </c>
      <c r="G143" s="31" t="n">
        <v>405</v>
      </c>
      <c r="H143" s="31" t="n">
        <v>-4.15</v>
      </c>
      <c r="I143" s="31" t="n">
        <v>183392</v>
      </c>
      <c r="J143" s="31" t="inlineStr">
        <is>
          <t>512296</t>
        </is>
      </c>
    </row>
    <row r="144">
      <c r="A144" s="31" t="inlineStr">
        <is>
          <t>KAPSTON</t>
        </is>
      </c>
      <c r="B144" s="31" t="inlineStr">
        <is>
          <t>Kapston Services Ltd</t>
        </is>
      </c>
      <c r="C144" s="31" t="inlineStr">
        <is>
          <t>miscellaneous</t>
        </is>
      </c>
      <c r="D144" s="31" t="inlineStr">
        <is>
          <t>miscellaneous</t>
        </is>
      </c>
      <c r="E144" s="31" t="inlineStr">
        <is>
          <t>smallcap</t>
        </is>
      </c>
      <c r="F144" s="31" t="n">
        <v>1790.02</v>
      </c>
      <c r="G144" s="31" t="n">
        <v>563.45</v>
      </c>
      <c r="H144" s="31" t="n">
        <v>-4.21</v>
      </c>
      <c r="I144" s="31" t="n">
        <v>45325</v>
      </c>
      <c r="J144" s="31" t="inlineStr">
        <is>
          <t>535064</t>
        </is>
      </c>
    </row>
    <row r="145">
      <c r="A145" s="31" t="inlineStr">
        <is>
          <t>BIL</t>
        </is>
      </c>
      <c r="B145" s="31" t="inlineStr">
        <is>
          <t>Bhartiya International Limited</t>
        </is>
      </c>
      <c r="C145" s="31" t="inlineStr">
        <is>
          <t>consumer discretionary</t>
        </is>
      </c>
      <c r="D145" s="31" t="inlineStr">
        <is>
          <t>leather / leather products</t>
        </is>
      </c>
      <c r="E145" s="31" t="inlineStr">
        <is>
          <t>smallcap</t>
        </is>
      </c>
      <c r="F145" s="31" t="n">
        <v>1438.94</v>
      </c>
      <c r="G145" s="31" t="n">
        <v>1027.55</v>
      </c>
      <c r="H145" s="31" t="n">
        <v>-4.24</v>
      </c>
      <c r="I145" s="31" t="n">
        <v>12076</v>
      </c>
      <c r="J145" s="31" t="inlineStr">
        <is>
          <t>526666</t>
        </is>
      </c>
    </row>
    <row r="146">
      <c r="A146" s="31" t="inlineStr">
        <is>
          <t>INDORAMA</t>
        </is>
      </c>
      <c r="B146" s="31" t="inlineStr">
        <is>
          <t>Indo Rama Synthetics (india) Limited</t>
        </is>
      </c>
      <c r="C146" s="31" t="inlineStr">
        <is>
          <t>textiles</t>
        </is>
      </c>
      <c r="D146" s="31" t="inlineStr">
        <is>
          <t>textiles - manmade</t>
        </is>
      </c>
      <c r="E146" s="31" t="inlineStr">
        <is>
          <t>smallcap</t>
        </is>
      </c>
      <c r="F146" s="31" t="n">
        <v>2258.63</v>
      </c>
      <c r="G146" s="31" t="n">
        <v>82.81</v>
      </c>
      <c r="H146" s="31" t="n">
        <v>-4.27</v>
      </c>
      <c r="I146" s="31" t="n">
        <v>4750924</v>
      </c>
      <c r="J146" s="31" t="inlineStr">
        <is>
          <t>500207</t>
        </is>
      </c>
    </row>
    <row r="147">
      <c r="A147" s="31" t="inlineStr">
        <is>
          <t>KROSS</t>
        </is>
      </c>
      <c r="B147" s="31" t="inlineStr">
        <is>
          <t>Kross Ltd</t>
        </is>
      </c>
      <c r="C147" s="31" t="inlineStr">
        <is>
          <t>auto</t>
        </is>
      </c>
      <c r="D147" s="31" t="inlineStr">
        <is>
          <t>auto ancillaries</t>
        </is>
      </c>
      <c r="E147" s="31" t="inlineStr">
        <is>
          <t>smallcap</t>
        </is>
      </c>
      <c r="F147" s="31" t="n">
        <v>1542.23</v>
      </c>
      <c r="G147" s="31" t="n">
        <v>228.87</v>
      </c>
      <c r="H147" s="31" t="n">
        <v>-4.27</v>
      </c>
      <c r="I147" s="31" t="n">
        <v>885883</v>
      </c>
      <c r="J147" s="31" t="inlineStr">
        <is>
          <t>544253</t>
        </is>
      </c>
    </row>
    <row r="148">
      <c r="A148" s="31" t="inlineStr">
        <is>
          <t>RATNAMANI</t>
        </is>
      </c>
      <c r="B148" s="31" t="inlineStr">
        <is>
          <t>Ratnamani Metals &amp; Tubes Limited</t>
        </is>
      </c>
      <c r="C148" s="31" t="inlineStr">
        <is>
          <t>industrials</t>
        </is>
      </c>
      <c r="D148" s="31" t="inlineStr">
        <is>
          <t>steel - medium / small</t>
        </is>
      </c>
      <c r="E148" s="31" t="inlineStr">
        <is>
          <t>midcap</t>
        </is>
      </c>
      <c r="F148" s="31" t="n">
        <v>19705.66</v>
      </c>
      <c r="G148" s="31" t="n">
        <v>2691.4</v>
      </c>
      <c r="H148" s="31" t="n">
        <v>-4.27</v>
      </c>
      <c r="I148" s="31" t="n">
        <v>55253</v>
      </c>
      <c r="J148" s="31" t="inlineStr">
        <is>
          <t>520111</t>
        </is>
      </c>
    </row>
    <row r="149">
      <c r="A149" s="31" t="inlineStr">
        <is>
          <t>PAYTM</t>
        </is>
      </c>
      <c r="B149" s="31" t="inlineStr">
        <is>
          <t>One 97 Communications Ltd</t>
        </is>
      </c>
      <c r="C149" s="31" t="inlineStr">
        <is>
          <t>i.t</t>
        </is>
      </c>
      <c r="D149" s="31" t="inlineStr">
        <is>
          <t>miscellaneous</t>
        </is>
      </c>
      <c r="E149" s="31" t="inlineStr">
        <is>
          <t>largecap</t>
        </is>
      </c>
      <c r="F149" s="31" t="n">
        <v>115740.91</v>
      </c>
      <c r="G149" s="31" t="n">
        <v>1730</v>
      </c>
      <c r="H149" s="31" t="n">
        <v>-4.29</v>
      </c>
      <c r="I149" s="31" t="n">
        <v>3226150</v>
      </c>
      <c r="J149" s="31" t="inlineStr">
        <is>
          <t>543396</t>
        </is>
      </c>
    </row>
    <row r="150">
      <c r="A150" s="31" t="inlineStr">
        <is>
          <t>CENTUM</t>
        </is>
      </c>
      <c r="B150" s="31" t="inlineStr">
        <is>
          <t>Centum Electronics Limited</t>
        </is>
      </c>
      <c r="C150" s="31" t="inlineStr">
        <is>
          <t>aerospace &amp; defence</t>
        </is>
      </c>
      <c r="D150" s="31" t="inlineStr">
        <is>
          <t>electronics - components</t>
        </is>
      </c>
      <c r="E150" s="31" t="inlineStr">
        <is>
          <t>midcap</t>
        </is>
      </c>
      <c r="F150" s="31" t="n">
        <v>6186.98</v>
      </c>
      <c r="G150" s="31" t="n">
        <v>4010.6</v>
      </c>
      <c r="H150" s="31" t="n">
        <v>-4.33</v>
      </c>
      <c r="I150" s="31" t="n">
        <v>42588</v>
      </c>
      <c r="J150" s="31" t="inlineStr">
        <is>
          <t>517544</t>
        </is>
      </c>
    </row>
    <row r="151">
      <c r="A151" s="31" t="inlineStr">
        <is>
          <t>VISHNU</t>
        </is>
      </c>
      <c r="B151" s="31" t="inlineStr">
        <is>
          <t>Vishnu Chemicals Limited</t>
        </is>
      </c>
      <c r="C151" s="31" t="inlineStr">
        <is>
          <t>chemicals</t>
        </is>
      </c>
      <c r="D151" s="31" t="inlineStr">
        <is>
          <t>chemicals</t>
        </is>
      </c>
      <c r="E151" s="31" t="inlineStr">
        <is>
          <t>smallcap</t>
        </is>
      </c>
      <c r="F151" s="31" t="n">
        <v>4805.97</v>
      </c>
      <c r="G151" s="31" t="n">
        <v>682.8</v>
      </c>
      <c r="H151" s="31" t="n">
        <v>-4.36</v>
      </c>
      <c r="I151" s="31" t="n">
        <v>102967</v>
      </c>
      <c r="J151" s="31" t="inlineStr">
        <is>
          <t>516072</t>
        </is>
      </c>
    </row>
    <row r="152">
      <c r="A152" s="31" t="inlineStr">
        <is>
          <t>UNIMECH</t>
        </is>
      </c>
      <c r="B152" s="31" t="inlineStr">
        <is>
          <t>Unimech Aerospace and Manufacturing Ltd</t>
        </is>
      </c>
      <c r="C152" s="31" t="inlineStr">
        <is>
          <t>aerospace &amp; defence</t>
        </is>
      </c>
      <c r="D152" s="31" t="inlineStr">
        <is>
          <t>engineering</t>
        </is>
      </c>
      <c r="E152" s="31" t="inlineStr">
        <is>
          <t>midcap</t>
        </is>
      </c>
      <c r="F152" s="31" t="n">
        <v>8187.96</v>
      </c>
      <c r="G152" s="31" t="n">
        <v>1538.5</v>
      </c>
      <c r="H152" s="31" t="n">
        <v>-4.44</v>
      </c>
      <c r="I152" s="31" t="n">
        <v>269490</v>
      </c>
      <c r="J152" s="31" t="inlineStr">
        <is>
          <t>544322</t>
        </is>
      </c>
    </row>
    <row r="153">
      <c r="A153" s="31" t="inlineStr">
        <is>
          <t>SOLARA</t>
        </is>
      </c>
      <c r="B153" s="31" t="inlineStr">
        <is>
          <t>Solara Active Pharma Sciences Ltd</t>
        </is>
      </c>
      <c r="C153" s="31" t="inlineStr">
        <is>
          <t>healthcare</t>
        </is>
      </c>
      <c r="D153" s="31" t="inlineStr">
        <is>
          <t>pharmaceuticals - indian - bulk drugs &amp; formln</t>
        </is>
      </c>
      <c r="E153" s="31" t="inlineStr">
        <is>
          <t>smallcap</t>
        </is>
      </c>
      <c r="F153" s="31" t="n">
        <v>3614.35</v>
      </c>
      <c r="G153" s="31" t="n">
        <v>715.8</v>
      </c>
      <c r="H153" s="31" t="n">
        <v>-4.45</v>
      </c>
      <c r="I153" s="31" t="n">
        <v>696761</v>
      </c>
      <c r="J153" s="31" t="inlineStr">
        <is>
          <t>541540</t>
        </is>
      </c>
    </row>
    <row r="154">
      <c r="A154" s="31" t="inlineStr">
        <is>
          <t>GODREJAGRO</t>
        </is>
      </c>
      <c r="B154" s="31" t="inlineStr">
        <is>
          <t>Godrej Agrovet Ltd</t>
        </is>
      </c>
      <c r="C154" s="31" t="inlineStr">
        <is>
          <t>fmcg</t>
        </is>
      </c>
      <c r="D154" s="31" t="inlineStr">
        <is>
          <t>food - processing - indian</t>
        </is>
      </c>
      <c r="E154" s="31" t="inlineStr">
        <is>
          <t>midcap</t>
        </is>
      </c>
      <c r="F154" s="31" t="n">
        <v>13000.65</v>
      </c>
      <c r="G154" s="31" t="n">
        <v>645.3</v>
      </c>
      <c r="H154" s="31" t="n">
        <v>-4.52</v>
      </c>
      <c r="I154" s="31" t="n">
        <v>210484</v>
      </c>
      <c r="J154" s="31" t="inlineStr">
        <is>
          <t>540743</t>
        </is>
      </c>
    </row>
    <row r="155">
      <c r="A155" s="31" t="inlineStr">
        <is>
          <t>WHEELS</t>
        </is>
      </c>
      <c r="B155" s="31" t="inlineStr">
        <is>
          <t>Wheels India Limited</t>
        </is>
      </c>
      <c r="C155" s="31" t="inlineStr">
        <is>
          <t>auto</t>
        </is>
      </c>
      <c r="D155" s="31" t="inlineStr">
        <is>
          <t>auto ancillaries</t>
        </is>
      </c>
      <c r="E155" s="31" t="inlineStr">
        <is>
          <t>midcap</t>
        </is>
      </c>
      <c r="F155" s="31" t="n">
        <v>5448.81</v>
      </c>
      <c r="G155" s="31" t="n">
        <v>2129.1</v>
      </c>
      <c r="H155" s="31" t="n">
        <v>-4.53</v>
      </c>
      <c r="I155" s="31" t="n">
        <v>383920</v>
      </c>
      <c r="J155" s="31" t="inlineStr">
        <is>
          <t>590073</t>
        </is>
      </c>
    </row>
    <row r="156">
      <c r="A156" s="31" t="inlineStr">
        <is>
          <t>PTCIL</t>
        </is>
      </c>
      <c r="B156" s="31" t="inlineStr">
        <is>
          <t>PTC Industries Ltd</t>
        </is>
      </c>
      <c r="C156" s="31" t="inlineStr">
        <is>
          <t>industrials</t>
        </is>
      </c>
      <c r="D156" s="31" t="inlineStr">
        <is>
          <t>castings &amp; forgings</t>
        </is>
      </c>
      <c r="E156" s="31" t="inlineStr">
        <is>
          <t>largecap</t>
        </is>
      </c>
      <c r="F156" s="31" t="n">
        <v>35427.39</v>
      </c>
      <c r="G156" s="31" t="n">
        <v>22560</v>
      </c>
      <c r="H156" s="31" t="n">
        <v>-4.53</v>
      </c>
      <c r="I156" s="31" t="n">
        <v>34722</v>
      </c>
      <c r="J156" s="31" t="inlineStr">
        <is>
          <t>539006</t>
        </is>
      </c>
    </row>
    <row r="157">
      <c r="A157" s="31" t="inlineStr">
        <is>
          <t>SIGMAADV</t>
        </is>
      </c>
      <c r="B157" s="31" t="inlineStr">
        <is>
          <t>Sigma Advanced System Ltd</t>
        </is>
      </c>
      <c r="C157" s="31" t="inlineStr">
        <is>
          <t>aerospace &amp; defence</t>
        </is>
      </c>
      <c r="D157" s="31" t="inlineStr">
        <is>
          <t>electronics - components</t>
        </is>
      </c>
      <c r="E157" s="31" t="inlineStr">
        <is>
          <t>midcap</t>
        </is>
      </c>
      <c r="F157" s="31" t="n">
        <v>15774.61</v>
      </c>
      <c r="G157" s="31" t="n">
        <v>794.65</v>
      </c>
      <c r="H157" s="31" t="n">
        <v>-4.54</v>
      </c>
      <c r="I157" s="31" t="n">
        <v>318415</v>
      </c>
      <c r="J157" s="31" t="inlineStr">
        <is>
          <t>532408</t>
        </is>
      </c>
    </row>
    <row r="158">
      <c r="A158" s="31" t="inlineStr">
        <is>
          <t>ANUHPHR</t>
        </is>
      </c>
      <c r="B158" s="31" t="inlineStr">
        <is>
          <t>Anuh Pharma Ltd</t>
        </is>
      </c>
      <c r="C158" s="31" t="inlineStr">
        <is>
          <t>healthcare</t>
        </is>
      </c>
      <c r="D158" s="31" t="inlineStr">
        <is>
          <t>pharmaceuticals - indian - bulk drugs</t>
        </is>
      </c>
      <c r="E158" s="31" t="inlineStr">
        <is>
          <t>smallcap</t>
        </is>
      </c>
      <c r="F158" s="31" t="n">
        <v>950.72</v>
      </c>
      <c r="G158" s="31" t="n">
        <v>90.33</v>
      </c>
      <c r="H158" s="31" t="n">
        <v>-4.78</v>
      </c>
      <c r="I158" s="31" t="n">
        <v>208793</v>
      </c>
      <c r="J158" s="31" t="inlineStr">
        <is>
          <t>506260</t>
        </is>
      </c>
    </row>
    <row r="159">
      <c r="A159" s="31" t="inlineStr">
        <is>
          <t>63MOONS</t>
        </is>
      </c>
      <c r="B159" s="31" t="inlineStr">
        <is>
          <t>63 Moons Technologies Ltd</t>
        </is>
      </c>
      <c r="C159" s="31" t="inlineStr">
        <is>
          <t>i.t</t>
        </is>
      </c>
      <c r="D159" s="31" t="inlineStr">
        <is>
          <t>computers - software - medium / small</t>
        </is>
      </c>
      <c r="E159" s="31" t="inlineStr">
        <is>
          <t>smallcap</t>
        </is>
      </c>
      <c r="F159" s="31" t="n">
        <v>4188.08</v>
      </c>
      <c r="G159" s="31" t="n">
        <v>864</v>
      </c>
      <c r="H159" s="31" t="n">
        <v>-4.94</v>
      </c>
      <c r="I159" s="31" t="n">
        <v>310775</v>
      </c>
      <c r="J159" s="31" t="inlineStr">
        <is>
          <t>526881</t>
        </is>
      </c>
    </row>
    <row r="160">
      <c r="A160" s="31" t="inlineStr">
        <is>
          <t>MODISONLTD</t>
        </is>
      </c>
      <c r="B160" s="31" t="inlineStr">
        <is>
          <t>Modison Ltd</t>
        </is>
      </c>
      <c r="C160" s="31" t="inlineStr">
        <is>
          <t>industrials</t>
        </is>
      </c>
      <c r="D160" s="31" t="inlineStr">
        <is>
          <t>electric equipment</t>
        </is>
      </c>
      <c r="E160" s="31" t="inlineStr">
        <is>
          <t>smallcap</t>
        </is>
      </c>
      <c r="F160" s="31" t="n">
        <v>1632.4</v>
      </c>
      <c r="G160" s="31" t="n">
        <v>478.15</v>
      </c>
      <c r="H160" s="31" t="n">
        <v>-4.95</v>
      </c>
      <c r="I160" s="31" t="n">
        <v>76958</v>
      </c>
      <c r="J160" s="31" t="inlineStr">
        <is>
          <t>506261</t>
        </is>
      </c>
    </row>
    <row r="161">
      <c r="A161" s="31" t="inlineStr">
        <is>
          <t>INDIAGLYCO</t>
        </is>
      </c>
      <c r="B161" s="31" t="inlineStr">
        <is>
          <t>India Glycols Limited</t>
        </is>
      </c>
      <c r="C161" s="31" t="inlineStr">
        <is>
          <t>fmcg</t>
        </is>
      </c>
      <c r="D161" s="31" t="inlineStr">
        <is>
          <t>breweries &amp; distilleries</t>
        </is>
      </c>
      <c r="E161" s="31" t="inlineStr">
        <is>
          <t>smallcap</t>
        </is>
      </c>
      <c r="F161" s="31" t="n">
        <v>1976.62</v>
      </c>
      <c r="G161" s="31" t="n">
        <v>280.2</v>
      </c>
      <c r="H161" s="31" t="n">
        <v>-4.98</v>
      </c>
      <c r="I161" s="31" t="n">
        <v>52712</v>
      </c>
      <c r="J161" s="31" t="inlineStr">
        <is>
          <t>500201</t>
        </is>
      </c>
    </row>
    <row r="162">
      <c r="A162" s="31" t="inlineStr">
        <is>
          <t>SHANTIGEAR</t>
        </is>
      </c>
      <c r="B162" s="31" t="inlineStr">
        <is>
          <t>Shanthi Gears Limited</t>
        </is>
      </c>
      <c r="C162" s="31" t="inlineStr">
        <is>
          <t>industrials</t>
        </is>
      </c>
      <c r="D162" s="31" t="inlineStr">
        <is>
          <t>engineering</t>
        </is>
      </c>
      <c r="E162" s="31" t="inlineStr">
        <is>
          <t>midcap</t>
        </is>
      </c>
      <c r="F162" s="31" t="n">
        <v>5484.8</v>
      </c>
      <c r="G162" s="31" t="n">
        <v>679.25</v>
      </c>
      <c r="H162" s="31" t="n">
        <v>-4.99</v>
      </c>
      <c r="I162" s="31" t="n">
        <v>102653</v>
      </c>
      <c r="J162" s="31" t="inlineStr">
        <is>
          <t>522034</t>
        </is>
      </c>
    </row>
    <row r="163">
      <c r="A163" s="31" t="inlineStr">
        <is>
          <t>RUBYMILLS</t>
        </is>
      </c>
      <c r="B163" s="31" t="inlineStr">
        <is>
          <t>The Ruby Mills Limited</t>
        </is>
      </c>
      <c r="C163" s="31" t="inlineStr">
        <is>
          <t>textiles</t>
        </is>
      </c>
      <c r="D163" s="31" t="inlineStr">
        <is>
          <t>textiles - composite</t>
        </is>
      </c>
      <c r="E163" s="31" t="inlineStr">
        <is>
          <t>smallcap</t>
        </is>
      </c>
      <c r="F163" s="31" t="n">
        <v>1521.85</v>
      </c>
      <c r="G163" s="31" t="n">
        <v>432.4</v>
      </c>
      <c r="H163" s="31" t="n">
        <v>-4.99</v>
      </c>
      <c r="I163" s="31" t="n">
        <v>13641</v>
      </c>
      <c r="J163" s="31" t="inlineStr">
        <is>
          <t>503169</t>
        </is>
      </c>
    </row>
    <row r="164">
      <c r="A164" s="31" t="inlineStr">
        <is>
          <t>BLISSGVS</t>
        </is>
      </c>
      <c r="B164" s="31" t="inlineStr">
        <is>
          <t>Bliss Gvs Pharma Limited</t>
        </is>
      </c>
      <c r="C164" s="31" t="inlineStr">
        <is>
          <t>healthcare</t>
        </is>
      </c>
      <c r="D164" s="31" t="inlineStr">
        <is>
          <t>pharmaceuticals - indian - formulations</t>
        </is>
      </c>
      <c r="E164" s="31" t="inlineStr">
        <is>
          <t>midcap</t>
        </is>
      </c>
      <c r="F164" s="31" t="n">
        <v>7646.12</v>
      </c>
      <c r="G164" s="31" t="n">
        <v>684.95</v>
      </c>
      <c r="H164" s="31" t="n">
        <v>-4.99</v>
      </c>
      <c r="I164" s="31" t="n">
        <v>217584</v>
      </c>
      <c r="J164" s="31" t="inlineStr">
        <is>
          <t>506197</t>
        </is>
      </c>
    </row>
    <row r="165">
      <c r="A165" s="31" t="inlineStr">
        <is>
          <t>STLTECH</t>
        </is>
      </c>
      <c r="B165" s="31" t="inlineStr">
        <is>
          <t>Sterlite Technologies Limited</t>
        </is>
      </c>
      <c r="C165" s="31" t="inlineStr">
        <is>
          <t>industrials</t>
        </is>
      </c>
      <c r="D165" s="31" t="inlineStr">
        <is>
          <t>cables - telephone</t>
        </is>
      </c>
      <c r="E165" s="31" t="inlineStr">
        <is>
          <t>largecap</t>
        </is>
      </c>
      <c r="F165" s="31" t="n">
        <v>46117.04</v>
      </c>
      <c r="G165" s="31" t="n">
        <v>852.55</v>
      </c>
      <c r="H165" s="31" t="n">
        <v>-5</v>
      </c>
      <c r="I165" s="31" t="n">
        <v>3615694</v>
      </c>
      <c r="J165" s="31" t="inlineStr">
        <is>
          <t>532374</t>
        </is>
      </c>
    </row>
    <row r="166">
      <c r="A166" s="31" t="inlineStr">
        <is>
          <t>SETL</t>
        </is>
      </c>
      <c r="B166" s="31" t="inlineStr">
        <is>
          <t>Standard Enginnering Technology Ltd</t>
        </is>
      </c>
      <c r="C166" s="31" t="inlineStr">
        <is>
          <t>industrials</t>
        </is>
      </c>
      <c r="D166" s="31" t="inlineStr">
        <is>
          <t>engineering</t>
        </is>
      </c>
      <c r="E166" s="31" t="inlineStr">
        <is>
          <t>midcap</t>
        </is>
      </c>
      <c r="F166" s="31" t="n">
        <v>9339.200000000001</v>
      </c>
      <c r="G166" s="31" t="n">
        <v>444.75</v>
      </c>
      <c r="H166" s="31" t="n">
        <v>-5</v>
      </c>
      <c r="I166" s="31" t="n">
        <v>194608</v>
      </c>
      <c r="J166" s="31" t="inlineStr">
        <is>
          <t>544333</t>
        </is>
      </c>
    </row>
    <row r="167">
      <c r="A167" s="31" t="inlineStr">
        <is>
          <t>MANAKSTEEL</t>
        </is>
      </c>
      <c r="B167" s="31" t="inlineStr">
        <is>
          <t>Manaksia Steels Limited</t>
        </is>
      </c>
      <c r="C167" s="31" t="inlineStr">
        <is>
          <t>metals &amp; mining</t>
        </is>
      </c>
      <c r="D167" s="31" t="inlineStr">
        <is>
          <t>steel - medium / small</t>
        </is>
      </c>
      <c r="E167" s="31" t="inlineStr">
        <is>
          <t>smallcap</t>
        </is>
      </c>
      <c r="F167" s="31" t="n">
        <v>772.71</v>
      </c>
      <c r="G167" s="31" t="n">
        <v>112.02</v>
      </c>
      <c r="H167" s="31" t="n">
        <v>-5</v>
      </c>
      <c r="I167" s="31" t="n">
        <v>57388</v>
      </c>
      <c r="J167" s="31" t="inlineStr">
        <is>
          <t>539044</t>
        </is>
      </c>
    </row>
    <row r="168">
      <c r="A168" s="31" t="inlineStr">
        <is>
          <t>SMLMAH</t>
        </is>
      </c>
      <c r="B168" s="31" t="inlineStr">
        <is>
          <t>SML Mahindra Ltd</t>
        </is>
      </c>
      <c r="C168" s="31" t="inlineStr">
        <is>
          <t>auto</t>
        </is>
      </c>
      <c r="D168" s="31" t="inlineStr">
        <is>
          <t>automobiles - lcvs / hcvs</t>
        </is>
      </c>
      <c r="E168" s="31" t="inlineStr">
        <is>
          <t>midcap</t>
        </is>
      </c>
      <c r="F168" s="31" t="n">
        <v>9526.68</v>
      </c>
      <c r="G168" s="31" t="n">
        <v>6254</v>
      </c>
      <c r="H168" s="31" t="n">
        <v>-5</v>
      </c>
      <c r="I168" s="31" t="n">
        <v>45556</v>
      </c>
      <c r="J168" s="31" t="inlineStr">
        <is>
          <t>505192</t>
        </is>
      </c>
    </row>
    <row r="169">
      <c r="A169" s="31" t="inlineStr">
        <is>
          <t>PVP</t>
        </is>
      </c>
      <c r="B169" s="31" t="inlineStr">
        <is>
          <t>Pvp Ventures Limited</t>
        </is>
      </c>
      <c r="C169" s="31" t="inlineStr">
        <is>
          <t>realty</t>
        </is>
      </c>
      <c r="D169" s="31" t="inlineStr">
        <is>
          <t>construction</t>
        </is>
      </c>
      <c r="E169" s="31" t="inlineStr">
        <is>
          <t>smallcap</t>
        </is>
      </c>
      <c r="F169" s="31" t="n">
        <v>1687.94</v>
      </c>
      <c r="G169" s="31" t="n">
        <v>61.58</v>
      </c>
      <c r="H169" s="31" t="n">
        <v>-5</v>
      </c>
      <c r="I169" s="31" t="n">
        <v>853205</v>
      </c>
      <c r="J169" s="31" t="inlineStr">
        <is>
          <t>517556</t>
        </is>
      </c>
    </row>
    <row r="170">
      <c r="A170" s="31" t="inlineStr">
        <is>
          <t>SHILPAMED</t>
        </is>
      </c>
      <c r="B170" s="31" t="inlineStr">
        <is>
          <t>Shilpa Medicare Limited</t>
        </is>
      </c>
      <c r="C170" s="31" t="inlineStr">
        <is>
          <t>healthcare</t>
        </is>
      </c>
      <c r="D170" s="31" t="inlineStr">
        <is>
          <t>pharmaceuticals - indian - formulations</t>
        </is>
      </c>
      <c r="E170" s="31" t="inlineStr">
        <is>
          <t>midcap</t>
        </is>
      </c>
      <c r="F170" s="31" t="n">
        <v>18798.35</v>
      </c>
      <c r="G170" s="31" t="n">
        <v>911.9</v>
      </c>
      <c r="H170" s="31" t="n">
        <v>-5.12</v>
      </c>
      <c r="I170" s="31" t="n">
        <v>756740</v>
      </c>
      <c r="J170" s="31" t="inlineStr">
        <is>
          <t>530549</t>
        </is>
      </c>
    </row>
    <row r="171">
      <c r="A171" s="31" t="inlineStr">
        <is>
          <t>GRAPHITE</t>
        </is>
      </c>
      <c r="B171" s="31" t="inlineStr">
        <is>
          <t>Graphite India Limited</t>
        </is>
      </c>
      <c r="C171" s="31" t="inlineStr">
        <is>
          <t>industrials</t>
        </is>
      </c>
      <c r="D171" s="31" t="inlineStr">
        <is>
          <t>electrodes - graphites</t>
        </is>
      </c>
      <c r="E171" s="31" t="inlineStr">
        <is>
          <t>midcap</t>
        </is>
      </c>
      <c r="F171" s="31" t="n">
        <v>16134.12</v>
      </c>
      <c r="G171" s="31" t="n">
        <v>781.5</v>
      </c>
      <c r="H171" s="31" t="n">
        <v>-5.36</v>
      </c>
      <c r="I171" s="31" t="n">
        <v>1871773</v>
      </c>
      <c r="J171" s="31" t="inlineStr">
        <is>
          <t>509488</t>
        </is>
      </c>
    </row>
    <row r="172">
      <c r="A172" s="31" t="inlineStr">
        <is>
          <t>DEEPINDS</t>
        </is>
      </c>
      <c r="B172" s="31" t="inlineStr">
        <is>
          <t>Deep Industries Ltd</t>
        </is>
      </c>
      <c r="C172" s="31" t="inlineStr">
        <is>
          <t>energy</t>
        </is>
      </c>
      <c r="D172" s="31" t="inlineStr">
        <is>
          <t>oil drilling / allied services</t>
        </is>
      </c>
      <c r="E172" s="31" t="inlineStr">
        <is>
          <t>smallcap</t>
        </is>
      </c>
      <c r="F172" s="31" t="n">
        <v>4956.16</v>
      </c>
      <c r="G172" s="31" t="n">
        <v>730.4</v>
      </c>
      <c r="H172" s="31" t="n">
        <v>-5.68</v>
      </c>
      <c r="I172" s="31" t="n">
        <v>492116</v>
      </c>
      <c r="J172" s="31" t="inlineStr">
        <is>
          <t>543288</t>
        </is>
      </c>
    </row>
    <row r="173">
      <c r="A173" s="31" t="inlineStr">
        <is>
          <t>FILATEX</t>
        </is>
      </c>
      <c r="B173" s="31" t="inlineStr">
        <is>
          <t>Filatex India Limited</t>
        </is>
      </c>
      <c r="C173" s="31" t="inlineStr">
        <is>
          <t>textiles</t>
        </is>
      </c>
      <c r="D173" s="31" t="inlineStr">
        <is>
          <t>textiles - manmade</t>
        </is>
      </c>
      <c r="E173" s="31" t="inlineStr">
        <is>
          <t>smallcap</t>
        </is>
      </c>
      <c r="F173" s="31" t="n">
        <v>3881.51</v>
      </c>
      <c r="G173" s="31" t="n">
        <v>82.41</v>
      </c>
      <c r="H173" s="31" t="n">
        <v>-5.72</v>
      </c>
      <c r="I173" s="31" t="n">
        <v>8356838</v>
      </c>
      <c r="J173" s="31" t="inlineStr">
        <is>
          <t>526227</t>
        </is>
      </c>
    </row>
    <row r="174">
      <c r="A174" s="31" t="inlineStr">
        <is>
          <t>INDNIPPON</t>
        </is>
      </c>
      <c r="B174" s="31" t="inlineStr">
        <is>
          <t>India Nippon Electricals Limited</t>
        </is>
      </c>
      <c r="C174" s="31" t="inlineStr">
        <is>
          <t>auto</t>
        </is>
      </c>
      <c r="D174" s="31" t="inlineStr">
        <is>
          <t>auto ancillaries</t>
        </is>
      </c>
      <c r="E174" s="31" t="inlineStr">
        <is>
          <t>smallcap</t>
        </is>
      </c>
      <c r="F174" s="31" t="n">
        <v>3074.03</v>
      </c>
      <c r="G174" s="31" t="n">
        <v>1279</v>
      </c>
      <c r="H174" s="31" t="n">
        <v>-5.88</v>
      </c>
      <c r="I174" s="31" t="n">
        <v>96043</v>
      </c>
      <c r="J174" s="31" t="inlineStr">
        <is>
          <t>532240</t>
        </is>
      </c>
    </row>
    <row r="175">
      <c r="A175" s="31" t="inlineStr">
        <is>
          <t>PCJEWELLER</t>
        </is>
      </c>
      <c r="B175" s="31" t="inlineStr">
        <is>
          <t>Pc Jeweller Limited</t>
        </is>
      </c>
      <c r="C175" s="31" t="inlineStr">
        <is>
          <t>consumer discretionary</t>
        </is>
      </c>
      <c r="D175" s="31" t="inlineStr">
        <is>
          <t>diamond cutting / jewellery</t>
        </is>
      </c>
      <c r="E175" s="31" t="inlineStr">
        <is>
          <t>midcap</t>
        </is>
      </c>
      <c r="F175" s="31" t="n">
        <v>13303.43</v>
      </c>
      <c r="G175" s="31" t="n">
        <v>12.89</v>
      </c>
      <c r="H175" s="31" t="n">
        <v>-5.91</v>
      </c>
      <c r="I175" s="31" t="n">
        <v>356317461</v>
      </c>
      <c r="J175" s="31" t="inlineStr">
        <is>
          <t>534809</t>
        </is>
      </c>
    </row>
    <row r="176">
      <c r="A176" s="31" t="inlineStr">
        <is>
          <t>FINCABLES</t>
        </is>
      </c>
      <c r="B176" s="31" t="inlineStr">
        <is>
          <t>Finolex Cables Limited</t>
        </is>
      </c>
      <c r="C176" s="31" t="inlineStr">
        <is>
          <t>industrials</t>
        </is>
      </c>
      <c r="D176" s="31" t="inlineStr">
        <is>
          <t>cables - power</t>
        </is>
      </c>
      <c r="E176" s="31" t="inlineStr">
        <is>
          <t>largecap</t>
        </is>
      </c>
      <c r="F176" s="31" t="n">
        <v>21778.56</v>
      </c>
      <c r="G176" s="31" t="n">
        <v>1339.9</v>
      </c>
      <c r="H176" s="31" t="n">
        <v>-5.91</v>
      </c>
      <c r="I176" s="31" t="n">
        <v>1266116</v>
      </c>
      <c r="J176" s="31" t="inlineStr">
        <is>
          <t>500144</t>
        </is>
      </c>
    </row>
    <row r="177">
      <c r="A177" s="31" t="inlineStr">
        <is>
          <t>RISHABH</t>
        </is>
      </c>
      <c r="B177" s="31" t="inlineStr">
        <is>
          <t>Rishabh Instruments Ltd</t>
        </is>
      </c>
      <c r="C177" s="31" t="inlineStr">
        <is>
          <t>industrials</t>
        </is>
      </c>
      <c r="D177" s="31" t="inlineStr">
        <is>
          <t>electric equipment</t>
        </is>
      </c>
      <c r="E177" s="31" t="inlineStr">
        <is>
          <t>smallcap</t>
        </is>
      </c>
      <c r="F177" s="31" t="n">
        <v>3197.78</v>
      </c>
      <c r="G177" s="31" t="n">
        <v>779.5</v>
      </c>
      <c r="H177" s="31" t="n">
        <v>-6.04</v>
      </c>
      <c r="I177" s="31" t="n">
        <v>224609</v>
      </c>
      <c r="J177" s="31" t="inlineStr">
        <is>
          <t>543977</t>
        </is>
      </c>
    </row>
    <row r="178">
      <c r="A178" s="31" t="inlineStr">
        <is>
          <t>WELENT</t>
        </is>
      </c>
      <c r="B178" s="31" t="inlineStr">
        <is>
          <t>Welspun Enterprises Limited</t>
        </is>
      </c>
      <c r="C178" s="31" t="inlineStr">
        <is>
          <t>realty</t>
        </is>
      </c>
      <c r="D178" s="31" t="inlineStr">
        <is>
          <t>construction</t>
        </is>
      </c>
      <c r="E178" s="31" t="inlineStr">
        <is>
          <t>midcap</t>
        </is>
      </c>
      <c r="F178" s="31" t="n">
        <v>10882.09</v>
      </c>
      <c r="G178" s="31" t="n">
        <v>737.6</v>
      </c>
      <c r="H178" s="31" t="n">
        <v>-6.18</v>
      </c>
      <c r="I178" s="31" t="n">
        <v>4638248</v>
      </c>
      <c r="J178" s="31" t="inlineStr">
        <is>
          <t>532553</t>
        </is>
      </c>
    </row>
    <row r="179">
      <c r="A179" s="31" t="inlineStr">
        <is>
          <t>CHENNPETRO</t>
        </is>
      </c>
      <c r="B179" s="31" t="inlineStr">
        <is>
          <t>Chennai Petroleum Corporation Limited</t>
        </is>
      </c>
      <c r="C179" s="31" t="inlineStr">
        <is>
          <t>energy</t>
        </is>
      </c>
      <c r="D179" s="31" t="inlineStr">
        <is>
          <t>refineries</t>
        </is>
      </c>
      <c r="E179" s="31" t="inlineStr">
        <is>
          <t>largecap</t>
        </is>
      </c>
      <c r="F179" s="31" t="n">
        <v>23422.27</v>
      </c>
      <c r="G179" s="31" t="n">
        <v>1471.8</v>
      </c>
      <c r="H179" s="31" t="n">
        <v>-6.43</v>
      </c>
      <c r="I179" s="31" t="n">
        <v>2061830</v>
      </c>
      <c r="J179" s="31" t="inlineStr">
        <is>
          <t>500110</t>
        </is>
      </c>
    </row>
    <row r="180">
      <c r="A180" s="31" t="inlineStr">
        <is>
          <t>FCL</t>
        </is>
      </c>
      <c r="B180" s="31" t="inlineStr">
        <is>
          <t>Fineotex Chemical Limited</t>
        </is>
      </c>
      <c r="C180" s="31" t="inlineStr">
        <is>
          <t>chemicals</t>
        </is>
      </c>
      <c r="D180" s="31" t="inlineStr">
        <is>
          <t>chemicals</t>
        </is>
      </c>
      <c r="E180" s="31" t="inlineStr">
        <is>
          <t>midcap</t>
        </is>
      </c>
      <c r="F180" s="31" t="n">
        <v>6721.5</v>
      </c>
      <c r="G180" s="31" t="n">
        <v>53.88</v>
      </c>
      <c r="H180" s="31" t="n">
        <v>-6.65</v>
      </c>
      <c r="I180" s="31" t="n">
        <v>29470137</v>
      </c>
      <c r="J180" s="31" t="inlineStr">
        <is>
          <t>533333</t>
        </is>
      </c>
    </row>
    <row r="181">
      <c r="A181" s="31" t="inlineStr">
        <is>
          <t>MANINDS</t>
        </is>
      </c>
      <c r="B181" s="31" t="inlineStr">
        <is>
          <t>Man Industries (india) Limited</t>
        </is>
      </c>
      <c r="C181" s="31" t="inlineStr">
        <is>
          <t>metals &amp; mining</t>
        </is>
      </c>
      <c r="D181" s="31" t="inlineStr">
        <is>
          <t>steel - medium / small</t>
        </is>
      </c>
      <c r="E181" s="31" t="inlineStr">
        <is>
          <t>midcap</t>
        </is>
      </c>
      <c r="F181" s="31" t="n">
        <v>6496.58</v>
      </c>
      <c r="G181" s="31" t="n">
        <v>808.2</v>
      </c>
      <c r="H181" s="31" t="n">
        <v>-6.69</v>
      </c>
      <c r="I181" s="31" t="n">
        <v>1027095</v>
      </c>
      <c r="J181" s="31" t="inlineStr">
        <is>
          <t>513269</t>
        </is>
      </c>
    </row>
    <row r="182">
      <c r="A182" s="31" t="inlineStr">
        <is>
          <t>ANTELOPUS</t>
        </is>
      </c>
      <c r="B182" s="31" t="inlineStr">
        <is>
          <t>Antelopus Selan Energy Ltd</t>
        </is>
      </c>
      <c r="C182" s="31" t="inlineStr">
        <is>
          <t>energy</t>
        </is>
      </c>
      <c r="D182" s="31" t="inlineStr">
        <is>
          <t>oil drilling / allied services</t>
        </is>
      </c>
      <c r="E182" s="31" t="inlineStr">
        <is>
          <t>smallcap</t>
        </is>
      </c>
      <c r="F182" s="31" t="n">
        <v>4006.22</v>
      </c>
      <c r="G182" s="31" t="n">
        <v>1057.8</v>
      </c>
      <c r="H182" s="31" t="n">
        <v>-7.16</v>
      </c>
      <c r="I182" s="31" t="n">
        <v>1129576</v>
      </c>
      <c r="J182" s="31" t="inlineStr">
        <is>
          <t>530075</t>
        </is>
      </c>
    </row>
    <row r="183">
      <c r="A183" s="31" t="inlineStr">
        <is>
          <t>MOREPENLAB</t>
        </is>
      </c>
      <c r="B183" s="31" t="inlineStr">
        <is>
          <t>Morepen Laboratories Limited</t>
        </is>
      </c>
      <c r="C183" s="31" t="inlineStr">
        <is>
          <t>healthcare</t>
        </is>
      </c>
      <c r="D183" s="31" t="inlineStr">
        <is>
          <t>pharmaceuticals - indian - bulk drugs &amp; formln</t>
        </is>
      </c>
      <c r="E183" s="31" t="inlineStr">
        <is>
          <t>midcap</t>
        </is>
      </c>
      <c r="F183" s="31" t="n">
        <v>6344.21</v>
      </c>
      <c r="G183" s="31" t="n">
        <v>106.22</v>
      </c>
      <c r="H183" s="31" t="n">
        <v>-8.26</v>
      </c>
      <c r="I183" s="31" t="n">
        <v>18625874</v>
      </c>
      <c r="J183" s="31" t="inlineStr">
        <is>
          <t>500288</t>
        </is>
      </c>
    </row>
    <row r="184">
      <c r="A184" s="31" t="inlineStr">
        <is>
          <t>NOVARTIND</t>
        </is>
      </c>
      <c r="B184" s="31" t="inlineStr">
        <is>
          <t>Novartis India Ltd</t>
        </is>
      </c>
      <c r="C184" s="31" t="inlineStr">
        <is>
          <t>healthcare</t>
        </is>
      </c>
      <c r="D184" s="31" t="inlineStr">
        <is>
          <t>pharmaceuticals - multinational</t>
        </is>
      </c>
      <c r="E184" s="31" t="inlineStr">
        <is>
          <t>midcap</t>
        </is>
      </c>
      <c r="F184" s="31" t="n">
        <v>5904.31</v>
      </c>
      <c r="G184" s="31" t="n">
        <v>2188</v>
      </c>
      <c r="H184" s="31" t="n">
        <v>-8.5</v>
      </c>
      <c r="I184" s="31" t="n">
        <v>135595</v>
      </c>
      <c r="J184" s="31" t="inlineStr">
        <is>
          <t>500672</t>
        </is>
      </c>
    </row>
    <row r="185">
      <c r="A185" s="31" t="inlineStr">
        <is>
          <t>KABRAEXTRU</t>
        </is>
      </c>
      <c r="B185" s="31" t="inlineStr">
        <is>
          <t>Kabra Extrusion Technik Limited</t>
        </is>
      </c>
      <c r="C185" s="31" t="inlineStr">
        <is>
          <t>industrials</t>
        </is>
      </c>
      <c r="D185" s="31" t="inlineStr">
        <is>
          <t>engineering</t>
        </is>
      </c>
      <c r="E185" s="31" t="inlineStr">
        <is>
          <t>smallcap</t>
        </is>
      </c>
      <c r="F185" s="31" t="n">
        <v>2529.06</v>
      </c>
      <c r="G185" s="31" t="n">
        <v>650.85</v>
      </c>
      <c r="H185" s="31" t="n">
        <v>-10</v>
      </c>
      <c r="I185" s="31" t="n">
        <v>313142</v>
      </c>
      <c r="J185" s="31" t="inlineStr">
        <is>
          <t>524109</t>
        </is>
      </c>
    </row>
    <row r="186">
      <c r="A186" s="31" t="inlineStr">
        <is>
          <t>SMSPHARMA</t>
        </is>
      </c>
      <c r="B186" s="31" t="inlineStr">
        <is>
          <t>Sms Pharmaceuticals Limited</t>
        </is>
      </c>
      <c r="C186" s="31" t="inlineStr">
        <is>
          <t>healthcare</t>
        </is>
      </c>
      <c r="D186" s="31" t="inlineStr">
        <is>
          <t>pharmaceuticals - indian - bulk drugs</t>
        </is>
      </c>
      <c r="E186" s="31" t="inlineStr">
        <is>
          <t>smallcap</t>
        </is>
      </c>
      <c r="F186" s="31" t="n">
        <v>4340.3</v>
      </c>
      <c r="G186" s="31" t="n">
        <v>410.15</v>
      </c>
      <c r="H186" s="31" t="n">
        <v>-11.5</v>
      </c>
      <c r="I186" s="31" t="n">
        <v>4315277</v>
      </c>
      <c r="J186" s="31" t="inlineStr">
        <is>
          <t>532815</t>
        </is>
      </c>
    </row>
  </sheetData>
  <autoFilter ref="A1:J1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EMCURE</t>
        </is>
      </c>
      <c r="E2" s="31" t="inlineStr">
        <is>
          <t>Emcure Pharmaceuticals Ltd</t>
        </is>
      </c>
      <c r="F2" s="31" t="inlineStr">
        <is>
          <t>Pharma - Formulators</t>
        </is>
      </c>
      <c r="G2" s="31" t="n">
        <v>2</v>
      </c>
      <c r="H2" s="31" t="inlineStr">
        <is>
          <t>ATH Momentum</t>
        </is>
      </c>
      <c r="I2" s="31" t="inlineStr">
        <is>
          <t>Yes</t>
        </is>
      </c>
      <c r="J2" s="31" t="n">
        <v>5</v>
      </c>
      <c r="K2" s="31" t="n">
        <v>14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UNIVPHOTO</t>
        </is>
      </c>
      <c r="E3" s="31" t="inlineStr">
        <is>
          <t>Universus Photo Imagings Ltd</t>
        </is>
      </c>
      <c r="F3" s="31" t="inlineStr">
        <is>
          <t>Photographic &amp; Allied Products</t>
        </is>
      </c>
      <c r="G3" s="31" t="n">
        <v>2</v>
      </c>
      <c r="H3" s="31" t="inlineStr">
        <is>
          <t>52W Breakout</t>
        </is>
      </c>
      <c r="I3" s="31" t="inlineStr">
        <is>
          <t>Yes</t>
        </is>
      </c>
      <c r="J3" s="31" t="n">
        <v>0</v>
      </c>
      <c r="K3" s="31" t="n">
        <v>14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NRL</t>
        </is>
      </c>
      <c r="E4" s="31" t="inlineStr">
        <is>
          <t>Nupur Recyclers Ltd</t>
        </is>
      </c>
      <c r="F4" s="31" t="inlineStr">
        <is>
          <t>Trading</t>
        </is>
      </c>
      <c r="G4" s="31" t="n">
        <v>2</v>
      </c>
      <c r="H4" s="31" t="inlineStr">
        <is>
          <t>52W Breakout</t>
        </is>
      </c>
      <c r="I4" s="31" t="inlineStr">
        <is>
          <t>Yes</t>
        </is>
      </c>
      <c r="J4" s="31" t="n">
        <v>2</v>
      </c>
      <c r="K4" s="31" t="n">
        <v>22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NITINSPIN</t>
        </is>
      </c>
      <c r="E5" s="31" t="inlineStr">
        <is>
          <t>Nitin Spinners Limited</t>
        </is>
      </c>
      <c r="F5" s="31" t="inlineStr">
        <is>
          <t>Textiles - Spinning</t>
        </is>
      </c>
      <c r="G5" s="31" t="n">
        <v>2</v>
      </c>
      <c r="H5" s="31" t="inlineStr">
        <is>
          <t>ATH Momentum</t>
        </is>
      </c>
      <c r="I5" s="31" t="inlineStr">
        <is>
          <t>Yes</t>
        </is>
      </c>
      <c r="J5" s="31" t="n">
        <v>4</v>
      </c>
      <c r="K5" s="31" t="n">
        <v>24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AHCL</t>
        </is>
      </c>
      <c r="E6" s="31" t="inlineStr">
        <is>
          <t>Anlon Healthcare Ltd</t>
        </is>
      </c>
      <c r="F6" s="31" t="inlineStr">
        <is>
          <t>Pharmaceuticals Bulk Drugs &amp; Formulation</t>
        </is>
      </c>
      <c r="G6" s="31" t="n">
        <v>2</v>
      </c>
      <c r="H6" s="31" t="inlineStr">
        <is>
          <t>52W Breakout</t>
        </is>
      </c>
      <c r="I6" s="31" t="inlineStr">
        <is>
          <t>Yes</t>
        </is>
      </c>
      <c r="J6" s="31" t="n">
        <v>4</v>
      </c>
      <c r="K6" s="31" t="n">
        <v>6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PAISALO</t>
        </is>
      </c>
      <c r="E7" s="31" t="inlineStr">
        <is>
          <t>Paisalo Digital Ltd</t>
        </is>
      </c>
      <c r="F7" s="31" t="inlineStr">
        <is>
          <t>Finance - Capital Markets - Brokers</t>
        </is>
      </c>
      <c r="G7" s="31" t="n">
        <v>2</v>
      </c>
      <c r="H7" s="31" t="inlineStr">
        <is>
          <t>52W Breakout</t>
        </is>
      </c>
      <c r="I7" s="31" t="inlineStr">
        <is>
          <t>Yes</t>
        </is>
      </c>
      <c r="J7" s="31" t="n">
        <v>11</v>
      </c>
      <c r="K7" s="31" t="n">
        <v>9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ARROWGREEN</t>
        </is>
      </c>
      <c r="E8" s="31" t="inlineStr">
        <is>
          <t>Arrow Greentech Limited</t>
        </is>
      </c>
      <c r="F8" s="31" t="inlineStr">
        <is>
          <t>Plastics - Plastic &amp; Plastic Products</t>
        </is>
      </c>
      <c r="G8" s="31" t="n">
        <v>2</v>
      </c>
      <c r="H8" s="31" t="inlineStr">
        <is>
          <t>52W Breakout</t>
        </is>
      </c>
      <c r="I8" s="31" t="inlineStr">
        <is>
          <t>Yes</t>
        </is>
      </c>
      <c r="J8" s="31" t="n">
        <v>7</v>
      </c>
      <c r="K8" s="31" t="n">
        <v>19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LOTUSDEV</t>
        </is>
      </c>
      <c r="E9" s="31" t="inlineStr">
        <is>
          <t>Sri Lotus Developers &amp; Realty Ltd</t>
        </is>
      </c>
      <c r="F9" s="31" t="inlineStr">
        <is>
          <t>Construction - Factories/Offices/Commercial</t>
        </is>
      </c>
      <c r="G9" s="31" t="n">
        <v>2</v>
      </c>
      <c r="H9" s="31" t="inlineStr">
        <is>
          <t>52W Breakout</t>
        </is>
      </c>
      <c r="I9" s="31" t="inlineStr">
        <is>
          <t>Yes</t>
        </is>
      </c>
      <c r="J9" s="31" t="n">
        <v>8</v>
      </c>
      <c r="K9" s="31" t="n">
        <v>14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LAURUSLABS</t>
        </is>
      </c>
      <c r="E10" s="31" t="inlineStr">
        <is>
          <t>Laurus Labs Limited</t>
        </is>
      </c>
      <c r="F10" s="31" t="inlineStr">
        <is>
          <t>Pharma - API &amp; CRAMS</t>
        </is>
      </c>
      <c r="G10" s="31" t="n">
        <v>2</v>
      </c>
      <c r="H10" s="31" t="inlineStr">
        <is>
          <t>ATH Momentum</t>
        </is>
      </c>
      <c r="I10" s="31" t="inlineStr">
        <is>
          <t>Yes</t>
        </is>
      </c>
      <c r="J10" s="31" t="n">
        <v>9</v>
      </c>
      <c r="K10" s="31" t="n">
        <v>29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WSTCSTPAPR</t>
        </is>
      </c>
      <c r="E11" s="31" t="inlineStr">
        <is>
          <t>West Coast Paper Mills Limited</t>
        </is>
      </c>
      <c r="F11" s="31" t="inlineStr">
        <is>
          <t>Paper</t>
        </is>
      </c>
      <c r="G11" s="31" t="n">
        <v>2</v>
      </c>
      <c r="H11" s="31" t="inlineStr">
        <is>
          <t>ATH Momentum</t>
        </is>
      </c>
      <c r="I11" s="31" t="inlineStr">
        <is>
          <t>Yes</t>
        </is>
      </c>
      <c r="J11" s="31" t="n">
        <v>5</v>
      </c>
      <c r="K11" s="31" t="n">
        <v>30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DIACABS</t>
        </is>
      </c>
      <c r="E12" s="31" t="inlineStr">
        <is>
          <t>Diamond Power Infrastructure Ltd</t>
        </is>
      </c>
      <c r="F12" s="31" t="inlineStr">
        <is>
          <t>Cables - Power</t>
        </is>
      </c>
      <c r="G12" s="31" t="n">
        <v>2</v>
      </c>
      <c r="H12" s="31" t="inlineStr">
        <is>
          <t>52W Breakout</t>
        </is>
      </c>
      <c r="I12" s="31" t="inlineStr">
        <is>
          <t>Yes</t>
        </is>
      </c>
      <c r="J12" s="31" t="n">
        <v>9</v>
      </c>
      <c r="K12" s="31" t="n">
        <v>23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BAFNAPH</t>
        </is>
      </c>
      <c r="E13" s="31" t="inlineStr">
        <is>
          <t>Bafna Pharmaceuticals Ltd</t>
        </is>
      </c>
      <c r="F13" s="31" t="inlineStr">
        <is>
          <t>Pharma - Formulators</t>
        </is>
      </c>
      <c r="G13" s="31" t="n">
        <v>2</v>
      </c>
      <c r="H13" s="31" t="inlineStr">
        <is>
          <t>ATH Momentum</t>
        </is>
      </c>
      <c r="I13" s="31" t="inlineStr">
        <is>
          <t>Yes</t>
        </is>
      </c>
      <c r="J13" s="31" t="n">
        <v>2</v>
      </c>
      <c r="K13" s="31" t="n">
        <v>21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AEGISVOPAK</t>
        </is>
      </c>
      <c r="E14" s="31" t="inlineStr">
        <is>
          <t>Aegis Vopak Terminals Ltd</t>
        </is>
      </c>
      <c r="F14" s="31" t="inlineStr">
        <is>
          <t>Miscellaneous</t>
        </is>
      </c>
      <c r="G14" s="31" t="n">
        <v>2</v>
      </c>
      <c r="H14" s="31" t="inlineStr">
        <is>
          <t>ATH Momentum</t>
        </is>
      </c>
      <c r="I14" s="31" t="inlineStr">
        <is>
          <t>Yes</t>
        </is>
      </c>
      <c r="J14" s="31" t="n">
        <v>4</v>
      </c>
      <c r="K14" s="31" t="n">
        <v>11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STLNETWORK</t>
        </is>
      </c>
      <c r="E15" s="31" t="inlineStr">
        <is>
          <t>STL Networks Ltd</t>
        </is>
      </c>
      <c r="F15" s="31" t="inlineStr">
        <is>
          <t>Telecommunications - Service Provider</t>
        </is>
      </c>
      <c r="G15" s="31" t="n">
        <v>2</v>
      </c>
      <c r="H15" s="31" t="inlineStr">
        <is>
          <t>52W Breakout</t>
        </is>
      </c>
      <c r="I15" s="31" t="inlineStr">
        <is>
          <t>Yes</t>
        </is>
      </c>
      <c r="J15" s="31" t="n">
        <v>2</v>
      </c>
      <c r="K15" s="31" t="n">
        <v>5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ACMESOLAR</t>
        </is>
      </c>
      <c r="E16" s="31" t="inlineStr">
        <is>
          <t>ACME Solar Holdings Ltd</t>
        </is>
      </c>
      <c r="F16" s="31" t="inlineStr">
        <is>
          <t>Engineering - Turnkey Services</t>
        </is>
      </c>
      <c r="G16" s="31" t="n">
        <v>2</v>
      </c>
      <c r="H16" s="31" t="inlineStr">
        <is>
          <t>52W Breakout</t>
        </is>
      </c>
      <c r="I16" s="31" t="inlineStr">
        <is>
          <t>Yes</t>
        </is>
      </c>
      <c r="J16" s="31" t="n">
        <v>6</v>
      </c>
      <c r="K16" s="31" t="n">
        <v>19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ANTHEM</t>
        </is>
      </c>
      <c r="E17" s="31" t="inlineStr">
        <is>
          <t>Anthem Biosciences Ltd</t>
        </is>
      </c>
      <c r="F17" s="31" t="inlineStr">
        <is>
          <t>Pharma - API &amp; CRAMS</t>
        </is>
      </c>
      <c r="G17" s="31" t="n">
        <v>2</v>
      </c>
      <c r="H17" s="31" t="inlineStr">
        <is>
          <t>ATH Momentum</t>
        </is>
      </c>
      <c r="I17" s="31" t="inlineStr">
        <is>
          <t>Yes</t>
        </is>
      </c>
      <c r="J17" s="31" t="n">
        <v>2</v>
      </c>
      <c r="K17" s="31" t="n">
        <v>30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KOPRAN</t>
        </is>
      </c>
      <c r="E18" s="31" t="inlineStr">
        <is>
          <t>Kopran Limited</t>
        </is>
      </c>
      <c r="F18" s="31" t="inlineStr">
        <is>
          <t>Pharma - API</t>
        </is>
      </c>
      <c r="G18" s="31" t="n">
        <v>2</v>
      </c>
      <c r="H18" s="31" t="inlineStr">
        <is>
          <t>52W Breakout</t>
        </is>
      </c>
      <c r="I18" s="31" t="inlineStr">
        <is>
          <t>Yes</t>
        </is>
      </c>
      <c r="J18" s="31" t="n">
        <v>3</v>
      </c>
      <c r="K18" s="31" t="n">
        <v>17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SPECTRUM</t>
        </is>
      </c>
      <c r="E19" s="31" t="inlineStr">
        <is>
          <t>Spectrum Electrical Industries Ltd</t>
        </is>
      </c>
      <c r="F19" s="31" t="inlineStr">
        <is>
          <t>Capital Goods - Electric General</t>
        </is>
      </c>
      <c r="G19" s="31" t="n">
        <v>2</v>
      </c>
      <c r="H19" s="31" t="inlineStr">
        <is>
          <t>52W Breakout</t>
        </is>
      </c>
      <c r="I19" s="31" t="inlineStr">
        <is>
          <t>Yes</t>
        </is>
      </c>
      <c r="J19" s="31" t="n">
        <v>8</v>
      </c>
      <c r="K19" s="31" t="n">
        <v>14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GLOBAL</t>
        </is>
      </c>
      <c r="E20" s="31" t="inlineStr">
        <is>
          <t>Global Education Ltd</t>
        </is>
      </c>
      <c r="F20" s="31" t="inlineStr">
        <is>
          <t>Miscellaneous</t>
        </is>
      </c>
      <c r="G20" s="31" t="n">
        <v>2</v>
      </c>
      <c r="H20" s="31" t="inlineStr">
        <is>
          <t>ATH Momentum</t>
        </is>
      </c>
      <c r="I20" s="31" t="inlineStr">
        <is>
          <t>Yes</t>
        </is>
      </c>
      <c r="J20" s="31" t="n">
        <v>2</v>
      </c>
      <c r="K20" s="31" t="n">
        <v>21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ROSSTECH</t>
        </is>
      </c>
      <c r="E21" s="31" t="inlineStr">
        <is>
          <t>Rossell Techsys Ltd</t>
        </is>
      </c>
      <c r="F21" s="31" t="inlineStr">
        <is>
          <t>Aerospace &amp; Defence - Equipments</t>
        </is>
      </c>
      <c r="G21" s="31" t="n">
        <v>2</v>
      </c>
      <c r="H21" s="31" t="inlineStr">
        <is>
          <t>52W Breakout</t>
        </is>
      </c>
      <c r="I21" s="31" t="inlineStr">
        <is>
          <t>Yes</t>
        </is>
      </c>
      <c r="J21" s="31" t="n">
        <v>6</v>
      </c>
      <c r="K21" s="31" t="n">
        <v>28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HATSUN</t>
        </is>
      </c>
      <c r="E22" s="31" t="inlineStr">
        <is>
          <t>Hatsun Agro Product Limited</t>
        </is>
      </c>
      <c r="F22" s="31" t="inlineStr">
        <is>
          <t>FMCG - Dairy Products</t>
        </is>
      </c>
      <c r="G22" s="31" t="n">
        <v>2</v>
      </c>
      <c r="H22" s="31" t="inlineStr">
        <is>
          <t>52W Breakout</t>
        </is>
      </c>
      <c r="I22" s="31" t="inlineStr">
        <is>
          <t>Yes</t>
        </is>
      </c>
      <c r="J22" s="31" t="n">
        <v>6</v>
      </c>
      <c r="K22" s="31" t="n">
        <v>25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GMMPFAUDLR</t>
        </is>
      </c>
      <c r="E23" s="31" t="inlineStr">
        <is>
          <t>GMM Pfaudler Ltd</t>
        </is>
      </c>
      <c r="F23" s="31" t="inlineStr">
        <is>
          <t>Glass - Others</t>
        </is>
      </c>
      <c r="G23" s="31" t="n">
        <v>2</v>
      </c>
      <c r="H23" s="31" t="inlineStr">
        <is>
          <t>52W Breakout</t>
        </is>
      </c>
      <c r="I23" s="31" t="inlineStr">
        <is>
          <t>Yes</t>
        </is>
      </c>
      <c r="J23" s="31" t="n">
        <v>10</v>
      </c>
      <c r="K23" s="31" t="n">
        <v>11</v>
      </c>
    </row>
  </sheetData>
  <autoFilter ref="A1:K23"/>
  <conditionalFormatting sqref="G2:G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7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IF(B2=0,"",RANK(B2,$B$2:$B$174,0))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MBECL</t>
        </is>
      </c>
      <c r="D2" s="31" t="inlineStr">
        <is>
          <t>Mcnally Bharat Engineering Company Limited</t>
        </is>
      </c>
      <c r="E2" s="31" t="inlineStr">
        <is>
          <t>realty</t>
        </is>
      </c>
      <c r="F2" s="31" t="inlineStr">
        <is>
          <t>engineering - turnkey services</t>
        </is>
      </c>
      <c r="G2" s="31" t="inlineStr">
        <is>
          <t>smallcap</t>
        </is>
      </c>
      <c r="H2" s="32" t="n">
        <v>1101.33</v>
      </c>
      <c r="I2" s="32" t="n">
        <v>346.92</v>
      </c>
      <c r="J2" s="32" t="n">
        <v>5</v>
      </c>
      <c r="K2" s="32" t="n">
        <v>1134</v>
      </c>
      <c r="L2" s="31" t="n">
        <v>99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99.97</v>
      </c>
      <c r="P2" s="32" t="n">
        <v>61.59</v>
      </c>
      <c r="Q2" s="32" t="n">
        <v>293.33</v>
      </c>
      <c r="R2" s="31" t="inlineStr">
        <is>
          <t>Near 52W High Breakout</t>
        </is>
      </c>
      <c r="S2" s="31" t="inlineStr">
        <is>
          <t>Nifty Realty</t>
        </is>
      </c>
      <c r="T2" s="32" t="n">
        <v>-14.34</v>
      </c>
      <c r="U2" s="32" t="n">
        <v>430.46</v>
      </c>
      <c r="V2" s="32" t="n">
        <v>519.29</v>
      </c>
      <c r="W2" s="32" t="n">
        <v>172.18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IF(B3=0,"",RANK(B3,$B$2:$B$174,0))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REDINGTON</t>
        </is>
      </c>
      <c r="D3" s="31" t="inlineStr">
        <is>
          <t>Redington (india) Limited</t>
        </is>
      </c>
      <c r="E3" s="31" t="inlineStr">
        <is>
          <t>services</t>
        </is>
      </c>
      <c r="F3" s="31" t="inlineStr">
        <is>
          <t>trading</t>
        </is>
      </c>
      <c r="G3" s="31" t="inlineStr">
        <is>
          <t>largecap</t>
        </is>
      </c>
      <c r="H3" s="32" t="n">
        <v>30778.46</v>
      </c>
      <c r="I3" s="32" t="n">
        <v>378.95</v>
      </c>
      <c r="J3" s="32" t="n">
        <v>-3.75</v>
      </c>
      <c r="K3" s="32" t="n">
        <v>4338609</v>
      </c>
      <c r="L3" s="31" t="n">
        <v>45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69.37</v>
      </c>
      <c r="P3" s="32" t="n">
        <v>47.51</v>
      </c>
      <c r="Q3" s="32" t="n">
        <v>308.3</v>
      </c>
      <c r="R3" s="31" t="inlineStr">
        <is>
          <t>Near 52W High Breakout</t>
        </is>
      </c>
      <c r="S3" s="31" t="inlineStr">
        <is>
          <t>Nifty 50</t>
        </is>
      </c>
      <c r="T3" s="32" t="n">
        <v>-8.720000000000001</v>
      </c>
      <c r="U3" s="32" t="n">
        <v>29.21</v>
      </c>
      <c r="V3" s="32" t="n">
        <v>41.55</v>
      </c>
      <c r="W3" s="32" t="n">
        <v>15.14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IF(B4=0,"",RANK(B4,$B$2:$B$174,0))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VISHNU</t>
        </is>
      </c>
      <c r="D4" s="31" t="inlineStr">
        <is>
          <t>Vishnu Chemicals Limited</t>
        </is>
      </c>
      <c r="E4" s="31" t="inlineStr">
        <is>
          <t>chemicals</t>
        </is>
      </c>
      <c r="F4" s="31" t="inlineStr">
        <is>
          <t>chemicals</t>
        </is>
      </c>
      <c r="G4" s="31" t="inlineStr">
        <is>
          <t>smallcap</t>
        </is>
      </c>
      <c r="H4" s="32" t="n">
        <v>4805.97</v>
      </c>
      <c r="I4" s="32" t="n">
        <v>682.8</v>
      </c>
      <c r="J4" s="32" t="n">
        <v>-4.36</v>
      </c>
      <c r="K4" s="32" t="n">
        <v>102967</v>
      </c>
      <c r="L4" s="31" t="n">
        <v>28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63.77</v>
      </c>
      <c r="P4" s="32" t="n">
        <v>45.36</v>
      </c>
      <c r="Q4" s="32" t="n">
        <v>579.0700000000001</v>
      </c>
      <c r="R4" s="31" t="inlineStr">
        <is>
          <t>Near 52W High Breakout</t>
        </is>
      </c>
      <c r="S4" s="31" t="inlineStr">
        <is>
          <t>Nifty 50</t>
        </is>
      </c>
      <c r="T4" s="32" t="n">
        <v>-8.720000000000001</v>
      </c>
      <c r="U4" s="32" t="n">
        <v>37.24</v>
      </c>
      <c r="V4" s="32" t="n">
        <v>50.35</v>
      </c>
      <c r="W4" s="32" t="n">
        <v>9.52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IF(B5=0,"",RANK(B5,$B$2:$B$174,0))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EMCURE</t>
        </is>
      </c>
      <c r="D5" s="31" t="inlineStr">
        <is>
          <t>Emcure Pharmaceuticals Ltd</t>
        </is>
      </c>
      <c r="E5" s="31" t="inlineStr">
        <is>
          <t>healthcare</t>
        </is>
      </c>
      <c r="F5" s="31" t="inlineStr">
        <is>
          <t>pharmaceuticals - indian - bulk drugs &amp; formln</t>
        </is>
      </c>
      <c r="G5" s="31" t="inlineStr">
        <is>
          <t>largecap</t>
        </is>
      </c>
      <c r="H5" s="32" t="n">
        <v>37535.8</v>
      </c>
      <c r="I5" s="32" t="n">
        <v>1993</v>
      </c>
      <c r="J5" s="32" t="n">
        <v>0.71</v>
      </c>
      <c r="K5" s="32" t="n">
        <v>239137</v>
      </c>
      <c r="L5" s="31" t="n">
        <v>33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67.27</v>
      </c>
      <c r="P5" s="32" t="n">
        <v>59.64</v>
      </c>
      <c r="Q5" s="32" t="n">
        <v>1659.37</v>
      </c>
      <c r="R5" s="31" t="inlineStr">
        <is>
          <t>Near 52W High Breakout</t>
        </is>
      </c>
      <c r="S5" s="31" t="inlineStr">
        <is>
          <t>Nifty Pharma</t>
        </is>
      </c>
      <c r="T5" s="32" t="n">
        <v>15.44</v>
      </c>
      <c r="U5" s="32" t="n">
        <v>48.74</v>
      </c>
      <c r="V5" s="32" t="n">
        <v>28.85</v>
      </c>
      <c r="W5" s="32" t="n">
        <v>10.98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IF(B6=0,"",RANK(B6,$B$2:$B$174,0))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IPCALAB</t>
        </is>
      </c>
      <c r="D6" s="31" t="inlineStr">
        <is>
          <t>Ipca Laboratories Limited</t>
        </is>
      </c>
      <c r="E6" s="31" t="inlineStr">
        <is>
          <t>healthcare</t>
        </is>
      </c>
      <c r="F6" s="31" t="inlineStr">
        <is>
          <t>pharmaceuticals - indian - bulk drugs &amp; formln</t>
        </is>
      </c>
      <c r="G6" s="31" t="inlineStr">
        <is>
          <t>largecap</t>
        </is>
      </c>
      <c r="H6" s="32" t="n">
        <v>49941.68</v>
      </c>
      <c r="I6" s="32" t="n">
        <v>1932.4</v>
      </c>
      <c r="J6" s="32" t="n">
        <v>-1.83</v>
      </c>
      <c r="K6" s="32" t="n">
        <v>274487</v>
      </c>
      <c r="L6" s="31" t="n">
        <v>32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65.95999999999999</v>
      </c>
      <c r="P6" s="32" t="n">
        <v>44.62</v>
      </c>
      <c r="Q6" s="32" t="n">
        <v>1618.83</v>
      </c>
      <c r="R6" s="31" t="inlineStr">
        <is>
          <t>Near 52W High Breakout</t>
        </is>
      </c>
      <c r="S6" s="31" t="inlineStr">
        <is>
          <t>Nifty Pharma</t>
        </is>
      </c>
      <c r="T6" s="32" t="n">
        <v>15.44</v>
      </c>
      <c r="U6" s="32" t="n">
        <v>34.57</v>
      </c>
      <c r="V6" s="32" t="n">
        <v>16.57</v>
      </c>
      <c r="W6" s="32" t="n">
        <v>10.9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IF(B7=0,"",RANK(B7,$B$2:$B$174,0))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PASUPTAC</t>
        </is>
      </c>
      <c r="D7" s="31" t="inlineStr">
        <is>
          <t>Pasupati Acrylon Ltd</t>
        </is>
      </c>
      <c r="E7" s="31" t="inlineStr">
        <is>
          <t>textiles</t>
        </is>
      </c>
      <c r="F7" s="31" t="inlineStr">
        <is>
          <t>textiles - manmade</t>
        </is>
      </c>
      <c r="G7" s="31" t="inlineStr">
        <is>
          <t>smallcap</t>
        </is>
      </c>
      <c r="H7" s="32" t="n">
        <v>597.91</v>
      </c>
      <c r="I7" s="32" t="n">
        <v>70.48</v>
      </c>
      <c r="J7" s="32" t="n">
        <v>5.07</v>
      </c>
      <c r="K7" s="32" t="n">
        <v>667184</v>
      </c>
      <c r="L7" s="31" t="n">
        <v>35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64.48999999999999</v>
      </c>
      <c r="P7" s="32" t="n">
        <v>46.9</v>
      </c>
      <c r="Q7" s="32" t="n">
        <v>52.12</v>
      </c>
      <c r="R7" s="31" t="inlineStr">
        <is>
          <t>Volume Spike / Accumulation</t>
        </is>
      </c>
      <c r="S7" s="31" t="inlineStr">
        <is>
          <t>Nifty 50</t>
        </is>
      </c>
      <c r="T7" s="32" t="n">
        <v>-8.720000000000001</v>
      </c>
      <c r="U7" s="32" t="n">
        <v>51.24</v>
      </c>
      <c r="V7" s="32" t="n">
        <v>65.69</v>
      </c>
      <c r="W7" s="32" t="n">
        <v>11.58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IF(B8=0,"",RANK(B8,$B$2:$B$174,0))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UNIVPHOTO</t>
        </is>
      </c>
      <c r="D8" s="31" t="inlineStr">
        <is>
          <t>Universus Photo Imagings Ltd</t>
        </is>
      </c>
      <c r="E8" s="31" t="inlineStr">
        <is>
          <t>consumer discretionary</t>
        </is>
      </c>
      <c r="F8" s="31" t="inlineStr">
        <is>
          <t>photographic and allied products</t>
        </is>
      </c>
      <c r="G8" s="31" t="inlineStr">
        <is>
          <t>smallcap</t>
        </is>
      </c>
      <c r="H8" s="32" t="n">
        <v>591.28</v>
      </c>
      <c r="I8" s="32" t="n">
        <v>566.75</v>
      </c>
      <c r="J8" s="32" t="n">
        <v>4.92</v>
      </c>
      <c r="K8" s="32" t="n">
        <v>15446</v>
      </c>
      <c r="L8" s="31" t="n">
        <v>87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71.17</v>
      </c>
      <c r="P8" s="32" t="n">
        <v>21.43</v>
      </c>
      <c r="Q8" s="32" t="n">
        <v>423.35</v>
      </c>
      <c r="R8" s="31" t="inlineStr">
        <is>
          <t>Volume Spike &amp; Near 52W High Breakout</t>
        </is>
      </c>
      <c r="S8" s="31" t="inlineStr">
        <is>
          <t>Nifty 50</t>
        </is>
      </c>
      <c r="T8" s="32" t="n">
        <v>-8.720000000000001</v>
      </c>
      <c r="U8" s="32" t="n">
        <v>119.12</v>
      </c>
      <c r="V8" s="32" t="n">
        <v>140.05</v>
      </c>
      <c r="W8" s="32" t="n">
        <v>37.51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20 to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IF(B9=0,"",RANK(B9,$B$2:$B$174,0))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GAYAPROJ</t>
        </is>
      </c>
      <c r="D9" s="31" t="inlineStr">
        <is>
          <t>Gayatri Projects Limited</t>
        </is>
      </c>
      <c r="E9" s="31" t="inlineStr">
        <is>
          <t>realty</t>
        </is>
      </c>
      <c r="F9" s="31" t="inlineStr">
        <is>
          <t>construction</t>
        </is>
      </c>
      <c r="G9" s="31" t="inlineStr">
        <is>
          <t>smallcap</t>
        </is>
      </c>
      <c r="H9" s="32" t="n">
        <v>1208.57</v>
      </c>
      <c r="I9" s="32" t="n">
        <v>26.15</v>
      </c>
      <c r="J9" s="32" t="n">
        <v>0.46</v>
      </c>
      <c r="K9" s="32" t="n">
        <v>3617474</v>
      </c>
      <c r="L9" s="31" t="n">
        <v>84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73.28</v>
      </c>
      <c r="P9" s="32" t="n">
        <v>29.31</v>
      </c>
      <c r="Q9" s="32" t="n">
        <v>19.51</v>
      </c>
      <c r="R9" s="31" t="inlineStr">
        <is>
          <t>Volume Spike &amp; Near 52W High Breakout</t>
        </is>
      </c>
      <c r="S9" s="31" t="inlineStr">
        <is>
          <t>Nifty Realty</t>
        </is>
      </c>
      <c r="T9" s="32" t="n">
        <v>-14.34</v>
      </c>
      <c r="U9" s="32" t="n">
        <v>207.65</v>
      </c>
      <c r="V9" s="32" t="n">
        <v>259.16</v>
      </c>
      <c r="W9" s="32" t="n">
        <v>33.97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IF(B10=0,"",RANK(B10,$B$2:$B$174,0))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TBZ</t>
        </is>
      </c>
      <c r="D10" s="31" t="inlineStr">
        <is>
          <t>Tribhovandas Bhimji Zaveri Limited</t>
        </is>
      </c>
      <c r="E10" s="31" t="inlineStr">
        <is>
          <t>consumer discretionary</t>
        </is>
      </c>
      <c r="F10" s="31" t="inlineStr">
        <is>
          <t>diamond cutting / jewellery</t>
        </is>
      </c>
      <c r="G10" s="31" t="inlineStr">
        <is>
          <t>smallcap</t>
        </is>
      </c>
      <c r="H10" s="32" t="n">
        <v>3512.03</v>
      </c>
      <c r="I10" s="32" t="n">
        <v>524.45</v>
      </c>
      <c r="J10" s="32" t="n">
        <v>-0.35</v>
      </c>
      <c r="K10" s="32" t="n">
        <v>1933695</v>
      </c>
      <c r="L10" s="31" t="n">
        <v>97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89.44</v>
      </c>
      <c r="P10" s="32" t="n">
        <v>56.37</v>
      </c>
      <c r="Q10" s="32" t="n">
        <v>393.04</v>
      </c>
      <c r="R10" s="31" t="inlineStr">
        <is>
          <t>Near 52W High Breakout</t>
        </is>
      </c>
      <c r="S10" s="31" t="inlineStr">
        <is>
          <t>Nifty 50</t>
        </is>
      </c>
      <c r="T10" s="32" t="n">
        <v>-8.720000000000001</v>
      </c>
      <c r="U10" s="32" t="n">
        <v>180.86</v>
      </c>
      <c r="V10" s="32" t="n">
        <v>207.69</v>
      </c>
      <c r="W10" s="32" t="n">
        <v>74.26000000000001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Between 0.7 to 1.2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IF(B11=0,"",RANK(B11,$B$2:$B$174,0))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WELSPUNLIV</t>
        </is>
      </c>
      <c r="D11" s="31" t="inlineStr">
        <is>
          <t>Welspun Living Ltd</t>
        </is>
      </c>
      <c r="E11" s="31" t="inlineStr">
        <is>
          <t>textiles</t>
        </is>
      </c>
      <c r="F11" s="31" t="inlineStr">
        <is>
          <t>textiles - products</t>
        </is>
      </c>
      <c r="G11" s="31" t="inlineStr">
        <is>
          <t>midcap</t>
        </is>
      </c>
      <c r="H11" s="32" t="n">
        <v>19620.62</v>
      </c>
      <c r="I11" s="32" t="n">
        <v>201.63</v>
      </c>
      <c r="J11" s="32" t="n">
        <v>-2.91</v>
      </c>
      <c r="K11" s="32" t="n">
        <v>5087632</v>
      </c>
      <c r="L11" s="31" t="n">
        <v>52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72.84999999999999</v>
      </c>
      <c r="P11" s="32" t="n">
        <v>43.11</v>
      </c>
      <c r="Q11" s="32" t="n">
        <v>167.62</v>
      </c>
      <c r="R11" s="31" t="inlineStr">
        <is>
          <t>Near 52W High Breakout</t>
        </is>
      </c>
      <c r="S11" s="31" t="inlineStr">
        <is>
          <t>Nifty 50</t>
        </is>
      </c>
      <c r="T11" s="32" t="n">
        <v>-8.720000000000001</v>
      </c>
      <c r="U11" s="32" t="n">
        <v>62.17</v>
      </c>
      <c r="V11" s="32" t="n">
        <v>77.66</v>
      </c>
      <c r="W11" s="32" t="n">
        <v>16.77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IF(B12=0,"",RANK(B12,$B$2:$B$174,0))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BIRLACABLE</t>
        </is>
      </c>
      <c r="D12" s="31" t="inlineStr">
        <is>
          <t>Birla Cable Limited</t>
        </is>
      </c>
      <c r="E12" s="31" t="inlineStr">
        <is>
          <t>industrials</t>
        </is>
      </c>
      <c r="F12" s="31" t="inlineStr">
        <is>
          <t>cables - telephone</t>
        </is>
      </c>
      <c r="G12" s="31" t="inlineStr">
        <is>
          <t>smallcap</t>
        </is>
      </c>
      <c r="H12" s="32" t="n">
        <v>1177.05</v>
      </c>
      <c r="I12" s="32" t="n">
        <v>377.95</v>
      </c>
      <c r="J12" s="32" t="n">
        <v>-3.67</v>
      </c>
      <c r="K12" s="32" t="n">
        <v>1025099</v>
      </c>
      <c r="L12" s="31" t="n">
        <v>94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76.59999999999999</v>
      </c>
      <c r="P12" s="32" t="n">
        <v>52.8</v>
      </c>
      <c r="Q12" s="32" t="n">
        <v>288.65</v>
      </c>
      <c r="R12" s="31" t="inlineStr">
        <is>
          <t>Volume Spike &amp; Near 52W High Breakout</t>
        </is>
      </c>
      <c r="S12" s="31" t="inlineStr">
        <is>
          <t>Nifty Infra</t>
        </is>
      </c>
      <c r="T12" s="32" t="n">
        <v>-1.72</v>
      </c>
      <c r="U12" s="32" t="n">
        <v>122.15</v>
      </c>
      <c r="V12" s="32" t="n">
        <v>126.03</v>
      </c>
      <c r="W12" s="32" t="n">
        <v>56.51</v>
      </c>
      <c r="X12" s="31" t="inlineStr">
        <is>
          <t>Cyclical in an Upturn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IF(B13=0,"",RANK(B13,$B$2:$B$174,0))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INNOVACAP</t>
        </is>
      </c>
      <c r="D13" s="31" t="inlineStr">
        <is>
          <t>Innova Captab Ltd</t>
        </is>
      </c>
      <c r="E13" s="31" t="inlineStr">
        <is>
          <t>healthcare</t>
        </is>
      </c>
      <c r="F13" s="31" t="inlineStr">
        <is>
          <t>pharmaceuticals - indian - bulk drugs &amp; formln</t>
        </is>
      </c>
      <c r="G13" s="31" t="inlineStr">
        <is>
          <t>midcap</t>
        </is>
      </c>
      <c r="H13" s="32" t="n">
        <v>6564.84</v>
      </c>
      <c r="I13" s="32" t="n">
        <v>1140.1</v>
      </c>
      <c r="J13" s="32" t="n">
        <v>-0.62</v>
      </c>
      <c r="K13" s="32" t="n">
        <v>216521</v>
      </c>
      <c r="L13" s="31" t="n">
        <v>35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70.70999999999999</v>
      </c>
      <c r="P13" s="32" t="n">
        <v>64.45999999999999</v>
      </c>
      <c r="Q13" s="32" t="n">
        <v>921.77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15.44</v>
      </c>
      <c r="U13" s="32" t="n">
        <v>32.79</v>
      </c>
      <c r="V13" s="32" t="n">
        <v>15.04</v>
      </c>
      <c r="W13" s="32" t="n">
        <v>11.76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IF(B14=0,"",RANK(B14,$B$2:$B$174,0))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GLAND</t>
        </is>
      </c>
      <c r="D14" s="31" t="inlineStr">
        <is>
          <t>Gland Pharma Ltd</t>
        </is>
      </c>
      <c r="E14" s="31" t="inlineStr">
        <is>
          <t>healthcare</t>
        </is>
      </c>
      <c r="F14" s="31" t="inlineStr">
        <is>
          <t>pharmaceuticals - indian - formulations</t>
        </is>
      </c>
      <c r="G14" s="31" t="inlineStr">
        <is>
          <t>largecap</t>
        </is>
      </c>
      <c r="H14" s="32" t="n">
        <v>48206.17</v>
      </c>
      <c r="I14" s="32" t="n">
        <v>2895.5</v>
      </c>
      <c r="J14" s="32" t="n">
        <v>-0.92</v>
      </c>
      <c r="K14" s="32" t="n">
        <v>497958</v>
      </c>
      <c r="L14" s="31" t="n">
        <v>50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71.70999999999999</v>
      </c>
      <c r="P14" s="32" t="n">
        <v>63.45</v>
      </c>
      <c r="Q14" s="32" t="n">
        <v>2458.9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15.44</v>
      </c>
      <c r="U14" s="32" t="n">
        <v>44.22</v>
      </c>
      <c r="V14" s="32" t="n">
        <v>24.94</v>
      </c>
      <c r="W14" s="32" t="n">
        <v>16.09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IF(B15=0,"",RANK(B15,$B$2:$B$174,0))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MANORAMA</t>
        </is>
      </c>
      <c r="D15" s="31" t="inlineStr">
        <is>
          <t>Manorama Industries Ltd</t>
        </is>
      </c>
      <c r="E15" s="31" t="inlineStr">
        <is>
          <t>fmcg</t>
        </is>
      </c>
      <c r="F15" s="31" t="inlineStr">
        <is>
          <t>food - processing - indian</t>
        </is>
      </c>
      <c r="G15" s="31" t="inlineStr">
        <is>
          <t>midcap</t>
        </is>
      </c>
      <c r="H15" s="32" t="n">
        <v>12274.28</v>
      </c>
      <c r="I15" s="32" t="n">
        <v>1987.1</v>
      </c>
      <c r="J15" s="32" t="n">
        <v>-3.34</v>
      </c>
      <c r="K15" s="32" t="n">
        <v>151439</v>
      </c>
      <c r="L15" s="31" t="n">
        <v>48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70.79000000000001</v>
      </c>
      <c r="P15" s="32" t="n">
        <v>29.91</v>
      </c>
      <c r="Q15" s="32" t="n">
        <v>1635.55</v>
      </c>
      <c r="R15" s="31" t="inlineStr">
        <is>
          <t>Near 52W High Breakout</t>
        </is>
      </c>
      <c r="S15" s="31" t="inlineStr">
        <is>
          <t>Nifty FMCG</t>
        </is>
      </c>
      <c r="T15" s="32" t="n">
        <v>-17.86</v>
      </c>
      <c r="U15" s="32" t="n">
        <v>26.12</v>
      </c>
      <c r="V15" s="32" t="n">
        <v>53.55</v>
      </c>
      <c r="W15" s="32" t="n">
        <v>15.63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IF(B16=0,"",RANK(B16,$B$2:$B$174,0))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VENKEYS</t>
        </is>
      </c>
      <c r="D16" s="31" t="inlineStr">
        <is>
          <t>Venky's (india) Limited</t>
        </is>
      </c>
      <c r="E16" s="31" t="inlineStr">
        <is>
          <t>fmcg</t>
        </is>
      </c>
      <c r="F16" s="31" t="inlineStr">
        <is>
          <t>miscellaneous</t>
        </is>
      </c>
      <c r="G16" s="31" t="inlineStr">
        <is>
          <t>smallcap</t>
        </is>
      </c>
      <c r="H16" s="32" t="n">
        <v>2517.69</v>
      </c>
      <c r="I16" s="32" t="n">
        <v>1713.6</v>
      </c>
      <c r="J16" s="32" t="n">
        <v>-4.12</v>
      </c>
      <c r="K16" s="32" t="n">
        <v>115324</v>
      </c>
      <c r="L16" s="31" t="n">
        <v>18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62.36</v>
      </c>
      <c r="P16" s="32" t="n">
        <v>44.36</v>
      </c>
      <c r="Q16" s="32" t="n">
        <v>1431.25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-17.86</v>
      </c>
      <c r="U16" s="32" t="n">
        <v>12.3</v>
      </c>
      <c r="V16" s="32" t="n">
        <v>36.72</v>
      </c>
      <c r="W16" s="32" t="n">
        <v>5.21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IF(B17=0,"",RANK(B17,$B$2:$B$174,0))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MENONBE</t>
        </is>
      </c>
      <c r="D17" s="31" t="inlineStr">
        <is>
          <t>Menon Bearings Limited</t>
        </is>
      </c>
      <c r="E17" s="31" t="inlineStr">
        <is>
          <t>auto</t>
        </is>
      </c>
      <c r="F17" s="31" t="inlineStr">
        <is>
          <t>auto ancillaries</t>
        </is>
      </c>
      <c r="G17" s="31" t="inlineStr">
        <is>
          <t>smallcap</t>
        </is>
      </c>
      <c r="H17" s="32" t="n">
        <v>1667.19</v>
      </c>
      <c r="I17" s="32" t="n">
        <v>304.35</v>
      </c>
      <c r="J17" s="32" t="n">
        <v>2.3</v>
      </c>
      <c r="K17" s="32" t="n">
        <v>65394</v>
      </c>
      <c r="L17" s="31" t="n">
        <v>95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76.84</v>
      </c>
      <c r="P17" s="32" t="n">
        <v>65.25</v>
      </c>
      <c r="Q17" s="32" t="n">
        <v>241.1</v>
      </c>
      <c r="R17" s="31" t="inlineStr">
        <is>
          <t>Earnings / Momentum Support</t>
        </is>
      </c>
      <c r="S17" s="31" t="inlineStr">
        <is>
          <t>Nifty Auto</t>
        </is>
      </c>
      <c r="T17" s="32" t="n">
        <v>12.51</v>
      </c>
      <c r="U17" s="32" t="n">
        <v>139.47</v>
      </c>
      <c r="V17" s="32" t="n">
        <v>112.85</v>
      </c>
      <c r="W17" s="32" t="n">
        <v>61.95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IF(B18=0,"",RANK(B18,$B$2:$B$174,0))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ASIANHOTNR</t>
        </is>
      </c>
      <c r="D18" s="31" t="inlineStr">
        <is>
          <t>Asian Hotels (north) Limited</t>
        </is>
      </c>
      <c r="E18" s="31" t="inlineStr">
        <is>
          <t>services</t>
        </is>
      </c>
      <c r="F18" s="31" t="inlineStr">
        <is>
          <t>hotels</t>
        </is>
      </c>
      <c r="G18" s="31" t="inlineStr">
        <is>
          <t>smallcap</t>
        </is>
      </c>
      <c r="H18" s="32" t="n">
        <v>1614.95</v>
      </c>
      <c r="I18" s="32" t="n">
        <v>385.45</v>
      </c>
      <c r="J18" s="32" t="n">
        <v>1.76</v>
      </c>
      <c r="K18" s="32" t="n">
        <v>111275</v>
      </c>
      <c r="L18" s="31" t="n">
        <v>30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69.25</v>
      </c>
      <c r="P18" s="32" t="n">
        <v>39.03</v>
      </c>
      <c r="Q18" s="32" t="n">
        <v>276.3</v>
      </c>
      <c r="R18" s="31" t="inlineStr">
        <is>
          <t>Near 52W High Breakout</t>
        </is>
      </c>
      <c r="S18" s="31" t="inlineStr">
        <is>
          <t>Nifty 50</t>
        </is>
      </c>
      <c r="T18" s="32" t="n">
        <v>-8.720000000000001</v>
      </c>
      <c r="U18" s="32" t="n">
        <v>18.62</v>
      </c>
      <c r="V18" s="32" t="n">
        <v>29.95</v>
      </c>
      <c r="W18" s="32" t="n">
        <v>10.09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IF(B19=0,"",RANK(B19,$B$2:$B$174,0))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NRL</t>
        </is>
      </c>
      <c r="D19" s="31" t="inlineStr">
        <is>
          <t>Nupur Recyclers Ltd</t>
        </is>
      </c>
      <c r="E19" s="31" t="inlineStr">
        <is>
          <t>services</t>
        </is>
      </c>
      <c r="F19" s="31" t="inlineStr">
        <is>
          <t>trading</t>
        </is>
      </c>
      <c r="G19" s="31" t="inlineStr">
        <is>
          <t>smallcap</t>
        </is>
      </c>
      <c r="H19" s="32" t="n">
        <v>919.03</v>
      </c>
      <c r="I19" s="32" t="n">
        <v>135.35</v>
      </c>
      <c r="J19" s="32" t="n">
        <v>1.72</v>
      </c>
      <c r="K19" s="32" t="n">
        <v>118553</v>
      </c>
      <c r="L19" s="31" t="n">
        <v>81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89.29000000000001</v>
      </c>
      <c r="P19" s="32" t="n">
        <v>71.13</v>
      </c>
      <c r="Q19" s="32" t="n">
        <v>112.39</v>
      </c>
      <c r="R19" s="31" t="inlineStr">
        <is>
          <t>Near 52W High Breakout</t>
        </is>
      </c>
      <c r="S19" s="31" t="inlineStr">
        <is>
          <t>Nifty 50</t>
        </is>
      </c>
      <c r="T19" s="32" t="n">
        <v>-8.720000000000001</v>
      </c>
      <c r="U19" s="32" t="n">
        <v>74.31</v>
      </c>
      <c r="V19" s="32" t="n">
        <v>90.95999999999999</v>
      </c>
      <c r="W19" s="32" t="n">
        <v>31.96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IF(B20=0,"",RANK(B20,$B$2:$B$174,0))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IL&amp;FSENGG</t>
        </is>
      </c>
      <c r="D20" s="31" t="inlineStr">
        <is>
          <t>Il&amp;fs Engineering And Construction Company Limited</t>
        </is>
      </c>
      <c r="E20" s="31" t="inlineStr">
        <is>
          <t>realty</t>
        </is>
      </c>
      <c r="F20" s="31" t="inlineStr">
        <is>
          <t>construction</t>
        </is>
      </c>
      <c r="G20" s="31" t="inlineStr">
        <is>
          <t>smallcap</t>
        </is>
      </c>
      <c r="H20" s="32" t="n">
        <v>505.34</v>
      </c>
      <c r="I20" s="32" t="n">
        <v>39.17</v>
      </c>
      <c r="J20" s="32" t="n">
        <v>1.63</v>
      </c>
      <c r="K20" s="32" t="n">
        <v>25777</v>
      </c>
      <c r="L20" s="31" t="n">
        <v>47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67.43000000000001</v>
      </c>
      <c r="P20" s="32" t="n">
        <v>40.4</v>
      </c>
      <c r="Q20" s="32" t="n">
        <v>28.37</v>
      </c>
      <c r="R20" s="31" t="inlineStr">
        <is>
          <t>Near 52W High Breakout</t>
        </is>
      </c>
      <c r="S20" s="31" t="inlineStr">
        <is>
          <t>Nifty Realty</t>
        </is>
      </c>
      <c r="T20" s="32" t="n">
        <v>-14.34</v>
      </c>
      <c r="U20" s="32" t="n">
        <v>13.18</v>
      </c>
      <c r="V20" s="32" t="n">
        <v>32.13</v>
      </c>
      <c r="W20" s="32" t="n">
        <v>15.41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IF(B21=0,"",RANK(B21,$B$2:$B$174,0))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CEIGALL</t>
        </is>
      </c>
      <c r="D21" s="31" t="inlineStr">
        <is>
          <t>Ceigall India Ltd</t>
        </is>
      </c>
      <c r="E21" s="31" t="inlineStr">
        <is>
          <t>realty</t>
        </is>
      </c>
      <c r="F21" s="31" t="inlineStr">
        <is>
          <t>construction</t>
        </is>
      </c>
      <c r="G21" s="31" t="inlineStr">
        <is>
          <t>midcap</t>
        </is>
      </c>
      <c r="H21" s="32" t="n">
        <v>6626.75</v>
      </c>
      <c r="I21" s="32" t="n">
        <v>382.25</v>
      </c>
      <c r="J21" s="32" t="n">
        <v>0.49</v>
      </c>
      <c r="K21" s="32" t="n">
        <v>317006</v>
      </c>
      <c r="L21" s="31" t="n">
        <v>34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64.83</v>
      </c>
      <c r="P21" s="32" t="n">
        <v>29.61</v>
      </c>
      <c r="Q21" s="32" t="n">
        <v>303.34</v>
      </c>
      <c r="R21" s="31" t="inlineStr">
        <is>
          <t>Near 52W High Breakout</t>
        </is>
      </c>
      <c r="S21" s="31" t="inlineStr">
        <is>
          <t>Nifty Realty</t>
        </is>
      </c>
      <c r="T21" s="32" t="n">
        <v>-14.34</v>
      </c>
      <c r="U21" s="32" t="n">
        <v>45.15</v>
      </c>
      <c r="V21" s="32" t="n">
        <v>69.45</v>
      </c>
      <c r="W21" s="32" t="n">
        <v>11.57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IF(B22=0,"",RANK(B22,$B$2:$B$174,0))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NITINSPIN</t>
        </is>
      </c>
      <c r="D22" s="31" t="inlineStr">
        <is>
          <t>Nitin Spinners Limited</t>
        </is>
      </c>
      <c r="E22" s="31" t="inlineStr">
        <is>
          <t>textiles</t>
        </is>
      </c>
      <c r="F22" s="31" t="inlineStr">
        <is>
          <t>textiles - cotton/blended</t>
        </is>
      </c>
      <c r="G22" s="31" t="inlineStr">
        <is>
          <t>smallcap</t>
        </is>
      </c>
      <c r="H22" s="32" t="n">
        <v>3660.2</v>
      </c>
      <c r="I22" s="32" t="n">
        <v>643.15</v>
      </c>
      <c r="J22" s="32" t="n">
        <v>-1.21</v>
      </c>
      <c r="K22" s="32" t="n">
        <v>182683</v>
      </c>
      <c r="L22" s="31" t="n">
        <v>54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74.09999999999999</v>
      </c>
      <c r="P22" s="32" t="n">
        <v>63.43</v>
      </c>
      <c r="Q22" s="32" t="n">
        <v>520.12</v>
      </c>
      <c r="R22" s="31" t="inlineStr">
        <is>
          <t>Near 52W High Breakout</t>
        </is>
      </c>
      <c r="S22" s="31" t="inlineStr">
        <is>
          <t>Nifty 50</t>
        </is>
      </c>
      <c r="T22" s="32" t="n">
        <v>-8.720000000000001</v>
      </c>
      <c r="U22" s="32" t="n">
        <v>83.48</v>
      </c>
      <c r="V22" s="32" t="n">
        <v>101.01</v>
      </c>
      <c r="W22" s="32" t="n">
        <v>17.49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Between 0.7 to 1.2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IF(B23=0,"",RANK(B23,$B$2:$B$174,0))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SWANDEF</t>
        </is>
      </c>
      <c r="D23" s="31" t="inlineStr">
        <is>
          <t>Swan Defence and Heavy Industries Ltd</t>
        </is>
      </c>
      <c r="E23" s="31" t="inlineStr">
        <is>
          <t>transportation</t>
        </is>
      </c>
      <c r="F23" s="31" t="inlineStr">
        <is>
          <t>miscellaneous</t>
        </is>
      </c>
      <c r="G23" s="31" t="inlineStr">
        <is>
          <t>midcap</t>
        </is>
      </c>
      <c r="H23" s="32" t="n">
        <v>14371.16</v>
      </c>
      <c r="I23" s="32" t="n">
        <v>2650.5</v>
      </c>
      <c r="J23" s="32" t="n">
        <v>-2.84</v>
      </c>
      <c r="K23" s="32" t="n">
        <v>21102</v>
      </c>
      <c r="L23" s="31" t="n">
        <v>93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65.2</v>
      </c>
      <c r="P23" s="32" t="n">
        <v>56.21</v>
      </c>
      <c r="Q23" s="32" t="n">
        <v>2088.71</v>
      </c>
      <c r="R23" s="31" t="inlineStr">
        <is>
          <t>Near 52W High Breakout</t>
        </is>
      </c>
      <c r="S23" s="31" t="inlineStr">
        <is>
          <t>Nifty 50</t>
        </is>
      </c>
      <c r="T23" s="32" t="n">
        <v>-8.720000000000001</v>
      </c>
      <c r="U23" s="32" t="n">
        <v>382.22</v>
      </c>
      <c r="V23" s="32" t="n">
        <v>428.28</v>
      </c>
      <c r="W23" s="32" t="n">
        <v>50.51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More than 1.2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IF(B24=0,"",RANK(B24,$B$2:$B$174,0))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RML</t>
        </is>
      </c>
      <c r="D24" s="31" t="inlineStr">
        <is>
          <t>Rane (madras) Limited</t>
        </is>
      </c>
      <c r="E24" s="31" t="inlineStr">
        <is>
          <t>auto</t>
        </is>
      </c>
      <c r="F24" s="31" t="inlineStr">
        <is>
          <t>auto ancillaries</t>
        </is>
      </c>
      <c r="G24" s="31" t="inlineStr">
        <is>
          <t>smallcap</t>
        </is>
      </c>
      <c r="H24" s="32" t="n">
        <v>3758.65</v>
      </c>
      <c r="I24" s="32" t="n">
        <v>1306.5</v>
      </c>
      <c r="J24" s="32" t="n">
        <v>-3.93</v>
      </c>
      <c r="K24" s="32" t="n">
        <v>36201</v>
      </c>
      <c r="L24" s="31" t="n">
        <v>78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65.22</v>
      </c>
      <c r="P24" s="32" t="n">
        <v>55.3</v>
      </c>
      <c r="Q24" s="32" t="n">
        <v>1030.53</v>
      </c>
      <c r="R24" s="31" t="inlineStr">
        <is>
          <t>Near 52W High Breakout</t>
        </is>
      </c>
      <c r="S24" s="31" t="inlineStr">
        <is>
          <t>Nifty Auto</t>
        </is>
      </c>
      <c r="T24" s="32" t="n">
        <v>12.51</v>
      </c>
      <c r="U24" s="32" t="n">
        <v>56.9</v>
      </c>
      <c r="V24" s="32" t="n">
        <v>39.46</v>
      </c>
      <c r="W24" s="32" t="n">
        <v>28.59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Between 0.7 to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IF(B25=0,"",RANK(B25,$B$2:$B$174,0))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BHAGYANGR</t>
        </is>
      </c>
      <c r="D25" s="31" t="inlineStr">
        <is>
          <t>Bhagyanagar India</t>
        </is>
      </c>
      <c r="E25" s="31" t="inlineStr">
        <is>
          <t>power &amp; utilities</t>
        </is>
      </c>
      <c r="F25" s="31" t="inlineStr">
        <is>
          <t>power generation and supply</t>
        </is>
      </c>
      <c r="G25" s="31" t="inlineStr">
        <is>
          <t>smallcap</t>
        </is>
      </c>
      <c r="H25" s="32" t="n">
        <v>1415.39</v>
      </c>
      <c r="I25" s="32" t="n">
        <v>405</v>
      </c>
      <c r="J25" s="32" t="n">
        <v>-4.15</v>
      </c>
      <c r="K25" s="32" t="n">
        <v>183392</v>
      </c>
      <c r="L25" s="31" t="n">
        <v>90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64.25</v>
      </c>
      <c r="P25" s="32" t="n">
        <v>66.26000000000001</v>
      </c>
      <c r="Q25" s="32" t="n">
        <v>301.7</v>
      </c>
      <c r="R25" s="31" t="inlineStr">
        <is>
          <t>Near 52W High Breakout</t>
        </is>
      </c>
      <c r="S25" s="31" t="inlineStr">
        <is>
          <t>Nifty IT</t>
        </is>
      </c>
      <c r="T25" s="32" t="n">
        <v>-19.2</v>
      </c>
      <c r="U25" s="32" t="n">
        <v>336.38</v>
      </c>
      <c r="V25" s="32" t="n">
        <v>440.07</v>
      </c>
      <c r="W25" s="32" t="n">
        <v>45.61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Between 0.7 to 1.2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IF(B26=0,"",RANK(B26,$B$2:$B$174,0))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KROSS</t>
        </is>
      </c>
      <c r="D26" s="31" t="inlineStr">
        <is>
          <t>Kross Ltd</t>
        </is>
      </c>
      <c r="E26" s="31" t="inlineStr">
        <is>
          <t>auto</t>
        </is>
      </c>
      <c r="F26" s="31" t="inlineStr">
        <is>
          <t>auto ancillaries</t>
        </is>
      </c>
      <c r="G26" s="31" t="inlineStr">
        <is>
          <t>smallcap</t>
        </is>
      </c>
      <c r="H26" s="32" t="n">
        <v>1542.23</v>
      </c>
      <c r="I26" s="32" t="n">
        <v>228.87</v>
      </c>
      <c r="J26" s="32" t="n">
        <v>-4.27</v>
      </c>
      <c r="K26" s="32" t="n">
        <v>885883</v>
      </c>
      <c r="L26" s="31" t="n">
        <v>28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61.15</v>
      </c>
      <c r="P26" s="32" t="n">
        <v>29.91</v>
      </c>
      <c r="Q26" s="32" t="n">
        <v>182.85</v>
      </c>
      <c r="R26" s="31" t="inlineStr">
        <is>
          <t>Near 52W High Breakout</t>
        </is>
      </c>
      <c r="S26" s="31" t="inlineStr">
        <is>
          <t>Nifty Auto</t>
        </is>
      </c>
      <c r="T26" s="32" t="n">
        <v>12.51</v>
      </c>
      <c r="U26" s="32" t="n">
        <v>22.7</v>
      </c>
      <c r="V26" s="32" t="n">
        <v>9.06</v>
      </c>
      <c r="W26" s="32" t="n">
        <v>9.449999999999999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IF(B27=0,"",RANK(B27,$B$2:$B$174,0))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WHEELS</t>
        </is>
      </c>
      <c r="D27" s="31" t="inlineStr">
        <is>
          <t>Wheels India Limited</t>
        </is>
      </c>
      <c r="E27" s="31" t="inlineStr">
        <is>
          <t>auto</t>
        </is>
      </c>
      <c r="F27" s="31" t="inlineStr">
        <is>
          <t>auto ancillaries</t>
        </is>
      </c>
      <c r="G27" s="31" t="inlineStr">
        <is>
          <t>midcap</t>
        </is>
      </c>
      <c r="H27" s="32" t="n">
        <v>5448.81</v>
      </c>
      <c r="I27" s="32" t="n">
        <v>2129.1</v>
      </c>
      <c r="J27" s="32" t="n">
        <v>-4.53</v>
      </c>
      <c r="K27" s="32" t="n">
        <v>383920</v>
      </c>
      <c r="L27" s="31" t="n">
        <v>92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73.77</v>
      </c>
      <c r="P27" s="32" t="n">
        <v>57.13</v>
      </c>
      <c r="Q27" s="32" t="n">
        <v>1666.47</v>
      </c>
      <c r="R27" s="31" t="inlineStr">
        <is>
          <t>Near 52W High Breakout</t>
        </is>
      </c>
      <c r="S27" s="31" t="inlineStr">
        <is>
          <t>Nifty Auto</t>
        </is>
      </c>
      <c r="T27" s="32" t="n">
        <v>12.51</v>
      </c>
      <c r="U27" s="32" t="n">
        <v>170.22</v>
      </c>
      <c r="V27" s="32" t="n">
        <v>140.17</v>
      </c>
      <c r="W27" s="32" t="n">
        <v>49.77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Less than 12%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IF(B28=0,"",RANK(B28,$B$2:$B$174,0))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AHCL</t>
        </is>
      </c>
      <c r="D28" s="31" t="inlineStr">
        <is>
          <t>Anlon Healthcare Ltd</t>
        </is>
      </c>
      <c r="E28" s="31" t="inlineStr">
        <is>
          <t>healthcare</t>
        </is>
      </c>
      <c r="F28" s="31" t="inlineStr">
        <is>
          <t>pharmaceuticals - indian - bulk drugs &amp; formln</t>
        </is>
      </c>
      <c r="G28" s="31" t="inlineStr">
        <is>
          <t>smallcap</t>
        </is>
      </c>
      <c r="H28" s="32" t="n">
        <v>1040.17</v>
      </c>
      <c r="I28" s="32" t="n">
        <v>20.18</v>
      </c>
      <c r="J28" s="32" t="n">
        <v>3.12</v>
      </c>
      <c r="K28" s="32" t="n">
        <v>165056337</v>
      </c>
      <c r="L28" s="31" t="n">
        <v>43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74.7</v>
      </c>
      <c r="P28" s="32" t="n">
        <v>42.02</v>
      </c>
      <c r="Q28" s="32" t="n">
        <v>14.85</v>
      </c>
      <c r="R28" s="31" t="inlineStr">
        <is>
          <t>Volume Spike &amp; Near 52W High Breakout</t>
        </is>
      </c>
      <c r="S28" s="31" t="inlineStr">
        <is>
          <t>Nifty Pharma</t>
        </is>
      </c>
      <c r="T28" s="32" t="n">
        <v>15.44</v>
      </c>
      <c r="U28" s="32" t="n">
        <v>50.03</v>
      </c>
      <c r="V28" s="32" t="n">
        <v>29.97</v>
      </c>
      <c r="W28" s="32" t="n">
        <v>14.5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IF(B29=0,"",RANK(B29,$B$2:$B$174,0))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AKUMS</t>
        </is>
      </c>
      <c r="D29" s="31" t="inlineStr">
        <is>
          <t>Akums Drugs &amp; Pharmaceuticals Ltd</t>
        </is>
      </c>
      <c r="E29" s="31" t="inlineStr">
        <is>
          <t>healthcare</t>
        </is>
      </c>
      <c r="F29" s="31" t="inlineStr">
        <is>
          <t>pharmaceuticals - indian - bulk drugs &amp; formln</t>
        </is>
      </c>
      <c r="G29" s="31" t="inlineStr">
        <is>
          <t>midcap</t>
        </is>
      </c>
      <c r="H29" s="32" t="n">
        <v>12219.28</v>
      </c>
      <c r="I29" s="32" t="n">
        <v>765.65</v>
      </c>
      <c r="J29" s="32" t="n">
        <v>-1.38</v>
      </c>
      <c r="K29" s="32" t="n">
        <v>345164</v>
      </c>
      <c r="L29" s="31" t="n">
        <v>51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71.45</v>
      </c>
      <c r="P29" s="32" t="n">
        <v>62.91</v>
      </c>
      <c r="Q29" s="32" t="n">
        <v>633.24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15.44</v>
      </c>
      <c r="U29" s="32" t="n">
        <v>61.44</v>
      </c>
      <c r="V29" s="32" t="n">
        <v>39.85</v>
      </c>
      <c r="W29" s="32" t="n">
        <v>16.47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IF(B30=0,"",RANK(B30,$B$2:$B$174,0))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SUBEXLTD</t>
        </is>
      </c>
      <c r="D30" s="31" t="inlineStr">
        <is>
          <t>Subex Ltd</t>
        </is>
      </c>
      <c r="E30" s="31" t="inlineStr">
        <is>
          <t>i.t</t>
        </is>
      </c>
      <c r="F30" s="31" t="inlineStr">
        <is>
          <t>computers - software - medium / small</t>
        </is>
      </c>
      <c r="G30" s="31" t="inlineStr">
        <is>
          <t>smallcap</t>
        </is>
      </c>
      <c r="H30" s="32" t="n">
        <v>1168.97</v>
      </c>
      <c r="I30" s="32" t="n">
        <v>20.44</v>
      </c>
      <c r="J30" s="32" t="n">
        <v>-1.73</v>
      </c>
      <c r="K30" s="32" t="n">
        <v>25531437</v>
      </c>
      <c r="L30" s="31" t="n">
        <v>80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74.33</v>
      </c>
      <c r="P30" s="32" t="n">
        <v>40.85</v>
      </c>
      <c r="Q30" s="32" t="n">
        <v>15.2</v>
      </c>
      <c r="R30" s="31" t="inlineStr">
        <is>
          <t>Volume Spike &amp; Near 52W High Breakout</t>
        </is>
      </c>
      <c r="S30" s="31" t="inlineStr">
        <is>
          <t>Nifty IT</t>
        </is>
      </c>
      <c r="T30" s="32" t="n">
        <v>-19.2</v>
      </c>
      <c r="U30" s="32" t="n">
        <v>54.85</v>
      </c>
      <c r="V30" s="32" t="n">
        <v>91.64</v>
      </c>
      <c r="W30" s="32" t="n">
        <v>31.21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Between 12 to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IF(B31=0,"",RANK(B31,$B$2:$B$174,0))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SAKAR</t>
        </is>
      </c>
      <c r="D31" s="31" t="inlineStr">
        <is>
          <t>Sakar Healthcare Ltd</t>
        </is>
      </c>
      <c r="E31" s="31" t="inlineStr">
        <is>
          <t>healthcare</t>
        </is>
      </c>
      <c r="F31" s="31" t="inlineStr">
        <is>
          <t>pharmaceuticals - indian - bulk drugs &amp; formln</t>
        </is>
      </c>
      <c r="G31" s="31" t="inlineStr">
        <is>
          <t>smallcap</t>
        </is>
      </c>
      <c r="H31" s="32" t="n">
        <v>2577.76</v>
      </c>
      <c r="I31" s="32" t="n">
        <v>1137.55</v>
      </c>
      <c r="J31" s="32" t="n">
        <v>-1.81</v>
      </c>
      <c r="K31" s="32" t="n">
        <v>119031</v>
      </c>
      <c r="L31" s="31" t="n">
        <v>86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74.23</v>
      </c>
      <c r="P31" s="32" t="n">
        <v>53.21</v>
      </c>
      <c r="Q31" s="32" t="n">
        <v>861.38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15.44</v>
      </c>
      <c r="U31" s="32" t="n">
        <v>230.97</v>
      </c>
      <c r="V31" s="32" t="n">
        <v>186.72</v>
      </c>
      <c r="W31" s="32" t="n">
        <v>36.61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IF(B32=0,"",RANK(B32,$B$2:$B$174,0))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KANORICHEM</t>
        </is>
      </c>
      <c r="D32" s="31" t="inlineStr">
        <is>
          <t>Kanoria Chemicals &amp; Industries Limited</t>
        </is>
      </c>
      <c r="E32" s="31" t="inlineStr">
        <is>
          <t>chemicals</t>
        </is>
      </c>
      <c r="F32" s="31" t="inlineStr">
        <is>
          <t>chemicals</t>
        </is>
      </c>
      <c r="G32" s="31" t="inlineStr">
        <is>
          <t>smallcap</t>
        </is>
      </c>
      <c r="H32" s="32" t="n">
        <v>741.21</v>
      </c>
      <c r="I32" s="32" t="n">
        <v>178.12</v>
      </c>
      <c r="J32" s="32" t="n">
        <v>5</v>
      </c>
      <c r="K32" s="32" t="n">
        <v>67464</v>
      </c>
      <c r="L32" s="31" t="n">
        <v>82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76.42</v>
      </c>
      <c r="P32" s="32" t="n">
        <v>69.02</v>
      </c>
      <c r="Q32" s="32" t="n">
        <v>134.68</v>
      </c>
      <c r="R32" s="31" t="inlineStr">
        <is>
          <t>Near 52W High Breakout</t>
        </is>
      </c>
      <c r="S32" s="31" t="inlineStr">
        <is>
          <t>Nifty 50</t>
        </is>
      </c>
      <c r="T32" s="32" t="n">
        <v>-8.720000000000001</v>
      </c>
      <c r="U32" s="32" t="n">
        <v>114.86</v>
      </c>
      <c r="V32" s="32" t="n">
        <v>135.39</v>
      </c>
      <c r="W32" s="32" t="n">
        <v>32.33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IF(B33=0,"",RANK(B33,$B$2:$B$174,0))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IBULLSLTD</t>
        </is>
      </c>
      <c r="D33" s="31" t="inlineStr">
        <is>
          <t>Indiabulls Limited</t>
        </is>
      </c>
      <c r="E33" s="31" t="inlineStr">
        <is>
          <t>miscellaneous</t>
        </is>
      </c>
      <c r="F33" s="31" t="inlineStr">
        <is>
          <t>diversified - medium / small</t>
        </is>
      </c>
      <c r="G33" s="31" t="inlineStr">
        <is>
          <t>midcap</t>
        </is>
      </c>
      <c r="H33" s="32" t="n">
        <v>6089.43</v>
      </c>
      <c r="I33" s="32" t="n">
        <v>27.44</v>
      </c>
      <c r="J33" s="32" t="n">
        <v>4.97</v>
      </c>
      <c r="K33" s="32" t="n">
        <v>2593006</v>
      </c>
      <c r="L33" s="31" t="n">
        <v>73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60.9</v>
      </c>
      <c r="P33" s="32" t="n">
        <v>40.42</v>
      </c>
      <c r="Q33" s="32" t="n">
        <v>21.73</v>
      </c>
      <c r="R33" s="31" t="inlineStr">
        <is>
          <t>Earnings / Momentum Support</t>
        </is>
      </c>
      <c r="S33" s="31" t="inlineStr">
        <is>
          <t>Nifty 50</t>
        </is>
      </c>
      <c r="T33" s="32" t="n">
        <v>-8.720000000000001</v>
      </c>
      <c r="U33" s="32" t="n">
        <v>53.64</v>
      </c>
      <c r="V33" s="32" t="n">
        <v>68.31999999999999</v>
      </c>
      <c r="W33" s="32" t="n">
        <v>25.46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IF(B34=0,"",RANK(B34,$B$2:$B$174,0))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ARROWGREEN</t>
        </is>
      </c>
      <c r="D34" s="31" t="inlineStr">
        <is>
          <t>Arrow Greentech Limited</t>
        </is>
      </c>
      <c r="E34" s="31" t="inlineStr">
        <is>
          <t>plastic products</t>
        </is>
      </c>
      <c r="F34" s="31" t="inlineStr">
        <is>
          <t>plastics products</t>
        </is>
      </c>
      <c r="G34" s="31" t="inlineStr">
        <is>
          <t>smallcap</t>
        </is>
      </c>
      <c r="H34" s="32" t="n">
        <v>1226.65</v>
      </c>
      <c r="I34" s="32" t="n">
        <v>838.55</v>
      </c>
      <c r="J34" s="32" t="n">
        <v>3.14</v>
      </c>
      <c r="K34" s="32" t="n">
        <v>225224</v>
      </c>
      <c r="L34" s="31" t="n">
        <v>62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68.02</v>
      </c>
      <c r="P34" s="32" t="n">
        <v>45.16</v>
      </c>
      <c r="Q34" s="32" t="n">
        <v>621.0599999999999</v>
      </c>
      <c r="R34" s="31" t="inlineStr">
        <is>
          <t>Volume Spike &amp; Near 52W High Breakout</t>
        </is>
      </c>
      <c r="S34" s="31" t="inlineStr">
        <is>
          <t>Nifty 50</t>
        </is>
      </c>
      <c r="T34" s="32" t="n">
        <v>-8.720000000000001</v>
      </c>
      <c r="U34" s="32" t="n">
        <v>47.2</v>
      </c>
      <c r="V34" s="32" t="n">
        <v>61.27</v>
      </c>
      <c r="W34" s="32" t="n">
        <v>20.6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IF(B35=0,"",RANK(B35,$B$2:$B$174,0))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BODALCHEM</t>
        </is>
      </c>
      <c r="D35" s="31" t="inlineStr">
        <is>
          <t>Bodal Chemicals Limited</t>
        </is>
      </c>
      <c r="E35" s="31" t="inlineStr">
        <is>
          <t>chemicals</t>
        </is>
      </c>
      <c r="F35" s="31" t="inlineStr">
        <is>
          <t>dyes and pigments</t>
        </is>
      </c>
      <c r="G35" s="31" t="inlineStr">
        <is>
          <t>smallcap</t>
        </is>
      </c>
      <c r="H35" s="32" t="n">
        <v>2171.28</v>
      </c>
      <c r="I35" s="32" t="n">
        <v>176.66</v>
      </c>
      <c r="J35" s="32" t="n">
        <v>2.47</v>
      </c>
      <c r="K35" s="32" t="n">
        <v>2894993</v>
      </c>
      <c r="L35" s="31" t="n">
        <v>95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89.23</v>
      </c>
      <c r="P35" s="32" t="n">
        <v>40.82</v>
      </c>
      <c r="Q35" s="32" t="n">
        <v>137.98</v>
      </c>
      <c r="R35" s="31" t="inlineStr">
        <is>
          <t>Near 52W High Breakout</t>
        </is>
      </c>
      <c r="S35" s="31" t="inlineStr">
        <is>
          <t>Nifty 50</t>
        </is>
      </c>
      <c r="T35" s="32" t="n">
        <v>-8.720000000000001</v>
      </c>
      <c r="U35" s="32" t="n">
        <v>166.98</v>
      </c>
      <c r="V35" s="32" t="n">
        <v>192.48</v>
      </c>
      <c r="W35" s="32" t="n">
        <v>62.52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Between 0.7 to 1.2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IF(B36=0,"",RANK(B36,$B$2:$B$174,0))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LOTUSDEV</t>
        </is>
      </c>
      <c r="D36" s="31" t="inlineStr">
        <is>
          <t>Sri Lotus Developers &amp; Realty Ltd</t>
        </is>
      </c>
      <c r="E36" s="31" t="inlineStr">
        <is>
          <t>realty</t>
        </is>
      </c>
      <c r="F36" s="31" t="inlineStr">
        <is>
          <t>construction</t>
        </is>
      </c>
      <c r="G36" s="31" t="inlineStr">
        <is>
          <t>midcap</t>
        </is>
      </c>
      <c r="H36" s="32" t="n">
        <v>10227.52</v>
      </c>
      <c r="I36" s="32" t="n">
        <v>213.54</v>
      </c>
      <c r="J36" s="32" t="n">
        <v>2.04</v>
      </c>
      <c r="K36" s="32" t="n">
        <v>2311800</v>
      </c>
      <c r="L36" s="31" t="n">
        <v>40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66.48999999999999</v>
      </c>
      <c r="P36" s="32" t="n">
        <v>23.65</v>
      </c>
      <c r="Q36" s="32" t="n">
        <v>161.32</v>
      </c>
      <c r="R36" s="31" t="inlineStr">
        <is>
          <t>Near 52W High Breakout</t>
        </is>
      </c>
      <c r="S36" s="31" t="inlineStr">
        <is>
          <t>Nifty Realty</t>
        </is>
      </c>
      <c r="T36" s="32" t="n">
        <v>-6.85</v>
      </c>
      <c r="U36" s="32" t="n">
        <v>1.94</v>
      </c>
      <c r="V36" s="32" t="n">
        <v>9.44</v>
      </c>
      <c r="W36" s="32" t="n">
        <v>13.59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IF(B37=0,"",RANK(B37,$B$2:$B$174,0))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ORIENTBELL</t>
        </is>
      </c>
      <c r="D37" s="31" t="inlineStr">
        <is>
          <t>Orient Bell Limited</t>
        </is>
      </c>
      <c r="E37" s="31" t="inlineStr">
        <is>
          <t>building materials</t>
        </is>
      </c>
      <c r="F37" s="31" t="inlineStr">
        <is>
          <t>ceramics - tiles / sanitaryware</t>
        </is>
      </c>
      <c r="G37" s="31" t="inlineStr">
        <is>
          <t>smallcap</t>
        </is>
      </c>
      <c r="H37" s="32" t="n">
        <v>591.29</v>
      </c>
      <c r="I37" s="32" t="n">
        <v>390.45</v>
      </c>
      <c r="J37" s="32" t="n">
        <v>-2.86</v>
      </c>
      <c r="K37" s="32" t="n">
        <v>55451</v>
      </c>
      <c r="L37" s="31" t="n">
        <v>42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64.19</v>
      </c>
      <c r="P37" s="32" t="n">
        <v>43.68</v>
      </c>
      <c r="Q37" s="32" t="n">
        <v>324.25</v>
      </c>
      <c r="R37" s="31" t="inlineStr">
        <is>
          <t>Earnings / Momentum Support</t>
        </is>
      </c>
      <c r="S37" s="31" t="inlineStr">
        <is>
          <t>Nifty Infra</t>
        </is>
      </c>
      <c r="T37" s="32" t="n">
        <v>-1.72</v>
      </c>
      <c r="U37" s="32" t="n">
        <v>27.71</v>
      </c>
      <c r="V37" s="32" t="n">
        <v>29.94</v>
      </c>
      <c r="W37" s="32" t="n">
        <v>14.2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IF(B38=0,"",RANK(B38,$B$2:$B$174,0))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CONFIPET</t>
        </is>
      </c>
      <c r="D38" s="31" t="inlineStr">
        <is>
          <t>Confidence Petroleum India Ltd</t>
        </is>
      </c>
      <c r="E38" s="31" t="inlineStr">
        <is>
          <t>miscellaneous</t>
        </is>
      </c>
      <c r="F38" s="31" t="inlineStr">
        <is>
          <t>miscellaneous</t>
        </is>
      </c>
      <c r="G38" s="31" t="inlineStr">
        <is>
          <t>smallcap</t>
        </is>
      </c>
      <c r="H38" s="32" t="n">
        <v>2964.25</v>
      </c>
      <c r="I38" s="32" t="n">
        <v>86.09999999999999</v>
      </c>
      <c r="J38" s="32" t="n">
        <v>-3.5</v>
      </c>
      <c r="K38" s="32" t="n">
        <v>4869333</v>
      </c>
      <c r="L38" s="31" t="n">
        <v>70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67.13</v>
      </c>
      <c r="P38" s="32" t="n">
        <v>59.56</v>
      </c>
      <c r="Q38" s="32" t="n">
        <v>63.13</v>
      </c>
      <c r="R38" s="31" t="inlineStr">
        <is>
          <t>Near 52W High Breakout</t>
        </is>
      </c>
      <c r="S38" s="31" t="inlineStr">
        <is>
          <t>Nifty 50</t>
        </is>
      </c>
      <c r="T38" s="32" t="n">
        <v>-8.720000000000001</v>
      </c>
      <c r="U38" s="32" t="n">
        <v>81.08</v>
      </c>
      <c r="V38" s="32" t="n">
        <v>98.38</v>
      </c>
      <c r="W38" s="32" t="n">
        <v>23.29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IF(B39=0,"",RANK(B39,$B$2:$B$174,0))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UNIPARTS</t>
        </is>
      </c>
      <c r="D39" s="31" t="inlineStr">
        <is>
          <t>Uniparts India Ltd</t>
        </is>
      </c>
      <c r="E39" s="31" t="inlineStr">
        <is>
          <t>industrials</t>
        </is>
      </c>
      <c r="F39" s="31" t="inlineStr">
        <is>
          <t>engineering</t>
        </is>
      </c>
      <c r="G39" s="31" t="inlineStr">
        <is>
          <t>smallcap</t>
        </is>
      </c>
      <c r="H39" s="32" t="n">
        <v>4051.37</v>
      </c>
      <c r="I39" s="32" t="n">
        <v>865.7</v>
      </c>
      <c r="J39" s="32" t="n">
        <v>-3.54</v>
      </c>
      <c r="K39" s="32" t="n">
        <v>115818</v>
      </c>
      <c r="L39" s="31" t="n">
        <v>72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76.28</v>
      </c>
      <c r="P39" s="32" t="n">
        <v>71.05</v>
      </c>
      <c r="Q39" s="32" t="n">
        <v>734.6</v>
      </c>
      <c r="R39" s="31" t="inlineStr">
        <is>
          <t>Near 52W High Breakout</t>
        </is>
      </c>
      <c r="S39" s="31" t="inlineStr">
        <is>
          <t>Nifty 50</t>
        </is>
      </c>
      <c r="T39" s="32" t="n">
        <v>-8.720000000000001</v>
      </c>
      <c r="U39" s="32" t="n">
        <v>125.86</v>
      </c>
      <c r="V39" s="32" t="n">
        <v>147.44</v>
      </c>
      <c r="W39" s="32" t="n">
        <v>25.23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IF(B40=0,"",RANK(B40,$B$2:$B$174,0))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CENTUM</t>
        </is>
      </c>
      <c r="D40" s="31" t="inlineStr">
        <is>
          <t>Centum Electronics Limited</t>
        </is>
      </c>
      <c r="E40" s="31" t="inlineStr">
        <is>
          <t>aerospace &amp; defence</t>
        </is>
      </c>
      <c r="F40" s="31" t="inlineStr">
        <is>
          <t>electronics - components</t>
        </is>
      </c>
      <c r="G40" s="31" t="inlineStr">
        <is>
          <t>midcap</t>
        </is>
      </c>
      <c r="H40" s="32" t="n">
        <v>6186.98</v>
      </c>
      <c r="I40" s="32" t="n">
        <v>4010.6</v>
      </c>
      <c r="J40" s="32" t="n">
        <v>-4.33</v>
      </c>
      <c r="K40" s="32" t="n">
        <v>42588</v>
      </c>
      <c r="L40" s="31" t="n">
        <v>36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64.25</v>
      </c>
      <c r="P40" s="32" t="n">
        <v>51.81</v>
      </c>
      <c r="Q40" s="32" t="n">
        <v>3168.79</v>
      </c>
      <c r="R40" s="31" t="inlineStr">
        <is>
          <t>Near 52W High Breakout</t>
        </is>
      </c>
      <c r="S40" s="31" t="inlineStr">
        <is>
          <t>Nifty 50</t>
        </is>
      </c>
      <c r="T40" s="32" t="n">
        <v>-8.720000000000001</v>
      </c>
      <c r="U40" s="32" t="n">
        <v>41.82</v>
      </c>
      <c r="V40" s="32" t="n">
        <v>55.37</v>
      </c>
      <c r="W40" s="32" t="n">
        <v>11.91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IF(B41=0,"",RANK(B41,$B$2:$B$174,0))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UNIMECH</t>
        </is>
      </c>
      <c r="D41" s="31" t="inlineStr">
        <is>
          <t>Unimech Aerospace and Manufacturing Ltd</t>
        </is>
      </c>
      <c r="E41" s="31" t="inlineStr">
        <is>
          <t>aerospace &amp; defence</t>
        </is>
      </c>
      <c r="F41" s="31" t="inlineStr">
        <is>
          <t>engineering</t>
        </is>
      </c>
      <c r="G41" s="31" t="inlineStr">
        <is>
          <t>midcap</t>
        </is>
      </c>
      <c r="H41" s="32" t="n">
        <v>8187.96</v>
      </c>
      <c r="I41" s="32" t="n">
        <v>1538.5</v>
      </c>
      <c r="J41" s="32" t="n">
        <v>-4.44</v>
      </c>
      <c r="K41" s="32" t="n">
        <v>269490</v>
      </c>
      <c r="L41" s="31" t="n">
        <v>48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69.91</v>
      </c>
      <c r="P41" s="32" t="n">
        <v>45.59</v>
      </c>
      <c r="Q41" s="32" t="n">
        <v>1252.61</v>
      </c>
      <c r="R41" s="31" t="inlineStr">
        <is>
          <t>Near 52W High Breakout</t>
        </is>
      </c>
      <c r="S41" s="31" t="inlineStr">
        <is>
          <t>Nifty 50</t>
        </is>
      </c>
      <c r="T41" s="32" t="n">
        <v>-8.720000000000001</v>
      </c>
      <c r="U41" s="32" t="n">
        <v>39.51</v>
      </c>
      <c r="V41" s="32" t="n">
        <v>52.84</v>
      </c>
      <c r="W41" s="32" t="n">
        <v>15.48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IF(B42=0,"",RANK(B42,$B$2:$B$174,0))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MODISONLTD</t>
        </is>
      </c>
      <c r="D42" s="31" t="inlineStr">
        <is>
          <t>Modison Ltd</t>
        </is>
      </c>
      <c r="E42" s="31" t="inlineStr">
        <is>
          <t>industrials</t>
        </is>
      </c>
      <c r="F42" s="31" t="inlineStr">
        <is>
          <t>electric equipment</t>
        </is>
      </c>
      <c r="G42" s="31" t="inlineStr">
        <is>
          <t>smallcap</t>
        </is>
      </c>
      <c r="H42" s="32" t="n">
        <v>1632.4</v>
      </c>
      <c r="I42" s="32" t="n">
        <v>478.15</v>
      </c>
      <c r="J42" s="32" t="n">
        <v>-4.95</v>
      </c>
      <c r="K42" s="32" t="n">
        <v>76958</v>
      </c>
      <c r="L42" s="31" t="n">
        <v>91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76.59</v>
      </c>
      <c r="P42" s="32" t="n">
        <v>58.6</v>
      </c>
      <c r="Q42" s="32" t="n">
        <v>370.3</v>
      </c>
      <c r="R42" s="31" t="inlineStr">
        <is>
          <t>Near 52W High Breakout</t>
        </is>
      </c>
      <c r="S42" s="31" t="inlineStr">
        <is>
          <t>Nifty 50</t>
        </is>
      </c>
      <c r="T42" s="32" t="n">
        <v>-8.720000000000001</v>
      </c>
      <c r="U42" s="32" t="n">
        <v>204.76</v>
      </c>
      <c r="V42" s="32" t="n">
        <v>233.87</v>
      </c>
      <c r="W42" s="32" t="n">
        <v>46.82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IF(B43=0,"",RANK(B43,$B$2:$B$174,0))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SETL</t>
        </is>
      </c>
      <c r="D43" s="31" t="inlineStr">
        <is>
          <t>Standard Enginnering Technology Ltd</t>
        </is>
      </c>
      <c r="E43" s="31" t="inlineStr">
        <is>
          <t>industrials</t>
        </is>
      </c>
      <c r="F43" s="31" t="inlineStr">
        <is>
          <t>engineering</t>
        </is>
      </c>
      <c r="G43" s="31" t="inlineStr">
        <is>
          <t>midcap</t>
        </is>
      </c>
      <c r="H43" s="32" t="n">
        <v>9339.200000000001</v>
      </c>
      <c r="I43" s="32" t="n">
        <v>444.75</v>
      </c>
      <c r="J43" s="32" t="n">
        <v>-5</v>
      </c>
      <c r="K43" s="32" t="n">
        <v>194608</v>
      </c>
      <c r="L43" s="31" t="n">
        <v>97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84.15000000000001</v>
      </c>
      <c r="P43" s="32" t="n">
        <v>72.28</v>
      </c>
      <c r="Q43" s="32" t="n">
        <v>369.81</v>
      </c>
      <c r="R43" s="31" t="inlineStr">
        <is>
          <t>Near 52W High Breakout</t>
        </is>
      </c>
      <c r="S43" s="31" t="inlineStr">
        <is>
          <t>Nifty Infra</t>
        </is>
      </c>
      <c r="T43" s="32" t="n">
        <v>-1.72</v>
      </c>
      <c r="U43" s="32" t="n">
        <v>154.84</v>
      </c>
      <c r="V43" s="32" t="n">
        <v>159.3</v>
      </c>
      <c r="W43" s="32" t="n">
        <v>85.58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IF(B44=0,"",RANK(B44,$B$2:$B$174,0))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INDNIPPON</t>
        </is>
      </c>
      <c r="D44" s="31" t="inlineStr">
        <is>
          <t>India Nippon Electricals Limited</t>
        </is>
      </c>
      <c r="E44" s="31" t="inlineStr">
        <is>
          <t>auto</t>
        </is>
      </c>
      <c r="F44" s="31" t="inlineStr">
        <is>
          <t>auto ancillaries</t>
        </is>
      </c>
      <c r="G44" s="31" t="inlineStr">
        <is>
          <t>smallcap</t>
        </is>
      </c>
      <c r="H44" s="32" t="n">
        <v>3074.03</v>
      </c>
      <c r="I44" s="32" t="n">
        <v>1279</v>
      </c>
      <c r="J44" s="32" t="n">
        <v>-5.88</v>
      </c>
      <c r="K44" s="32" t="n">
        <v>96043</v>
      </c>
      <c r="L44" s="31" t="n">
        <v>75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66.95999999999999</v>
      </c>
      <c r="P44" s="32" t="n">
        <v>48.53</v>
      </c>
      <c r="Q44" s="32" t="n">
        <v>1019.86</v>
      </c>
      <c r="R44" s="31" t="inlineStr">
        <is>
          <t>Earnings / Momentum Support</t>
        </is>
      </c>
      <c r="S44" s="31" t="inlineStr">
        <is>
          <t>Nifty Auto</t>
        </is>
      </c>
      <c r="T44" s="32" t="n">
        <v>12.51</v>
      </c>
      <c r="U44" s="32" t="n">
        <v>68.3</v>
      </c>
      <c r="V44" s="32" t="n">
        <v>49.58</v>
      </c>
      <c r="W44" s="32" t="n">
        <v>28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IF(B45=0,"",RANK(B45,$B$2:$B$174,0))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EMUDHRA</t>
        </is>
      </c>
      <c r="D45" s="31" t="inlineStr">
        <is>
          <t>eMudhra Ltd</t>
        </is>
      </c>
      <c r="E45" s="31" t="inlineStr">
        <is>
          <t>i.t</t>
        </is>
      </c>
      <c r="F45" s="31" t="inlineStr">
        <is>
          <t>computers - software - medium / small</t>
        </is>
      </c>
      <c r="G45" s="31" t="inlineStr">
        <is>
          <t>smallcap</t>
        </is>
      </c>
      <c r="H45" s="32" t="n">
        <v>4091.31</v>
      </c>
      <c r="I45" s="32" t="n">
        <v>592.85</v>
      </c>
      <c r="J45" s="32" t="n">
        <v>20</v>
      </c>
      <c r="K45" s="32" t="n">
        <v>1550701</v>
      </c>
      <c r="L45" s="31" t="n">
        <v>18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62.66</v>
      </c>
      <c r="P45" s="32" t="n">
        <v>21.75</v>
      </c>
      <c r="Q45" s="32" t="n">
        <v>458.55</v>
      </c>
      <c r="R45" s="31" t="inlineStr">
        <is>
          <t>Volume Spike / Accumulation</t>
        </is>
      </c>
      <c r="S45" s="31" t="inlineStr">
        <is>
          <t>Nifty IT</t>
        </is>
      </c>
      <c r="T45" s="32" t="n">
        <v>-19.2</v>
      </c>
      <c r="U45" s="32" t="n">
        <v>-13.13</v>
      </c>
      <c r="V45" s="32" t="n">
        <v>7.51</v>
      </c>
      <c r="W45" s="32" t="n">
        <v>5.56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IF(B46=0,"",RANK(B46,$B$2:$B$174,0))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DIVISLAB</t>
        </is>
      </c>
      <c r="D46" s="31" t="inlineStr">
        <is>
          <t>Divi's Laboratories Limited</t>
        </is>
      </c>
      <c r="E46" s="31" t="inlineStr">
        <is>
          <t>healthcare</t>
        </is>
      </c>
      <c r="F46" s="31" t="inlineStr">
        <is>
          <t>pharmaceuticals - indian - bulk drugs</t>
        </is>
      </c>
      <c r="G46" s="31" t="inlineStr">
        <is>
          <t>largecap</t>
        </is>
      </c>
      <c r="H46" s="32" t="n">
        <v>247469.81</v>
      </c>
      <c r="I46" s="32" t="n">
        <v>9198</v>
      </c>
      <c r="J46" s="32" t="n">
        <v>-1.33</v>
      </c>
      <c r="K46" s="32" t="n">
        <v>380826</v>
      </c>
      <c r="L46" s="31" t="n">
        <v>51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81.06</v>
      </c>
      <c r="P46" s="32" t="n">
        <v>49.51</v>
      </c>
      <c r="Q46" s="32" t="n">
        <v>8153.9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15.44</v>
      </c>
      <c r="U46" s="32" t="n">
        <v>48.97</v>
      </c>
      <c r="V46" s="32" t="n">
        <v>29.05</v>
      </c>
      <c r="W46" s="32" t="n">
        <v>16.63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IF(B47=0,"",RANK(B47,$B$2:$B$174,0))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INDSWFTLAB</t>
        </is>
      </c>
      <c r="D47" s="31" t="inlineStr">
        <is>
          <t>Ind-swift Laboratories Limited</t>
        </is>
      </c>
      <c r="E47" s="31" t="inlineStr">
        <is>
          <t>healthcare</t>
        </is>
      </c>
      <c r="F47" s="31" t="inlineStr">
        <is>
          <t>pharmaceuticals - indian - bulk drugs &amp; formln</t>
        </is>
      </c>
      <c r="G47" s="31" t="inlineStr">
        <is>
          <t>smallcap</t>
        </is>
      </c>
      <c r="H47" s="32" t="n">
        <v>3351.06</v>
      </c>
      <c r="I47" s="32" t="n">
        <v>378.75</v>
      </c>
      <c r="J47" s="32" t="n">
        <v>-1.71</v>
      </c>
      <c r="K47" s="32" t="n">
        <v>366134</v>
      </c>
      <c r="L47" s="31" t="n">
        <v>93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85.34999999999999</v>
      </c>
      <c r="P47" s="32" t="n">
        <v>77.40000000000001</v>
      </c>
      <c r="Q47" s="32" t="n">
        <v>295</v>
      </c>
      <c r="R47" s="31" t="inlineStr">
        <is>
          <t>Near 52W High Breakout</t>
        </is>
      </c>
      <c r="S47" s="31" t="inlineStr">
        <is>
          <t>Nifty Pharma</t>
        </is>
      </c>
      <c r="T47" s="32" t="n">
        <v>15.44</v>
      </c>
      <c r="U47" s="32" t="n">
        <v>263.83</v>
      </c>
      <c r="V47" s="32" t="n">
        <v>215.18</v>
      </c>
      <c r="W47" s="32" t="n">
        <v>55.58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IF(B48=0,"",RANK(B48,$B$2:$B$174,0))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LAURUSLABS</t>
        </is>
      </c>
      <c r="D48" s="31" t="inlineStr">
        <is>
          <t>Laurus Labs Limited</t>
        </is>
      </c>
      <c r="E48" s="31" t="inlineStr">
        <is>
          <t>healthcare</t>
        </is>
      </c>
      <c r="F48" s="31" t="inlineStr">
        <is>
          <t>pharmaceuticals - indian - bulk drugs &amp; formln</t>
        </is>
      </c>
      <c r="G48" s="31" t="inlineStr">
        <is>
          <t>largecap</t>
        </is>
      </c>
      <c r="H48" s="32" t="n">
        <v>106375.14</v>
      </c>
      <c r="I48" s="32" t="n">
        <v>1926.9</v>
      </c>
      <c r="J48" s="32" t="n">
        <v>-2.14</v>
      </c>
      <c r="K48" s="32" t="n">
        <v>1538262</v>
      </c>
      <c r="L48" s="31" t="n">
        <v>71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73.67</v>
      </c>
      <c r="P48" s="32" t="n">
        <v>72.52</v>
      </c>
      <c r="Q48" s="32" t="n">
        <v>1683.28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15.44</v>
      </c>
      <c r="U48" s="32" t="n">
        <v>107.1</v>
      </c>
      <c r="V48" s="32" t="n">
        <v>79.41</v>
      </c>
      <c r="W48" s="32" t="n">
        <v>24.54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IF(B49=0,"",RANK(B49,$B$2:$B$174,0))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ZIMLAB</t>
        </is>
      </c>
      <c r="D49" s="31" t="inlineStr">
        <is>
          <t>Zim Laboratories Ltd</t>
        </is>
      </c>
      <c r="E49" s="31" t="inlineStr">
        <is>
          <t>healthcare</t>
        </is>
      </c>
      <c r="F49" s="31" t="inlineStr">
        <is>
          <t>pharmaceuticals - indian - bulk drugs &amp; formln</t>
        </is>
      </c>
      <c r="G49" s="31" t="inlineStr">
        <is>
          <t>smallcap</t>
        </is>
      </c>
      <c r="H49" s="32" t="n">
        <v>745.51</v>
      </c>
      <c r="I49" s="32" t="n">
        <v>133.61</v>
      </c>
      <c r="J49" s="32" t="n">
        <v>-4.03</v>
      </c>
      <c r="K49" s="32" t="n">
        <v>146082</v>
      </c>
      <c r="L49" s="31" t="n">
        <v>56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67.31999999999999</v>
      </c>
      <c r="P49" s="32" t="n">
        <v>60.01</v>
      </c>
      <c r="Q49" s="32" t="n">
        <v>101.79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15.44</v>
      </c>
      <c r="U49" s="32" t="n">
        <v>77.63</v>
      </c>
      <c r="V49" s="32" t="n">
        <v>53.87</v>
      </c>
      <c r="W49" s="32" t="n">
        <v>17.98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IF(B50=0,"",RANK(B50,$B$2:$B$174,0))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DIACABS</t>
        </is>
      </c>
      <c r="D50" s="31" t="inlineStr">
        <is>
          <t>Diamond Power Infrastructure Ltd</t>
        </is>
      </c>
      <c r="E50" s="31" t="inlineStr">
        <is>
          <t>industrials</t>
        </is>
      </c>
      <c r="F50" s="31" t="inlineStr">
        <is>
          <t>cables - power</t>
        </is>
      </c>
      <c r="G50" s="31" t="inlineStr">
        <is>
          <t>largecap</t>
        </is>
      </c>
      <c r="H50" s="32" t="n">
        <v>22071.81</v>
      </c>
      <c r="I50" s="32" t="n">
        <v>387.5</v>
      </c>
      <c r="J50" s="32" t="n">
        <v>5</v>
      </c>
      <c r="K50" s="32" t="n">
        <v>1398719</v>
      </c>
      <c r="L50" s="31" t="n">
        <v>94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79.8</v>
      </c>
      <c r="P50" s="32" t="n">
        <v>66.81</v>
      </c>
      <c r="Q50" s="32" t="n">
        <v>298.62</v>
      </c>
      <c r="R50" s="31" t="inlineStr">
        <is>
          <t>Near 52W High Breakout</t>
        </is>
      </c>
      <c r="S50" s="31" t="inlineStr">
        <is>
          <t>Nifty Energy</t>
        </is>
      </c>
      <c r="T50" s="32" t="n">
        <v>5.38</v>
      </c>
      <c r="U50" s="32" t="n">
        <v>137.92</v>
      </c>
      <c r="V50" s="32" t="n">
        <v>125.77</v>
      </c>
      <c r="W50" s="32" t="n">
        <v>56.87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IF(B51=0,"",RANK(B51,$B$2:$B$174,0))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SHREEPUSHK</t>
        </is>
      </c>
      <c r="D51" s="31" t="inlineStr">
        <is>
          <t>Shree Pushkar Chemicals &amp; Fertilisers Limited</t>
        </is>
      </c>
      <c r="E51" s="31" t="inlineStr">
        <is>
          <t>chemicals</t>
        </is>
      </c>
      <c r="F51" s="31" t="inlineStr">
        <is>
          <t>dyes and pigments</t>
        </is>
      </c>
      <c r="G51" s="31" t="inlineStr">
        <is>
          <t>smallcap</t>
        </is>
      </c>
      <c r="H51" s="32" t="n">
        <v>1574.52</v>
      </c>
      <c r="I51" s="32" t="n">
        <v>501.45</v>
      </c>
      <c r="J51" s="32" t="n">
        <v>2.99</v>
      </c>
      <c r="K51" s="32" t="n">
        <v>310949</v>
      </c>
      <c r="L51" s="31" t="n">
        <v>38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70.08</v>
      </c>
      <c r="P51" s="32" t="n">
        <v>41.42</v>
      </c>
      <c r="Q51" s="32" t="n">
        <v>367.49</v>
      </c>
      <c r="R51" s="31" t="inlineStr">
        <is>
          <t>Near 52W High Breakout</t>
        </is>
      </c>
      <c r="S51" s="31" t="inlineStr">
        <is>
          <t>Nifty 50</t>
        </is>
      </c>
      <c r="T51" s="32" t="n">
        <v>-8.720000000000001</v>
      </c>
      <c r="U51" s="32" t="n">
        <v>30.52</v>
      </c>
      <c r="V51" s="32" t="n">
        <v>42.99</v>
      </c>
      <c r="W51" s="32" t="n">
        <v>12.65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Less than 12%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IF(B52=0,"",RANK(B52,$B$2:$B$174,0))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WSTCSTPAPR</t>
        </is>
      </c>
      <c r="D52" s="31" t="inlineStr">
        <is>
          <t>West Coast Paper Mills Limited</t>
        </is>
      </c>
      <c r="E52" s="31" t="inlineStr">
        <is>
          <t>building materials</t>
        </is>
      </c>
      <c r="F52" s="31" t="inlineStr">
        <is>
          <t>paper</t>
        </is>
      </c>
      <c r="G52" s="31" t="inlineStr">
        <is>
          <t>smallcap</t>
        </is>
      </c>
      <c r="H52" s="32" t="n">
        <v>4714.57</v>
      </c>
      <c r="I52" s="32" t="n">
        <v>713.3</v>
      </c>
      <c r="J52" s="32" t="n">
        <v>-0.07000000000000001</v>
      </c>
      <c r="K52" s="32" t="n">
        <v>375037</v>
      </c>
      <c r="L52" s="31" t="n">
        <v>58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75.98999999999999</v>
      </c>
      <c r="P52" s="32" t="n">
        <v>54.89</v>
      </c>
      <c r="Q52" s="32" t="n">
        <v>575.24</v>
      </c>
      <c r="R52" s="31" t="inlineStr">
        <is>
          <t>Near 52W High Breakout</t>
        </is>
      </c>
      <c r="S52" s="31" t="inlineStr">
        <is>
          <t>Nifty Infra</t>
        </is>
      </c>
      <c r="T52" s="32" t="n">
        <v>-1.72</v>
      </c>
      <c r="U52" s="32" t="n">
        <v>33.49</v>
      </c>
      <c r="V52" s="32" t="n">
        <v>35.82</v>
      </c>
      <c r="W52" s="32" t="n">
        <v>18.21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IF(B53=0,"",RANK(B53,$B$2:$B$174,0))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GOCLCORP</t>
        </is>
      </c>
      <c r="D53" s="31" t="inlineStr">
        <is>
          <t>Gocl Corporation Limited</t>
        </is>
      </c>
      <c r="E53" s="31" t="inlineStr">
        <is>
          <t>miscellaneous</t>
        </is>
      </c>
      <c r="F53" s="31" t="inlineStr">
        <is>
          <t>diversified - medium / small</t>
        </is>
      </c>
      <c r="G53" s="31" t="inlineStr">
        <is>
          <t>smallcap</t>
        </is>
      </c>
      <c r="H53" s="32" t="n">
        <v>2188.87</v>
      </c>
      <c r="I53" s="32" t="n">
        <v>435.65</v>
      </c>
      <c r="J53" s="32" t="n">
        <v>-1.34</v>
      </c>
      <c r="K53" s="32" t="n">
        <v>209907</v>
      </c>
      <c r="L53" s="31" t="n">
        <v>26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62.43</v>
      </c>
      <c r="P53" s="32" t="n">
        <v>47.56</v>
      </c>
      <c r="Q53" s="32" t="n">
        <v>340.9</v>
      </c>
      <c r="R53" s="31" t="inlineStr">
        <is>
          <t>Near 52W High Breakout</t>
        </is>
      </c>
      <c r="S53" s="31" t="inlineStr">
        <is>
          <t>Nifty IT</t>
        </is>
      </c>
      <c r="T53" s="32" t="n">
        <v>-19.2</v>
      </c>
      <c r="U53" s="32" t="n">
        <v>19.26</v>
      </c>
      <c r="V53" s="32" t="n">
        <v>47.6</v>
      </c>
      <c r="W53" s="32" t="n">
        <v>9.029999999999999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Less than 12%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IF(B54=0,"",RANK(B54,$B$2:$B$174,0))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CYIENTDLM</t>
        </is>
      </c>
      <c r="D54" s="31" t="inlineStr">
        <is>
          <t>Cyient DLM Ltd</t>
        </is>
      </c>
      <c r="E54" s="31" t="inlineStr">
        <is>
          <t>aerospace &amp; defence</t>
        </is>
      </c>
      <c r="F54" s="31" t="inlineStr">
        <is>
          <t>electronics - components</t>
        </is>
      </c>
      <c r="G54" s="31" t="inlineStr">
        <is>
          <t>midcap</t>
        </is>
      </c>
      <c r="H54" s="32" t="n">
        <v>7179.43</v>
      </c>
      <c r="I54" s="32" t="n">
        <v>882.7</v>
      </c>
      <c r="J54" s="32" t="n">
        <v>-2.4</v>
      </c>
      <c r="K54" s="32" t="n">
        <v>468701</v>
      </c>
      <c r="L54" s="31" t="n">
        <v>87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86.42</v>
      </c>
      <c r="P54" s="32" t="n">
        <v>76.76000000000001</v>
      </c>
      <c r="Q54" s="32" t="n">
        <v>702.98</v>
      </c>
      <c r="R54" s="31" t="inlineStr">
        <is>
          <t>Near 52W High Breakout</t>
        </is>
      </c>
      <c r="S54" s="31" t="inlineStr">
        <is>
          <t>Nifty 50</t>
        </is>
      </c>
      <c r="T54" s="32" t="n">
        <v>-8.720000000000001</v>
      </c>
      <c r="U54" s="32" t="n">
        <v>84.28</v>
      </c>
      <c r="V54" s="32" t="n">
        <v>101.88</v>
      </c>
      <c r="W54" s="32" t="n">
        <v>37.74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IF(B55=0,"",RANK(B55,$B$2:$B$174,0))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NOCIL</t>
        </is>
      </c>
      <c r="D55" s="31" t="inlineStr">
        <is>
          <t>Nocil Limited</t>
        </is>
      </c>
      <c r="E55" s="31" t="inlineStr">
        <is>
          <t>chemicals</t>
        </is>
      </c>
      <c r="F55" s="31" t="inlineStr">
        <is>
          <t>chemicals</t>
        </is>
      </c>
      <c r="G55" s="31" t="inlineStr">
        <is>
          <t>smallcap</t>
        </is>
      </c>
      <c r="H55" s="32" t="n">
        <v>3167.63</v>
      </c>
      <c r="I55" s="32" t="n">
        <v>183.6</v>
      </c>
      <c r="J55" s="32" t="n">
        <v>-3.19</v>
      </c>
      <c r="K55" s="32" t="n">
        <v>1291473</v>
      </c>
      <c r="L55" s="31" t="n">
        <v>16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58.61</v>
      </c>
      <c r="P55" s="32" t="n">
        <v>24.41</v>
      </c>
      <c r="Q55" s="32" t="n">
        <v>146.85</v>
      </c>
      <c r="R55" s="31" t="inlineStr">
        <is>
          <t>Near 52W High Breakout</t>
        </is>
      </c>
      <c r="S55" s="31" t="inlineStr">
        <is>
          <t>Nifty 50</t>
        </is>
      </c>
      <c r="T55" s="32" t="n">
        <v>-8.720000000000001</v>
      </c>
      <c r="U55" s="32" t="n">
        <v>2.27</v>
      </c>
      <c r="V55" s="32" t="n">
        <v>12.04</v>
      </c>
      <c r="W55" s="32" t="n">
        <v>4.39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IF(B56=0,"",RANK(B56,$B$2:$B$174,0))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BHAGERIA</t>
        </is>
      </c>
      <c r="D56" s="31" t="inlineStr">
        <is>
          <t>Bhageria Industries Limited</t>
        </is>
      </c>
      <c r="E56" s="31" t="inlineStr">
        <is>
          <t>chemicals</t>
        </is>
      </c>
      <c r="F56" s="31" t="inlineStr">
        <is>
          <t>dyes and pigments</t>
        </is>
      </c>
      <c r="G56" s="31" t="inlineStr">
        <is>
          <t>smallcap</t>
        </is>
      </c>
      <c r="H56" s="32" t="n">
        <v>1383.74</v>
      </c>
      <c r="I56" s="32" t="n">
        <v>306.5</v>
      </c>
      <c r="J56" s="32" t="n">
        <v>-3.33</v>
      </c>
      <c r="K56" s="32" t="n">
        <v>176159</v>
      </c>
      <c r="L56" s="31" t="n">
        <v>68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72.75</v>
      </c>
      <c r="P56" s="32" t="n">
        <v>38.83</v>
      </c>
      <c r="Q56" s="32" t="n">
        <v>238.42</v>
      </c>
      <c r="R56" s="31" t="inlineStr">
        <is>
          <t>Near 52W High Breakout</t>
        </is>
      </c>
      <c r="S56" s="31" t="inlineStr">
        <is>
          <t>Nifty IT</t>
        </is>
      </c>
      <c r="T56" s="32" t="n">
        <v>-19.2</v>
      </c>
      <c r="U56" s="32" t="n">
        <v>70.02</v>
      </c>
      <c r="V56" s="32" t="n">
        <v>110.42</v>
      </c>
      <c r="W56" s="32" t="n">
        <v>22.46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IF(B57=0,"",RANK(B57,$B$2:$B$174,0))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KAPSTON</t>
        </is>
      </c>
      <c r="D57" s="31" t="inlineStr">
        <is>
          <t>Kapston Services Ltd</t>
        </is>
      </c>
      <c r="E57" s="31" t="inlineStr">
        <is>
          <t>miscellaneous</t>
        </is>
      </c>
      <c r="F57" s="31" t="inlineStr">
        <is>
          <t>miscellaneous</t>
        </is>
      </c>
      <c r="G57" s="31" t="inlineStr">
        <is>
          <t>smallcap</t>
        </is>
      </c>
      <c r="H57" s="32" t="n">
        <v>1790.02</v>
      </c>
      <c r="I57" s="32" t="n">
        <v>563.45</v>
      </c>
      <c r="J57" s="32" t="n">
        <v>-4.21</v>
      </c>
      <c r="K57" s="32" t="n">
        <v>45325</v>
      </c>
      <c r="L57" s="31" t="n">
        <v>83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69.27</v>
      </c>
      <c r="P57" s="32" t="n">
        <v>41.31</v>
      </c>
      <c r="Q57" s="32" t="n">
        <v>452.04</v>
      </c>
      <c r="R57" s="31" t="inlineStr">
        <is>
          <t>Near 52W High Breakout</t>
        </is>
      </c>
      <c r="S57" s="31" t="inlineStr">
        <is>
          <t>Nifty 50</t>
        </is>
      </c>
      <c r="T57" s="32" t="n">
        <v>-8.720000000000001</v>
      </c>
      <c r="U57" s="32" t="n">
        <v>129.04</v>
      </c>
      <c r="V57" s="32" t="n">
        <v>150.91</v>
      </c>
      <c r="W57" s="32" t="n">
        <v>32.73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More than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IF(B58=0,"",RANK(B58,$B$2:$B$174,0))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SIGMAADV</t>
        </is>
      </c>
      <c r="D58" s="31" t="inlineStr">
        <is>
          <t>Sigma Advanced System Ltd</t>
        </is>
      </c>
      <c r="E58" s="31" t="inlineStr">
        <is>
          <t>aerospace &amp; defence</t>
        </is>
      </c>
      <c r="F58" s="31" t="inlineStr">
        <is>
          <t>electronics - components</t>
        </is>
      </c>
      <c r="G58" s="31" t="inlineStr">
        <is>
          <t>midcap</t>
        </is>
      </c>
      <c r="H58" s="32" t="n">
        <v>15774.61</v>
      </c>
      <c r="I58" s="32" t="n">
        <v>794.65</v>
      </c>
      <c r="J58" s="32" t="n">
        <v>-4.54</v>
      </c>
      <c r="K58" s="32" t="n">
        <v>318415</v>
      </c>
      <c r="L58" s="31" t="n">
        <v>96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73.68000000000001</v>
      </c>
      <c r="P58" s="32" t="n">
        <v>64.08</v>
      </c>
      <c r="Q58" s="32" t="n">
        <v>618.1900000000001</v>
      </c>
      <c r="R58" s="31" t="inlineStr">
        <is>
          <t>Near 52W High Breakout</t>
        </is>
      </c>
      <c r="S58" s="31" t="inlineStr">
        <is>
          <t>Nifty 50</t>
        </is>
      </c>
      <c r="T58" s="32" t="n">
        <v>-8.720000000000001</v>
      </c>
      <c r="U58" s="32" t="n">
        <v>407.63</v>
      </c>
      <c r="V58" s="32" t="n">
        <v>456.13</v>
      </c>
      <c r="W58" s="32" t="n">
        <v>63.49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Less than 12%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Between 0.7 to 1.2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IF(B59=0,"",RANK(B59,$B$2:$B$174,0))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RUBYMILLS</t>
        </is>
      </c>
      <c r="D59" s="31" t="inlineStr">
        <is>
          <t>The Ruby Mills Limited</t>
        </is>
      </c>
      <c r="E59" s="31" t="inlineStr">
        <is>
          <t>textiles</t>
        </is>
      </c>
      <c r="F59" s="31" t="inlineStr">
        <is>
          <t>textiles - composite</t>
        </is>
      </c>
      <c r="G59" s="31" t="inlineStr">
        <is>
          <t>smallcap</t>
        </is>
      </c>
      <c r="H59" s="32" t="n">
        <v>1521.85</v>
      </c>
      <c r="I59" s="32" t="n">
        <v>432.4</v>
      </c>
      <c r="J59" s="32" t="n">
        <v>-4.99</v>
      </c>
      <c r="K59" s="32" t="n">
        <v>13641</v>
      </c>
      <c r="L59" s="31" t="n">
        <v>66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68.05</v>
      </c>
      <c r="P59" s="32" t="n">
        <v>53.98</v>
      </c>
      <c r="Q59" s="32" t="n">
        <v>329.71</v>
      </c>
      <c r="R59" s="31" t="inlineStr">
        <is>
          <t>Near 52W High Breakout</t>
        </is>
      </c>
      <c r="S59" s="31" t="inlineStr">
        <is>
          <t>Nifty 50</t>
        </is>
      </c>
      <c r="T59" s="32" t="n">
        <v>-8.720000000000001</v>
      </c>
      <c r="U59" s="32" t="n">
        <v>83.66</v>
      </c>
      <c r="V59" s="32" t="n">
        <v>101.2</v>
      </c>
      <c r="W59" s="32" t="n">
        <v>21.67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Less than 12%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IF(B60=0,"",RANK(B60,$B$2:$B$174,0))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BAFNAPH</t>
        </is>
      </c>
      <c r="D60" s="31" t="inlineStr">
        <is>
          <t>Bafna Pharmaceuticals Ltd</t>
        </is>
      </c>
      <c r="E60" s="31" t="inlineStr">
        <is>
          <t>healthcare</t>
        </is>
      </c>
      <c r="F60" s="31" t="inlineStr">
        <is>
          <t>pharmaceuticals - indian - formulations</t>
        </is>
      </c>
      <c r="G60" s="31" t="inlineStr">
        <is>
          <t>smallcap</t>
        </is>
      </c>
      <c r="H60" s="32" t="n">
        <v>713.12</v>
      </c>
      <c r="I60" s="32" t="n">
        <v>307.3</v>
      </c>
      <c r="J60" s="32" t="n">
        <v>1.94</v>
      </c>
      <c r="K60" s="32" t="n">
        <v>12177</v>
      </c>
      <c r="L60" s="31" t="n">
        <v>88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73.08</v>
      </c>
      <c r="P60" s="32" t="n">
        <v>59.27</v>
      </c>
      <c r="Q60" s="32" t="n">
        <v>238.64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15.44</v>
      </c>
      <c r="U60" s="32" t="n">
        <v>122.37</v>
      </c>
      <c r="V60" s="32" t="n">
        <v>92.64</v>
      </c>
      <c r="W60" s="32" t="n">
        <v>40.66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Less than 12%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IF(B61=0,"",RANK(B61,$B$2:$B$174,0))</f>
        <v/>
      </c>
      <c r="B61" s="32">
        <f>SUM(N61,Y61,AA61,AC61,AE61,AG61,AI61,AK61,AM61,AO61,AQ61,AS61,AU61,AW61,AY61,BA61,BC61,BE61,BG61,BI61,BK61,BM61,BO61,BQ61,BS61,BU61,BW61,BY61,CA61,CC61,CE61)</f>
        <v/>
      </c>
      <c r="C61" s="33" t="inlineStr">
        <is>
          <t>GPTHEALTH</t>
        </is>
      </c>
      <c r="D61" s="33" t="inlineStr">
        <is>
          <t>GPT Healthcare Ltd</t>
        </is>
      </c>
      <c r="E61" s="31" t="inlineStr">
        <is>
          <t>healthcare</t>
        </is>
      </c>
      <c r="F61" s="31" t="inlineStr">
        <is>
          <t>healthcare</t>
        </is>
      </c>
      <c r="G61" s="31" t="inlineStr">
        <is>
          <t>smallcap</t>
        </is>
      </c>
      <c r="H61" s="32" t="n">
        <v>1307.79</v>
      </c>
      <c r="I61" s="32" t="n">
        <v>159.45</v>
      </c>
      <c r="J61" s="32" t="n">
        <v>0.04</v>
      </c>
      <c r="K61" s="32" t="n">
        <v>140502</v>
      </c>
      <c r="L61" s="31" t="n">
        <v>14</v>
      </c>
      <c r="M61" s="31" t="inlineStr">
        <is>
          <t>Underperforming</t>
        </is>
      </c>
      <c r="N61" s="32">
        <f>IF(M61="Underperforming",-5,IF(L61&gt;=95,15,IF(L61&gt;=90,10,IF(L61&gt;=80,5,0))))</f>
        <v/>
      </c>
      <c r="O61" s="32" t="n">
        <v>59.13</v>
      </c>
      <c r="P61" s="32" t="n">
        <v>49.79</v>
      </c>
      <c r="Q61" s="32" t="n">
        <v>141</v>
      </c>
      <c r="R61" s="31" t="inlineStr">
        <is>
          <t>Earnings / Momentum Support</t>
        </is>
      </c>
      <c r="S61" s="31" t="inlineStr">
        <is>
          <t>Nifty Pharma</t>
        </is>
      </c>
      <c r="T61" s="32" t="n">
        <v>15.44</v>
      </c>
      <c r="U61" s="32" t="n">
        <v>8.08</v>
      </c>
      <c r="V61" s="32" t="n">
        <v>-6.37</v>
      </c>
      <c r="W61" s="32" t="n">
        <v>4.06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IF(B62=0,"",RANK(B62,$B$2:$B$174,0))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ENTERO</t>
        </is>
      </c>
      <c r="D62" s="31" t="inlineStr">
        <is>
          <t>Entero Healthcare Solutions Ltd</t>
        </is>
      </c>
      <c r="E62" s="31" t="inlineStr">
        <is>
          <t>healthcare</t>
        </is>
      </c>
      <c r="F62" s="31" t="inlineStr">
        <is>
          <t>trading</t>
        </is>
      </c>
      <c r="G62" s="31" t="inlineStr">
        <is>
          <t>midcap</t>
        </is>
      </c>
      <c r="H62" s="32" t="n">
        <v>7901.18</v>
      </c>
      <c r="I62" s="32" t="n">
        <v>1802.1</v>
      </c>
      <c r="J62" s="32" t="n">
        <v>-0.73</v>
      </c>
      <c r="K62" s="32" t="n">
        <v>144363</v>
      </c>
      <c r="L62" s="31" t="n">
        <v>74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76.16</v>
      </c>
      <c r="P62" s="32" t="n">
        <v>41.58</v>
      </c>
      <c r="Q62" s="32" t="n">
        <v>1445.25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15.44</v>
      </c>
      <c r="U62" s="32" t="n">
        <v>59.52</v>
      </c>
      <c r="V62" s="32" t="n">
        <v>38.19</v>
      </c>
      <c r="W62" s="32" t="n">
        <v>25.92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Between 1.5 to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IF(B63=0,"",RANK(B63,$B$2:$B$174,0))</f>
        <v/>
      </c>
      <c r="B63" s="32">
        <f>SUM(N63,Y63,AA63,AC63,AE63,AG63,AI63,AK63,AM63,AO63,AQ63,AS63,AU63,AW63,AY63,BA63,BC63,BE63,BG63,BI63,BK63,BM63,BO63,BQ63,BS63,BU63,BW63,BY63,CA63,CC63,CE63)</f>
        <v/>
      </c>
      <c r="C63" s="33" t="inlineStr">
        <is>
          <t>SOLARA</t>
        </is>
      </c>
      <c r="D63" s="33" t="inlineStr">
        <is>
          <t>Solara Active Pharma Sciences Ltd</t>
        </is>
      </c>
      <c r="E63" s="31" t="inlineStr">
        <is>
          <t>healthcare</t>
        </is>
      </c>
      <c r="F63" s="31" t="inlineStr">
        <is>
          <t>pharmaceuticals - indian - bulk drugs &amp; formln</t>
        </is>
      </c>
      <c r="G63" s="31" t="inlineStr">
        <is>
          <t>smallcap</t>
        </is>
      </c>
      <c r="H63" s="32" t="n">
        <v>3614.35</v>
      </c>
      <c r="I63" s="32" t="n">
        <v>715.8</v>
      </c>
      <c r="J63" s="32" t="n">
        <v>-4.45</v>
      </c>
      <c r="K63" s="32" t="n">
        <v>696761</v>
      </c>
      <c r="L63" s="31" t="n">
        <v>24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66.72</v>
      </c>
      <c r="P63" s="32" t="n">
        <v>30</v>
      </c>
      <c r="Q63" s="32" t="n">
        <v>565.0599999999999</v>
      </c>
      <c r="R63" s="31" t="inlineStr">
        <is>
          <t>Near 52W High Breakout</t>
        </is>
      </c>
      <c r="S63" s="31" t="inlineStr">
        <is>
          <t>Nifty Pharma</t>
        </is>
      </c>
      <c r="T63" s="32" t="n">
        <v>15.44</v>
      </c>
      <c r="U63" s="32" t="n">
        <v>6.02</v>
      </c>
      <c r="V63" s="32" t="n">
        <v>-8.16</v>
      </c>
      <c r="W63" s="32" t="n">
        <v>8.550000000000001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IF(B64=0,"",RANK(B64,$B$2:$B$174,0))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63MOONS</t>
        </is>
      </c>
      <c r="D64" s="31" t="inlineStr">
        <is>
          <t>63 Moons Technologies Ltd</t>
        </is>
      </c>
      <c r="E64" s="31" t="inlineStr">
        <is>
          <t>i.t</t>
        </is>
      </c>
      <c r="F64" s="31" t="inlineStr">
        <is>
          <t>computers - software - medium / small</t>
        </is>
      </c>
      <c r="G64" s="31" t="inlineStr">
        <is>
          <t>smallcap</t>
        </is>
      </c>
      <c r="H64" s="32" t="n">
        <v>4188.08</v>
      </c>
      <c r="I64" s="32" t="n">
        <v>864</v>
      </c>
      <c r="J64" s="32" t="n">
        <v>-4.94</v>
      </c>
      <c r="K64" s="32" t="n">
        <v>310775</v>
      </c>
      <c r="L64" s="31" t="n">
        <v>21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58.91</v>
      </c>
      <c r="P64" s="32" t="n">
        <v>32.45</v>
      </c>
      <c r="Q64" s="32" t="n">
        <v>673.88</v>
      </c>
      <c r="R64" s="31" t="inlineStr">
        <is>
          <t>Earnings / Momentum Support</t>
        </is>
      </c>
      <c r="S64" s="31" t="inlineStr">
        <is>
          <t>Nifty IT</t>
        </is>
      </c>
      <c r="T64" s="32" t="n">
        <v>-19.2</v>
      </c>
      <c r="U64" s="32" t="n">
        <v>-6.98</v>
      </c>
      <c r="V64" s="32" t="n">
        <v>15.13</v>
      </c>
      <c r="W64" s="32" t="n">
        <v>7.1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IF(B65=0,"",RANK(B65,$B$2:$B$174,0))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BLISSGVS</t>
        </is>
      </c>
      <c r="D65" s="31" t="inlineStr">
        <is>
          <t>Bliss Gvs Pharma Limited</t>
        </is>
      </c>
      <c r="E65" s="31" t="inlineStr">
        <is>
          <t>healthcare</t>
        </is>
      </c>
      <c r="F65" s="31" t="inlineStr">
        <is>
          <t>pharmaceuticals - indian - formulations</t>
        </is>
      </c>
      <c r="G65" s="31" t="inlineStr">
        <is>
          <t>midcap</t>
        </is>
      </c>
      <c r="H65" s="32" t="n">
        <v>7646.12</v>
      </c>
      <c r="I65" s="32" t="n">
        <v>684.95</v>
      </c>
      <c r="J65" s="32" t="n">
        <v>-4.99</v>
      </c>
      <c r="K65" s="32" t="n">
        <v>217584</v>
      </c>
      <c r="L65" s="31" t="n">
        <v>92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80.45</v>
      </c>
      <c r="P65" s="32" t="n">
        <v>74.06999999999999</v>
      </c>
      <c r="Q65" s="32" t="n">
        <v>569.17</v>
      </c>
      <c r="R65" s="31" t="inlineStr">
        <is>
          <t>Near 52W High Breakout</t>
        </is>
      </c>
      <c r="S65" s="31" t="inlineStr">
        <is>
          <t>Nifty Pharma</t>
        </is>
      </c>
      <c r="T65" s="32" t="n">
        <v>15.44</v>
      </c>
      <c r="U65" s="32" t="n">
        <v>356.9</v>
      </c>
      <c r="V65" s="32" t="n">
        <v>295.81</v>
      </c>
      <c r="W65" s="32" t="n">
        <v>50.06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Between 12 to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IF(B66=0,"",RANK(B66,$B$2:$B$174,0))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ACMESOLAR</t>
        </is>
      </c>
      <c r="D66" s="31" t="inlineStr">
        <is>
          <t>ACME Solar Holdings Ltd</t>
        </is>
      </c>
      <c r="E66" s="31" t="inlineStr">
        <is>
          <t>realty</t>
        </is>
      </c>
      <c r="F66" s="31" t="inlineStr">
        <is>
          <t>engineering - turnkey services</t>
        </is>
      </c>
      <c r="G66" s="31" t="inlineStr">
        <is>
          <t>largecap</t>
        </is>
      </c>
      <c r="H66" s="32" t="n">
        <v>28437.55</v>
      </c>
      <c r="I66" s="32" t="n">
        <v>420.4</v>
      </c>
      <c r="J66" s="32" t="n">
        <v>4.5</v>
      </c>
      <c r="K66" s="32" t="n">
        <v>5262214</v>
      </c>
      <c r="L66" s="31" t="n">
        <v>64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69.06</v>
      </c>
      <c r="P66" s="32" t="n">
        <v>49.44</v>
      </c>
      <c r="Q66" s="32" t="n">
        <v>328.01</v>
      </c>
      <c r="R66" s="31" t="inlineStr">
        <is>
          <t>Near 52W High Breakout</t>
        </is>
      </c>
      <c r="S66" s="31" t="inlineStr">
        <is>
          <t>Nifty Realty</t>
        </is>
      </c>
      <c r="T66" s="32" t="n">
        <v>-14.34</v>
      </c>
      <c r="U66" s="32" t="n">
        <v>55.58</v>
      </c>
      <c r="V66" s="32" t="n">
        <v>81.63</v>
      </c>
      <c r="W66" s="32" t="n">
        <v>20.79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More than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IF(B67=0,"",RANK(B67,$B$2:$B$174,0))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AEGISVOPAK</t>
        </is>
      </c>
      <c r="D67" s="31" t="inlineStr">
        <is>
          <t>Aegis Vopak Terminals Ltd</t>
        </is>
      </c>
      <c r="E67" s="31" t="inlineStr">
        <is>
          <t>transportation</t>
        </is>
      </c>
      <c r="F67" s="31" t="inlineStr">
        <is>
          <t>miscellaneous</t>
        </is>
      </c>
      <c r="G67" s="31" t="inlineStr">
        <is>
          <t>largecap</t>
        </is>
      </c>
      <c r="H67" s="32" t="n">
        <v>32696.83</v>
      </c>
      <c r="I67" s="32" t="n">
        <v>302</v>
      </c>
      <c r="J67" s="32" t="n">
        <v>2.34</v>
      </c>
      <c r="K67" s="32" t="n">
        <v>4447657</v>
      </c>
      <c r="L67" s="31" t="n">
        <v>38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64.34999999999999</v>
      </c>
      <c r="P67" s="32" t="n">
        <v>44.76</v>
      </c>
      <c r="Q67" s="32" t="n">
        <v>224.69</v>
      </c>
      <c r="R67" s="31" t="inlineStr">
        <is>
          <t>Near 52W High Breakout</t>
        </is>
      </c>
      <c r="S67" s="31" t="inlineStr">
        <is>
          <t>Nifty 50</t>
        </is>
      </c>
      <c r="T67" s="32" t="n">
        <v>-8.720000000000001</v>
      </c>
      <c r="U67" s="32" t="n">
        <v>24.64</v>
      </c>
      <c r="V67" s="32" t="n">
        <v>36.55</v>
      </c>
      <c r="W67" s="32" t="n">
        <v>12.63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IF(B68=0,"",RANK(B68,$B$2:$B$174,0))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STLNETWORK</t>
        </is>
      </c>
      <c r="D68" s="31" t="inlineStr">
        <is>
          <t>STL Networks Ltd</t>
        </is>
      </c>
      <c r="E68" s="31" t="inlineStr">
        <is>
          <t>telecom-service</t>
        </is>
      </c>
      <c r="F68" s="31" t="inlineStr">
        <is>
          <t>telecommunications - service provider</t>
        </is>
      </c>
      <c r="G68" s="31" t="inlineStr">
        <is>
          <t>smallcap</t>
        </is>
      </c>
      <c r="H68" s="32" t="n">
        <v>1786.36</v>
      </c>
      <c r="I68" s="32" t="n">
        <v>37.2</v>
      </c>
      <c r="J68" s="32" t="n">
        <v>1.64</v>
      </c>
      <c r="K68" s="32" t="n">
        <v>14945148</v>
      </c>
      <c r="L68" s="31" t="n">
        <v>44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74.54000000000001</v>
      </c>
      <c r="P68" s="32" t="n">
        <v>28.59</v>
      </c>
      <c r="Q68" s="32" t="n">
        <v>28.42</v>
      </c>
      <c r="R68" s="31" t="inlineStr">
        <is>
          <t>Volume Spike &amp; Near 52W High Breakout</t>
        </is>
      </c>
      <c r="S68" s="31" t="inlineStr">
        <is>
          <t>Nifty 50</t>
        </is>
      </c>
      <c r="T68" s="32" t="n">
        <v>-8.720000000000001</v>
      </c>
      <c r="U68" s="32" t="n">
        <v>26.83</v>
      </c>
      <c r="V68" s="32" t="n">
        <v>38.95</v>
      </c>
      <c r="W68" s="32" t="n">
        <v>14.91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Oligopoly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IF(B69=0,"",RANK(B69,$B$2:$B$174,0))</f>
        <v/>
      </c>
      <c r="B69" s="32">
        <f>SUM(N69,Y69,AA69,AC69,AE69,AG69,AI69,AK69,AM69,AO69,AQ69,AS69,AU69,AW69,AY69,BA69,BC69,BE69,BG69,BI69,BK69,BM69,BO69,BQ69,BS69,BU69,BW69,BY69,CA69,CC69,CE69)</f>
        <v/>
      </c>
      <c r="C69" s="33" t="inlineStr">
        <is>
          <t>QUADFUTURE</t>
        </is>
      </c>
      <c r="D69" s="33" t="inlineStr">
        <is>
          <t>Quadrant Future Tek Ltd</t>
        </is>
      </c>
      <c r="E69" s="31" t="inlineStr">
        <is>
          <t>industrials</t>
        </is>
      </c>
      <c r="F69" s="31" t="inlineStr">
        <is>
          <t>cables - power</t>
        </is>
      </c>
      <c r="G69" s="31" t="inlineStr">
        <is>
          <t>smallcap</t>
        </is>
      </c>
      <c r="H69" s="32" t="n">
        <v>1914</v>
      </c>
      <c r="I69" s="32" t="n">
        <v>484.6</v>
      </c>
      <c r="J69" s="32" t="n">
        <v>1.27</v>
      </c>
      <c r="K69" s="32" t="n">
        <v>4009846</v>
      </c>
      <c r="L69" s="31" t="n">
        <v>47</v>
      </c>
      <c r="M69" s="31" t="inlineStr">
        <is>
          <t>Underperforming</t>
        </is>
      </c>
      <c r="N69" s="32">
        <f>IF(M69="Underperforming",-5,IF(L69&gt;=95,15,IF(L69&gt;=90,10,IF(L69&gt;=80,5,0))))</f>
        <v/>
      </c>
      <c r="O69" s="32" t="n">
        <v>66.5</v>
      </c>
      <c r="P69" s="32" t="n">
        <v>39.49</v>
      </c>
      <c r="Q69" s="32" t="n">
        <v>334.58</v>
      </c>
      <c r="R69" s="31" t="inlineStr">
        <is>
          <t>Near 52W High Breakout</t>
        </is>
      </c>
      <c r="S69" s="31" t="inlineStr">
        <is>
          <t>Nifty Energy</t>
        </is>
      </c>
      <c r="T69" s="32" t="n">
        <v>5.38</v>
      </c>
      <c r="U69" s="32" t="n">
        <v>3.14</v>
      </c>
      <c r="V69" s="32" t="n">
        <v>-2.13</v>
      </c>
      <c r="W69" s="32" t="n">
        <v>15.26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IF(B70=0,"",RANK(B70,$B$2:$B$174,0))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RACLGEAR</t>
        </is>
      </c>
      <c r="D70" s="31" t="inlineStr">
        <is>
          <t>RACL Geartech Ltd</t>
        </is>
      </c>
      <c r="E70" s="31" t="inlineStr">
        <is>
          <t>auto</t>
        </is>
      </c>
      <c r="F70" s="31" t="inlineStr">
        <is>
          <t>auto ancillaries</t>
        </is>
      </c>
      <c r="G70" s="31" t="inlineStr">
        <is>
          <t>smallcap</t>
        </is>
      </c>
      <c r="H70" s="32" t="n">
        <v>2070.81</v>
      </c>
      <c r="I70" s="32" t="n">
        <v>1755.2</v>
      </c>
      <c r="J70" s="32" t="n">
        <v>-0.09</v>
      </c>
      <c r="K70" s="32" t="n">
        <v>219097</v>
      </c>
      <c r="L70" s="31" t="n">
        <v>68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68.33</v>
      </c>
      <c r="P70" s="32" t="n">
        <v>52.63</v>
      </c>
      <c r="Q70" s="32" t="n">
        <v>1256.99</v>
      </c>
      <c r="R70" s="31" t="inlineStr">
        <is>
          <t>Near 52W High Breakout</t>
        </is>
      </c>
      <c r="S70" s="31" t="inlineStr">
        <is>
          <t>Nifty Auto</t>
        </is>
      </c>
      <c r="T70" s="32" t="n">
        <v>12.51</v>
      </c>
      <c r="U70" s="32" t="n">
        <v>75.54000000000001</v>
      </c>
      <c r="V70" s="32" t="n">
        <v>56.02</v>
      </c>
      <c r="W70" s="32" t="n">
        <v>22.38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Less than 12%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IF(B71=0,"",RANK(B71,$B$2:$B$174,0))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ARIES</t>
        </is>
      </c>
      <c r="D71" s="31" t="inlineStr">
        <is>
          <t>Aries Agro Limited</t>
        </is>
      </c>
      <c r="E71" s="31" t="inlineStr">
        <is>
          <t>chemicals</t>
        </is>
      </c>
      <c r="F71" s="31" t="inlineStr">
        <is>
          <t>fertilizers</t>
        </is>
      </c>
      <c r="G71" s="31" t="inlineStr">
        <is>
          <t>smallcap</t>
        </is>
      </c>
      <c r="H71" s="32" t="n">
        <v>618.49</v>
      </c>
      <c r="I71" s="32" t="n">
        <v>473.3</v>
      </c>
      <c r="J71" s="32" t="n">
        <v>-0.48</v>
      </c>
      <c r="K71" s="32" t="n">
        <v>25734</v>
      </c>
      <c r="L71" s="31" t="n">
        <v>42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70.79000000000001</v>
      </c>
      <c r="P71" s="32" t="n">
        <v>29.37</v>
      </c>
      <c r="Q71" s="32" t="n">
        <v>387.78</v>
      </c>
      <c r="R71" s="31" t="inlineStr">
        <is>
          <t>Earnings / Momentum Support</t>
        </is>
      </c>
      <c r="S71" s="31" t="inlineStr">
        <is>
          <t>Nifty 50</t>
        </is>
      </c>
      <c r="T71" s="32" t="n">
        <v>-8.720000000000001</v>
      </c>
      <c r="U71" s="32" t="n">
        <v>15.21</v>
      </c>
      <c r="V71" s="32" t="n">
        <v>26.22</v>
      </c>
      <c r="W71" s="32" t="n">
        <v>13.87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IF(B72=0,"",RANK(B72,$B$2:$B$174,0))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THEJO</t>
        </is>
      </c>
      <c r="D72" s="31" t="inlineStr">
        <is>
          <t>Thejo Engineering Ltd</t>
        </is>
      </c>
      <c r="E72" s="31" t="inlineStr">
        <is>
          <t>industrials</t>
        </is>
      </c>
      <c r="F72" s="31" t="inlineStr">
        <is>
          <t>engineering</t>
        </is>
      </c>
      <c r="G72" s="31" t="inlineStr">
        <is>
          <t>smallcap</t>
        </is>
      </c>
      <c r="H72" s="32" t="n">
        <v>2378.42</v>
      </c>
      <c r="I72" s="32" t="n">
        <v>2175.2</v>
      </c>
      <c r="J72" s="32" t="n">
        <v>-0.79</v>
      </c>
      <c r="K72" s="32" t="n">
        <v>14877</v>
      </c>
      <c r="L72" s="31" t="n">
        <v>23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64.91</v>
      </c>
      <c r="P72" s="32" t="n">
        <v>39.2</v>
      </c>
      <c r="Q72" s="32" t="n">
        <v>1762.94</v>
      </c>
      <c r="R72" s="31" t="inlineStr">
        <is>
          <t>Near 52W High Breakout</t>
        </is>
      </c>
      <c r="S72" s="31" t="inlineStr">
        <is>
          <t>Nifty 50</t>
        </is>
      </c>
      <c r="T72" s="32" t="n">
        <v>-8.720000000000001</v>
      </c>
      <c r="U72" s="32" t="n">
        <v>15.22</v>
      </c>
      <c r="V72" s="32" t="n">
        <v>26.22</v>
      </c>
      <c r="W72" s="32" t="n">
        <v>7.69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IF(B73=0,"",RANK(B73,$B$2:$B$174,0))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EBGNG</t>
        </is>
      </c>
      <c r="D73" s="31" t="inlineStr">
        <is>
          <t>GNG Electronics Ltd</t>
        </is>
      </c>
      <c r="E73" s="31" t="inlineStr">
        <is>
          <t>services</t>
        </is>
      </c>
      <c r="F73" s="31" t="inlineStr">
        <is>
          <t>trading</t>
        </is>
      </c>
      <c r="G73" s="31" t="inlineStr">
        <is>
          <t>midcap</t>
        </is>
      </c>
      <c r="H73" s="32" t="n">
        <v>7748.79</v>
      </c>
      <c r="I73" s="32" t="n">
        <v>671.45</v>
      </c>
      <c r="J73" s="32" t="n">
        <v>-1.21</v>
      </c>
      <c r="K73" s="32" t="n">
        <v>1306597</v>
      </c>
      <c r="L73" s="31" t="n">
        <v>66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67.31999999999999</v>
      </c>
      <c r="P73" s="32" t="n">
        <v>37.69</v>
      </c>
      <c r="Q73" s="32" t="n">
        <v>486.12</v>
      </c>
      <c r="R73" s="31" t="inlineStr">
        <is>
          <t>Near 52W High Breakout</t>
        </is>
      </c>
      <c r="S73" s="31" t="inlineStr">
        <is>
          <t>Nifty 50</t>
        </is>
      </c>
      <c r="T73" s="32" t="n">
        <v>-8.720000000000001</v>
      </c>
      <c r="U73" s="32" t="n">
        <v>77.68000000000001</v>
      </c>
      <c r="V73" s="32" t="n">
        <v>94.65000000000001</v>
      </c>
      <c r="W73" s="32" t="n">
        <v>21.1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IF(B74=0,"",RANK(B74,$B$2:$B$174,0))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VALIANTORG</t>
        </is>
      </c>
      <c r="D74" s="31" t="inlineStr">
        <is>
          <t>Valiant Organics Ltd</t>
        </is>
      </c>
      <c r="E74" s="31" t="inlineStr">
        <is>
          <t>chemicals</t>
        </is>
      </c>
      <c r="F74" s="31" t="inlineStr">
        <is>
          <t>chemicals</t>
        </is>
      </c>
      <c r="G74" s="31" t="inlineStr">
        <is>
          <t>smallcap</t>
        </is>
      </c>
      <c r="H74" s="32" t="n">
        <v>1111.01</v>
      </c>
      <c r="I74" s="32" t="n">
        <v>388.35</v>
      </c>
      <c r="J74" s="32" t="n">
        <v>-2.01</v>
      </c>
      <c r="K74" s="32" t="n">
        <v>74859</v>
      </c>
      <c r="L74" s="31" t="n">
        <v>29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67.95999999999999</v>
      </c>
      <c r="P74" s="32" t="n">
        <v>39.03</v>
      </c>
      <c r="Q74" s="32" t="n">
        <v>292.11</v>
      </c>
      <c r="R74" s="31" t="inlineStr">
        <is>
          <t>Near 52W High Breakout</t>
        </is>
      </c>
      <c r="S74" s="31" t="inlineStr">
        <is>
          <t>Nifty 50</t>
        </is>
      </c>
      <c r="T74" s="32" t="n">
        <v>-8.720000000000001</v>
      </c>
      <c r="U74" s="32" t="n">
        <v>4.79</v>
      </c>
      <c r="V74" s="32" t="n">
        <v>14.8</v>
      </c>
      <c r="W74" s="32" t="n">
        <v>9.66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IF(B75=0,"",RANK(B75,$B$2:$B$174,0))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RGL</t>
        </is>
      </c>
      <c r="D75" s="31" t="inlineStr">
        <is>
          <t>Renaissance Global Ltd</t>
        </is>
      </c>
      <c r="E75" s="31" t="inlineStr">
        <is>
          <t>consumer discretionary</t>
        </is>
      </c>
      <c r="F75" s="31" t="inlineStr">
        <is>
          <t>diamond cutting / jewellery</t>
        </is>
      </c>
      <c r="G75" s="31" t="inlineStr">
        <is>
          <t>smallcap</t>
        </is>
      </c>
      <c r="H75" s="32" t="n">
        <v>1669.47</v>
      </c>
      <c r="I75" s="32" t="n">
        <v>151.77</v>
      </c>
      <c r="J75" s="32" t="n">
        <v>-2.39</v>
      </c>
      <c r="K75" s="32" t="n">
        <v>1223848</v>
      </c>
      <c r="L75" s="31" t="n">
        <v>43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70.70999999999999</v>
      </c>
      <c r="P75" s="32" t="n">
        <v>28.29</v>
      </c>
      <c r="Q75" s="32" t="n">
        <v>116.33</v>
      </c>
      <c r="R75" s="31" t="inlineStr">
        <is>
          <t>Near 52W High Breakout</t>
        </is>
      </c>
      <c r="S75" s="31" t="inlineStr">
        <is>
          <t>Nifty 50</t>
        </is>
      </c>
      <c r="T75" s="32" t="n">
        <v>-8.720000000000001</v>
      </c>
      <c r="U75" s="32" t="n">
        <v>26.22</v>
      </c>
      <c r="V75" s="32" t="n">
        <v>38.28</v>
      </c>
      <c r="W75" s="32" t="n">
        <v>14.28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IF(B76=0,"",RANK(B76,$B$2:$B$174,0))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SUNDRMFAST</t>
        </is>
      </c>
      <c r="D76" s="31" t="inlineStr">
        <is>
          <t>Sundram Fasteners Limited</t>
        </is>
      </c>
      <c r="E76" s="31" t="inlineStr">
        <is>
          <t>auto</t>
        </is>
      </c>
      <c r="F76" s="31" t="inlineStr">
        <is>
          <t>auto ancillaries</t>
        </is>
      </c>
      <c r="G76" s="31" t="inlineStr">
        <is>
          <t>largecap</t>
        </is>
      </c>
      <c r="H76" s="32" t="n">
        <v>26686.3</v>
      </c>
      <c r="I76" s="32" t="n">
        <v>1237.3</v>
      </c>
      <c r="J76" s="32" t="n">
        <v>-2.57</v>
      </c>
      <c r="K76" s="32" t="n">
        <v>130043</v>
      </c>
      <c r="L76" s="31" t="n">
        <v>56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74.76000000000001</v>
      </c>
      <c r="P76" s="32" t="n">
        <v>44.21</v>
      </c>
      <c r="Q76" s="32" t="n">
        <v>1078</v>
      </c>
      <c r="R76" s="31" t="inlineStr">
        <is>
          <t>Near 52W High Breakout</t>
        </is>
      </c>
      <c r="S76" s="31" t="inlineStr">
        <is>
          <t>Nifty Auto</t>
        </is>
      </c>
      <c r="T76" s="32" t="n">
        <v>12.51</v>
      </c>
      <c r="U76" s="32" t="n">
        <v>24.38</v>
      </c>
      <c r="V76" s="32" t="n">
        <v>10.55</v>
      </c>
      <c r="W76" s="32" t="n">
        <v>17.84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Between 12 to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IF(B77=0,"",RANK(B77,$B$2:$B$174,0))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COMSYN</t>
        </is>
      </c>
      <c r="D77" s="31" t="inlineStr">
        <is>
          <t>Commercial Syn Bags Ltd</t>
        </is>
      </c>
      <c r="E77" s="31" t="inlineStr">
        <is>
          <t>industrials</t>
        </is>
      </c>
      <c r="F77" s="31" t="inlineStr">
        <is>
          <t>packaging</t>
        </is>
      </c>
      <c r="G77" s="31" t="inlineStr">
        <is>
          <t>smallcap</t>
        </is>
      </c>
      <c r="H77" s="32" t="n">
        <v>1206.75</v>
      </c>
      <c r="I77" s="32" t="n">
        <v>289.8</v>
      </c>
      <c r="J77" s="32" t="n">
        <v>-3.13</v>
      </c>
      <c r="K77" s="32" t="n">
        <v>208274</v>
      </c>
      <c r="L77" s="31" t="n">
        <v>82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75.23999999999999</v>
      </c>
      <c r="P77" s="32" t="n">
        <v>71.45</v>
      </c>
      <c r="Q77" s="32" t="n">
        <v>228.17</v>
      </c>
      <c r="R77" s="31" t="inlineStr">
        <is>
          <t>Near 52W High Breakout</t>
        </is>
      </c>
      <c r="S77" s="31" t="inlineStr">
        <is>
          <t>Nifty 50</t>
        </is>
      </c>
      <c r="T77" s="32" t="n">
        <v>-8.720000000000001</v>
      </c>
      <c r="U77" s="32" t="n">
        <v>87.04000000000001</v>
      </c>
      <c r="V77" s="32" t="n">
        <v>104.91</v>
      </c>
      <c r="W77" s="32" t="n">
        <v>32.13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IF(B78=0,"",RANK(B78,$B$2:$B$174,0))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INDORAMA</t>
        </is>
      </c>
      <c r="D78" s="31" t="inlineStr">
        <is>
          <t>Indo Rama Synthetics (india) Limited</t>
        </is>
      </c>
      <c r="E78" s="31" t="inlineStr">
        <is>
          <t>textiles</t>
        </is>
      </c>
      <c r="F78" s="31" t="inlineStr">
        <is>
          <t>textiles - manmade</t>
        </is>
      </c>
      <c r="G78" s="31" t="inlineStr">
        <is>
          <t>smallcap</t>
        </is>
      </c>
      <c r="H78" s="32" t="n">
        <v>2258.63</v>
      </c>
      <c r="I78" s="32" t="n">
        <v>82.81</v>
      </c>
      <c r="J78" s="32" t="n">
        <v>-4.27</v>
      </c>
      <c r="K78" s="32" t="n">
        <v>4750924</v>
      </c>
      <c r="L78" s="31" t="n">
        <v>83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77.03</v>
      </c>
      <c r="P78" s="32" t="n">
        <v>56.45</v>
      </c>
      <c r="Q78" s="32" t="n">
        <v>62.43</v>
      </c>
      <c r="R78" s="31" t="inlineStr">
        <is>
          <t>Volume Spike &amp; Near 52W High Breakout</t>
        </is>
      </c>
      <c r="S78" s="31" t="inlineStr">
        <is>
          <t>Nifty 50</t>
        </is>
      </c>
      <c r="T78" s="32" t="n">
        <v>-8.720000000000001</v>
      </c>
      <c r="U78" s="32" t="n">
        <v>55.8</v>
      </c>
      <c r="V78" s="32" t="n">
        <v>70.69</v>
      </c>
      <c r="W78" s="32" t="n">
        <v>32.35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More than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IF(B79=0,"",RANK(B79,$B$2:$B$174,0))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PAYTM</t>
        </is>
      </c>
      <c r="D79" s="31" t="inlineStr">
        <is>
          <t>One 97 Communications Ltd</t>
        </is>
      </c>
      <c r="E79" s="31" t="inlineStr">
        <is>
          <t>i.t</t>
        </is>
      </c>
      <c r="F79" s="31" t="inlineStr">
        <is>
          <t>miscellaneous</t>
        </is>
      </c>
      <c r="G79" s="31" t="inlineStr">
        <is>
          <t>largecap</t>
        </is>
      </c>
      <c r="H79" s="32" t="n">
        <v>115740.91</v>
      </c>
      <c r="I79" s="32" t="n">
        <v>1730</v>
      </c>
      <c r="J79" s="32" t="n">
        <v>-4.29</v>
      </c>
      <c r="K79" s="32" t="n">
        <v>3226150</v>
      </c>
      <c r="L79" s="31" t="n">
        <v>69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72.45999999999999</v>
      </c>
      <c r="P79" s="32" t="n">
        <v>30.25</v>
      </c>
      <c r="Q79" s="32" t="n">
        <v>1466.09</v>
      </c>
      <c r="R79" s="31" t="inlineStr">
        <is>
          <t>Near 52W High Breakout</t>
        </is>
      </c>
      <c r="S79" s="31" t="inlineStr">
        <is>
          <t>Nifty IT</t>
        </is>
      </c>
      <c r="T79" s="32" t="n">
        <v>-19.2</v>
      </c>
      <c r="U79" s="32" t="n">
        <v>46.96</v>
      </c>
      <c r="V79" s="32" t="n">
        <v>81.88</v>
      </c>
      <c r="W79" s="32" t="n">
        <v>22.64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IF(B80=0,"",RANK(B80,$B$2:$B$174,0))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STLTECH</t>
        </is>
      </c>
      <c r="D80" s="31" t="inlineStr">
        <is>
          <t>Sterlite Technologies Limited</t>
        </is>
      </c>
      <c r="E80" s="31" t="inlineStr">
        <is>
          <t>industrials</t>
        </is>
      </c>
      <c r="F80" s="31" t="inlineStr">
        <is>
          <t>cables - telephone</t>
        </is>
      </c>
      <c r="G80" s="31" t="inlineStr">
        <is>
          <t>largecap</t>
        </is>
      </c>
      <c r="H80" s="32" t="n">
        <v>46117.04</v>
      </c>
      <c r="I80" s="32" t="n">
        <v>852.55</v>
      </c>
      <c r="J80" s="32" t="n">
        <v>-5</v>
      </c>
      <c r="K80" s="32" t="n">
        <v>3615694</v>
      </c>
      <c r="L80" s="31" t="n">
        <v>98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76.90000000000001</v>
      </c>
      <c r="P80" s="32" t="n">
        <v>73.40000000000001</v>
      </c>
      <c r="Q80" s="32" t="n">
        <v>670.24</v>
      </c>
      <c r="R80" s="31" t="inlineStr">
        <is>
          <t>Near 52W High Breakout</t>
        </is>
      </c>
      <c r="S80" s="31" t="inlineStr">
        <is>
          <t>Nifty Infra</t>
        </is>
      </c>
      <c r="T80" s="32" t="n">
        <v>-1.72</v>
      </c>
      <c r="U80" s="32" t="n">
        <v>626.87</v>
      </c>
      <c r="V80" s="32" t="n">
        <v>639.58</v>
      </c>
      <c r="W80" s="32" t="n">
        <v>123.47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Between 0.7 to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IF(B81=0,"",RANK(B81,$B$2:$B$174,0))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PCJEWELLER</t>
        </is>
      </c>
      <c r="D81" s="31" t="inlineStr">
        <is>
          <t>Pc Jeweller Limited</t>
        </is>
      </c>
      <c r="E81" s="31" t="inlineStr">
        <is>
          <t>consumer discretionary</t>
        </is>
      </c>
      <c r="F81" s="31" t="inlineStr">
        <is>
          <t>diamond cutting / jewellery</t>
        </is>
      </c>
      <c r="G81" s="31" t="inlineStr">
        <is>
          <t>midcap</t>
        </is>
      </c>
      <c r="H81" s="32" t="n">
        <v>13303.43</v>
      </c>
      <c r="I81" s="32" t="n">
        <v>12.89</v>
      </c>
      <c r="J81" s="32" t="n">
        <v>-5.91</v>
      </c>
      <c r="K81" s="32" t="n">
        <v>356317461</v>
      </c>
      <c r="L81" s="31" t="n">
        <v>31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66.01000000000001</v>
      </c>
      <c r="P81" s="32" t="n">
        <v>26.83</v>
      </c>
      <c r="Q81" s="32" t="n">
        <v>10.02</v>
      </c>
      <c r="R81" s="31" t="inlineStr">
        <is>
          <t>Earnings / Momentum Support</t>
        </is>
      </c>
      <c r="S81" s="31" t="inlineStr">
        <is>
          <t>Nifty 50</t>
        </is>
      </c>
      <c r="T81" s="32" t="n">
        <v>-8.720000000000001</v>
      </c>
      <c r="U81" s="32" t="n">
        <v>-8.130000000000001</v>
      </c>
      <c r="V81" s="32" t="n">
        <v>0.65</v>
      </c>
      <c r="W81" s="32" t="n">
        <v>10.2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IF(B82=0,"",RANK(B82,$B$2:$B$174,0))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YATHARTH</t>
        </is>
      </c>
      <c r="D82" s="31" t="inlineStr">
        <is>
          <t>Yatharth Hospital &amp; Trauma Care Services Ltd</t>
        </is>
      </c>
      <c r="E82" s="31" t="inlineStr">
        <is>
          <t>healthcare</t>
        </is>
      </c>
      <c r="F82" s="31" t="inlineStr">
        <is>
          <t>healthcare</t>
        </is>
      </c>
      <c r="G82" s="31" t="inlineStr">
        <is>
          <t>midcap</t>
        </is>
      </c>
      <c r="H82" s="32" t="n">
        <v>9310.719999999999</v>
      </c>
      <c r="I82" s="32" t="n">
        <v>981.8</v>
      </c>
      <c r="J82" s="32" t="n">
        <v>1.6</v>
      </c>
      <c r="K82" s="32" t="n">
        <v>693776</v>
      </c>
      <c r="L82" s="31" t="n">
        <v>27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66.95</v>
      </c>
      <c r="P82" s="32" t="n">
        <v>42.17</v>
      </c>
      <c r="Q82" s="32" t="n">
        <v>794.41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15.44</v>
      </c>
      <c r="U82" s="32" t="n">
        <v>26.52</v>
      </c>
      <c r="V82" s="32" t="n">
        <v>9.6</v>
      </c>
      <c r="W82" s="32" t="n">
        <v>9.380000000000001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IF(B83=0,"",RANK(B83,$B$2:$B$174,0))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ABDL</t>
        </is>
      </c>
      <c r="D83" s="31" t="inlineStr">
        <is>
          <t>Allied Blenders &amp; Distillers Ltd</t>
        </is>
      </c>
      <c r="E83" s="31" t="inlineStr">
        <is>
          <t>fmcg</t>
        </is>
      </c>
      <c r="F83" s="31" t="inlineStr">
        <is>
          <t>breweries &amp; distilleries</t>
        </is>
      </c>
      <c r="G83" s="31" t="inlineStr">
        <is>
          <t>midcap</t>
        </is>
      </c>
      <c r="H83" s="32" t="n">
        <v>17691.67</v>
      </c>
      <c r="I83" s="32" t="n">
        <v>631.6</v>
      </c>
      <c r="J83" s="32" t="n">
        <v>-0.14</v>
      </c>
      <c r="K83" s="32" t="n">
        <v>522432</v>
      </c>
      <c r="L83" s="31" t="n">
        <v>37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59.45</v>
      </c>
      <c r="P83" s="32" t="n">
        <v>24.47</v>
      </c>
      <c r="Q83" s="32" t="n">
        <v>518.76</v>
      </c>
      <c r="R83" s="31" t="inlineStr">
        <is>
          <t>Near 52W High Breakout</t>
        </is>
      </c>
      <c r="S83" s="31" t="inlineStr">
        <is>
          <t>Nifty FMCG</t>
        </is>
      </c>
      <c r="T83" s="32" t="n">
        <v>-17.86</v>
      </c>
      <c r="U83" s="32" t="n">
        <v>38.57</v>
      </c>
      <c r="V83" s="32" t="n">
        <v>68.70999999999999</v>
      </c>
      <c r="W83" s="32" t="n">
        <v>11.94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B2C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IF(B84=0,"",RANK(B84,$B$2:$B$174,0))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SAILIFE</t>
        </is>
      </c>
      <c r="D84" s="31" t="inlineStr">
        <is>
          <t>Sai Life Sciences Ltd</t>
        </is>
      </c>
      <c r="E84" s="31" t="inlineStr">
        <is>
          <t>healthcare</t>
        </is>
      </c>
      <c r="F84" s="31" t="inlineStr">
        <is>
          <t>pharmaceuticals - indian - bulk drugs &amp; formln</t>
        </is>
      </c>
      <c r="G84" s="31" t="inlineStr">
        <is>
          <t>largecap</t>
        </is>
      </c>
      <c r="H84" s="32" t="n">
        <v>33647.33</v>
      </c>
      <c r="I84" s="32" t="n">
        <v>1541.5</v>
      </c>
      <c r="J84" s="32" t="n">
        <v>-2.74</v>
      </c>
      <c r="K84" s="32" t="n">
        <v>433185</v>
      </c>
      <c r="L84" s="31" t="n">
        <v>53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77.89</v>
      </c>
      <c r="P84" s="32" t="n">
        <v>46.7</v>
      </c>
      <c r="Q84" s="32" t="n">
        <v>1310.04</v>
      </c>
      <c r="R84" s="31" t="inlineStr">
        <is>
          <t>Near 52W High Breakout</t>
        </is>
      </c>
      <c r="S84" s="31" t="inlineStr">
        <is>
          <t>Nifty Pharma</t>
        </is>
      </c>
      <c r="T84" s="32" t="n">
        <v>15.44</v>
      </c>
      <c r="U84" s="32" t="n">
        <v>68.72</v>
      </c>
      <c r="V84" s="32" t="n">
        <v>46.16</v>
      </c>
      <c r="W84" s="32" t="n">
        <v>16.9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IF(B85=0,"",RANK(B85,$B$2:$B$174,0))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OPTIEMUS</t>
        </is>
      </c>
      <c r="D85" s="31" t="inlineStr">
        <is>
          <t>Optiemus Infracom Ltd</t>
        </is>
      </c>
      <c r="E85" s="31" t="inlineStr">
        <is>
          <t>telecom</t>
        </is>
      </c>
      <c r="F85" s="31" t="inlineStr">
        <is>
          <t>trading</t>
        </is>
      </c>
      <c r="G85" s="31" t="inlineStr">
        <is>
          <t>midcap</t>
        </is>
      </c>
      <c r="H85" s="32" t="n">
        <v>5105.68</v>
      </c>
      <c r="I85" s="32" t="n">
        <v>604.95</v>
      </c>
      <c r="J85" s="32" t="n">
        <v>6.83</v>
      </c>
      <c r="K85" s="32" t="n">
        <v>1979704</v>
      </c>
      <c r="L85" s="31" t="n">
        <v>29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62.5</v>
      </c>
      <c r="P85" s="32" t="n">
        <v>36.83</v>
      </c>
      <c r="Q85" s="32" t="n">
        <v>486.08</v>
      </c>
      <c r="R85" s="31" t="inlineStr">
        <is>
          <t>Volume Spike / Accumulation</t>
        </is>
      </c>
      <c r="S85" s="31" t="inlineStr">
        <is>
          <t>Nifty 50</t>
        </is>
      </c>
      <c r="T85" s="32" t="n">
        <v>-8.720000000000001</v>
      </c>
      <c r="U85" s="32" t="n">
        <v>-7.08</v>
      </c>
      <c r="V85" s="32" t="n">
        <v>1.8</v>
      </c>
      <c r="W85" s="32" t="n">
        <v>10.05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Between 1.5 to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IF(B86=0,"",RANK(B86,$B$2:$B$174,0))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MACPOWER</t>
        </is>
      </c>
      <c r="D86" s="31" t="inlineStr">
        <is>
          <t>Macpower CNC Machines Ltd</t>
        </is>
      </c>
      <c r="E86" s="31" t="inlineStr">
        <is>
          <t>industrials</t>
        </is>
      </c>
      <c r="F86" s="31" t="inlineStr">
        <is>
          <t>engineering</t>
        </is>
      </c>
      <c r="G86" s="31" t="inlineStr">
        <is>
          <t>smallcap</t>
        </is>
      </c>
      <c r="H86" s="32" t="n">
        <v>1843.77</v>
      </c>
      <c r="I86" s="32" t="n">
        <v>1882.3</v>
      </c>
      <c r="J86" s="32" t="n">
        <v>2.13</v>
      </c>
      <c r="K86" s="32" t="n">
        <v>51674</v>
      </c>
      <c r="L86" s="31" t="n">
        <v>80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70.88</v>
      </c>
      <c r="P86" s="32" t="n">
        <v>48.15</v>
      </c>
      <c r="Q86" s="32" t="n">
        <v>1477.66</v>
      </c>
      <c r="R86" s="31" t="inlineStr">
        <is>
          <t>Earnings / Momentum Support</t>
        </is>
      </c>
      <c r="S86" s="31" t="inlineStr">
        <is>
          <t>Nifty 50</t>
        </is>
      </c>
      <c r="T86" s="32" t="n">
        <v>-8.720000000000001</v>
      </c>
      <c r="U86" s="32" t="n">
        <v>116.78</v>
      </c>
      <c r="V86" s="32" t="n">
        <v>137.49</v>
      </c>
      <c r="W86" s="32" t="n">
        <v>31.55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IF(B87=0,"",RANK(B87,$B$2:$B$174,0))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NRAIL</t>
        </is>
      </c>
      <c r="D87" s="31" t="inlineStr">
        <is>
          <t>N R Agarwal Industries Ltd</t>
        </is>
      </c>
      <c r="E87" s="31" t="inlineStr">
        <is>
          <t>building materials</t>
        </is>
      </c>
      <c r="F87" s="31" t="inlineStr">
        <is>
          <t>paper</t>
        </is>
      </c>
      <c r="G87" s="31" t="inlineStr">
        <is>
          <t>smallcap</t>
        </is>
      </c>
      <c r="H87" s="32" t="n">
        <v>1068.63</v>
      </c>
      <c r="I87" s="32" t="n">
        <v>638.85</v>
      </c>
      <c r="J87" s="32" t="n">
        <v>1.74</v>
      </c>
      <c r="K87" s="32" t="n">
        <v>113606</v>
      </c>
      <c r="L87" s="31" t="n">
        <v>67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70.04000000000001</v>
      </c>
      <c r="P87" s="32" t="n">
        <v>35.87</v>
      </c>
      <c r="Q87" s="32" t="n">
        <v>470.4</v>
      </c>
      <c r="R87" s="31" t="inlineStr">
        <is>
          <t>Volume Spike &amp; Near 52W High Breakout</t>
        </is>
      </c>
      <c r="S87" s="31" t="inlineStr">
        <is>
          <t>Nifty Infra</t>
        </is>
      </c>
      <c r="T87" s="32" t="n">
        <v>-1.72</v>
      </c>
      <c r="U87" s="32" t="n">
        <v>86.29000000000001</v>
      </c>
      <c r="V87" s="32" t="n">
        <v>89.55</v>
      </c>
      <c r="W87" s="32" t="n">
        <v>21.92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Between 0.7 to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IF(B88=0,"",RANK(B88,$B$2:$B$174,0))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MVGJL</t>
        </is>
      </c>
      <c r="D88" s="31" t="inlineStr">
        <is>
          <t>Manoj Vaibhav Gems N Jewellers Ltd</t>
        </is>
      </c>
      <c r="E88" s="31" t="inlineStr">
        <is>
          <t>consumer discretionary</t>
        </is>
      </c>
      <c r="F88" s="31" t="inlineStr">
        <is>
          <t>diamond cutting / jewellery</t>
        </is>
      </c>
      <c r="G88" s="31" t="inlineStr">
        <is>
          <t>smallcap</t>
        </is>
      </c>
      <c r="H88" s="32" t="n">
        <v>964.1</v>
      </c>
      <c r="I88" s="32" t="n">
        <v>196.05</v>
      </c>
      <c r="J88" s="32" t="n">
        <v>-0.67</v>
      </c>
      <c r="K88" s="32" t="n">
        <v>407195</v>
      </c>
      <c r="L88" s="31" t="n">
        <v>23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63.87</v>
      </c>
      <c r="P88" s="32" t="n">
        <v>17.51</v>
      </c>
      <c r="Q88" s="32" t="n">
        <v>140.14</v>
      </c>
      <c r="R88" s="31" t="inlineStr">
        <is>
          <t>Near 52W High Breakout</t>
        </is>
      </c>
      <c r="S88" s="31" t="inlineStr">
        <is>
          <t>Nifty 50</t>
        </is>
      </c>
      <c r="T88" s="32" t="n">
        <v>-8.720000000000001</v>
      </c>
      <c r="U88" s="32" t="n">
        <v>-2.99</v>
      </c>
      <c r="V88" s="32" t="n">
        <v>6.28</v>
      </c>
      <c r="W88" s="32" t="n">
        <v>7.48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0 to 20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IF(B89=0,"",RANK(B89,$B$2:$B$174,0))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MMP</t>
        </is>
      </c>
      <c r="D89" s="31" t="inlineStr">
        <is>
          <t>MMP Industries Ltd</t>
        </is>
      </c>
      <c r="E89" s="31" t="inlineStr">
        <is>
          <t>metals &amp; mining</t>
        </is>
      </c>
      <c r="F89" s="31" t="inlineStr">
        <is>
          <t>aluminium and aluminium products</t>
        </is>
      </c>
      <c r="G89" s="31" t="inlineStr">
        <is>
          <t>smallcap</t>
        </is>
      </c>
      <c r="H89" s="32" t="n">
        <v>889.1799999999999</v>
      </c>
      <c r="I89" s="32" t="n">
        <v>457.7</v>
      </c>
      <c r="J89" s="32" t="n">
        <v>-2.61</v>
      </c>
      <c r="K89" s="32" t="n">
        <v>68004</v>
      </c>
      <c r="L89" s="31" t="n">
        <v>81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80.66</v>
      </c>
      <c r="P89" s="32" t="n">
        <v>52.91</v>
      </c>
      <c r="Q89" s="32" t="n">
        <v>356.94</v>
      </c>
      <c r="R89" s="31" t="inlineStr">
        <is>
          <t>Near 52W High Breakout</t>
        </is>
      </c>
      <c r="S89" s="31" t="inlineStr">
        <is>
          <t>Nifty Metal</t>
        </is>
      </c>
      <c r="T89" s="32" t="n">
        <v>34.42</v>
      </c>
      <c r="U89" s="32" t="n">
        <v>70.06</v>
      </c>
      <c r="V89" s="32" t="n">
        <v>26.52</v>
      </c>
      <c r="W89" s="32" t="n">
        <v>31.96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IF(B90=0,"",RANK(B90,$B$2:$B$174,0))</f>
        <v/>
      </c>
      <c r="B90" s="32">
        <f>SUM(N90,Y90,AA90,AC90,AE90,AG90,AI90,AK90,AM90,AO90,AQ90,AS90,AU90,AW90,AY90,BA90,BC90,BE90,BG90,BI90,BK90,BM90,BO90,BQ90,BS90,BU90,BW90,BY90,CA90,CC90,CE90)</f>
        <v/>
      </c>
      <c r="C90" s="33" t="inlineStr">
        <is>
          <t>PPL</t>
        </is>
      </c>
      <c r="D90" s="33" t="inlineStr">
        <is>
          <t>Prakash Pipes Ltd</t>
        </is>
      </c>
      <c r="E90" s="31" t="inlineStr">
        <is>
          <t>plastic products</t>
        </is>
      </c>
      <c r="F90" s="31" t="inlineStr">
        <is>
          <t>plastics products</t>
        </is>
      </c>
      <c r="G90" s="31" t="inlineStr">
        <is>
          <t>smallcap</t>
        </is>
      </c>
      <c r="H90" s="32" t="n">
        <v>682.99</v>
      </c>
      <c r="I90" s="32" t="n">
        <v>277.45</v>
      </c>
      <c r="J90" s="32" t="n">
        <v>-2.84</v>
      </c>
      <c r="K90" s="32" t="n">
        <v>35468</v>
      </c>
      <c r="L90" s="31" t="n">
        <v>8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58.17</v>
      </c>
      <c r="P90" s="32" t="n">
        <v>34.8</v>
      </c>
      <c r="Q90" s="32" t="n">
        <v>216.38</v>
      </c>
      <c r="R90" s="31" t="inlineStr">
        <is>
          <t>Earnings / Momentum Support</t>
        </is>
      </c>
      <c r="S90" s="31" t="inlineStr">
        <is>
          <t>Nifty 50</t>
        </is>
      </c>
      <c r="T90" s="32" t="n">
        <v>-8.720000000000001</v>
      </c>
      <c r="U90" s="32" t="n">
        <v>-12.67</v>
      </c>
      <c r="V90" s="32" t="n">
        <v>-4.33</v>
      </c>
      <c r="W90" s="32" t="n">
        <v>1.06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IF(B91=0,"",RANK(B91,$B$2:$B$174,0))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OAL</t>
        </is>
      </c>
      <c r="D91" s="31" t="inlineStr">
        <is>
          <t>Oriental Aromatics Ltd</t>
        </is>
      </c>
      <c r="E91" s="31" t="inlineStr">
        <is>
          <t>chemicals</t>
        </is>
      </c>
      <c r="F91" s="31" t="inlineStr">
        <is>
          <t>chemicals</t>
        </is>
      </c>
      <c r="G91" s="31" t="inlineStr">
        <is>
          <t>smallcap</t>
        </is>
      </c>
      <c r="H91" s="32" t="n">
        <v>1790.71</v>
      </c>
      <c r="I91" s="32" t="n">
        <v>510.95</v>
      </c>
      <c r="J91" s="32" t="n">
        <v>-3.97</v>
      </c>
      <c r="K91" s="32" t="n">
        <v>101439</v>
      </c>
      <c r="L91" s="31" t="n">
        <v>64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72.33</v>
      </c>
      <c r="P91" s="32" t="n">
        <v>36</v>
      </c>
      <c r="Q91" s="32" t="n">
        <v>390.48</v>
      </c>
      <c r="R91" s="31" t="inlineStr">
        <is>
          <t>Near 52W High Breakout</t>
        </is>
      </c>
      <c r="S91" s="31" t="inlineStr">
        <is>
          <t>Nifty 50</t>
        </is>
      </c>
      <c r="T91" s="32" t="n">
        <v>-8.720000000000001</v>
      </c>
      <c r="U91" s="32" t="n">
        <v>45.89</v>
      </c>
      <c r="V91" s="32" t="n">
        <v>59.82</v>
      </c>
      <c r="W91" s="32" t="n">
        <v>20.74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IF(B92=0,"",RANK(B92,$B$2:$B$174,0))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PVP</t>
        </is>
      </c>
      <c r="D92" s="31" t="inlineStr">
        <is>
          <t>Pvp Ventures Limited</t>
        </is>
      </c>
      <c r="E92" s="31" t="inlineStr">
        <is>
          <t>realty</t>
        </is>
      </c>
      <c r="F92" s="31" t="inlineStr">
        <is>
          <t>construction</t>
        </is>
      </c>
      <c r="G92" s="31" t="inlineStr">
        <is>
          <t>smallcap</t>
        </is>
      </c>
      <c r="H92" s="32" t="n">
        <v>1687.94</v>
      </c>
      <c r="I92" s="32" t="n">
        <v>61.58</v>
      </c>
      <c r="J92" s="32" t="n">
        <v>-5</v>
      </c>
      <c r="K92" s="32" t="n">
        <v>853205</v>
      </c>
      <c r="L92" s="31" t="n">
        <v>91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73.26000000000001</v>
      </c>
      <c r="P92" s="32" t="n">
        <v>32.9</v>
      </c>
      <c r="Q92" s="32" t="n">
        <v>49.55</v>
      </c>
      <c r="R92" s="31" t="inlineStr">
        <is>
          <t>Earnings / Momentum Support</t>
        </is>
      </c>
      <c r="S92" s="31" t="inlineStr">
        <is>
          <t>Nifty Realty</t>
        </is>
      </c>
      <c r="T92" s="32" t="n">
        <v>-14.34</v>
      </c>
      <c r="U92" s="32" t="n">
        <v>191.57</v>
      </c>
      <c r="V92" s="32" t="n">
        <v>240.4</v>
      </c>
      <c r="W92" s="32" t="n">
        <v>45.81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IF(B93=0,"",RANK(B93,$B$2:$B$174,0))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FINCABLES</t>
        </is>
      </c>
      <c r="D93" s="31" t="inlineStr">
        <is>
          <t>Finolex Cables Limited</t>
        </is>
      </c>
      <c r="E93" s="31" t="inlineStr">
        <is>
          <t>industrials</t>
        </is>
      </c>
      <c r="F93" s="31" t="inlineStr">
        <is>
          <t>cables - power</t>
        </is>
      </c>
      <c r="G93" s="31" t="inlineStr">
        <is>
          <t>largecap</t>
        </is>
      </c>
      <c r="H93" s="32" t="n">
        <v>21778.56</v>
      </c>
      <c r="I93" s="32" t="n">
        <v>1339.9</v>
      </c>
      <c r="J93" s="32" t="n">
        <v>-5.91</v>
      </c>
      <c r="K93" s="32" t="n">
        <v>1266116</v>
      </c>
      <c r="L93" s="31" t="n">
        <v>60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64.20999999999999</v>
      </c>
      <c r="P93" s="32" t="n">
        <v>37.6</v>
      </c>
      <c r="Q93" s="32" t="n">
        <v>1076.51</v>
      </c>
      <c r="R93" s="31" t="inlineStr">
        <is>
          <t>Earnings / Momentum Support</t>
        </is>
      </c>
      <c r="S93" s="31" t="inlineStr">
        <is>
          <t>Nifty Energy</t>
        </is>
      </c>
      <c r="T93" s="32" t="n">
        <v>5.38</v>
      </c>
      <c r="U93" s="32" t="n">
        <v>51.61</v>
      </c>
      <c r="V93" s="32" t="n">
        <v>43.87</v>
      </c>
      <c r="W93" s="32" t="n">
        <v>18.47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IF(B94=0,"",RANK(B94,$B$2:$B$174,0))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FCL</t>
        </is>
      </c>
      <c r="D94" s="31" t="inlineStr">
        <is>
          <t>Fineotex Chemical Limited</t>
        </is>
      </c>
      <c r="E94" s="31" t="inlineStr">
        <is>
          <t>chemicals</t>
        </is>
      </c>
      <c r="F94" s="31" t="inlineStr">
        <is>
          <t>chemicals</t>
        </is>
      </c>
      <c r="G94" s="31" t="inlineStr">
        <is>
          <t>midcap</t>
        </is>
      </c>
      <c r="H94" s="32" t="n">
        <v>6721.5</v>
      </c>
      <c r="I94" s="32" t="n">
        <v>53.88</v>
      </c>
      <c r="J94" s="32" t="n">
        <v>-6.65</v>
      </c>
      <c r="K94" s="32" t="n">
        <v>29470137</v>
      </c>
      <c r="L94" s="31" t="n">
        <v>76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72.28</v>
      </c>
      <c r="P94" s="32" t="n">
        <v>49.78</v>
      </c>
      <c r="Q94" s="32" t="n">
        <v>43.07</v>
      </c>
      <c r="R94" s="31" t="inlineStr">
        <is>
          <t>Earnings / Momentum Support</t>
        </is>
      </c>
      <c r="S94" s="31" t="inlineStr">
        <is>
          <t>Nifty 50</t>
        </is>
      </c>
      <c r="T94" s="32" t="n">
        <v>-8.720000000000001</v>
      </c>
      <c r="U94" s="32" t="n">
        <v>129.61</v>
      </c>
      <c r="V94" s="32" t="n">
        <v>151.54</v>
      </c>
      <c r="W94" s="32" t="n">
        <v>28.13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IF(B95=0,"",RANK(B95,$B$2:$B$174,0))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KABRAEXTRU</t>
        </is>
      </c>
      <c r="D95" s="31" t="inlineStr">
        <is>
          <t>Kabra Extrusion Technik Limited</t>
        </is>
      </c>
      <c r="E95" s="31" t="inlineStr">
        <is>
          <t>industrials</t>
        </is>
      </c>
      <c r="F95" s="31" t="inlineStr">
        <is>
          <t>engineering</t>
        </is>
      </c>
      <c r="G95" s="31" t="inlineStr">
        <is>
          <t>smallcap</t>
        </is>
      </c>
      <c r="H95" s="32" t="n">
        <v>2529.06</v>
      </c>
      <c r="I95" s="32" t="n">
        <v>650.85</v>
      </c>
      <c r="J95" s="32" t="n">
        <v>-10</v>
      </c>
      <c r="K95" s="32" t="n">
        <v>313142</v>
      </c>
      <c r="L95" s="31" t="n">
        <v>96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76.18000000000001</v>
      </c>
      <c r="P95" s="32" t="n">
        <v>61.02</v>
      </c>
      <c r="Q95" s="32" t="n">
        <v>555.79</v>
      </c>
      <c r="R95" s="31" t="inlineStr">
        <is>
          <t>Earnings / Momentum Support</t>
        </is>
      </c>
      <c r="S95" s="31" t="inlineStr">
        <is>
          <t>Nifty Infra</t>
        </is>
      </c>
      <c r="T95" s="32" t="n">
        <v>-1.72</v>
      </c>
      <c r="U95" s="32" t="n">
        <v>123.81</v>
      </c>
      <c r="V95" s="32" t="n">
        <v>127.73</v>
      </c>
      <c r="W95" s="32" t="n">
        <v>65.08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IF(B96=0,"",RANK(B96,$B$2:$B$174,0))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KOPRAN</t>
        </is>
      </c>
      <c r="D96" s="31" t="inlineStr">
        <is>
          <t>Kopran Limited</t>
        </is>
      </c>
      <c r="E96" s="31" t="inlineStr">
        <is>
          <t>healthcare</t>
        </is>
      </c>
      <c r="F96" s="31" t="inlineStr">
        <is>
          <t>pharmaceuticals - indian - bulk drugs &amp; formln</t>
        </is>
      </c>
      <c r="G96" s="31" t="inlineStr">
        <is>
          <t>smallcap</t>
        </is>
      </c>
      <c r="H96" s="32" t="n">
        <v>1135.97</v>
      </c>
      <c r="I96" s="32" t="n">
        <v>249.9</v>
      </c>
      <c r="J96" s="32" t="n">
        <v>6.22</v>
      </c>
      <c r="K96" s="32" t="n">
        <v>15857726</v>
      </c>
      <c r="L96" s="31" t="n">
        <v>60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74.27</v>
      </c>
      <c r="P96" s="32" t="n">
        <v>41.79</v>
      </c>
      <c r="Q96" s="32" t="n">
        <v>184.8</v>
      </c>
      <c r="R96" s="31" t="inlineStr">
        <is>
          <t>Volume Spike &amp; Near 52W High Breakout</t>
        </is>
      </c>
      <c r="S96" s="31" t="inlineStr">
        <is>
          <t>Nifty Pharma</t>
        </is>
      </c>
      <c r="T96" s="32" t="n">
        <v>15.44</v>
      </c>
      <c r="U96" s="32" t="n">
        <v>47.43</v>
      </c>
      <c r="V96" s="32" t="n">
        <v>27.71</v>
      </c>
      <c r="W96" s="32" t="n">
        <v>18.5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Less than 12%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IF(B97=0,"",RANK(B97,$B$2:$B$174,0))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CUPID</t>
        </is>
      </c>
      <c r="D97" s="31" t="inlineStr">
        <is>
          <t>Cupid Limited</t>
        </is>
      </c>
      <c r="E97" s="31" t="inlineStr">
        <is>
          <t>fmcg</t>
        </is>
      </c>
      <c r="F97" s="31" t="inlineStr">
        <is>
          <t>personal care - indian</t>
        </is>
      </c>
      <c r="G97" s="31" t="inlineStr">
        <is>
          <t>largecap</t>
        </is>
      </c>
      <c r="H97" s="32" t="n">
        <v>37650.5</v>
      </c>
      <c r="I97" s="32" t="n">
        <v>284.4</v>
      </c>
      <c r="J97" s="32" t="n">
        <v>1.57</v>
      </c>
      <c r="K97" s="32" t="n">
        <v>10885946</v>
      </c>
      <c r="L97" s="31" t="n">
        <v>98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85.31</v>
      </c>
      <c r="P97" s="32" t="n">
        <v>72.55</v>
      </c>
      <c r="Q97" s="32" t="n">
        <v>231.09</v>
      </c>
      <c r="R97" s="31" t="inlineStr">
        <is>
          <t>Near 52W High Breakout</t>
        </is>
      </c>
      <c r="S97" s="31" t="inlineStr">
        <is>
          <t>Nifty FMCG</t>
        </is>
      </c>
      <c r="T97" s="32" t="n">
        <v>-17.86</v>
      </c>
      <c r="U97" s="32" t="n">
        <v>861.4</v>
      </c>
      <c r="V97" s="32" t="n">
        <v>1070.49</v>
      </c>
      <c r="W97" s="32" t="n">
        <v>94.65000000000001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B2C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IF(B98=0,"",RANK(B98,$B$2:$B$174,0))</f>
        <v/>
      </c>
      <c r="B98" s="32">
        <f>SUM(N98,Y98,AA98,AC98,AE98,AG98,AI98,AK98,AM98,AO98,AQ98,AS98,AU98,AW98,AY98,BA98,BC98,BE98,BG98,BI98,BK98,BM98,BO98,BQ98,BS98,BU98,BW98,BY98,CA98,CC98,CE98)</f>
        <v/>
      </c>
      <c r="C98" s="33" t="inlineStr">
        <is>
          <t>ANTHEM</t>
        </is>
      </c>
      <c r="D98" s="33" t="inlineStr">
        <is>
          <t>Anthem Biosciences Ltd</t>
        </is>
      </c>
      <c r="E98" s="31" t="inlineStr">
        <is>
          <t>healthcare</t>
        </is>
      </c>
      <c r="F98" s="31" t="inlineStr">
        <is>
          <t>pharmaceuticals - indian - bulk drugs &amp; formln</t>
        </is>
      </c>
      <c r="G98" s="31" t="inlineStr">
        <is>
          <t>largecap</t>
        </is>
      </c>
      <c r="H98" s="32" t="n">
        <v>53008.87</v>
      </c>
      <c r="I98" s="32" t="n">
        <v>942.85</v>
      </c>
      <c r="J98" s="32" t="n">
        <v>0.21</v>
      </c>
      <c r="K98" s="32" t="n">
        <v>599280</v>
      </c>
      <c r="L98" s="31" t="n">
        <v>22</v>
      </c>
      <c r="M98" s="31" t="inlineStr">
        <is>
          <t>Underperforming</t>
        </is>
      </c>
      <c r="N98" s="32">
        <f>IF(M98="Underperforming",-5,IF(L98&gt;=95,15,IF(L98&gt;=90,10,IF(L98&gt;=80,5,0))))</f>
        <v/>
      </c>
      <c r="O98" s="32" t="n">
        <v>73.29000000000001</v>
      </c>
      <c r="P98" s="32" t="n">
        <v>48.05</v>
      </c>
      <c r="Q98" s="32" t="n">
        <v>792.62</v>
      </c>
      <c r="R98" s="31" t="inlineStr">
        <is>
          <t>Near 52W High Breakout</t>
        </is>
      </c>
      <c r="S98" s="31" t="inlineStr">
        <is>
          <t>Nifty Pharma</t>
        </is>
      </c>
      <c r="T98" s="32" t="n">
        <v>15.44</v>
      </c>
      <c r="U98" s="32" t="n">
        <v>11.73</v>
      </c>
      <c r="V98" s="32" t="n">
        <v>-3.21</v>
      </c>
      <c r="W98" s="32" t="n">
        <v>7.38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Less than 12%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IF(B99=0,"",RANK(B99,$B$2:$B$174,0))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ZYDUSWELL</t>
        </is>
      </c>
      <c r="D99" s="31" t="inlineStr">
        <is>
          <t>Zydus Wellness Limited</t>
        </is>
      </c>
      <c r="E99" s="31" t="inlineStr">
        <is>
          <t>fmcg</t>
        </is>
      </c>
      <c r="F99" s="31" t="inlineStr">
        <is>
          <t>food - processing - indian</t>
        </is>
      </c>
      <c r="G99" s="31" t="inlineStr">
        <is>
          <t>midcap</t>
        </is>
      </c>
      <c r="H99" s="32" t="n">
        <v>17562.47</v>
      </c>
      <c r="I99" s="32" t="n">
        <v>549.95</v>
      </c>
      <c r="J99" s="32" t="n">
        <v>-0.37</v>
      </c>
      <c r="K99" s="32" t="n">
        <v>260004</v>
      </c>
      <c r="L99" s="31" t="n">
        <v>24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57.43</v>
      </c>
      <c r="P99" s="32" t="n">
        <v>40.4</v>
      </c>
      <c r="Q99" s="32" t="n">
        <v>476.6</v>
      </c>
      <c r="R99" s="31" t="inlineStr">
        <is>
          <t>Earnings / Momentum Support</t>
        </is>
      </c>
      <c r="S99" s="31" t="inlineStr">
        <is>
          <t>Nifty FMCG</t>
        </is>
      </c>
      <c r="T99" s="32" t="n">
        <v>-17.86</v>
      </c>
      <c r="U99" s="32" t="n">
        <v>31.04</v>
      </c>
      <c r="V99" s="32" t="n">
        <v>59.54</v>
      </c>
      <c r="W99" s="32" t="n">
        <v>8.69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B2C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IF(B100=0,"",RANK(B100,$B$2:$B$174,0))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STAR</t>
        </is>
      </c>
      <c r="D100" s="31" t="inlineStr">
        <is>
          <t>Strides Shasun Limited</t>
        </is>
      </c>
      <c r="E100" s="31" t="inlineStr">
        <is>
          <t>healthcare</t>
        </is>
      </c>
      <c r="F100" s="31" t="inlineStr">
        <is>
          <t>pharmaceuticals - indian - bulk drugs &amp; formln</t>
        </is>
      </c>
      <c r="G100" s="31" t="inlineStr">
        <is>
          <t>midcap</t>
        </is>
      </c>
      <c r="H100" s="32" t="n">
        <v>10907.72</v>
      </c>
      <c r="I100" s="32" t="n">
        <v>1150.6</v>
      </c>
      <c r="J100" s="32" t="n">
        <v>-2.77</v>
      </c>
      <c r="K100" s="32" t="n">
        <v>421480</v>
      </c>
      <c r="L100" s="31" t="n">
        <v>21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61.41</v>
      </c>
      <c r="P100" s="32" t="n">
        <v>12.87</v>
      </c>
      <c r="Q100" s="32" t="n">
        <v>913.41</v>
      </c>
      <c r="R100" s="31" t="inlineStr">
        <is>
          <t>Near 52W High Breakout</t>
        </is>
      </c>
      <c r="S100" s="31" t="inlineStr">
        <is>
          <t>Nifty Pharma</t>
        </is>
      </c>
      <c r="T100" s="32" t="n">
        <v>15.44</v>
      </c>
      <c r="U100" s="32" t="n">
        <v>32.72</v>
      </c>
      <c r="V100" s="32" t="n">
        <v>14.97</v>
      </c>
      <c r="W100" s="32" t="n">
        <v>7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0 to 20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IF(B101=0,"",RANK(B101,$B$2:$B$174,0))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MOREPENLAB</t>
        </is>
      </c>
      <c r="D101" s="31" t="inlineStr">
        <is>
          <t>Morepen Laboratories Limited</t>
        </is>
      </c>
      <c r="E101" s="31" t="inlineStr">
        <is>
          <t>healthcare</t>
        </is>
      </c>
      <c r="F101" s="31" t="inlineStr">
        <is>
          <t>pharmaceuticals - indian - bulk drugs &amp; formln</t>
        </is>
      </c>
      <c r="G101" s="31" t="inlineStr">
        <is>
          <t>midcap</t>
        </is>
      </c>
      <c r="H101" s="32" t="n">
        <v>6344.21</v>
      </c>
      <c r="I101" s="32" t="n">
        <v>106.22</v>
      </c>
      <c r="J101" s="32" t="n">
        <v>-8.26</v>
      </c>
      <c r="K101" s="32" t="n">
        <v>18625874</v>
      </c>
      <c r="L101" s="31" t="n">
        <v>90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76.36</v>
      </c>
      <c r="P101" s="32" t="n">
        <v>55.16</v>
      </c>
      <c r="Q101" s="32" t="n">
        <v>87.63</v>
      </c>
      <c r="R101" s="31" t="inlineStr">
        <is>
          <t>Earnings / Momentum Support</t>
        </is>
      </c>
      <c r="S101" s="31" t="inlineStr">
        <is>
          <t>Nifty Pharma</t>
        </is>
      </c>
      <c r="T101" s="32" t="n">
        <v>15.44</v>
      </c>
      <c r="U101" s="32" t="n">
        <v>96.2</v>
      </c>
      <c r="V101" s="32" t="n">
        <v>69.95999999999999</v>
      </c>
      <c r="W101" s="32" t="n">
        <v>45.8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Yes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IF(B102=0,"",RANK(B102,$B$2:$B$174,0))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NOVARTIND</t>
        </is>
      </c>
      <c r="D102" s="31" t="inlineStr">
        <is>
          <t>Novartis India Ltd</t>
        </is>
      </c>
      <c r="E102" s="31" t="inlineStr">
        <is>
          <t>healthcare</t>
        </is>
      </c>
      <c r="F102" s="31" t="inlineStr">
        <is>
          <t>pharmaceuticals - multinational</t>
        </is>
      </c>
      <c r="G102" s="31" t="inlineStr">
        <is>
          <t>midcap</t>
        </is>
      </c>
      <c r="H102" s="32" t="n">
        <v>5904.31</v>
      </c>
      <c r="I102" s="32" t="n">
        <v>2188</v>
      </c>
      <c r="J102" s="32" t="n">
        <v>-8.5</v>
      </c>
      <c r="K102" s="32" t="n">
        <v>135595</v>
      </c>
      <c r="L102" s="31" t="n">
        <v>84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71.42</v>
      </c>
      <c r="P102" s="32" t="n">
        <v>66.22</v>
      </c>
      <c r="Q102" s="32" t="n">
        <v>1786.46</v>
      </c>
      <c r="R102" s="31" t="inlineStr">
        <is>
          <t>Earnings / Momentum Support</t>
        </is>
      </c>
      <c r="S102" s="31" t="inlineStr">
        <is>
          <t>Nifty Pharma</t>
        </is>
      </c>
      <c r="T102" s="32" t="n">
        <v>15.44</v>
      </c>
      <c r="U102" s="32" t="n">
        <v>141.58</v>
      </c>
      <c r="V102" s="32" t="n">
        <v>109.28</v>
      </c>
      <c r="W102" s="32" t="n">
        <v>33.9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Yes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Annuity, Lower One Time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Between 12 to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IF(B103=0,"",RANK(B103,$B$2:$B$174,0))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SPECTRUM</t>
        </is>
      </c>
      <c r="D103" s="31" t="inlineStr">
        <is>
          <t>Spectrum Electrical Industries Ltd</t>
        </is>
      </c>
      <c r="E103" s="31" t="inlineStr">
        <is>
          <t>industrials</t>
        </is>
      </c>
      <c r="F103" s="31" t="inlineStr">
        <is>
          <t>electric equipment</t>
        </is>
      </c>
      <c r="G103" s="31" t="inlineStr">
        <is>
          <t>smallcap</t>
        </is>
      </c>
      <c r="H103" s="32" t="n">
        <v>4749.51</v>
      </c>
      <c r="I103" s="32" t="n">
        <v>3173.6</v>
      </c>
      <c r="J103" s="32" t="n">
        <v>5</v>
      </c>
      <c r="K103" s="32" t="n">
        <v>29046</v>
      </c>
      <c r="L103" s="31" t="n">
        <v>86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79.42</v>
      </c>
      <c r="P103" s="32" t="n">
        <v>61.42</v>
      </c>
      <c r="Q103" s="32" t="n">
        <v>2348.66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-8.720000000000001</v>
      </c>
      <c r="U103" s="32" t="n">
        <v>128.71</v>
      </c>
      <c r="V103" s="32" t="n">
        <v>150.56</v>
      </c>
      <c r="W103" s="32" t="n">
        <v>36.66</v>
      </c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Between 0.7 to 1.2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IF(B104=0,"",RANK(B104,$B$2:$B$174,0))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FOSECOIND</t>
        </is>
      </c>
      <c r="D104" s="31" t="inlineStr">
        <is>
          <t>Foseco India Limited</t>
        </is>
      </c>
      <c r="E104" s="31" t="inlineStr">
        <is>
          <t>chemicals</t>
        </is>
      </c>
      <c r="F104" s="31" t="inlineStr">
        <is>
          <t>chemicals</t>
        </is>
      </c>
      <c r="G104" s="31" t="inlineStr">
        <is>
          <t>smallcap</t>
        </is>
      </c>
      <c r="H104" s="32" t="n">
        <v>4668.96</v>
      </c>
      <c r="I104" s="32" t="n">
        <v>6223.5</v>
      </c>
      <c r="J104" s="32" t="n">
        <v>0.47</v>
      </c>
      <c r="K104" s="32" t="n">
        <v>11949</v>
      </c>
      <c r="L104" s="31" t="n">
        <v>17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66.68000000000001</v>
      </c>
      <c r="P104" s="32" t="n">
        <v>29.54</v>
      </c>
      <c r="Q104" s="32" t="n">
        <v>5040.78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-8.720000000000001</v>
      </c>
      <c r="U104" s="32" t="n">
        <v>3.65</v>
      </c>
      <c r="V104" s="32" t="n">
        <v>13.55</v>
      </c>
      <c r="W104" s="32" t="n">
        <v>5.05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Less than 12%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IF(B105=0,"",RANK(B105,$B$2:$B$174,0))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LUMAXTECH</t>
        </is>
      </c>
      <c r="D105" s="31" t="inlineStr">
        <is>
          <t>Lumax Auto Technologies Limited</t>
        </is>
      </c>
      <c r="E105" s="31" t="inlineStr">
        <is>
          <t>auto</t>
        </is>
      </c>
      <c r="F105" s="31" t="inlineStr">
        <is>
          <t>auto ancillaries</t>
        </is>
      </c>
      <c r="G105" s="31" t="inlineStr">
        <is>
          <t>midcap</t>
        </is>
      </c>
      <c r="H105" s="32" t="n">
        <v>13588.6</v>
      </c>
      <c r="I105" s="32" t="n">
        <v>1991.3</v>
      </c>
      <c r="J105" s="32" t="n">
        <v>-0.12</v>
      </c>
      <c r="K105" s="32" t="n">
        <v>233217</v>
      </c>
      <c r="L105" s="31" t="n">
        <v>55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64.79000000000001</v>
      </c>
      <c r="P105" s="32" t="n">
        <v>21.98</v>
      </c>
      <c r="Q105" s="32" t="n">
        <v>1556.43</v>
      </c>
      <c r="R105" s="31" t="inlineStr">
        <is>
          <t>Near 52W High Breakout</t>
        </is>
      </c>
      <c r="S105" s="31" t="inlineStr">
        <is>
          <t>Nifty Auto</t>
        </is>
      </c>
      <c r="T105" s="32" t="n">
        <v>12.51</v>
      </c>
      <c r="U105" s="32" t="n">
        <v>93.5</v>
      </c>
      <c r="V105" s="32" t="n">
        <v>71.98</v>
      </c>
      <c r="W105" s="32" t="n">
        <v>17.58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Between 0.7 to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IF(B106=0,"",RANK(B106,$B$2:$B$174,0))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DYNAMATECH</t>
        </is>
      </c>
      <c r="D106" s="31" t="inlineStr">
        <is>
          <t>Dynamatic Technologies Limited</t>
        </is>
      </c>
      <c r="E106" s="31" t="inlineStr">
        <is>
          <t>aerospace &amp; defence</t>
        </is>
      </c>
      <c r="F106" s="31" t="inlineStr">
        <is>
          <t>engineering</t>
        </is>
      </c>
      <c r="G106" s="31" t="inlineStr">
        <is>
          <t>midcap</t>
        </is>
      </c>
      <c r="H106" s="32" t="n">
        <v>8215.610000000001</v>
      </c>
      <c r="I106" s="32" t="n">
        <v>12071</v>
      </c>
      <c r="J106" s="32" t="n">
        <v>-0.21</v>
      </c>
      <c r="K106" s="32" t="n">
        <v>22745</v>
      </c>
      <c r="L106" s="31" t="n">
        <v>39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61.77</v>
      </c>
      <c r="P106" s="32" t="n">
        <v>24.65</v>
      </c>
      <c r="Q106" s="32" t="n">
        <v>9145.719999999999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-8.720000000000001</v>
      </c>
      <c r="U106" s="32" t="n">
        <v>67.8</v>
      </c>
      <c r="V106" s="32" t="n">
        <v>83.83</v>
      </c>
      <c r="W106" s="32" t="n">
        <v>13.58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Between 0.7 to 1.2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IF(B107=0,"",RANK(B107,$B$2:$B$174,0))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RAYMOND</t>
        </is>
      </c>
      <c r="D107" s="31" t="inlineStr">
        <is>
          <t>Raymond Limited</t>
        </is>
      </c>
      <c r="E107" s="31" t="inlineStr">
        <is>
          <t>transportation</t>
        </is>
      </c>
      <c r="F107" s="31" t="inlineStr">
        <is>
          <t>transport - airlines</t>
        </is>
      </c>
      <c r="G107" s="31" t="inlineStr">
        <is>
          <t>midcap</t>
        </is>
      </c>
      <c r="H107" s="32" t="n">
        <v>6676.01</v>
      </c>
      <c r="I107" s="32" t="n">
        <v>995.95</v>
      </c>
      <c r="J107" s="32" t="n">
        <v>-0.68</v>
      </c>
      <c r="K107" s="32" t="n">
        <v>22726056</v>
      </c>
      <c r="L107" s="31" t="n">
        <v>89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81.94</v>
      </c>
      <c r="P107" s="32" t="n">
        <v>49.85</v>
      </c>
      <c r="Q107" s="32" t="n">
        <v>771.92</v>
      </c>
      <c r="R107" s="31" t="inlineStr">
        <is>
          <t>Volume Spike &amp; Near 52W High Breakout</t>
        </is>
      </c>
      <c r="S107" s="31" t="inlineStr">
        <is>
          <t>Nifty Infra</t>
        </is>
      </c>
      <c r="T107" s="32" t="n">
        <v>-1.72</v>
      </c>
      <c r="U107" s="32" t="n">
        <v>41.65</v>
      </c>
      <c r="V107" s="32" t="n">
        <v>44.13</v>
      </c>
      <c r="W107" s="32" t="n">
        <v>44.46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Less than 12%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IF(B108=0,"",RANK(B108,$B$2:$B$174,0))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3" t="inlineStr">
        <is>
          <t>KAMDHENU</t>
        </is>
      </c>
      <c r="D108" s="33" t="inlineStr">
        <is>
          <t>Kamdhenu Limited</t>
        </is>
      </c>
      <c r="E108" s="31" t="inlineStr">
        <is>
          <t>metals &amp; mining</t>
        </is>
      </c>
      <c r="F108" s="31" t="inlineStr">
        <is>
          <t>steel - medium / small</t>
        </is>
      </c>
      <c r="G108" s="31" t="inlineStr">
        <is>
          <t>smallcap</t>
        </is>
      </c>
      <c r="H108" s="32" t="n">
        <v>1101.88</v>
      </c>
      <c r="I108" s="32" t="n">
        <v>38.66</v>
      </c>
      <c r="J108" s="32" t="n">
        <v>-1.1</v>
      </c>
      <c r="K108" s="32" t="n">
        <v>432685</v>
      </c>
      <c r="L108" s="31" t="n">
        <v>73</v>
      </c>
      <c r="M108" s="31" t="inlineStr">
        <is>
          <t>Underperforming</t>
        </is>
      </c>
      <c r="N108" s="32">
        <f>IF(M108="Underperforming",-5,IF(L108&gt;=95,15,IF(L108&gt;=90,10,IF(L108&gt;=80,5,0))))</f>
        <v/>
      </c>
      <c r="O108" s="32" t="n">
        <v>71.95999999999999</v>
      </c>
      <c r="P108" s="32" t="n">
        <v>52.59</v>
      </c>
      <c r="Q108" s="32" t="n">
        <v>29.66</v>
      </c>
      <c r="R108" s="31" t="inlineStr">
        <is>
          <t>Near 52W High Breakout</t>
        </is>
      </c>
      <c r="S108" s="31" t="inlineStr">
        <is>
          <t>Nifty Metal</t>
        </is>
      </c>
      <c r="T108" s="32" t="n">
        <v>34.42</v>
      </c>
      <c r="U108" s="32" t="n">
        <v>30.63</v>
      </c>
      <c r="V108" s="32" t="n">
        <v>-2.82</v>
      </c>
      <c r="W108" s="32" t="n">
        <v>25.5</v>
      </c>
      <c r="X108" s="31" t="inlineStr">
        <is>
          <t>Cyclical in an Upturn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Cyclical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Volatile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IF(B109=0,"",RANK(B109,$B$2:$B$174,0))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SHREEJISPG</t>
        </is>
      </c>
      <c r="D109" s="31" t="inlineStr">
        <is>
          <t>Shreeji Shipping Global Ltd</t>
        </is>
      </c>
      <c r="E109" s="31" t="inlineStr">
        <is>
          <t>transportation</t>
        </is>
      </c>
      <c r="F109" s="31" t="inlineStr">
        <is>
          <t>shipping</t>
        </is>
      </c>
      <c r="G109" s="31" t="inlineStr">
        <is>
          <t>midcap</t>
        </is>
      </c>
      <c r="H109" s="32" t="n">
        <v>11269.87</v>
      </c>
      <c r="I109" s="32" t="n">
        <v>684</v>
      </c>
      <c r="J109" s="32" t="n">
        <v>-1.12</v>
      </c>
      <c r="K109" s="32" t="n">
        <v>3269593</v>
      </c>
      <c r="L109" s="31" t="n">
        <v>79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76.05</v>
      </c>
      <c r="P109" s="32" t="n">
        <v>56.32</v>
      </c>
      <c r="Q109" s="32" t="n">
        <v>563.86</v>
      </c>
      <c r="R109" s="31" t="inlineStr">
        <is>
          <t>Near 52W High Breakout</t>
        </is>
      </c>
      <c r="S109" s="31" t="inlineStr">
        <is>
          <t>Nifty 50</t>
        </is>
      </c>
      <c r="T109" s="32" t="n">
        <v>-8.720000000000001</v>
      </c>
      <c r="U109" s="32" t="n">
        <v>168.59</v>
      </c>
      <c r="V109" s="32" t="n">
        <v>194.25</v>
      </c>
      <c r="W109" s="32" t="n">
        <v>30.22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Less than 12%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IF(B110=0,"",RANK(B110,$B$2:$B$174,0))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MGEL</t>
        </is>
      </c>
      <c r="D110" s="31" t="inlineStr">
        <is>
          <t>Mangalam Global Enterprise Ltd</t>
        </is>
      </c>
      <c r="E110" s="31" t="inlineStr">
        <is>
          <t>services</t>
        </is>
      </c>
      <c r="F110" s="31" t="inlineStr">
        <is>
          <t>trading</t>
        </is>
      </c>
      <c r="G110" s="31" t="inlineStr">
        <is>
          <t>smallcap</t>
        </is>
      </c>
      <c r="H110" s="32" t="n">
        <v>522.6799999999999</v>
      </c>
      <c r="I110" s="32" t="n">
        <v>15.53</v>
      </c>
      <c r="J110" s="32" t="n">
        <v>-2.08</v>
      </c>
      <c r="K110" s="32" t="n">
        <v>227004</v>
      </c>
      <c r="L110" s="31" t="n">
        <v>12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55.31</v>
      </c>
      <c r="P110" s="32" t="n">
        <v>33.31</v>
      </c>
      <c r="Q110" s="32" t="n">
        <v>12.53</v>
      </c>
      <c r="R110" s="31" t="inlineStr">
        <is>
          <t>Earnings / Momentum Support</t>
        </is>
      </c>
      <c r="S110" s="31" t="inlineStr">
        <is>
          <t>Nifty 50</t>
        </is>
      </c>
      <c r="T110" s="32" t="n">
        <v>-8.720000000000001</v>
      </c>
      <c r="U110" s="32" t="n">
        <v>-0</v>
      </c>
      <c r="V110" s="32" t="n">
        <v>9.550000000000001</v>
      </c>
      <c r="W110" s="32" t="n">
        <v>2.66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Between 0.7 to 1.2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IF(B111=0,"",RANK(B111,$B$2:$B$174,0))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VSSL</t>
        </is>
      </c>
      <c r="D111" s="31" t="inlineStr">
        <is>
          <t>Vardhman Special Steels Limited</t>
        </is>
      </c>
      <c r="E111" s="31" t="inlineStr">
        <is>
          <t>metals &amp; mining</t>
        </is>
      </c>
      <c r="F111" s="31" t="inlineStr">
        <is>
          <t>steel - medium / small</t>
        </is>
      </c>
      <c r="G111" s="31" t="inlineStr">
        <is>
          <t>smallcap</t>
        </is>
      </c>
      <c r="H111" s="32" t="n">
        <v>3842.77</v>
      </c>
      <c r="I111" s="32" t="n">
        <v>389.1</v>
      </c>
      <c r="J111" s="32" t="n">
        <v>-2.1</v>
      </c>
      <c r="K111" s="32" t="n">
        <v>203103</v>
      </c>
      <c r="L111" s="31" t="n">
        <v>65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77.98</v>
      </c>
      <c r="P111" s="32" t="n">
        <v>42.87</v>
      </c>
      <c r="Q111" s="32" t="n">
        <v>315.4</v>
      </c>
      <c r="R111" s="31" t="inlineStr">
        <is>
          <t>Near 52W High Breakout</t>
        </is>
      </c>
      <c r="S111" s="31" t="inlineStr">
        <is>
          <t>Nifty Metal</t>
        </is>
      </c>
      <c r="T111" s="32" t="n">
        <v>34.42</v>
      </c>
      <c r="U111" s="32" t="n">
        <v>53.99</v>
      </c>
      <c r="V111" s="32" t="n">
        <v>14.56</v>
      </c>
      <c r="W111" s="32" t="n">
        <v>21.04</v>
      </c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Cyclical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Volatile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IF(B112=0,"",RANK(B112,$B$2:$B$174,0))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NEOGEN</t>
        </is>
      </c>
      <c r="D112" s="31" t="inlineStr">
        <is>
          <t>Neogen Chemicals Ltd</t>
        </is>
      </c>
      <c r="E112" s="31" t="inlineStr">
        <is>
          <t>chemicals</t>
        </is>
      </c>
      <c r="F112" s="31" t="inlineStr">
        <is>
          <t>chemicals</t>
        </is>
      </c>
      <c r="G112" s="31" t="inlineStr">
        <is>
          <t>midcap</t>
        </is>
      </c>
      <c r="H112" s="32" t="n">
        <v>6497.67</v>
      </c>
      <c r="I112" s="32" t="n">
        <v>2310.3</v>
      </c>
      <c r="J112" s="32" t="n">
        <v>-2.64</v>
      </c>
      <c r="K112" s="32" t="n">
        <v>264415</v>
      </c>
      <c r="L112" s="31" t="n">
        <v>45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66.38</v>
      </c>
      <c r="P112" s="32" t="n">
        <v>57.26</v>
      </c>
      <c r="Q112" s="32" t="n">
        <v>1786.31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-8.720000000000001</v>
      </c>
      <c r="U112" s="32" t="n">
        <v>45.91</v>
      </c>
      <c r="V112" s="32" t="n">
        <v>59.85</v>
      </c>
      <c r="W112" s="32" t="n">
        <v>15.16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More than 1.2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IF(B113=0,"",RANK(B113,$B$2:$B$174,0))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3" t="inlineStr">
        <is>
          <t>WENDT</t>
        </is>
      </c>
      <c r="D113" s="33" t="inlineStr">
        <is>
          <t>Wendt (india) Limited</t>
        </is>
      </c>
      <c r="E113" s="31" t="inlineStr">
        <is>
          <t>industrials</t>
        </is>
      </c>
      <c r="F113" s="31" t="inlineStr">
        <is>
          <t>abrasives and grinding wheels</t>
        </is>
      </c>
      <c r="G113" s="31" t="inlineStr">
        <is>
          <t>smallcap</t>
        </is>
      </c>
      <c r="H113" s="32" t="n">
        <v>1762.5</v>
      </c>
      <c r="I113" s="32" t="n">
        <v>8580</v>
      </c>
      <c r="J113" s="32" t="n">
        <v>-2.64</v>
      </c>
      <c r="K113" s="32" t="n">
        <v>38273</v>
      </c>
      <c r="L113" s="31" t="n">
        <v>6</v>
      </c>
      <c r="M113" s="31" t="inlineStr">
        <is>
          <t>Underperforming</t>
        </is>
      </c>
      <c r="N113" s="32">
        <f>IF(M113="Underperforming",-5,IF(L113&gt;=95,15,IF(L113&gt;=90,10,IF(L113&gt;=80,5,0))))</f>
        <v/>
      </c>
      <c r="O113" s="32" t="n">
        <v>60.06</v>
      </c>
      <c r="P113" s="32" t="n">
        <v>40.44</v>
      </c>
      <c r="Q113" s="32" t="n">
        <v>7036</v>
      </c>
      <c r="R113" s="31" t="inlineStr">
        <is>
          <t>Earnings / Momentum Support</t>
        </is>
      </c>
      <c r="S113" s="31" t="inlineStr">
        <is>
          <t>Nifty 50</t>
        </is>
      </c>
      <c r="T113" s="32" t="n">
        <v>-8.720000000000001</v>
      </c>
      <c r="U113" s="32" t="n">
        <v>-10.34</v>
      </c>
      <c r="V113" s="32" t="n">
        <v>-1.77</v>
      </c>
      <c r="W113" s="32" t="n">
        <v>0.48</v>
      </c>
      <c r="X113" s="31" t="inlineStr">
        <is>
          <t>Cyclical in an Upturn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Between 1.5 to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IF(B114=0,"",RANK(B114,$B$2:$B$174,0))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YUKEN</t>
        </is>
      </c>
      <c r="D114" s="31" t="inlineStr">
        <is>
          <t>Yuken India Ltd</t>
        </is>
      </c>
      <c r="E114" s="31" t="inlineStr">
        <is>
          <t>industrials</t>
        </is>
      </c>
      <c r="F114" s="31" t="inlineStr">
        <is>
          <t>engineering</t>
        </is>
      </c>
      <c r="G114" s="31" t="inlineStr">
        <is>
          <t>smallcap</t>
        </is>
      </c>
      <c r="H114" s="32" t="n">
        <v>1512.92</v>
      </c>
      <c r="I114" s="32" t="n">
        <v>1077.6</v>
      </c>
      <c r="J114" s="32" t="n">
        <v>-3.25</v>
      </c>
      <c r="K114" s="32" t="n">
        <v>43272</v>
      </c>
      <c r="L114" s="31" t="n">
        <v>37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71.94</v>
      </c>
      <c r="P114" s="32" t="n">
        <v>27.82</v>
      </c>
      <c r="Q114" s="32" t="n">
        <v>879.67</v>
      </c>
      <c r="R114" s="31" t="inlineStr">
        <is>
          <t>Near 52W High Breakout</t>
        </is>
      </c>
      <c r="S114" s="31" t="inlineStr">
        <is>
          <t>Nifty Infra</t>
        </is>
      </c>
      <c r="T114" s="32" t="n">
        <v>-1.72</v>
      </c>
      <c r="U114" s="32" t="n">
        <v>-0.59</v>
      </c>
      <c r="V114" s="32" t="n">
        <v>1.15</v>
      </c>
      <c r="W114" s="32" t="n">
        <v>12.45</v>
      </c>
      <c r="X114" s="31" t="inlineStr">
        <is>
          <t>Cyclical in an Upturn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IF(B115=0,"",RANK(B115,$B$2:$B$174,0))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3" t="inlineStr">
        <is>
          <t>EIMCOELECO</t>
        </is>
      </c>
      <c r="D115" s="33" t="inlineStr">
        <is>
          <t>Eimco Elecon (india) Limited</t>
        </is>
      </c>
      <c r="E115" s="31" t="inlineStr">
        <is>
          <t>industrials</t>
        </is>
      </c>
      <c r="F115" s="31" t="inlineStr">
        <is>
          <t>engineering</t>
        </is>
      </c>
      <c r="G115" s="31" t="inlineStr">
        <is>
          <t>smallcap</t>
        </is>
      </c>
      <c r="H115" s="32" t="n">
        <v>1341.44</v>
      </c>
      <c r="I115" s="32" t="n">
        <v>2242.2</v>
      </c>
      <c r="J115" s="32" t="n">
        <v>-3.58</v>
      </c>
      <c r="K115" s="32" t="n">
        <v>26475</v>
      </c>
      <c r="L115" s="31" t="n">
        <v>25</v>
      </c>
      <c r="M115" s="31" t="inlineStr">
        <is>
          <t>Underperforming</t>
        </is>
      </c>
      <c r="N115" s="32">
        <f>IF(M115="Underperforming",-5,IF(L115&gt;=95,15,IF(L115&gt;=90,10,IF(L115&gt;=80,5,0))))</f>
        <v/>
      </c>
      <c r="O115" s="32" t="n">
        <v>69.18000000000001</v>
      </c>
      <c r="P115" s="32" t="n">
        <v>52.41</v>
      </c>
      <c r="Q115" s="32" t="n">
        <v>1827.19</v>
      </c>
      <c r="R115" s="31" t="inlineStr">
        <is>
          <t>Near 52W High Breakout</t>
        </is>
      </c>
      <c r="S115" s="31" t="inlineStr">
        <is>
          <t>Nifty Infra</t>
        </is>
      </c>
      <c r="T115" s="32" t="n">
        <v>-1.72</v>
      </c>
      <c r="U115" s="32" t="n">
        <v>-4.45</v>
      </c>
      <c r="V115" s="32" t="n">
        <v>-2.78</v>
      </c>
      <c r="W115" s="32" t="n">
        <v>8.77</v>
      </c>
      <c r="X115" s="31" t="inlineStr">
        <is>
          <t>Cyclical in an Upturn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IF(B116=0,"",RANK(B116,$B$2:$B$174,0))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BIL</t>
        </is>
      </c>
      <c r="D116" s="31" t="inlineStr">
        <is>
          <t>Bhartiya International Limited</t>
        </is>
      </c>
      <c r="E116" s="31" t="inlineStr">
        <is>
          <t>consumer discretionary</t>
        </is>
      </c>
      <c r="F116" s="31" t="inlineStr">
        <is>
          <t>leather / leather products</t>
        </is>
      </c>
      <c r="G116" s="31" t="inlineStr">
        <is>
          <t>smallcap</t>
        </is>
      </c>
      <c r="H116" s="32" t="n">
        <v>1438.94</v>
      </c>
      <c r="I116" s="32" t="n">
        <v>1027.55</v>
      </c>
      <c r="J116" s="32" t="n">
        <v>-4.24</v>
      </c>
      <c r="K116" s="32" t="n">
        <v>12076</v>
      </c>
      <c r="L116" s="31" t="n">
        <v>41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69.25</v>
      </c>
      <c r="P116" s="32" t="n">
        <v>25.67</v>
      </c>
      <c r="Q116" s="32" t="n">
        <v>800.72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-8.720000000000001</v>
      </c>
      <c r="U116" s="32" t="n">
        <v>17.68</v>
      </c>
      <c r="V116" s="32" t="n">
        <v>28.92</v>
      </c>
      <c r="W116" s="32" t="n">
        <v>13.71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Between 0.7 to 1.2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IF(B117=0,"",RANK(B117,$B$2:$B$174,0))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MANAKSTEEL</t>
        </is>
      </c>
      <c r="D117" s="31" t="inlineStr">
        <is>
          <t>Manaksia Steels Limited</t>
        </is>
      </c>
      <c r="E117" s="31" t="inlineStr">
        <is>
          <t>metals &amp; mining</t>
        </is>
      </c>
      <c r="F117" s="31" t="inlineStr">
        <is>
          <t>steel - medium / small</t>
        </is>
      </c>
      <c r="G117" s="31" t="inlineStr">
        <is>
          <t>smallcap</t>
        </is>
      </c>
      <c r="H117" s="32" t="n">
        <v>772.71</v>
      </c>
      <c r="I117" s="32" t="n">
        <v>112.02</v>
      </c>
      <c r="J117" s="32" t="n">
        <v>-5</v>
      </c>
      <c r="K117" s="32" t="n">
        <v>57388</v>
      </c>
      <c r="L117" s="31" t="n">
        <v>71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73.76000000000001</v>
      </c>
      <c r="P117" s="32" t="n">
        <v>46.76</v>
      </c>
      <c r="Q117" s="32" t="n">
        <v>88.88</v>
      </c>
      <c r="R117" s="31" t="inlineStr">
        <is>
          <t>Near 52W High Breakout</t>
        </is>
      </c>
      <c r="S117" s="31" t="inlineStr">
        <is>
          <t>Nifty Metal</t>
        </is>
      </c>
      <c r="T117" s="32" t="n">
        <v>34.42</v>
      </c>
      <c r="U117" s="32" t="n">
        <v>81.56</v>
      </c>
      <c r="V117" s="32" t="n">
        <v>35.07</v>
      </c>
      <c r="W117" s="32" t="n">
        <v>24.03</v>
      </c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Cyclical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Volatile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IF(B118=0,"",RANK(B118,$B$2:$B$174,0))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SMLMAH</t>
        </is>
      </c>
      <c r="D118" s="31" t="inlineStr">
        <is>
          <t>SML Mahindra Ltd</t>
        </is>
      </c>
      <c r="E118" s="31" t="inlineStr">
        <is>
          <t>auto</t>
        </is>
      </c>
      <c r="F118" s="31" t="inlineStr">
        <is>
          <t>automobiles - lcvs / hcvs</t>
        </is>
      </c>
      <c r="G118" s="31" t="inlineStr">
        <is>
          <t>midcap</t>
        </is>
      </c>
      <c r="H118" s="32" t="n">
        <v>9526.68</v>
      </c>
      <c r="I118" s="32" t="n">
        <v>6254</v>
      </c>
      <c r="J118" s="32" t="n">
        <v>-5</v>
      </c>
      <c r="K118" s="32" t="n">
        <v>45556</v>
      </c>
      <c r="L118" s="31" t="n">
        <v>74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67.23</v>
      </c>
      <c r="P118" s="32" t="n">
        <v>27.34</v>
      </c>
      <c r="Q118" s="32" t="n">
        <v>4922.14</v>
      </c>
      <c r="R118" s="31" t="inlineStr">
        <is>
          <t>Near 52W High Breakout</t>
        </is>
      </c>
      <c r="S118" s="31" t="inlineStr">
        <is>
          <t>Nifty Auto</t>
        </is>
      </c>
      <c r="T118" s="32" t="n">
        <v>12.51</v>
      </c>
      <c r="U118" s="32" t="n">
        <v>65.58</v>
      </c>
      <c r="V118" s="32" t="n">
        <v>47.17</v>
      </c>
      <c r="W118" s="32" t="n">
        <v>26.57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Less than 12%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IF(B119=0,"",RANK(B119,$B$2:$B$174,0))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WELENT</t>
        </is>
      </c>
      <c r="D119" s="31" t="inlineStr">
        <is>
          <t>Welspun Enterprises Limited</t>
        </is>
      </c>
      <c r="E119" s="31" t="inlineStr">
        <is>
          <t>realty</t>
        </is>
      </c>
      <c r="F119" s="31" t="inlineStr">
        <is>
          <t>construction</t>
        </is>
      </c>
      <c r="G119" s="31" t="inlineStr">
        <is>
          <t>midcap</t>
        </is>
      </c>
      <c r="H119" s="32" t="n">
        <v>10882.09</v>
      </c>
      <c r="I119" s="32" t="n">
        <v>737.6</v>
      </c>
      <c r="J119" s="32" t="n">
        <v>-6.18</v>
      </c>
      <c r="K119" s="32" t="n">
        <v>4638248</v>
      </c>
      <c r="L119" s="31" t="n">
        <v>61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66.91</v>
      </c>
      <c r="P119" s="32" t="n">
        <v>33.16</v>
      </c>
      <c r="Q119" s="32" t="n">
        <v>649.28</v>
      </c>
      <c r="R119" s="31" t="inlineStr">
        <is>
          <t>Volume Spike / Accumulation</t>
        </is>
      </c>
      <c r="S119" s="31" t="inlineStr">
        <is>
          <t>Nifty Realty</t>
        </is>
      </c>
      <c r="T119" s="32" t="n">
        <v>-14.34</v>
      </c>
      <c r="U119" s="32" t="n">
        <v>48.92</v>
      </c>
      <c r="V119" s="32" t="n">
        <v>73.84999999999999</v>
      </c>
      <c r="W119" s="32" t="n">
        <v>19.36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Less than 12%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IF(B120=0,"",RANK(B120,$B$2:$B$174,0))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SOFTTECH</t>
        </is>
      </c>
      <c r="D120" s="31" t="inlineStr">
        <is>
          <t>Softtech Engineers Ltd</t>
        </is>
      </c>
      <c r="E120" s="31" t="inlineStr">
        <is>
          <t>i.t</t>
        </is>
      </c>
      <c r="F120" s="31" t="inlineStr">
        <is>
          <t>computers - software - medium / small</t>
        </is>
      </c>
      <c r="G120" s="31" t="inlineStr">
        <is>
          <t>smallcap</t>
        </is>
      </c>
      <c r="H120" s="32" t="n">
        <v>626.15</v>
      </c>
      <c r="I120" s="32" t="n">
        <v>474.95</v>
      </c>
      <c r="J120" s="32" t="n">
        <v>5</v>
      </c>
      <c r="K120" s="32" t="n">
        <v>13382</v>
      </c>
      <c r="L120" s="31" t="n">
        <v>31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68.02</v>
      </c>
      <c r="P120" s="32" t="n">
        <v>27.12</v>
      </c>
      <c r="Q120" s="32" t="n">
        <v>383.27</v>
      </c>
      <c r="R120" s="31" t="inlineStr">
        <is>
          <t>Near 52W High Breakout</t>
        </is>
      </c>
      <c r="S120" s="31" t="inlineStr">
        <is>
          <t>Nifty IT</t>
        </is>
      </c>
      <c r="T120" s="32" t="n">
        <v>-19.2</v>
      </c>
      <c r="U120" s="32" t="n">
        <v>27.42</v>
      </c>
      <c r="V120" s="32" t="n">
        <v>57.69</v>
      </c>
      <c r="W120" s="32" t="n">
        <v>10.5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Less than 12%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IF(B121=0,"",RANK(B121,$B$2:$B$174,0))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3" t="inlineStr">
        <is>
          <t>WINDLAS</t>
        </is>
      </c>
      <c r="D121" s="33" t="inlineStr">
        <is>
          <t>Windlas Biotech Ltd</t>
        </is>
      </c>
      <c r="E121" s="31" t="inlineStr">
        <is>
          <t>healthcare</t>
        </is>
      </c>
      <c r="F121" s="31" t="inlineStr">
        <is>
          <t>pharmaceuticals - indian - formulations</t>
        </is>
      </c>
      <c r="G121" s="31" t="inlineStr">
        <is>
          <t>smallcap</t>
        </is>
      </c>
      <c r="H121" s="32" t="n">
        <v>2330.35</v>
      </c>
      <c r="I121" s="32" t="n">
        <v>1098.15</v>
      </c>
      <c r="J121" s="32" t="n">
        <v>-2.75</v>
      </c>
      <c r="K121" s="32" t="n">
        <v>83578</v>
      </c>
      <c r="L121" s="31" t="n">
        <v>34</v>
      </c>
      <c r="M121" s="31" t="inlineStr">
        <is>
          <t>Underperforming</t>
        </is>
      </c>
      <c r="N121" s="32">
        <f>IF(M121="Underperforming",-5,IF(L121&gt;=95,15,IF(L121&gt;=90,10,IF(L121&gt;=80,5,0))))</f>
        <v/>
      </c>
      <c r="O121" s="32" t="n">
        <v>72.98999999999999</v>
      </c>
      <c r="P121" s="32" t="n">
        <v>34.07</v>
      </c>
      <c r="Q121" s="32" t="n">
        <v>906.1799999999999</v>
      </c>
      <c r="R121" s="31" t="inlineStr">
        <is>
          <t>Near 52W High Breakout</t>
        </is>
      </c>
      <c r="S121" s="31" t="inlineStr">
        <is>
          <t>Nifty Pharma</t>
        </is>
      </c>
      <c r="T121" s="32" t="n">
        <v>15.44</v>
      </c>
      <c r="U121" s="32" t="n">
        <v>14.82</v>
      </c>
      <c r="V121" s="32" t="n">
        <v>-0.53</v>
      </c>
      <c r="W121" s="32" t="n">
        <v>11.52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Yes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Less than 12%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IF(B122=0,"",RANK(B122,$B$2:$B$174,0))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VALIANTLAB</t>
        </is>
      </c>
      <c r="D122" s="31" t="inlineStr">
        <is>
          <t>Valiant Laboratories Ltd</t>
        </is>
      </c>
      <c r="E122" s="31" t="inlineStr">
        <is>
          <t>healthcare</t>
        </is>
      </c>
      <c r="F122" s="31" t="inlineStr">
        <is>
          <t>pharmaceuticals - indian - bulk drugs &amp; formln</t>
        </is>
      </c>
      <c r="G122" s="31" t="inlineStr">
        <is>
          <t>smallcap</t>
        </is>
      </c>
      <c r="H122" s="32" t="n">
        <v>694.71</v>
      </c>
      <c r="I122" s="32" t="n">
        <v>122.63</v>
      </c>
      <c r="J122" s="32" t="n">
        <v>-4.13</v>
      </c>
      <c r="K122" s="32" t="n">
        <v>104961</v>
      </c>
      <c r="L122" s="31" t="n">
        <v>76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76.84999999999999</v>
      </c>
      <c r="P122" s="32" t="n">
        <v>25.39</v>
      </c>
      <c r="Q122" s="32" t="n">
        <v>98.14</v>
      </c>
      <c r="R122" s="31" t="inlineStr">
        <is>
          <t>Near 52W High Breakout</t>
        </is>
      </c>
      <c r="S122" s="31" t="inlineStr">
        <is>
          <t>Nifty Pharma</t>
        </is>
      </c>
      <c r="T122" s="32" t="n">
        <v>15.44</v>
      </c>
      <c r="U122" s="32" t="n">
        <v>40.52</v>
      </c>
      <c r="V122" s="32" t="n">
        <v>21.73</v>
      </c>
      <c r="W122" s="32" t="n">
        <v>28.04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Yes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IF(B123=0,"",RANK(B123,$B$2:$B$174,0))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3" t="inlineStr">
        <is>
          <t>ANUHPHR</t>
        </is>
      </c>
      <c r="D123" s="33" t="inlineStr">
        <is>
          <t>Anuh Pharma Ltd</t>
        </is>
      </c>
      <c r="E123" s="31" t="inlineStr">
        <is>
          <t>healthcare</t>
        </is>
      </c>
      <c r="F123" s="31" t="inlineStr">
        <is>
          <t>pharmaceuticals - indian - bulk drugs</t>
        </is>
      </c>
      <c r="G123" s="31" t="inlineStr">
        <is>
          <t>smallcap</t>
        </is>
      </c>
      <c r="H123" s="32" t="n">
        <v>950.72</v>
      </c>
      <c r="I123" s="32" t="n">
        <v>90.33</v>
      </c>
      <c r="J123" s="32" t="n">
        <v>-4.78</v>
      </c>
      <c r="K123" s="32" t="n">
        <v>208793</v>
      </c>
      <c r="L123" s="31" t="n">
        <v>17</v>
      </c>
      <c r="M123" s="31" t="inlineStr">
        <is>
          <t>Underperforming</t>
        </is>
      </c>
      <c r="N123" s="32">
        <f>IF(M123="Underperforming",-5,IF(L123&gt;=95,15,IF(L123&gt;=90,10,IF(L123&gt;=80,5,0))))</f>
        <v/>
      </c>
      <c r="O123" s="32" t="n">
        <v>62.23</v>
      </c>
      <c r="P123" s="32" t="n">
        <v>16.22</v>
      </c>
      <c r="Q123" s="32" t="n">
        <v>75.53</v>
      </c>
      <c r="R123" s="31" t="inlineStr">
        <is>
          <t>Near 52W High Breakout</t>
        </is>
      </c>
      <c r="S123" s="31" t="inlineStr">
        <is>
          <t>Nifty Pharma</t>
        </is>
      </c>
      <c r="T123" s="32" t="n">
        <v>15.44</v>
      </c>
      <c r="U123" s="32" t="n">
        <v>4.45</v>
      </c>
      <c r="V123" s="32" t="n">
        <v>-9.52</v>
      </c>
      <c r="W123" s="32" t="n">
        <v>5.08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Yes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0 to 20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IF(B124=0,"",RANK(B124,$B$2:$B$174,0))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SHILPAMED</t>
        </is>
      </c>
      <c r="D124" s="31" t="inlineStr">
        <is>
          <t>Shilpa Medicare Limited</t>
        </is>
      </c>
      <c r="E124" s="31" t="inlineStr">
        <is>
          <t>healthcare</t>
        </is>
      </c>
      <c r="F124" s="31" t="inlineStr">
        <is>
          <t>pharmaceuticals - indian - formulations</t>
        </is>
      </c>
      <c r="G124" s="31" t="inlineStr">
        <is>
          <t>midcap</t>
        </is>
      </c>
      <c r="H124" s="32" t="n">
        <v>18798.35</v>
      </c>
      <c r="I124" s="32" t="n">
        <v>911.9</v>
      </c>
      <c r="J124" s="32" t="n">
        <v>-5.12</v>
      </c>
      <c r="K124" s="32" t="n">
        <v>756740</v>
      </c>
      <c r="L124" s="31" t="n">
        <v>85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81</v>
      </c>
      <c r="P124" s="32" t="n">
        <v>80.02</v>
      </c>
      <c r="Q124" s="32" t="n">
        <v>783.89</v>
      </c>
      <c r="R124" s="31" t="inlineStr">
        <is>
          <t>Earnings / Momentum Support</t>
        </is>
      </c>
      <c r="S124" s="31" t="inlineStr">
        <is>
          <t>Nifty Pharma</t>
        </is>
      </c>
      <c r="T124" s="32" t="n">
        <v>15.44</v>
      </c>
      <c r="U124" s="32" t="n">
        <v>121.21</v>
      </c>
      <c r="V124" s="32" t="n">
        <v>91.63</v>
      </c>
      <c r="W124" s="32" t="n">
        <v>35.97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Yes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IF(B125=0,"",RANK(B125,$B$2:$B$174,0))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SMSPHARMA</t>
        </is>
      </c>
      <c r="D125" s="31" t="inlineStr">
        <is>
          <t>Sms Pharmaceuticals Limited</t>
        </is>
      </c>
      <c r="E125" s="31" t="inlineStr">
        <is>
          <t>healthcare</t>
        </is>
      </c>
      <c r="F125" s="31" t="inlineStr">
        <is>
          <t>pharmaceuticals - indian - bulk drugs</t>
        </is>
      </c>
      <c r="G125" s="31" t="inlineStr">
        <is>
          <t>smallcap</t>
        </is>
      </c>
      <c r="H125" s="32" t="n">
        <v>4340.3</v>
      </c>
      <c r="I125" s="32" t="n">
        <v>410.15</v>
      </c>
      <c r="J125" s="32" t="n">
        <v>-11.5</v>
      </c>
      <c r="K125" s="32" t="n">
        <v>4315277</v>
      </c>
      <c r="L125" s="31" t="n">
        <v>27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55.53</v>
      </c>
      <c r="P125" s="32" t="n">
        <v>32.65</v>
      </c>
      <c r="Q125" s="32" t="n">
        <v>346.58</v>
      </c>
      <c r="R125" s="31" t="inlineStr">
        <is>
          <t>Volume Spike / Accumulation</t>
        </is>
      </c>
      <c r="S125" s="31" t="inlineStr">
        <is>
          <t>Nifty Pharma</t>
        </is>
      </c>
      <c r="T125" s="32" t="n">
        <v>15.44</v>
      </c>
      <c r="U125" s="32" t="n">
        <v>40.59</v>
      </c>
      <c r="V125" s="32" t="n">
        <v>21.79</v>
      </c>
      <c r="W125" s="32" t="n">
        <v>9.08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Yes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IF(B126=0,"",RANK(B126,$B$2:$B$174,0))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DOLPHIN</t>
        </is>
      </c>
      <c r="D126" s="31" t="inlineStr">
        <is>
          <t>Dolphin Offshore Enterprises (India) Ltd</t>
        </is>
      </c>
      <c r="E126" s="31" t="inlineStr">
        <is>
          <t>energy</t>
        </is>
      </c>
      <c r="F126" s="31" t="inlineStr">
        <is>
          <t>oil drilling / allied services</t>
        </is>
      </c>
      <c r="G126" s="31" t="inlineStr">
        <is>
          <t>smallcap</t>
        </is>
      </c>
      <c r="H126" s="32" t="n">
        <v>2596.3</v>
      </c>
      <c r="I126" s="32" t="n">
        <v>651.05</v>
      </c>
      <c r="J126" s="32" t="n">
        <v>0.32</v>
      </c>
      <c r="K126" s="32" t="n">
        <v>52528</v>
      </c>
      <c r="L126" s="31" t="n">
        <v>67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74.09999999999999</v>
      </c>
      <c r="P126" s="32" t="n">
        <v>39.49</v>
      </c>
      <c r="Q126" s="32" t="n">
        <v>492.03</v>
      </c>
      <c r="R126" s="31" t="inlineStr">
        <is>
          <t>Near 52W High Breakout</t>
        </is>
      </c>
      <c r="S126" s="31" t="inlineStr">
        <is>
          <t>Nifty Energy</t>
        </is>
      </c>
      <c r="T126" s="32" t="n">
        <v>5.38</v>
      </c>
      <c r="U126" s="32" t="n">
        <v>47.35</v>
      </c>
      <c r="V126" s="32" t="n">
        <v>39.82</v>
      </c>
      <c r="W126" s="32" t="n">
        <v>22.15</v>
      </c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Oligopoly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Cyclical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Volatile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IF(B127=0,"",RANK(B127,$B$2:$B$174,0))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GLOBAL</t>
        </is>
      </c>
      <c r="D127" s="31" t="inlineStr">
        <is>
          <t>Global Education Ltd</t>
        </is>
      </c>
      <c r="E127" s="31" t="inlineStr">
        <is>
          <t>services</t>
        </is>
      </c>
      <c r="F127" s="31" t="inlineStr">
        <is>
          <t>miscellaneous</t>
        </is>
      </c>
      <c r="G127" s="31" t="inlineStr">
        <is>
          <t>smallcap</t>
        </is>
      </c>
      <c r="H127" s="32" t="n">
        <v>645.99</v>
      </c>
      <c r="I127" s="32" t="n">
        <v>126.23</v>
      </c>
      <c r="J127" s="32" t="n">
        <v>-0.54</v>
      </c>
      <c r="K127" s="32" t="n">
        <v>86903</v>
      </c>
      <c r="L127" s="31" t="n">
        <v>54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70.37</v>
      </c>
      <c r="P127" s="32" t="n">
        <v>35.42</v>
      </c>
      <c r="Q127" s="32" t="n">
        <v>96.67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-8.720000000000001</v>
      </c>
      <c r="U127" s="32" t="n">
        <v>85.73</v>
      </c>
      <c r="V127" s="32" t="n">
        <v>103.47</v>
      </c>
      <c r="W127" s="32" t="n">
        <v>17.46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Less than 12%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Less than 50%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IF(B128=0,"",RANK(B128,$B$2:$B$174,0))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RISHABH</t>
        </is>
      </c>
      <c r="D128" s="31" t="inlineStr">
        <is>
          <t>Rishabh Instruments Ltd</t>
        </is>
      </c>
      <c r="E128" s="31" t="inlineStr">
        <is>
          <t>industrials</t>
        </is>
      </c>
      <c r="F128" s="31" t="inlineStr">
        <is>
          <t>electric equipment</t>
        </is>
      </c>
      <c r="G128" s="31" t="inlineStr">
        <is>
          <t>smallcap</t>
        </is>
      </c>
      <c r="H128" s="32" t="n">
        <v>3197.78</v>
      </c>
      <c r="I128" s="32" t="n">
        <v>779.5</v>
      </c>
      <c r="J128" s="32" t="n">
        <v>-6.04</v>
      </c>
      <c r="K128" s="32" t="n">
        <v>224609</v>
      </c>
      <c r="L128" s="31" t="n">
        <v>69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71.42</v>
      </c>
      <c r="P128" s="32" t="n">
        <v>50.74</v>
      </c>
      <c r="Q128" s="32" t="n">
        <v>634.02</v>
      </c>
      <c r="R128" s="31" t="inlineStr">
        <is>
          <t>Earnings / Momentum Support</t>
        </is>
      </c>
      <c r="S128" s="31" t="inlineStr">
        <is>
          <t>Nifty 50</t>
        </is>
      </c>
      <c r="T128" s="32" t="n">
        <v>-8.720000000000001</v>
      </c>
      <c r="U128" s="32" t="n">
        <v>88.88</v>
      </c>
      <c r="V128" s="32" t="n">
        <v>106.93</v>
      </c>
      <c r="W128" s="32" t="n">
        <v>22.67</v>
      </c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IF(B129=0,"",RANK(B129,$B$2:$B$174,0))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3" t="inlineStr">
        <is>
          <t>KILITCH</t>
        </is>
      </c>
      <c r="D129" s="33" t="inlineStr">
        <is>
          <t>Kilitch Drugs (india) Limited</t>
        </is>
      </c>
      <c r="E129" s="31" t="inlineStr">
        <is>
          <t>healthcare</t>
        </is>
      </c>
      <c r="F129" s="31" t="inlineStr">
        <is>
          <t>pharmaceuticals - indian - formulations</t>
        </is>
      </c>
      <c r="G129" s="31" t="inlineStr">
        <is>
          <t>smallcap</t>
        </is>
      </c>
      <c r="H129" s="32" t="n">
        <v>650.1799999999999</v>
      </c>
      <c r="I129" s="32" t="n">
        <v>190.2</v>
      </c>
      <c r="J129" s="32" t="n">
        <v>2.27</v>
      </c>
      <c r="K129" s="32" t="n">
        <v>28652</v>
      </c>
      <c r="L129" s="31" t="n">
        <v>11</v>
      </c>
      <c r="M129" s="31" t="inlineStr">
        <is>
          <t>Underperforming</t>
        </is>
      </c>
      <c r="N129" s="32">
        <f>IF(M129="Underperforming",-5,IF(L129&gt;=95,15,IF(L129&gt;=90,10,IF(L129&gt;=80,5,0))))</f>
        <v/>
      </c>
      <c r="O129" s="32" t="n">
        <v>56.9</v>
      </c>
      <c r="P129" s="32" t="n">
        <v>26.04</v>
      </c>
      <c r="Q129" s="32" t="n">
        <v>141.06</v>
      </c>
      <c r="R129" s="31" t="inlineStr">
        <is>
          <t>Near 52W High Breakout</t>
        </is>
      </c>
      <c r="S129" s="31" t="inlineStr">
        <is>
          <t>Nifty Pharma</t>
        </is>
      </c>
      <c r="T129" s="32" t="n">
        <v>15.44</v>
      </c>
      <c r="U129" s="32" t="n">
        <v>5.7</v>
      </c>
      <c r="V129" s="32" t="n">
        <v>-8.44</v>
      </c>
      <c r="W129" s="32" t="n">
        <v>1.94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IF(B130=0,"",RANK(B130,$B$2:$B$174,0))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MUKKA</t>
        </is>
      </c>
      <c r="D130" s="31" t="inlineStr">
        <is>
          <t>Mukka Proteins Ltd</t>
        </is>
      </c>
      <c r="E130" s="31" t="inlineStr">
        <is>
          <t>fmcg</t>
        </is>
      </c>
      <c r="F130" s="31" t="inlineStr">
        <is>
          <t>food - processing - indian</t>
        </is>
      </c>
      <c r="G130" s="31" t="inlineStr">
        <is>
          <t>smallcap</t>
        </is>
      </c>
      <c r="H130" s="32" t="n">
        <v>965.1</v>
      </c>
      <c r="I130" s="32" t="n">
        <v>31.39</v>
      </c>
      <c r="J130" s="32" t="n">
        <v>-2.42</v>
      </c>
      <c r="K130" s="32" t="n">
        <v>2284101</v>
      </c>
      <c r="L130" s="31" t="n">
        <v>25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69.56</v>
      </c>
      <c r="P130" s="32" t="n">
        <v>16.68</v>
      </c>
      <c r="Q130" s="32" t="n">
        <v>24.22</v>
      </c>
      <c r="R130" s="31" t="inlineStr">
        <is>
          <t>Near 52W High Breakout</t>
        </is>
      </c>
      <c r="S130" s="31" t="inlineStr">
        <is>
          <t>Nifty FMCG</t>
        </is>
      </c>
      <c r="T130" s="32" t="n">
        <v>-17.86</v>
      </c>
      <c r="U130" s="32" t="n">
        <v>7.94</v>
      </c>
      <c r="V130" s="32" t="n">
        <v>31.42</v>
      </c>
      <c r="W130" s="32" t="n">
        <v>8.890000000000001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B2C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0 to 20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More than 1.2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IF(B131=0,"",RANK(B131,$B$2:$B$174,0))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ROSSTECH</t>
        </is>
      </c>
      <c r="D131" s="31" t="inlineStr">
        <is>
          <t>Rossell Techsys Ltd</t>
        </is>
      </c>
      <c r="E131" s="31" t="inlineStr">
        <is>
          <t>aerospace &amp; defence</t>
        </is>
      </c>
      <c r="F131" s="31" t="inlineStr">
        <is>
          <t>engineering</t>
        </is>
      </c>
      <c r="G131" s="31" t="inlineStr">
        <is>
          <t>smallcap</t>
        </is>
      </c>
      <c r="H131" s="32" t="n">
        <v>4577.48</v>
      </c>
      <c r="I131" s="32" t="n">
        <v>1265.4</v>
      </c>
      <c r="J131" s="32" t="n">
        <v>4.21</v>
      </c>
      <c r="K131" s="32" t="n">
        <v>1062808</v>
      </c>
      <c r="L131" s="31" t="n">
        <v>53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72.44</v>
      </c>
      <c r="P131" s="32" t="n">
        <v>27.1</v>
      </c>
      <c r="Q131" s="32" t="n">
        <v>940.9</v>
      </c>
      <c r="R131" s="31" t="inlineStr">
        <is>
          <t>Volume Spike &amp; Near 52W High Breakout</t>
        </is>
      </c>
      <c r="S131" s="31" t="inlineStr">
        <is>
          <t>Nifty 50</t>
        </is>
      </c>
      <c r="T131" s="32" t="n">
        <v>-8.720000000000001</v>
      </c>
      <c r="U131" s="32" t="n">
        <v>68.62</v>
      </c>
      <c r="V131" s="32" t="n">
        <v>84.73</v>
      </c>
      <c r="W131" s="32" t="n">
        <v>17.34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More than 1.2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IF(B132=0,"",RANK(B132,$B$2:$B$174,0))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MAHASTEEL</t>
        </is>
      </c>
      <c r="D132" s="31" t="inlineStr">
        <is>
          <t>Mahamaya Steel Industries Limited</t>
        </is>
      </c>
      <c r="E132" s="31" t="inlineStr">
        <is>
          <t>metals &amp; mining</t>
        </is>
      </c>
      <c r="F132" s="31" t="inlineStr">
        <is>
          <t>steel - medium / small</t>
        </is>
      </c>
      <c r="G132" s="31" t="inlineStr">
        <is>
          <t>smallcap</t>
        </is>
      </c>
      <c r="H132" s="32" t="n">
        <v>2097.19</v>
      </c>
      <c r="I132" s="32" t="n">
        <v>1294.5</v>
      </c>
      <c r="J132" s="32" t="n">
        <v>1.44</v>
      </c>
      <c r="K132" s="32" t="n">
        <v>10124</v>
      </c>
      <c r="L132" s="31" t="n">
        <v>89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70.94</v>
      </c>
      <c r="P132" s="32" t="n">
        <v>25.34</v>
      </c>
      <c r="Q132" s="32" t="n">
        <v>978.01</v>
      </c>
      <c r="R132" s="31" t="inlineStr">
        <is>
          <t>Near 52W High Breakout</t>
        </is>
      </c>
      <c r="S132" s="31" t="inlineStr">
        <is>
          <t>Nifty Metal</t>
        </is>
      </c>
      <c r="T132" s="32" t="n">
        <v>34.42</v>
      </c>
      <c r="U132" s="32" t="n">
        <v>259.58</v>
      </c>
      <c r="V132" s="32" t="n">
        <v>167.51</v>
      </c>
      <c r="W132" s="32" t="n">
        <v>42.28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Cyclical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Volatile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IF(B133=0,"",RANK(B133,$B$2:$B$174,0))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SVLL</t>
        </is>
      </c>
      <c r="D133" s="31" t="inlineStr">
        <is>
          <t>Shree Vasu Logistics Ltd</t>
        </is>
      </c>
      <c r="E133" s="31" t="inlineStr">
        <is>
          <t>transportation</t>
        </is>
      </c>
      <c r="F133" s="31" t="inlineStr">
        <is>
          <t>miscellaneous</t>
        </is>
      </c>
      <c r="G133" s="31" t="inlineStr">
        <is>
          <t>smallcap</t>
        </is>
      </c>
      <c r="H133" s="32" t="n">
        <v>902.3099999999999</v>
      </c>
      <c r="I133" s="32" t="n">
        <v>790.4</v>
      </c>
      <c r="J133" s="32" t="n">
        <v>0.68</v>
      </c>
      <c r="K133" s="32" t="n">
        <v>1173</v>
      </c>
      <c r="L133" s="31" t="n">
        <v>16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61.73</v>
      </c>
      <c r="P133" s="32" t="n">
        <v>39.04</v>
      </c>
      <c r="Q133" s="32" t="n">
        <v>603.75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-8.720000000000001</v>
      </c>
      <c r="U133" s="32" t="n">
        <v>0.23</v>
      </c>
      <c r="V133" s="32" t="n">
        <v>9.800000000000001</v>
      </c>
      <c r="W133" s="32" t="n">
        <v>4.76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More than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IF(B134=0,"",RANK(B134,$B$2:$B$174,0))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GOODLUCK</t>
        </is>
      </c>
      <c r="D134" s="31" t="inlineStr">
        <is>
          <t>Goodluck India Limited</t>
        </is>
      </c>
      <c r="E134" s="31" t="inlineStr">
        <is>
          <t>metals &amp; mining</t>
        </is>
      </c>
      <c r="F134" s="31" t="inlineStr">
        <is>
          <t>steel - medium / small</t>
        </is>
      </c>
      <c r="G134" s="31" t="inlineStr">
        <is>
          <t>midcap</t>
        </is>
      </c>
      <c r="H134" s="32" t="n">
        <v>5153.8</v>
      </c>
      <c r="I134" s="32" t="n">
        <v>519.15</v>
      </c>
      <c r="J134" s="32" t="n">
        <v>0.45</v>
      </c>
      <c r="K134" s="32" t="n">
        <v>708900</v>
      </c>
      <c r="L134" s="31" t="n">
        <v>50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59.39</v>
      </c>
      <c r="P134" s="32" t="n">
        <v>35.55</v>
      </c>
      <c r="Q134" s="32" t="n">
        <v>380.87</v>
      </c>
      <c r="R134" s="31" t="inlineStr">
        <is>
          <t>Near 52W High Breakout</t>
        </is>
      </c>
      <c r="S134" s="31" t="inlineStr">
        <is>
          <t>Nifty Metal</t>
        </is>
      </c>
      <c r="T134" s="32" t="n">
        <v>34.42</v>
      </c>
      <c r="U134" s="32" t="n">
        <v>50.08</v>
      </c>
      <c r="V134" s="32" t="n">
        <v>11.65</v>
      </c>
      <c r="W134" s="32" t="n">
        <v>16.11</v>
      </c>
      <c r="X134" s="31" t="inlineStr">
        <is>
          <t>Cyclical in an Upturn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Cyclical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Volatile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Between 0.7 to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IF(B135=0,"",RANK(B135,$B$2:$B$174,0))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SBC</t>
        </is>
      </c>
      <c r="D135" s="31" t="inlineStr">
        <is>
          <t>SBC Exports Ltd</t>
        </is>
      </c>
      <c r="E135" s="31" t="inlineStr">
        <is>
          <t>textiles</t>
        </is>
      </c>
      <c r="F135" s="31" t="inlineStr">
        <is>
          <t>textiles - products</t>
        </is>
      </c>
      <c r="G135" s="31" t="inlineStr">
        <is>
          <t>smallcap</t>
        </is>
      </c>
      <c r="H135" s="32" t="n">
        <v>2301.43</v>
      </c>
      <c r="I135" s="32" t="n">
        <v>47.73</v>
      </c>
      <c r="J135" s="32" t="n">
        <v>-1.24</v>
      </c>
      <c r="K135" s="32" t="n">
        <v>9919587</v>
      </c>
      <c r="L135" s="31" t="n">
        <v>62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73.05</v>
      </c>
      <c r="P135" s="32" t="n">
        <v>33.36</v>
      </c>
      <c r="Q135" s="32" t="n">
        <v>39.89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-8.720000000000001</v>
      </c>
      <c r="U135" s="32" t="n">
        <v>123.14</v>
      </c>
      <c r="V135" s="32" t="n">
        <v>144.46</v>
      </c>
      <c r="W135" s="32" t="n">
        <v>20.18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More than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IF(B136=0,"",RANK(B136,$B$2:$B$174,0))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SEAMECLTD</t>
        </is>
      </c>
      <c r="D136" s="31" t="inlineStr">
        <is>
          <t>Seamec Limited</t>
        </is>
      </c>
      <c r="E136" s="31" t="inlineStr">
        <is>
          <t>miscellaneous</t>
        </is>
      </c>
      <c r="F136" s="31" t="inlineStr">
        <is>
          <t>miscellaneous</t>
        </is>
      </c>
      <c r="G136" s="31" t="inlineStr">
        <is>
          <t>smallcap</t>
        </is>
      </c>
      <c r="H136" s="32" t="n">
        <v>4547.01</v>
      </c>
      <c r="I136" s="32" t="n">
        <v>1736.9</v>
      </c>
      <c r="J136" s="32" t="n">
        <v>-2.88</v>
      </c>
      <c r="K136" s="32" t="n">
        <v>83528</v>
      </c>
      <c r="L136" s="31" t="n">
        <v>61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66.16</v>
      </c>
      <c r="P136" s="32" t="n">
        <v>17.34</v>
      </c>
      <c r="Q136" s="32" t="n">
        <v>1418.39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-8.720000000000001</v>
      </c>
      <c r="U136" s="32" t="n">
        <v>84.40000000000001</v>
      </c>
      <c r="V136" s="32" t="n">
        <v>102.01</v>
      </c>
      <c r="W136" s="32" t="n">
        <v>19.35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0 to 20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Less than 12%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IF(B137=0,"",RANK(B137,$B$2:$B$174,0))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PTCIL</t>
        </is>
      </c>
      <c r="D137" s="31" t="inlineStr">
        <is>
          <t>PTC Industries Ltd</t>
        </is>
      </c>
      <c r="E137" s="31" t="inlineStr">
        <is>
          <t>industrials</t>
        </is>
      </c>
      <c r="F137" s="31" t="inlineStr">
        <is>
          <t>castings &amp; forgings</t>
        </is>
      </c>
      <c r="G137" s="31" t="inlineStr">
        <is>
          <t>largecap</t>
        </is>
      </c>
      <c r="H137" s="32" t="n">
        <v>35427.39</v>
      </c>
      <c r="I137" s="32" t="n">
        <v>22560</v>
      </c>
      <c r="J137" s="32" t="n">
        <v>-4.53</v>
      </c>
      <c r="K137" s="32" t="n">
        <v>34722</v>
      </c>
      <c r="L137" s="31" t="n">
        <v>41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68.59</v>
      </c>
      <c r="P137" s="32" t="n">
        <v>34.98</v>
      </c>
      <c r="Q137" s="32" t="n">
        <v>19466.93</v>
      </c>
      <c r="R137" s="31" t="inlineStr">
        <is>
          <t>Earnings / Momentum Support</t>
        </is>
      </c>
      <c r="S137" s="31" t="inlineStr">
        <is>
          <t>Nifty 50</t>
        </is>
      </c>
      <c r="T137" s="32" t="n">
        <v>-8.720000000000001</v>
      </c>
      <c r="U137" s="32" t="n">
        <v>50.98</v>
      </c>
      <c r="V137" s="32" t="n">
        <v>65.41</v>
      </c>
      <c r="W137" s="32" t="n">
        <v>13.6</v>
      </c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IF(B138=0,"",RANK(B138,$B$2:$B$174,0))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CHENNPETRO</t>
        </is>
      </c>
      <c r="D138" s="31" t="inlineStr">
        <is>
          <t>Chennai Petroleum Corporation Limited</t>
        </is>
      </c>
      <c r="E138" s="31" t="inlineStr">
        <is>
          <t>energy</t>
        </is>
      </c>
      <c r="F138" s="31" t="inlineStr">
        <is>
          <t>refineries</t>
        </is>
      </c>
      <c r="G138" s="31" t="inlineStr">
        <is>
          <t>largecap</t>
        </is>
      </c>
      <c r="H138" s="32" t="n">
        <v>23422.27</v>
      </c>
      <c r="I138" s="32" t="n">
        <v>1471.8</v>
      </c>
      <c r="J138" s="32" t="n">
        <v>-6.43</v>
      </c>
      <c r="K138" s="32" t="n">
        <v>2061830</v>
      </c>
      <c r="L138" s="31" t="n">
        <v>77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68.7</v>
      </c>
      <c r="P138" s="32" t="n">
        <v>60.06</v>
      </c>
      <c r="Q138" s="32" t="n">
        <v>1174.6</v>
      </c>
      <c r="R138" s="31" t="inlineStr">
        <is>
          <t>Earnings / Momentum Support</t>
        </is>
      </c>
      <c r="S138" s="31" t="inlineStr">
        <is>
          <t>Nifty Energy</t>
        </is>
      </c>
      <c r="T138" s="32" t="n">
        <v>5.38</v>
      </c>
      <c r="U138" s="32" t="n">
        <v>126.81</v>
      </c>
      <c r="V138" s="32" t="n">
        <v>115.23</v>
      </c>
      <c r="W138" s="32" t="n">
        <v>28.57</v>
      </c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Oligopoly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Yes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Cyclical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Volatile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IF(B139=0,"",RANK(B139,$B$2:$B$174,0))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GRPLTD</t>
        </is>
      </c>
      <c r="D139" s="31" t="inlineStr">
        <is>
          <t>Grp Limited</t>
        </is>
      </c>
      <c r="E139" s="31" t="inlineStr">
        <is>
          <t>fmcg</t>
        </is>
      </c>
      <c r="F139" s="31" t="inlineStr">
        <is>
          <t>miscellaneous</t>
        </is>
      </c>
      <c r="G139" s="31" t="inlineStr">
        <is>
          <t>smallcap</t>
        </is>
      </c>
      <c r="H139" s="32" t="n">
        <v>1026.72</v>
      </c>
      <c r="I139" s="32" t="n">
        <v>2046.2</v>
      </c>
      <c r="J139" s="32" t="n">
        <v>6.29</v>
      </c>
      <c r="K139" s="32" t="n">
        <v>20058</v>
      </c>
      <c r="L139" s="31" t="n">
        <v>4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56.33</v>
      </c>
      <c r="P139" s="32" t="n">
        <v>12.31</v>
      </c>
      <c r="Q139" s="32" t="n">
        <v>1624.44</v>
      </c>
      <c r="R139" s="31" t="inlineStr">
        <is>
          <t>Volume Spike / Accumulation</t>
        </is>
      </c>
      <c r="S139" s="31" t="inlineStr">
        <is>
          <t>Nifty FMCG</t>
        </is>
      </c>
      <c r="T139" s="32" t="n">
        <v>-17.86</v>
      </c>
      <c r="U139" s="32" t="n">
        <v>-15.41</v>
      </c>
      <c r="V139" s="32" t="n">
        <v>2.99</v>
      </c>
      <c r="W139" s="32" t="n">
        <v>-0.5600000000000001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B2C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0 to 20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Between 0.7 to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IF(B140=0,"",RANK(B140,$B$2:$B$174,0))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HATSUN</t>
        </is>
      </c>
      <c r="D140" s="31" t="inlineStr">
        <is>
          <t>Hatsun Agro Product Limited</t>
        </is>
      </c>
      <c r="E140" s="31" t="inlineStr">
        <is>
          <t>fmcg</t>
        </is>
      </c>
      <c r="F140" s="31" t="inlineStr">
        <is>
          <t>food - processing - indian</t>
        </is>
      </c>
      <c r="G140" s="31" t="inlineStr">
        <is>
          <t>largecap</t>
        </is>
      </c>
      <c r="H140" s="32" t="n">
        <v>27273.3</v>
      </c>
      <c r="I140" s="32" t="n">
        <v>1275</v>
      </c>
      <c r="J140" s="32" t="n">
        <v>4.13</v>
      </c>
      <c r="K140" s="32" t="n">
        <v>874664</v>
      </c>
      <c r="L140" s="31" t="n">
        <v>41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79.95999999999999</v>
      </c>
      <c r="P140" s="32" t="n">
        <v>27.44</v>
      </c>
      <c r="Q140" s="32" t="n">
        <v>1040.12</v>
      </c>
      <c r="R140" s="31" t="inlineStr">
        <is>
          <t>Volume Spike &amp; Near 52W High Breakout</t>
        </is>
      </c>
      <c r="S140" s="31" t="inlineStr">
        <is>
          <t>Nifty FMCG</t>
        </is>
      </c>
      <c r="T140" s="32" t="n">
        <v>-17.86</v>
      </c>
      <c r="U140" s="32" t="n">
        <v>39.68</v>
      </c>
      <c r="V140" s="32" t="n">
        <v>70.06</v>
      </c>
      <c r="W140" s="32" t="n">
        <v>13.6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B2C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Between 0.7 to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IF(B141=0,"",RANK(B141,$B$2:$B$174,0))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MAXESTATES</t>
        </is>
      </c>
      <c r="D141" s="31" t="inlineStr">
        <is>
          <t>Max Estates Ltd</t>
        </is>
      </c>
      <c r="E141" s="31" t="inlineStr">
        <is>
          <t>realty</t>
        </is>
      </c>
      <c r="F141" s="31" t="inlineStr">
        <is>
          <t>construction</t>
        </is>
      </c>
      <c r="G141" s="31" t="inlineStr">
        <is>
          <t>midcap</t>
        </is>
      </c>
      <c r="H141" s="32" t="n">
        <v>9163.200000000001</v>
      </c>
      <c r="I141" s="32" t="n">
        <v>568.9</v>
      </c>
      <c r="J141" s="32" t="n">
        <v>1.51</v>
      </c>
      <c r="K141" s="32" t="n">
        <v>257350</v>
      </c>
      <c r="L141" s="31" t="n">
        <v>39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72.56999999999999</v>
      </c>
      <c r="P141" s="32" t="n">
        <v>27.28</v>
      </c>
      <c r="Q141" s="32" t="n">
        <v>440.44</v>
      </c>
      <c r="R141" s="31" t="inlineStr">
        <is>
          <t>Near 52W High Breakout</t>
        </is>
      </c>
      <c r="S141" s="31" t="inlineStr">
        <is>
          <t>Nifty Realty</t>
        </is>
      </c>
      <c r="T141" s="32" t="n">
        <v>-14.34</v>
      </c>
      <c r="U141" s="32" t="n">
        <v>11.3</v>
      </c>
      <c r="V141" s="32" t="n">
        <v>29.94</v>
      </c>
      <c r="W141" s="32" t="n">
        <v>13.14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Between 0.7 to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IF(B142=0,"",RANK(B142,$B$2:$B$174,0))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RATNAVEER</t>
        </is>
      </c>
      <c r="D142" s="31" t="inlineStr">
        <is>
          <t>Ratnaveer Precision Engineering Ltd</t>
        </is>
      </c>
      <c r="E142" s="31" t="inlineStr">
        <is>
          <t>metals &amp; mining</t>
        </is>
      </c>
      <c r="F142" s="31" t="inlineStr">
        <is>
          <t>steel - medium / small</t>
        </is>
      </c>
      <c r="G142" s="31" t="inlineStr">
        <is>
          <t>smallcap</t>
        </is>
      </c>
      <c r="H142" s="32" t="n">
        <v>2059.23</v>
      </c>
      <c r="I142" s="32" t="n">
        <v>289.6</v>
      </c>
      <c r="J142" s="32" t="n">
        <v>0.45</v>
      </c>
      <c r="K142" s="32" t="n">
        <v>6487828</v>
      </c>
      <c r="L142" s="31" t="n">
        <v>88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75.64</v>
      </c>
      <c r="P142" s="32" t="n">
        <v>60.18</v>
      </c>
      <c r="Q142" s="32" t="n">
        <v>227.47</v>
      </c>
      <c r="R142" s="31" t="inlineStr">
        <is>
          <t>Near 52W High Breakout</t>
        </is>
      </c>
      <c r="S142" s="31" t="inlineStr">
        <is>
          <t>Nifty Metal</t>
        </is>
      </c>
      <c r="T142" s="32" t="n">
        <v>34.42</v>
      </c>
      <c r="U142" s="32" t="n">
        <v>86.67</v>
      </c>
      <c r="V142" s="32" t="n">
        <v>38.87</v>
      </c>
      <c r="W142" s="32" t="n">
        <v>38.72</v>
      </c>
      <c r="X142" s="31" t="inlineStr">
        <is>
          <t>Cyclical in an Upturn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Cyclical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Volatile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Less than 12%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IF(B143=0,"",RANK(B143,$B$2:$B$174,0))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LGBBROSLTD</t>
        </is>
      </c>
      <c r="D143" s="31" t="inlineStr">
        <is>
          <t>Lg Balakrishnan &amp; Bros Limited</t>
        </is>
      </c>
      <c r="E143" s="31" t="inlineStr">
        <is>
          <t>auto</t>
        </is>
      </c>
      <c r="F143" s="31" t="inlineStr">
        <is>
          <t>bearings</t>
        </is>
      </c>
      <c r="G143" s="31" t="inlineStr">
        <is>
          <t>midcap</t>
        </is>
      </c>
      <c r="H143" s="32" t="n">
        <v>5456.79</v>
      </c>
      <c r="I143" s="32" t="n">
        <v>1703.2</v>
      </c>
      <c r="J143" s="32" t="n">
        <v>-0.46</v>
      </c>
      <c r="K143" s="32" t="n">
        <v>21277</v>
      </c>
      <c r="L143" s="31" t="n">
        <v>20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57.34</v>
      </c>
      <c r="P143" s="32" t="n">
        <v>11.65</v>
      </c>
      <c r="Q143" s="32" t="n">
        <v>1440.94</v>
      </c>
      <c r="R143" s="31" t="inlineStr">
        <is>
          <t>Earnings / Momentum Support</t>
        </is>
      </c>
      <c r="S143" s="31" t="inlineStr">
        <is>
          <t>Nifty Auto</t>
        </is>
      </c>
      <c r="T143" s="32" t="n">
        <v>12.51</v>
      </c>
      <c r="U143" s="32" t="n">
        <v>35.8</v>
      </c>
      <c r="V143" s="32" t="n">
        <v>20.7</v>
      </c>
      <c r="W143" s="32" t="n">
        <v>6.56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0 to 20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Less than 12%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IF(B144=0,"",RANK(B144,$B$2:$B$174,0))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3" t="inlineStr">
        <is>
          <t>ANDHRAPAP</t>
        </is>
      </c>
      <c r="D144" s="33" t="inlineStr">
        <is>
          <t>Andhra Paper Ltd</t>
        </is>
      </c>
      <c r="E144" s="31" t="inlineStr">
        <is>
          <t>building materials</t>
        </is>
      </c>
      <c r="F144" s="31" t="inlineStr">
        <is>
          <t>paper</t>
        </is>
      </c>
      <c r="G144" s="31" t="inlineStr">
        <is>
          <t>smallcap</t>
        </is>
      </c>
      <c r="H144" s="32" t="n">
        <v>1458.77</v>
      </c>
      <c r="I144" s="32" t="n">
        <v>71.64</v>
      </c>
      <c r="J144" s="32" t="n">
        <v>-2.34</v>
      </c>
      <c r="K144" s="32" t="n">
        <v>1506455</v>
      </c>
      <c r="L144" s="31" t="n">
        <v>9</v>
      </c>
      <c r="M144" s="31" t="inlineStr">
        <is>
          <t>Underperforming</t>
        </is>
      </c>
      <c r="N144" s="32">
        <f>IF(M144="Underperforming",-5,IF(L144&gt;=95,15,IF(L144&gt;=90,10,IF(L144&gt;=80,5,0))))</f>
        <v/>
      </c>
      <c r="O144" s="32" t="n">
        <v>65</v>
      </c>
      <c r="P144" s="32" t="n">
        <v>15.5</v>
      </c>
      <c r="Q144" s="32" t="n">
        <v>59</v>
      </c>
      <c r="R144" s="31" t="inlineStr">
        <is>
          <t>Earnings / Momentum Support</t>
        </is>
      </c>
      <c r="S144" s="31" t="inlineStr">
        <is>
          <t>Nifty Infra</t>
        </is>
      </c>
      <c r="T144" s="32" t="n">
        <v>-1.72</v>
      </c>
      <c r="U144" s="32" t="n">
        <v>-5.4</v>
      </c>
      <c r="V144" s="32" t="n">
        <v>-3.75</v>
      </c>
      <c r="W144" s="32" t="n">
        <v>1.29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0 to 20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IF(B145=0,"",RANK(B145,$B$2:$B$174,0))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UFLEX</t>
        </is>
      </c>
      <c r="D145" s="31" t="inlineStr">
        <is>
          <t>Uflex Limited</t>
        </is>
      </c>
      <c r="E145" s="31" t="inlineStr">
        <is>
          <t>industrials</t>
        </is>
      </c>
      <c r="F145" s="31" t="inlineStr">
        <is>
          <t>packaging</t>
        </is>
      </c>
      <c r="G145" s="31" t="inlineStr">
        <is>
          <t>smallcap</t>
        </is>
      </c>
      <c r="H145" s="32" t="n">
        <v>4718.66</v>
      </c>
      <c r="I145" s="32" t="n">
        <v>636.1</v>
      </c>
      <c r="J145" s="32" t="n">
        <v>-2.66</v>
      </c>
      <c r="K145" s="32" t="n">
        <v>129497</v>
      </c>
      <c r="L145" s="31" t="n">
        <v>46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70.45999999999999</v>
      </c>
      <c r="P145" s="32" t="n">
        <v>35</v>
      </c>
      <c r="Q145" s="32" t="n">
        <v>533.88</v>
      </c>
      <c r="R145" s="31" t="inlineStr">
        <is>
          <t>Earnings / Momentum Support</t>
        </is>
      </c>
      <c r="S145" s="31" t="inlineStr">
        <is>
          <t>Nifty 50</t>
        </is>
      </c>
      <c r="T145" s="32" t="n">
        <v>-8.720000000000001</v>
      </c>
      <c r="U145" s="32" t="n">
        <v>15.71</v>
      </c>
      <c r="V145" s="32" t="n">
        <v>26.77</v>
      </c>
      <c r="W145" s="32" t="n">
        <v>15.21</v>
      </c>
      <c r="X145" s="31" t="inlineStr">
        <is>
          <t>Cyclical in an Upturn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More than 1.2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IF(B146=0,"",RANK(B146,$B$2:$B$174,0))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IONEXCHANG</t>
        </is>
      </c>
      <c r="D146" s="31" t="inlineStr">
        <is>
          <t>Ion Exchange (India) Ltd</t>
        </is>
      </c>
      <c r="E146" s="31" t="inlineStr">
        <is>
          <t>realty</t>
        </is>
      </c>
      <c r="F146" s="31" t="inlineStr">
        <is>
          <t>engineering - turnkey services</t>
        </is>
      </c>
      <c r="G146" s="31" t="inlineStr">
        <is>
          <t>midcap</t>
        </is>
      </c>
      <c r="H146" s="32" t="n">
        <v>6536.93</v>
      </c>
      <c r="I146" s="32" t="n">
        <v>432</v>
      </c>
      <c r="J146" s="32" t="n">
        <v>-3.07</v>
      </c>
      <c r="K146" s="32" t="n">
        <v>401926</v>
      </c>
      <c r="L146" s="31" t="n">
        <v>8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57.15</v>
      </c>
      <c r="P146" s="32" t="n">
        <v>21.5</v>
      </c>
      <c r="Q146" s="32" t="n">
        <v>355.96</v>
      </c>
      <c r="R146" s="31" t="inlineStr">
        <is>
          <t>Earnings / Momentum Support</t>
        </is>
      </c>
      <c r="S146" s="31" t="inlineStr">
        <is>
          <t>Nifty Realty</t>
        </is>
      </c>
      <c r="T146" s="32" t="n">
        <v>-14.34</v>
      </c>
      <c r="U146" s="32" t="n">
        <v>-6.71</v>
      </c>
      <c r="V146" s="32" t="n">
        <v>8.91</v>
      </c>
      <c r="W146" s="32" t="n">
        <v>1.07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IF(B147=0,"",RANK(B147,$B$2:$B$174,0))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3" t="inlineStr">
        <is>
          <t>MAHSEAMLES</t>
        </is>
      </c>
      <c r="D147" s="33" t="inlineStr">
        <is>
          <t>Maharashtra Seamless Limited</t>
        </is>
      </c>
      <c r="E147" s="31" t="inlineStr">
        <is>
          <t>metals &amp; mining</t>
        </is>
      </c>
      <c r="F147" s="31" t="inlineStr">
        <is>
          <t>steel - medium / small</t>
        </is>
      </c>
      <c r="G147" s="31" t="inlineStr">
        <is>
          <t>midcap</t>
        </is>
      </c>
      <c r="H147" s="32" t="n">
        <v>9767.209999999999</v>
      </c>
      <c r="I147" s="32" t="n">
        <v>701.1</v>
      </c>
      <c r="J147" s="32" t="n">
        <v>-3.81</v>
      </c>
      <c r="K147" s="32" t="n">
        <v>328878</v>
      </c>
      <c r="L147" s="31" t="n">
        <v>13</v>
      </c>
      <c r="M147" s="31" t="inlineStr">
        <is>
          <t>Underperforming</t>
        </is>
      </c>
      <c r="N147" s="32">
        <f>IF(M147="Underperforming",-5,IF(L147&gt;=95,15,IF(L147&gt;=90,10,IF(L147&gt;=80,5,0))))</f>
        <v/>
      </c>
      <c r="O147" s="32" t="n">
        <v>67.2</v>
      </c>
      <c r="P147" s="32" t="n">
        <v>22.97</v>
      </c>
      <c r="Q147" s="32" t="n">
        <v>611.89</v>
      </c>
      <c r="R147" s="31" t="inlineStr">
        <is>
          <t>Near 52W High Breakout</t>
        </is>
      </c>
      <c r="S147" s="31" t="inlineStr">
        <is>
          <t>Nifty Metal</t>
        </is>
      </c>
      <c r="T147" s="32" t="n">
        <v>34.42</v>
      </c>
      <c r="U147" s="32" t="n">
        <v>2.31</v>
      </c>
      <c r="V147" s="32" t="n">
        <v>-23.89</v>
      </c>
      <c r="W147" s="32" t="n">
        <v>3.82</v>
      </c>
      <c r="X147" s="31" t="inlineStr">
        <is>
          <t>Cyclical in an Upturn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Cyclical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Volatile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Between 12 to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IF(B148=0,"",RANK(B148,$B$2:$B$174,0))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SHANTIGEAR</t>
        </is>
      </c>
      <c r="D148" s="31" t="inlineStr">
        <is>
          <t>Shanthi Gears Limited</t>
        </is>
      </c>
      <c r="E148" s="31" t="inlineStr">
        <is>
          <t>industrials</t>
        </is>
      </c>
      <c r="F148" s="31" t="inlineStr">
        <is>
          <t>engineering</t>
        </is>
      </c>
      <c r="G148" s="31" t="inlineStr">
        <is>
          <t>midcap</t>
        </is>
      </c>
      <c r="H148" s="32" t="n">
        <v>5484.8</v>
      </c>
      <c r="I148" s="32" t="n">
        <v>679.25</v>
      </c>
      <c r="J148" s="32" t="n">
        <v>-4.99</v>
      </c>
      <c r="K148" s="32" t="n">
        <v>102653</v>
      </c>
      <c r="L148" s="31" t="n">
        <v>52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76.33</v>
      </c>
      <c r="P148" s="32" t="n">
        <v>30.68</v>
      </c>
      <c r="Q148" s="32" t="n">
        <v>572.23</v>
      </c>
      <c r="R148" s="31" t="inlineStr">
        <is>
          <t>Near 52W High Breakout</t>
        </is>
      </c>
      <c r="S148" s="31" t="inlineStr">
        <is>
          <t>Nifty 50</t>
        </is>
      </c>
      <c r="T148" s="32" t="n">
        <v>-8.720000000000001</v>
      </c>
      <c r="U148" s="32" t="n">
        <v>23.69</v>
      </c>
      <c r="V148" s="32" t="n">
        <v>35.5</v>
      </c>
      <c r="W148" s="32" t="n">
        <v>16.82</v>
      </c>
      <c r="X148" s="31" t="inlineStr">
        <is>
          <t>Cyclical in an Upturn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IF(B149=0,"",RANK(B149,$B$2:$B$174,0))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FILATEX</t>
        </is>
      </c>
      <c r="D149" s="31" t="inlineStr">
        <is>
          <t>Filatex India Limited</t>
        </is>
      </c>
      <c r="E149" s="31" t="inlineStr">
        <is>
          <t>textiles</t>
        </is>
      </c>
      <c r="F149" s="31" t="inlineStr">
        <is>
          <t>textiles - manmade</t>
        </is>
      </c>
      <c r="G149" s="31" t="inlineStr">
        <is>
          <t>smallcap</t>
        </is>
      </c>
      <c r="H149" s="32" t="n">
        <v>3881.51</v>
      </c>
      <c r="I149" s="32" t="n">
        <v>82.41</v>
      </c>
      <c r="J149" s="32" t="n">
        <v>-5.72</v>
      </c>
      <c r="K149" s="32" t="n">
        <v>8356838</v>
      </c>
      <c r="L149" s="31" t="n">
        <v>65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68.03</v>
      </c>
      <c r="P149" s="32" t="n">
        <v>44.61</v>
      </c>
      <c r="Q149" s="32" t="n">
        <v>63.41</v>
      </c>
      <c r="R149" s="31" t="inlineStr">
        <is>
          <t>Earnings / Momentum Support</t>
        </is>
      </c>
      <c r="S149" s="31" t="inlineStr">
        <is>
          <t>Nifty 50</t>
        </is>
      </c>
      <c r="T149" s="32" t="n">
        <v>-8.720000000000001</v>
      </c>
      <c r="U149" s="32" t="n">
        <v>44.73</v>
      </c>
      <c r="V149" s="32" t="n">
        <v>58.56</v>
      </c>
      <c r="W149" s="32" t="n">
        <v>20.92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Between 12 to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IF(B150=0,"",RANK(B150,$B$2:$B$174,0))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MANINDS</t>
        </is>
      </c>
      <c r="D150" s="31" t="inlineStr">
        <is>
          <t>Man Industries (india) Limited</t>
        </is>
      </c>
      <c r="E150" s="31" t="inlineStr">
        <is>
          <t>metals &amp; mining</t>
        </is>
      </c>
      <c r="F150" s="31" t="inlineStr">
        <is>
          <t>steel - medium / small</t>
        </is>
      </c>
      <c r="G150" s="31" t="inlineStr">
        <is>
          <t>midcap</t>
        </is>
      </c>
      <c r="H150" s="32" t="n">
        <v>6496.58</v>
      </c>
      <c r="I150" s="32" t="n">
        <v>808.2</v>
      </c>
      <c r="J150" s="32" t="n">
        <v>-6.69</v>
      </c>
      <c r="K150" s="32" t="n">
        <v>1027095</v>
      </c>
      <c r="L150" s="31" t="n">
        <v>77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71.15000000000001</v>
      </c>
      <c r="P150" s="32" t="n">
        <v>39.02</v>
      </c>
      <c r="Q150" s="32" t="n">
        <v>656.12</v>
      </c>
      <c r="R150" s="31" t="inlineStr">
        <is>
          <t>Earnings / Momentum Support</t>
        </is>
      </c>
      <c r="S150" s="31" t="inlineStr">
        <is>
          <t>Nifty Metal</t>
        </is>
      </c>
      <c r="T150" s="32" t="n">
        <v>34.42</v>
      </c>
      <c r="U150" s="32" t="n">
        <v>89.7</v>
      </c>
      <c r="V150" s="32" t="n">
        <v>41.12</v>
      </c>
      <c r="W150" s="32" t="n">
        <v>28.31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Cyclical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Volatile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IF(B151=0,"",RANK(B151,$B$2:$B$174,0))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3" t="inlineStr">
        <is>
          <t>GODREJAGRO</t>
        </is>
      </c>
      <c r="D151" s="33" t="inlineStr">
        <is>
          <t>Godrej Agrovet Ltd</t>
        </is>
      </c>
      <c r="E151" s="31" t="inlineStr">
        <is>
          <t>fmcg</t>
        </is>
      </c>
      <c r="F151" s="31" t="inlineStr">
        <is>
          <t>food - processing - indian</t>
        </is>
      </c>
      <c r="G151" s="31" t="inlineStr">
        <is>
          <t>midcap</t>
        </is>
      </c>
      <c r="H151" s="32" t="n">
        <v>13000.65</v>
      </c>
      <c r="I151" s="32" t="n">
        <v>645.3</v>
      </c>
      <c r="J151" s="32" t="n">
        <v>-4.52</v>
      </c>
      <c r="K151" s="32" t="n">
        <v>210484</v>
      </c>
      <c r="L151" s="31" t="n">
        <v>4</v>
      </c>
      <c r="M151" s="31" t="inlineStr">
        <is>
          <t>Underperforming</t>
        </is>
      </c>
      <c r="N151" s="32">
        <f>IF(M151="Underperforming",-5,IF(L151&gt;=95,15,IF(L151&gt;=90,10,IF(L151&gt;=80,5,0))))</f>
        <v/>
      </c>
      <c r="O151" s="32" t="n">
        <v>61.2</v>
      </c>
      <c r="P151" s="32" t="n">
        <v>20.14</v>
      </c>
      <c r="Q151" s="32" t="n">
        <v>558</v>
      </c>
      <c r="R151" s="31" t="inlineStr">
        <is>
          <t>Earnings / Momentum Support</t>
        </is>
      </c>
      <c r="S151" s="31" t="inlineStr">
        <is>
          <t>Nifty FMCG</t>
        </is>
      </c>
      <c r="T151" s="32" t="n">
        <v>-17.86</v>
      </c>
      <c r="U151" s="32" t="n">
        <v>-20.56</v>
      </c>
      <c r="V151" s="32" t="n">
        <v>-3.28</v>
      </c>
      <c r="W151" s="32" t="n">
        <v>-1.18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B2C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Annuity, Lower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Between 0.7 to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IF(B152=0,"",RANK(B152,$B$2:$B$174,0))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GMMPFAUDLR</t>
        </is>
      </c>
      <c r="D152" s="31" t="inlineStr">
        <is>
          <t>GMM Pfaudler Ltd</t>
        </is>
      </c>
      <c r="E152" s="31" t="inlineStr">
        <is>
          <t>industrials</t>
        </is>
      </c>
      <c r="F152" s="31" t="inlineStr">
        <is>
          <t>engineering</t>
        </is>
      </c>
      <c r="G152" s="31" t="inlineStr">
        <is>
          <t>midcap</t>
        </is>
      </c>
      <c r="H152" s="32" t="n">
        <v>5879.96</v>
      </c>
      <c r="I152" s="32" t="n">
        <v>1348</v>
      </c>
      <c r="J152" s="32" t="n">
        <v>3.07</v>
      </c>
      <c r="K152" s="32" t="n">
        <v>1157001</v>
      </c>
      <c r="L152" s="31" t="n">
        <v>63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78.28</v>
      </c>
      <c r="P152" s="32" t="n">
        <v>32.95</v>
      </c>
      <c r="Q152" s="32" t="n">
        <v>1094.14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-8.720000000000001</v>
      </c>
      <c r="U152" s="32" t="n">
        <v>19.99</v>
      </c>
      <c r="V152" s="32" t="n">
        <v>31.45</v>
      </c>
      <c r="W152" s="32" t="n">
        <v>20.61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Above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IF(B153=0,"",RANK(B153,$B$2:$B$174,0))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PANACHE</t>
        </is>
      </c>
      <c r="D153" s="31" t="inlineStr">
        <is>
          <t>Panache Digilife Ltd</t>
        </is>
      </c>
      <c r="E153" s="31" t="inlineStr">
        <is>
          <t>i.t</t>
        </is>
      </c>
      <c r="F153" s="31" t="inlineStr">
        <is>
          <t>computers - hardware</t>
        </is>
      </c>
      <c r="G153" s="31" t="inlineStr">
        <is>
          <t>smallcap</t>
        </is>
      </c>
      <c r="H153" s="32" t="n">
        <v>831.13</v>
      </c>
      <c r="I153" s="32" t="n">
        <v>529</v>
      </c>
      <c r="J153" s="32" t="n">
        <v>1.93</v>
      </c>
      <c r="K153" s="32" t="n">
        <v>11038</v>
      </c>
      <c r="L153" s="31" t="n">
        <v>58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70.58</v>
      </c>
      <c r="P153" s="32" t="n">
        <v>37.01</v>
      </c>
      <c r="Q153" s="32" t="n">
        <v>418.29</v>
      </c>
      <c r="R153" s="31" t="inlineStr">
        <is>
          <t>Near 52W High Breakout</t>
        </is>
      </c>
      <c r="S153" s="31" t="inlineStr">
        <is>
          <t>Nifty IT</t>
        </is>
      </c>
      <c r="T153" s="32" t="n">
        <v>-19.2</v>
      </c>
      <c r="U153" s="32" t="n">
        <v>77.97</v>
      </c>
      <c r="V153" s="32" t="n">
        <v>120.26</v>
      </c>
      <c r="W153" s="32" t="n">
        <v>18.22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IF(B154=0,"",RANK(B154,$B$2:$B$174,0))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TNPETRO</t>
        </is>
      </c>
      <c r="D154" s="31" t="inlineStr">
        <is>
          <t>Tamilnadu Petroproducts Limited</t>
        </is>
      </c>
      <c r="E154" s="31" t="inlineStr">
        <is>
          <t>energy</t>
        </is>
      </c>
      <c r="F154" s="31" t="inlineStr">
        <is>
          <t>petrochemicals</t>
        </is>
      </c>
      <c r="G154" s="31" t="inlineStr">
        <is>
          <t>smallcap</t>
        </is>
      </c>
      <c r="H154" s="32" t="n">
        <v>1159.73</v>
      </c>
      <c r="I154" s="32" t="n">
        <v>125.71</v>
      </c>
      <c r="J154" s="32" t="n">
        <v>-2.47</v>
      </c>
      <c r="K154" s="32" t="n">
        <v>1021991</v>
      </c>
      <c r="L154" s="31" t="n">
        <v>44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69.5</v>
      </c>
      <c r="P154" s="32" t="n">
        <v>41.31</v>
      </c>
      <c r="Q154" s="32" t="n">
        <v>100.66</v>
      </c>
      <c r="R154" s="31" t="inlineStr">
        <is>
          <t>Earnings / Momentum Support</t>
        </is>
      </c>
      <c r="S154" s="31" t="inlineStr">
        <is>
          <t>Nifty Energy</t>
        </is>
      </c>
      <c r="T154" s="32" t="n">
        <v>5.38</v>
      </c>
      <c r="U154" s="32" t="n">
        <v>24.11</v>
      </c>
      <c r="V154" s="32" t="n">
        <v>17.77</v>
      </c>
      <c r="W154" s="32" t="n">
        <v>14.99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Oligopoly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Yes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Cyclical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Volatile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IF(B155=0,"",RANK(B155,$B$2:$B$174,0))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DEEPINDS</t>
        </is>
      </c>
      <c r="D155" s="31" t="inlineStr">
        <is>
          <t>Deep Industries Ltd</t>
        </is>
      </c>
      <c r="E155" s="31" t="inlineStr">
        <is>
          <t>energy</t>
        </is>
      </c>
      <c r="F155" s="31" t="inlineStr">
        <is>
          <t>oil drilling / allied services</t>
        </is>
      </c>
      <c r="G155" s="31" t="inlineStr">
        <is>
          <t>smallcap</t>
        </is>
      </c>
      <c r="H155" s="32" t="n">
        <v>4956.16</v>
      </c>
      <c r="I155" s="32" t="n">
        <v>730.4</v>
      </c>
      <c r="J155" s="32" t="n">
        <v>-5.68</v>
      </c>
      <c r="K155" s="32" t="n">
        <v>492116</v>
      </c>
      <c r="L155" s="31" t="n">
        <v>70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70.26000000000001</v>
      </c>
      <c r="P155" s="32" t="n">
        <v>34.92</v>
      </c>
      <c r="Q155" s="32" t="n">
        <v>609.34</v>
      </c>
      <c r="R155" s="31" t="inlineStr">
        <is>
          <t>Earnings / Momentum Support</t>
        </is>
      </c>
      <c r="S155" s="31" t="inlineStr">
        <is>
          <t>Nifty Energy</t>
        </is>
      </c>
      <c r="T155" s="32" t="n">
        <v>5.38</v>
      </c>
      <c r="U155" s="32" t="n">
        <v>63.52</v>
      </c>
      <c r="V155" s="32" t="n">
        <v>55.17</v>
      </c>
      <c r="W155" s="32" t="n">
        <v>23.62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Oligopoly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Yes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Cyclical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Volatile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Less than 1.5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IF(B156=0,"",RANK(B156,$B$2:$B$174,0))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ANTELOPUS</t>
        </is>
      </c>
      <c r="D156" s="31" t="inlineStr">
        <is>
          <t>Antelopus Selan Energy Ltd</t>
        </is>
      </c>
      <c r="E156" s="31" t="inlineStr">
        <is>
          <t>energy</t>
        </is>
      </c>
      <c r="F156" s="31" t="inlineStr">
        <is>
          <t>oil drilling / allied services</t>
        </is>
      </c>
      <c r="G156" s="31" t="inlineStr">
        <is>
          <t>smallcap</t>
        </is>
      </c>
      <c r="H156" s="32" t="n">
        <v>4006.22</v>
      </c>
      <c r="I156" s="32" t="n">
        <v>1057.8</v>
      </c>
      <c r="J156" s="32" t="n">
        <v>-7.16</v>
      </c>
      <c r="K156" s="32" t="n">
        <v>1129576</v>
      </c>
      <c r="L156" s="31" t="n">
        <v>78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66.98999999999999</v>
      </c>
      <c r="P156" s="32" t="n">
        <v>45.4</v>
      </c>
      <c r="Q156" s="32" t="n">
        <v>791.9</v>
      </c>
      <c r="R156" s="31" t="inlineStr">
        <is>
          <t>Earnings / Momentum Support</t>
        </is>
      </c>
      <c r="S156" s="31" t="inlineStr">
        <is>
          <t>Nifty Energy</t>
        </is>
      </c>
      <c r="T156" s="32" t="n">
        <v>5.38</v>
      </c>
      <c r="U156" s="32" t="n">
        <v>69.67</v>
      </c>
      <c r="V156" s="32" t="n">
        <v>61</v>
      </c>
      <c r="W156" s="32" t="n">
        <v>28.97</v>
      </c>
      <c r="X156" s="31" t="inlineStr">
        <is>
          <t>Cyclical in an Upturn</t>
        </is>
      </c>
      <c r="Y156" s="31">
        <f>IF(X156="Growing Industry",10,IF(X156="Cyclical in an Upturn",5,0))</f>
        <v/>
      </c>
      <c r="Z156" s="31" t="inlineStr">
        <is>
          <t>Oligopoly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Cyclical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Volatile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IF(B157=0,"",RANK(B157,$B$2:$B$174,0))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CYIENT</t>
        </is>
      </c>
      <c r="D157" s="31" t="inlineStr">
        <is>
          <t>Cyient Limited</t>
        </is>
      </c>
      <c r="E157" s="31" t="inlineStr">
        <is>
          <t>i.t</t>
        </is>
      </c>
      <c r="F157" s="31" t="inlineStr">
        <is>
          <t>computers - software - medium / small</t>
        </is>
      </c>
      <c r="G157" s="31" t="inlineStr">
        <is>
          <t>midcap</t>
        </is>
      </c>
      <c r="H157" s="32" t="n">
        <v>11096.35</v>
      </c>
      <c r="I157" s="32" t="n">
        <v>1078.9</v>
      </c>
      <c r="J157" s="32" t="n">
        <v>1.84</v>
      </c>
      <c r="K157" s="32" t="n">
        <v>857646</v>
      </c>
      <c r="L157" s="31" t="n">
        <v>14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62.99</v>
      </c>
      <c r="P157" s="32" t="n">
        <v>18.68</v>
      </c>
      <c r="Q157" s="32" t="n">
        <v>883.99</v>
      </c>
      <c r="R157" s="31" t="inlineStr">
        <is>
          <t>Earnings / Momentum Support</t>
        </is>
      </c>
      <c r="S157" s="31" t="inlineStr">
        <is>
          <t>Nifty IT</t>
        </is>
      </c>
      <c r="T157" s="32" t="n">
        <v>-19.2</v>
      </c>
      <c r="U157" s="32" t="n">
        <v>-11.98</v>
      </c>
      <c r="V157" s="32" t="n">
        <v>8.93</v>
      </c>
      <c r="W157" s="32" t="n">
        <v>4.2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0 to 20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IF(B158=0,"",RANK(B158,$B$2:$B$174,0))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RATNAMANI</t>
        </is>
      </c>
      <c r="D158" s="33" t="inlineStr">
        <is>
          <t>Ratnamani Metals &amp; Tubes Limited</t>
        </is>
      </c>
      <c r="E158" s="31" t="inlineStr">
        <is>
          <t>industrials</t>
        </is>
      </c>
      <c r="F158" s="31" t="inlineStr">
        <is>
          <t>steel - medium / small</t>
        </is>
      </c>
      <c r="G158" s="31" t="inlineStr">
        <is>
          <t>midcap</t>
        </is>
      </c>
      <c r="H158" s="32" t="n">
        <v>19705.66</v>
      </c>
      <c r="I158" s="32" t="n">
        <v>2691.4</v>
      </c>
      <c r="J158" s="32" t="n">
        <v>-4.27</v>
      </c>
      <c r="K158" s="32" t="n">
        <v>55253</v>
      </c>
      <c r="L158" s="31" t="n">
        <v>11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55.61</v>
      </c>
      <c r="P158" s="32" t="n">
        <v>24.21</v>
      </c>
      <c r="Q158" s="32" t="n">
        <v>2138.78</v>
      </c>
      <c r="R158" s="31" t="inlineStr">
        <is>
          <t>Earnings / Momentum Support</t>
        </is>
      </c>
      <c r="S158" s="31" t="inlineStr">
        <is>
          <t>Nifty Metal</t>
        </is>
      </c>
      <c r="T158" s="32" t="n">
        <v>34.42</v>
      </c>
      <c r="U158" s="32" t="n">
        <v>0.36</v>
      </c>
      <c r="V158" s="32" t="n">
        <v>-25.34</v>
      </c>
      <c r="W158" s="32" t="n">
        <v>2.03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IF(B159=0,"",RANK(B159,$B$2:$B$174,0))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GRAPHITE</t>
        </is>
      </c>
      <c r="D159" s="31" t="inlineStr">
        <is>
          <t>Graphite India Limited</t>
        </is>
      </c>
      <c r="E159" s="31" t="inlineStr">
        <is>
          <t>industrials</t>
        </is>
      </c>
      <c r="F159" s="31" t="inlineStr">
        <is>
          <t>electrodes - graphites</t>
        </is>
      </c>
      <c r="G159" s="31" t="inlineStr">
        <is>
          <t>midcap</t>
        </is>
      </c>
      <c r="H159" s="32" t="n">
        <v>16134.12</v>
      </c>
      <c r="I159" s="32" t="n">
        <v>781.5</v>
      </c>
      <c r="J159" s="32" t="n">
        <v>-5.36</v>
      </c>
      <c r="K159" s="32" t="n">
        <v>1871773</v>
      </c>
      <c r="L159" s="31" t="n">
        <v>36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61.64</v>
      </c>
      <c r="P159" s="32" t="n">
        <v>16.19</v>
      </c>
      <c r="Q159" s="32" t="n">
        <v>632.95</v>
      </c>
      <c r="R159" s="31" t="inlineStr">
        <is>
          <t>Earnings / Momentum Support</t>
        </is>
      </c>
      <c r="S159" s="31" t="inlineStr">
        <is>
          <t>Nifty 50</t>
        </is>
      </c>
      <c r="T159" s="32" t="n">
        <v>-8.720000000000001</v>
      </c>
      <c r="U159" s="32" t="n">
        <v>38.63</v>
      </c>
      <c r="V159" s="32" t="n">
        <v>51.88</v>
      </c>
      <c r="W159" s="32" t="n">
        <v>11.87</v>
      </c>
      <c r="X159" s="31" t="inlineStr">
        <is>
          <t>Cyclical in an Upturn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IF(B160=0,"",RANK(B160,$B$2:$B$174,0))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3" t="inlineStr">
        <is>
          <t>PRABHA</t>
        </is>
      </c>
      <c r="D160" s="33" t="inlineStr">
        <is>
          <t>Prabha Energy Ltd</t>
        </is>
      </c>
      <c r="E160" s="31" t="inlineStr">
        <is>
          <t>energy</t>
        </is>
      </c>
      <c r="F160" s="31" t="inlineStr">
        <is>
          <t>oil drilling / allied services</t>
        </is>
      </c>
      <c r="G160" s="31" t="inlineStr">
        <is>
          <t>smallcap</t>
        </is>
      </c>
      <c r="H160" s="32" t="n">
        <v>3585.76</v>
      </c>
      <c r="I160" s="32" t="n">
        <v>239.42</v>
      </c>
      <c r="J160" s="32" t="n">
        <v>-2.13</v>
      </c>
      <c r="K160" s="32" t="n">
        <v>307312</v>
      </c>
      <c r="L160" s="31" t="n">
        <v>33</v>
      </c>
      <c r="M160" s="31" t="inlineStr">
        <is>
          <t>Underperforming</t>
        </is>
      </c>
      <c r="N160" s="32">
        <f>IF(M160="Underperforming",-5,IF(L160&gt;=95,15,IF(L160&gt;=90,10,IF(L160&gt;=80,5,0))))</f>
        <v/>
      </c>
      <c r="O160" s="32" t="n">
        <v>70.89</v>
      </c>
      <c r="P160" s="32" t="n">
        <v>28.59</v>
      </c>
      <c r="Q160" s="32" t="n">
        <v>179.32</v>
      </c>
      <c r="R160" s="31" t="inlineStr">
        <is>
          <t>Near 52W High Breakout</t>
        </is>
      </c>
      <c r="S160" s="31" t="inlineStr">
        <is>
          <t>Nifty Energy</t>
        </is>
      </c>
      <c r="T160" s="32" t="n">
        <v>5.38</v>
      </c>
      <c r="U160" s="32" t="n">
        <v>-8.720000000000001</v>
      </c>
      <c r="V160" s="32" t="n">
        <v>-13.39</v>
      </c>
      <c r="W160" s="32" t="n">
        <v>11.04</v>
      </c>
      <c r="X160" s="31" t="inlineStr">
        <is>
          <t>Cyclical in an Upturn</t>
        </is>
      </c>
      <c r="Y160" s="31">
        <f>IF(X160="Growing Industry",10,IF(X160="Cyclical in an Upturn",5,0))</f>
        <v/>
      </c>
      <c r="Z160" s="31" t="inlineStr">
        <is>
          <t>Oligopoly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Yes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Cyclical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Volatile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IF(B161=0,"",RANK(B161,$B$2:$B$174,0))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3" t="inlineStr">
        <is>
          <t>VENUSPIPES</t>
        </is>
      </c>
      <c r="D161" s="33" t="inlineStr">
        <is>
          <t>Venus Pipes &amp; Tubes Ltd</t>
        </is>
      </c>
      <c r="E161" s="31" t="inlineStr">
        <is>
          <t>metals &amp; mining</t>
        </is>
      </c>
      <c r="F161" s="31" t="inlineStr">
        <is>
          <t>steel - medium / small</t>
        </is>
      </c>
      <c r="G161" s="31" t="inlineStr">
        <is>
          <t>smallcap</t>
        </is>
      </c>
      <c r="H161" s="32" t="n">
        <v>4184.86</v>
      </c>
      <c r="I161" s="32" t="n">
        <v>1941.6</v>
      </c>
      <c r="J161" s="32" t="n">
        <v>-3.89</v>
      </c>
      <c r="K161" s="32" t="n">
        <v>238550</v>
      </c>
      <c r="L161" s="31" t="n">
        <v>55</v>
      </c>
      <c r="M161" s="31" t="inlineStr">
        <is>
          <t>Underperforming</t>
        </is>
      </c>
      <c r="N161" s="32">
        <f>IF(M161="Underperforming",-5,IF(L161&gt;=95,15,IF(L161&gt;=90,10,IF(L161&gt;=80,5,0))))</f>
        <v/>
      </c>
      <c r="O161" s="32" t="n">
        <v>68.69</v>
      </c>
      <c r="P161" s="32" t="n">
        <v>35</v>
      </c>
      <c r="Q161" s="32" t="n">
        <v>1578.35</v>
      </c>
      <c r="R161" s="31" t="inlineStr">
        <is>
          <t>Near 52W High Breakout</t>
        </is>
      </c>
      <c r="S161" s="31" t="inlineStr">
        <is>
          <t>Nifty Metal</t>
        </is>
      </c>
      <c r="T161" s="32" t="n">
        <v>34.42</v>
      </c>
      <c r="U161" s="32" t="n">
        <v>32.31</v>
      </c>
      <c r="V161" s="32" t="n">
        <v>-1.57</v>
      </c>
      <c r="W161" s="32" t="n">
        <v>17.63</v>
      </c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Cyclical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Volatile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IF(B162=0,"",RANK(B162,$B$2:$B$174,0))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KIRLFER</t>
        </is>
      </c>
      <c r="D162" s="33" t="inlineStr">
        <is>
          <t>Kirloskar Ferrous Industries Ltd</t>
        </is>
      </c>
      <c r="E162" s="31" t="inlineStr">
        <is>
          <t>metals &amp; mining</t>
        </is>
      </c>
      <c r="F162" s="31" t="inlineStr">
        <is>
          <t>steel - large</t>
        </is>
      </c>
      <c r="G162" s="31" t="inlineStr">
        <is>
          <t>midcap</t>
        </is>
      </c>
      <c r="H162" s="32" t="n">
        <v>7673.8</v>
      </c>
      <c r="I162" s="32" t="n">
        <v>464.85</v>
      </c>
      <c r="J162" s="32" t="n">
        <v>-0.05</v>
      </c>
      <c r="K162" s="32" t="n">
        <v>211119</v>
      </c>
      <c r="L162" s="31" t="n">
        <v>3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54.75</v>
      </c>
      <c r="P162" s="32" t="n">
        <v>13.92</v>
      </c>
      <c r="Q162" s="32" t="n">
        <v>395.56</v>
      </c>
      <c r="R162" s="31" t="inlineStr">
        <is>
          <t>Earnings / Momentum Support</t>
        </is>
      </c>
      <c r="S162" s="31" t="inlineStr">
        <is>
          <t>Nifty Metal</t>
        </is>
      </c>
      <c r="T162" s="32" t="n">
        <v>34.42</v>
      </c>
      <c r="U162" s="32" t="n">
        <v>-17.28</v>
      </c>
      <c r="V162" s="32" t="n">
        <v>-38.46</v>
      </c>
      <c r="W162" s="32" t="n">
        <v>-1.64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Cyclical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Volatile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IF(B163=0,"",RANK(B163,$B$2:$B$174,0))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ASAHIINDIA</t>
        </is>
      </c>
      <c r="D163" s="31" t="inlineStr">
        <is>
          <t>Asahi India Glass Limited</t>
        </is>
      </c>
      <c r="E163" s="31" t="inlineStr">
        <is>
          <t>building materials</t>
        </is>
      </c>
      <c r="F163" s="31" t="inlineStr">
        <is>
          <t>glass &amp; glass products</t>
        </is>
      </c>
      <c r="G163" s="31" t="inlineStr">
        <is>
          <t>largecap</t>
        </is>
      </c>
      <c r="H163" s="32" t="n">
        <v>25130.72</v>
      </c>
      <c r="I163" s="32" t="n">
        <v>958.8</v>
      </c>
      <c r="J163" s="32" t="n">
        <v>-2.74</v>
      </c>
      <c r="K163" s="32" t="n">
        <v>181950</v>
      </c>
      <c r="L163" s="31" t="n">
        <v>20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58.22</v>
      </c>
      <c r="P163" s="32" t="n">
        <v>28.37</v>
      </c>
      <c r="Q163" s="32" t="n">
        <v>818.12</v>
      </c>
      <c r="R163" s="31" t="inlineStr">
        <is>
          <t>Earnings / Momentum Support</t>
        </is>
      </c>
      <c r="S163" s="31" t="inlineStr">
        <is>
          <t>Nifty Infra</t>
        </is>
      </c>
      <c r="T163" s="32" t="n">
        <v>-1.72</v>
      </c>
      <c r="U163" s="32" t="n">
        <v>15.16</v>
      </c>
      <c r="V163" s="32" t="n">
        <v>17.17</v>
      </c>
      <c r="W163" s="32" t="n">
        <v>6.38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IF(B164=0,"",RANK(B164,$B$2:$B$174,0))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3" t="inlineStr">
        <is>
          <t>SPLPETRO</t>
        </is>
      </c>
      <c r="D164" s="33" t="inlineStr">
        <is>
          <t>Supreme Petrochem Ltd</t>
        </is>
      </c>
      <c r="E164" s="31" t="inlineStr">
        <is>
          <t>energy</t>
        </is>
      </c>
      <c r="F164" s="31" t="inlineStr">
        <is>
          <t>petrochemicals</t>
        </is>
      </c>
      <c r="G164" s="31" t="inlineStr">
        <is>
          <t>midcap</t>
        </is>
      </c>
      <c r="H164" s="32" t="n">
        <v>15388.36</v>
      </c>
      <c r="I164" s="32" t="n">
        <v>789.35</v>
      </c>
      <c r="J164" s="32" t="n">
        <v>-3.54</v>
      </c>
      <c r="K164" s="32" t="n">
        <v>170064</v>
      </c>
      <c r="L164" s="31" t="n">
        <v>15</v>
      </c>
      <c r="M164" s="31" t="inlineStr">
        <is>
          <t>Underperforming</t>
        </is>
      </c>
      <c r="N164" s="32">
        <f>IF(M164="Underperforming",-5,IF(L164&gt;=95,15,IF(L164&gt;=90,10,IF(L164&gt;=80,5,0))))</f>
        <v/>
      </c>
      <c r="O164" s="32" t="n">
        <v>58.5</v>
      </c>
      <c r="P164" s="32" t="n">
        <v>28.72</v>
      </c>
      <c r="Q164" s="32" t="n">
        <v>645.53</v>
      </c>
      <c r="R164" s="31" t="inlineStr">
        <is>
          <t>Earnings / Momentum Support</t>
        </is>
      </c>
      <c r="S164" s="31" t="inlineStr">
        <is>
          <t>Nifty Energy</t>
        </is>
      </c>
      <c r="T164" s="32" t="n">
        <v>5.38</v>
      </c>
      <c r="U164" s="32" t="n">
        <v>0.08</v>
      </c>
      <c r="V164" s="32" t="n">
        <v>-5.03</v>
      </c>
      <c r="W164" s="32" t="n">
        <v>4.35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Oligopoly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Yes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Cyclical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Volatile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IF(B165=0,"",RANK(B165,$B$2:$B$174,0))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INDIQUBE</t>
        </is>
      </c>
      <c r="D165" s="33" t="inlineStr">
        <is>
          <t>Indiqube Spaces Ltd</t>
        </is>
      </c>
      <c r="E165" s="31" t="inlineStr">
        <is>
          <t>co-working</t>
        </is>
      </c>
      <c r="F165" s="31" t="inlineStr">
        <is>
          <t>miscellaneous</t>
        </is>
      </c>
      <c r="G165" s="31" t="inlineStr">
        <is>
          <t>smallcap</t>
        </is>
      </c>
      <c r="H165" s="32" t="n">
        <v>4300.8</v>
      </c>
      <c r="I165" s="32" t="n">
        <v>199.43</v>
      </c>
      <c r="J165" s="32" t="n">
        <v>-1.7</v>
      </c>
      <c r="K165" s="32" t="n">
        <v>30153</v>
      </c>
      <c r="L165" s="31" t="n">
        <v>7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59.88</v>
      </c>
      <c r="P165" s="32" t="n">
        <v>18.22</v>
      </c>
      <c r="Q165" s="32" t="n">
        <v>153.73</v>
      </c>
      <c r="R165" s="31" t="inlineStr">
        <is>
          <t>Earnings / Momentum Support</t>
        </is>
      </c>
      <c r="S165" s="31" t="inlineStr">
        <is>
          <t>Nifty 50</t>
        </is>
      </c>
      <c r="T165" s="32" t="n">
        <v>-8.720000000000001</v>
      </c>
      <c r="U165" s="32" t="n">
        <v>-16.18</v>
      </c>
      <c r="V165" s="32" t="n">
        <v>-8.17</v>
      </c>
      <c r="W165" s="32" t="n">
        <v>0.78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More than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IF(B166=0,"",RANK(B166,$B$2:$B$174,0))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EMIL</t>
        </is>
      </c>
      <c r="D166" s="31" t="inlineStr">
        <is>
          <t>Electronics Mart India Ltd</t>
        </is>
      </c>
      <c r="E166" s="31" t="inlineStr">
        <is>
          <t>consumer discretionary</t>
        </is>
      </c>
      <c r="F166" s="31" t="inlineStr">
        <is>
          <t>trading</t>
        </is>
      </c>
      <c r="G166" s="31" t="inlineStr">
        <is>
          <t>midcap</t>
        </is>
      </c>
      <c r="H166" s="32" t="n">
        <v>7247.9</v>
      </c>
      <c r="I166" s="32" t="n">
        <v>185.06</v>
      </c>
      <c r="J166" s="32" t="n">
        <v>-1.76</v>
      </c>
      <c r="K166" s="32" t="n">
        <v>1398144</v>
      </c>
      <c r="L166" s="31" t="n">
        <v>59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69.40000000000001</v>
      </c>
      <c r="P166" s="32" t="n">
        <v>39.33</v>
      </c>
      <c r="Q166" s="32" t="n">
        <v>145.08</v>
      </c>
      <c r="R166" s="31" t="inlineStr">
        <is>
          <t>Near 52W High Breakout</t>
        </is>
      </c>
      <c r="S166" s="31" t="inlineStr">
        <is>
          <t>Nifty 50</t>
        </is>
      </c>
      <c r="T166" s="32" t="n">
        <v>-8.720000000000001</v>
      </c>
      <c r="U166" s="32" t="n">
        <v>17.2</v>
      </c>
      <c r="V166" s="32" t="n">
        <v>28.4</v>
      </c>
      <c r="W166" s="32" t="n">
        <v>18.37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More than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IF(B167=0,"",RANK(B167,$B$2:$B$174,0))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AMANTA</t>
        </is>
      </c>
      <c r="D167" s="31" t="inlineStr">
        <is>
          <t>Amanta Healthcare Ltd</t>
        </is>
      </c>
      <c r="E167" s="31" t="inlineStr">
        <is>
          <t>healthcare</t>
        </is>
      </c>
      <c r="F167" s="31" t="inlineStr">
        <is>
          <t>pharmaceuticals - indian - bulk drugs &amp; formln</t>
        </is>
      </c>
      <c r="G167" s="31" t="inlineStr">
        <is>
          <t>smallcap</t>
        </is>
      </c>
      <c r="H167" s="32" t="n">
        <v>767.85</v>
      </c>
      <c r="I167" s="32" t="n">
        <v>193.8</v>
      </c>
      <c r="J167" s="32" t="n">
        <v>-2</v>
      </c>
      <c r="K167" s="32" t="n">
        <v>15941</v>
      </c>
      <c r="L167" s="31" t="n">
        <v>46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67</v>
      </c>
      <c r="P167" s="32" t="n">
        <v>39.87</v>
      </c>
      <c r="Q167" s="32" t="n">
        <v>152.31</v>
      </c>
      <c r="R167" s="31" t="inlineStr">
        <is>
          <t>Near 52W High Breakout</t>
        </is>
      </c>
      <c r="S167" s="31" t="inlineStr">
        <is>
          <t>Nifty Pharma</t>
        </is>
      </c>
      <c r="T167" s="32" t="n">
        <v>15.44</v>
      </c>
      <c r="U167" s="32" t="n">
        <v>37.3</v>
      </c>
      <c r="V167" s="32" t="n">
        <v>18.94</v>
      </c>
      <c r="W167" s="32" t="n">
        <v>15.18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Yes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Between 0.7 to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IF(B168=0,"",RANK(B168,$B$2:$B$174,0))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PFOCUS</t>
        </is>
      </c>
      <c r="D168" s="31" t="inlineStr">
        <is>
          <t>Prime Focus Limited</t>
        </is>
      </c>
      <c r="E168" s="31" t="inlineStr">
        <is>
          <t>realty</t>
        </is>
      </c>
      <c r="F168" s="31" t="inlineStr">
        <is>
          <t>miscellaneous</t>
        </is>
      </c>
      <c r="G168" s="31" t="inlineStr">
        <is>
          <t>largecap</t>
        </is>
      </c>
      <c r="H168" s="32" t="n">
        <v>24137.21</v>
      </c>
      <c r="I168" s="32" t="n">
        <v>319</v>
      </c>
      <c r="J168" s="32" t="n">
        <v>2.62</v>
      </c>
      <c r="K168" s="32" t="n">
        <v>1807027</v>
      </c>
      <c r="L168" s="31" t="n">
        <v>59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63.61</v>
      </c>
      <c r="P168" s="32" t="n">
        <v>15.55</v>
      </c>
      <c r="Q168" s="32" t="n">
        <v>232.31</v>
      </c>
      <c r="R168" s="31" t="inlineStr">
        <is>
          <t>Earnings / Momentum Support</t>
        </is>
      </c>
      <c r="S168" s="31" t="inlineStr">
        <is>
          <t>Nifty Realty</t>
        </is>
      </c>
      <c r="T168" s="32" t="n">
        <v>-14.34</v>
      </c>
      <c r="U168" s="32" t="n">
        <v>116.01</v>
      </c>
      <c r="V168" s="32" t="n">
        <v>152.18</v>
      </c>
      <c r="W168" s="32" t="n">
        <v>18.34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More than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IF(B169=0,"",RANK(B169,$B$2:$B$174,0))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LIKHITHA</t>
        </is>
      </c>
      <c r="D169" s="33" t="inlineStr">
        <is>
          <t>Likhitha Infrastructure Ltd</t>
        </is>
      </c>
      <c r="E169" s="31" t="inlineStr">
        <is>
          <t>realty</t>
        </is>
      </c>
      <c r="F169" s="31" t="inlineStr">
        <is>
          <t>construction</t>
        </is>
      </c>
      <c r="G169" s="31" t="inlineStr">
        <is>
          <t>smallcap</t>
        </is>
      </c>
      <c r="H169" s="32" t="n">
        <v>856.34</v>
      </c>
      <c r="I169" s="32" t="n">
        <v>222.22</v>
      </c>
      <c r="J169" s="32" t="n">
        <v>2.37</v>
      </c>
      <c r="K169" s="32" t="n">
        <v>176186</v>
      </c>
      <c r="L169" s="31" t="n">
        <v>3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52.71</v>
      </c>
      <c r="P169" s="32" t="n">
        <v>18.51</v>
      </c>
      <c r="Q169" s="32" t="n">
        <v>195.33</v>
      </c>
      <c r="R169" s="31" t="inlineStr">
        <is>
          <t>Earnings / Momentum Support</t>
        </is>
      </c>
      <c r="S169" s="31" t="inlineStr">
        <is>
          <t>Nifty Realty</t>
        </is>
      </c>
      <c r="T169" s="32" t="n">
        <v>-14.34</v>
      </c>
      <c r="U169" s="32" t="n">
        <v>-18.47</v>
      </c>
      <c r="V169" s="32" t="n">
        <v>-4.81</v>
      </c>
      <c r="W169" s="32" t="n">
        <v>-1.73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0 to 20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1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IF(B170=0,"",RANK(B170,$B$2:$B$174,0))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BLACKBUCK</t>
        </is>
      </c>
      <c r="D170" s="31" t="inlineStr">
        <is>
          <t>BlackBuck Ltd</t>
        </is>
      </c>
      <c r="E170" s="31" t="inlineStr">
        <is>
          <t>transportation</t>
        </is>
      </c>
      <c r="F170" s="31" t="inlineStr">
        <is>
          <t>miscellaneous</t>
        </is>
      </c>
      <c r="G170" s="31" t="inlineStr">
        <is>
          <t>midcap</t>
        </is>
      </c>
      <c r="H170" s="32" t="n">
        <v>11441.03</v>
      </c>
      <c r="I170" s="32" t="n">
        <v>611.9</v>
      </c>
      <c r="J170" s="32" t="n">
        <v>-2.59</v>
      </c>
      <c r="K170" s="32" t="n">
        <v>1773025</v>
      </c>
      <c r="L170" s="31" t="n">
        <v>10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54.55</v>
      </c>
      <c r="P170" s="32" t="n">
        <v>10.29</v>
      </c>
      <c r="Q170" s="32" t="n">
        <v>487.09</v>
      </c>
      <c r="R170" s="31" t="inlineStr">
        <is>
          <t>Earnings / Momentum Support</t>
        </is>
      </c>
      <c r="S170" s="31" t="inlineStr">
        <is>
          <t>Nifty 50</t>
        </is>
      </c>
      <c r="T170" s="32" t="n">
        <v>-8.720000000000001</v>
      </c>
      <c r="U170" s="32" t="n">
        <v>2.29</v>
      </c>
      <c r="V170" s="32" t="n">
        <v>12.06</v>
      </c>
      <c r="W170" s="32" t="n">
        <v>1.9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IF(B171=0,"",RANK(B171,$B$2:$B$174,0))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3" t="inlineStr">
        <is>
          <t>JUBLPHARMA</t>
        </is>
      </c>
      <c r="D171" s="33" t="inlineStr">
        <is>
          <t>Jubilant Pharmova Ltd</t>
        </is>
      </c>
      <c r="E171" s="31" t="inlineStr">
        <is>
          <t>healthcare</t>
        </is>
      </c>
      <c r="F171" s="31" t="inlineStr">
        <is>
          <t>pharmaceuticals - indian - bulk drugs</t>
        </is>
      </c>
      <c r="G171" s="31" t="inlineStr">
        <is>
          <t>midcap</t>
        </is>
      </c>
      <c r="H171" s="32" t="n">
        <v>16329.5</v>
      </c>
      <c r="I171" s="32" t="n">
        <v>1011.95</v>
      </c>
      <c r="J171" s="32" t="n">
        <v>-1.29</v>
      </c>
      <c r="K171" s="32" t="n">
        <v>190713</v>
      </c>
      <c r="L171" s="31" t="n">
        <v>5</v>
      </c>
      <c r="M171" s="31" t="inlineStr">
        <is>
          <t>Underperforming</t>
        </is>
      </c>
      <c r="N171" s="32">
        <f>IF(M171="Underperforming",-5,IF(L171&gt;=95,15,IF(L171&gt;=90,10,IF(L171&gt;=80,5,0))))</f>
        <v/>
      </c>
      <c r="O171" s="32" t="n">
        <v>57.59</v>
      </c>
      <c r="P171" s="32" t="n">
        <v>10.92</v>
      </c>
      <c r="Q171" s="32" t="n">
        <v>832.28</v>
      </c>
      <c r="R171" s="31" t="inlineStr">
        <is>
          <t>Earnings / Momentum Support</t>
        </is>
      </c>
      <c r="S171" s="31" t="inlineStr">
        <is>
          <t>Nifty Pharma</t>
        </is>
      </c>
      <c r="T171" s="32" t="n">
        <v>15.44</v>
      </c>
      <c r="U171" s="32" t="n">
        <v>-7.55</v>
      </c>
      <c r="V171" s="32" t="n">
        <v>-19.91</v>
      </c>
      <c r="W171" s="32" t="n">
        <v>0.41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Yes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1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IF(B172=0,"",RANK(B172,$B$2:$B$174,0))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3" t="inlineStr">
        <is>
          <t>INDIAGLYCO</t>
        </is>
      </c>
      <c r="D172" s="33" t="inlineStr">
        <is>
          <t>India Glycols Limited</t>
        </is>
      </c>
      <c r="E172" s="31" t="inlineStr">
        <is>
          <t>fmcg</t>
        </is>
      </c>
      <c r="F172" s="31" t="inlineStr">
        <is>
          <t>breweries &amp; distilleries</t>
        </is>
      </c>
      <c r="G172" s="31" t="inlineStr">
        <is>
          <t>smallcap</t>
        </is>
      </c>
      <c r="H172" s="32" t="n">
        <v>1976.62</v>
      </c>
      <c r="I172" s="32" t="n">
        <v>280.2</v>
      </c>
      <c r="J172" s="32" t="n">
        <v>-4.98</v>
      </c>
      <c r="K172" s="32" t="n">
        <v>52712</v>
      </c>
      <c r="L172" s="31" t="n">
        <v>1</v>
      </c>
      <c r="M172" s="31" t="inlineStr">
        <is>
          <t>Underperforming</t>
        </is>
      </c>
      <c r="N172" s="32">
        <f>IF(M172="Underperforming",-5,IF(L172&gt;=95,15,IF(L172&gt;=90,10,IF(L172&gt;=80,5,0))))</f>
        <v/>
      </c>
      <c r="O172" s="32" t="n">
        <v>24.86</v>
      </c>
      <c r="P172" s="32" t="n">
        <v>33.82</v>
      </c>
      <c r="Q172" s="32" t="n">
        <v>782.14</v>
      </c>
      <c r="R172" s="31" t="inlineStr">
        <is>
          <t>Earnings / Momentum Support</t>
        </is>
      </c>
      <c r="S172" s="31" t="inlineStr">
        <is>
          <t>Nifty FMCG</t>
        </is>
      </c>
      <c r="T172" s="32" t="n">
        <v>-17.86</v>
      </c>
      <c r="U172" s="32" t="n">
        <v>-67.08</v>
      </c>
      <c r="V172" s="32" t="n">
        <v>-59.93</v>
      </c>
      <c r="W172" s="32" t="n">
        <v>-25.16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B2C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Below 45</t>
        </is>
      </c>
      <c r="BA172" s="31">
        <f>IF(AZ172="Between 50 to 75",10,IF(AZ172="Above 75",0,0))</f>
        <v/>
      </c>
      <c r="BB172" s="31" t="inlineStr">
        <is>
          <t>Stage 4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No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IF(B173=0,"",RANK(B173,$B$2:$B$174,0))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UNITEDPOLY</t>
        </is>
      </c>
      <c r="D173" s="31" t="inlineStr">
        <is>
          <t>United Polyfab Gujarat Ltd</t>
        </is>
      </c>
      <c r="E173" s="31" t="inlineStr">
        <is>
          <t>textiles</t>
        </is>
      </c>
      <c r="F173" s="31" t="inlineStr">
        <is>
          <t>textiles - products</t>
        </is>
      </c>
      <c r="G173" s="31" t="inlineStr">
        <is>
          <t>smallcap</t>
        </is>
      </c>
      <c r="H173" s="32" t="n">
        <v>993.34</v>
      </c>
      <c r="I173" s="32" t="n">
        <v>42.75</v>
      </c>
      <c r="J173" s="32" t="n">
        <v>-1.22</v>
      </c>
      <c r="K173" s="32" t="n">
        <v>129163</v>
      </c>
      <c r="L173" s="31" t="n">
        <v>26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69.61</v>
      </c>
      <c r="P173" s="32" t="n">
        <v>20.82</v>
      </c>
      <c r="Q173" s="32" t="n">
        <v>31.46</v>
      </c>
      <c r="R173" s="31" t="inlineStr">
        <is>
          <t>Earnings / Momentum Support</t>
        </is>
      </c>
      <c r="S173" s="31" t="inlineStr">
        <is>
          <t>Nifty 50</t>
        </is>
      </c>
      <c r="T173" s="32" t="n">
        <v>-8.720000000000001</v>
      </c>
      <c r="U173" s="32" t="n">
        <v>6.61</v>
      </c>
      <c r="V173" s="32" t="n">
        <v>16.79</v>
      </c>
      <c r="W173" s="32" t="n">
        <v>9.029999999999999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Oligopoly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Shallow Cyclical (2 to 3 Years Growth)</t>
        </is>
      </c>
      <c r="AG173" s="31">
        <f>IF(AF173="Structural (10 Years Consistency)",10,IF(AF173="Shallow Cyclical (2 to 3 years growth)",5,0))</f>
        <v/>
      </c>
      <c r="AH173" s="31" t="inlineStr">
        <is>
          <t>Yes due to Product Mix change or Operating Leverage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Volatile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Allocated capital in Non-core Areas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Sideways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Overhead supply in last 2 years in last 2 years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More than 15%</t>
        </is>
      </c>
      <c r="CC173" s="31">
        <f>IF(CB173="More than 15%",-10,IF(CB173="Less than 15%",10,0))</f>
        <v/>
      </c>
      <c r="CD173" s="31" t="inlineStr">
        <is>
          <t>Yes Upto 10%</t>
        </is>
      </c>
      <c r="CE173" s="31">
        <f>IF(CD173="Yes, more than 10%",-10,IF(CD173="No",10,0))</f>
        <v/>
      </c>
    </row>
    <row r="174">
      <c r="A174" s="31">
        <f>IF(B174=0,"",RANK(B174,$B$2:$B$174,0))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GUJTHEM</t>
        </is>
      </c>
      <c r="D174" s="33" t="inlineStr">
        <is>
          <t>Gujarat Themis Biosyn Ltd</t>
        </is>
      </c>
      <c r="E174" s="31" t="inlineStr">
        <is>
          <t>healthcare</t>
        </is>
      </c>
      <c r="F174" s="31" t="inlineStr">
        <is>
          <t>pharmaceuticals - indian - bulk drugs</t>
        </is>
      </c>
      <c r="G174" s="31" t="inlineStr">
        <is>
          <t>midcap</t>
        </is>
      </c>
      <c r="H174" s="32" t="n">
        <v>5500.86</v>
      </c>
      <c r="I174" s="32" t="n">
        <v>430.45</v>
      </c>
      <c r="J174" s="32" t="n">
        <v>1.85</v>
      </c>
      <c r="K174" s="32" t="n">
        <v>668088</v>
      </c>
      <c r="L174" s="31" t="n">
        <v>22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64.7</v>
      </c>
      <c r="P174" s="32" t="n">
        <v>26.29</v>
      </c>
      <c r="Q174" s="32" t="n">
        <v>317.35</v>
      </c>
      <c r="R174" s="31" t="inlineStr">
        <is>
          <t>Earnings / Momentum Support</t>
        </is>
      </c>
      <c r="S174" s="31" t="inlineStr">
        <is>
          <t>Nifty Pharma</t>
        </is>
      </c>
      <c r="T174" s="32" t="n">
        <v>15.44</v>
      </c>
      <c r="U174" s="32" t="n">
        <v>11.43</v>
      </c>
      <c r="V174" s="32" t="n">
        <v>-3.47</v>
      </c>
      <c r="W174" s="32" t="n">
        <v>7.41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Oligopoly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Shallow Cyclical (2 to 3 Years Growth)</t>
        </is>
      </c>
      <c r="AG174" s="31">
        <f>IF(AF174="Structural (10 Years Consistency)",10,IF(AF174="Shallow Cyclical (2 to 3 years growth)",5,0))</f>
        <v/>
      </c>
      <c r="AH174" s="31" t="inlineStr">
        <is>
          <t>Yes due to Product Mix change or Operating Leverage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Volatile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Allocated capital in Non-core Areas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Sideways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Overhead supply in last 2 years in last 2 years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More than 15%</t>
        </is>
      </c>
      <c r="CC174" s="31">
        <f>IF(CB174="More than 15%",-10,IF(CB174="Less than 15%",10,0))</f>
        <v/>
      </c>
      <c r="CD174" s="31" t="inlineStr">
        <is>
          <t>Yes Upto 10%</t>
        </is>
      </c>
      <c r="CE174" s="31">
        <f>IF(CD174="Yes, more than 10%",-10,IF(CD174="No",10,0))</f>
        <v/>
      </c>
    </row>
  </sheetData>
  <autoFilter ref="A1:CE174"/>
  <conditionalFormatting sqref="B2:B17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7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17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4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174">
    <cfRule type="cellIs" priority="36" operator="equal" dxfId="3" stopIfTrue="1">
      <formula>"Underperforming"</formula>
    </cfRule>
  </conditionalFormatting>
  <conditionalFormatting sqref="N2:N174">
    <cfRule type="cellIs" priority="37" operator="equal" dxfId="3" stopIfTrue="1">
      <formula>-5</formula>
    </cfRule>
  </conditionalFormatting>
  <conditionalFormatting sqref="Q2:Q174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174" showDropDown="0" showInputMessage="0" showErrorMessage="0" allowBlank="1" type="list">
      <formula1>"Growing Industry,Stagnant Industry,Cyclical in an Upturn"</formula1>
    </dataValidation>
    <dataValidation sqref="Z2:Z17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174" showDropDown="0" showInputMessage="0" showErrorMessage="0" allowBlank="1" type="list">
      <formula1>"Yes,No"</formula1>
    </dataValidation>
    <dataValidation sqref="AD2:AD174" showDropDown="0" showInputMessage="0" showErrorMessage="0" allowBlank="1" type="list">
      <formula1>"Tailwind,Headwind"</formula1>
    </dataValidation>
    <dataValidation sqref="AF2:AF174" showDropDown="0" showInputMessage="0" showErrorMessage="0" allowBlank="1" type="list">
      <formula1>"Structural (10 Years Consistency),Shallow Cyclical (2 to 3 Years Growth),Cyclical"</formula1>
    </dataValidation>
    <dataValidation sqref="AH2:AH174" showDropDown="0" showInputMessage="0" showErrorMessage="0" allowBlank="1" type="list">
      <formula1>"Yes due to Product Mix change or Operating Leverage,Yes, these are peak margins,No"</formula1>
    </dataValidation>
    <dataValidation sqref="AJ2:AJ174" showDropDown="0" showInputMessage="0" showErrorMessage="0" allowBlank="1" type="list">
      <formula1>"Stable,Volatile"</formula1>
    </dataValidation>
    <dataValidation sqref="AL2:AL174" showDropDown="0" showInputMessage="0" showErrorMessage="0" allowBlank="1" type="list">
      <formula1>"Yes,No"</formula1>
    </dataValidation>
    <dataValidation sqref="AN2:AN174" showDropDown="0" showInputMessage="0" showErrorMessage="0" allowBlank="1" type="list">
      <formula1>"B2C,B2B,B2G"</formula1>
    </dataValidation>
    <dataValidation sqref="AP2:AP174" showDropDown="0" showInputMessage="0" showErrorMessage="0" allowBlank="1" type="list">
      <formula1>"Yes,No"</formula1>
    </dataValidation>
    <dataValidation sqref="AR2:AR174" showDropDown="0" showInputMessage="0" showErrorMessage="0" allowBlank="1" type="list">
      <formula1>"Fully Annuity,Higher Annuity, Lower One time,Higher One Time, Lower Annuity,Fully One Time"</formula1>
    </dataValidation>
    <dataValidation sqref="AT2:AT174" showDropDown="0" showInputMessage="0" showErrorMessage="0" allowBlank="1" type="list">
      <formula1>"Good,Allocated capital in Non-core Areas"</formula1>
    </dataValidation>
    <dataValidation sqref="AV2:AV174" showDropDown="0" showInputMessage="0" showErrorMessage="0" allowBlank="1" type="list">
      <formula1>"Yes for more than 2 years,Yes only for next 1 to 2 years,No"</formula1>
    </dataValidation>
    <dataValidation sqref="AX2:AX174" showDropDown="0" showInputMessage="0" showErrorMessage="0" allowBlank="1" type="list">
      <formula1>"Above 40,20 to 40,0 to 20"</formula1>
    </dataValidation>
    <dataValidation sqref="AZ2:AZ174" showDropDown="0" showInputMessage="0" showErrorMessage="0" allowBlank="1" type="list">
      <formula1>"Between 50 to 75,Above 75,Below 45"</formula1>
    </dataValidation>
    <dataValidation sqref="BB2:BB174" showDropDown="0" showInputMessage="0" showErrorMessage="0" allowBlank="1" type="list">
      <formula1>"Stage 1,Stage 2,Stage 3,Stage 4"</formula1>
    </dataValidation>
    <dataValidation sqref="BD2:BD174" showDropDown="0" showInputMessage="0" showErrorMessage="0" allowBlank="1" type="list">
      <formula1>"Positive Trend,Negative Trend"</formula1>
    </dataValidation>
    <dataValidation sqref="BF2:BF174" showDropDown="0" showInputMessage="0" showErrorMessage="0" allowBlank="1" type="list">
      <formula1>"Uptrend,Sideways,Downtrend"</formula1>
    </dataValidation>
    <dataValidation sqref="BH2:BH174" showDropDown="0" showInputMessage="0" showErrorMessage="0" allowBlank="1" type="list">
      <formula1>"Uptrend,Sideways,Downtrend"</formula1>
    </dataValidation>
    <dataValidation sqref="BJ2:BJ17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174" showDropDown="0" showInputMessage="0" showErrorMessage="0" allowBlank="1" type="list">
      <formula1>"Yes,No"</formula1>
    </dataValidation>
    <dataValidation sqref="BN2:BN174" showDropDown="0" showInputMessage="0" showErrorMessage="0" allowBlank="1" type="list">
      <formula1>"More than 20%,Between 12 to 20%,Less than 12%"</formula1>
    </dataValidation>
    <dataValidation sqref="BP2:BP174" showDropDown="0" showInputMessage="0" showErrorMessage="0" allowBlank="1" type="list">
      <formula1>"Yes,No"</formula1>
    </dataValidation>
    <dataValidation sqref="BR2:BR174" showDropDown="0" showInputMessage="0" showErrorMessage="0" allowBlank="1" type="list">
      <formula1>"Yes,No"</formula1>
    </dataValidation>
    <dataValidation sqref="BT2:BT174" showDropDown="0" showInputMessage="0" showErrorMessage="0" allowBlank="1" type="list">
      <formula1>"Above 2,Between 1.5 to 2,Less than 1.5"</formula1>
    </dataValidation>
    <dataValidation sqref="BV2:BV174" showDropDown="0" showInputMessage="0" showErrorMessage="0" allowBlank="1" type="list">
      <formula1>"Above 70%,Between 50% to 70%,Less than 50%,Less than 50% and Borrowings are increasing,Negative"</formula1>
    </dataValidation>
    <dataValidation sqref="BX2:BX174" showDropDown="0" showInputMessage="0" showErrorMessage="0" allowBlank="1" type="list">
      <formula1>"More than 1.2,Between 0.7 to 1.2,Less than 0.7"</formula1>
    </dataValidation>
    <dataValidation sqref="BZ2:BZ174" showDropDown="0" showInputMessage="0" showErrorMessage="0" allowBlank="1" type="list">
      <formula1>"Yes,No"</formula1>
    </dataValidation>
    <dataValidation sqref="CB2:CB174" showDropDown="0" showInputMessage="0" showErrorMessage="0" allowBlank="1" type="list">
      <formula1>"More than 15%,Less than 15%"</formula1>
    </dataValidation>
    <dataValidation sqref="CD2:CD17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IF(B2=0,"",RANK(B2,$B$2:$B$13,0))</f>
        <v/>
      </c>
      <c r="B2" s="32">
        <f>SUM(N2,Y2,AA2,AC2,AE2,AG2,AI2,AK2,AM2,AO2,AQ2,AS2,AU2,AW2,AY2,BA2,BC2,BE2,BG2,BI2,BK2,BM2,BO2,BQ2,BS2,BU2,BW2,BY2,CA2)</f>
        <v/>
      </c>
      <c r="C2" s="31" t="inlineStr">
        <is>
          <t>DCBBANK</t>
        </is>
      </c>
      <c r="D2" s="31" t="inlineStr">
        <is>
          <t>Dcb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7290.87</v>
      </c>
      <c r="I2" s="32" t="n">
        <v>221.89</v>
      </c>
      <c r="J2" s="32" t="n">
        <v>-1.98</v>
      </c>
      <c r="K2" s="32" t="n">
        <v>845015</v>
      </c>
      <c r="L2" s="31" t="n">
        <v>49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69.39</v>
      </c>
      <c r="P2" s="32" t="n">
        <v>35.15</v>
      </c>
      <c r="Q2" s="32" t="n">
        <v>184.62</v>
      </c>
      <c r="R2" s="31" t="inlineStr">
        <is>
          <t>Near 52W High Breakout</t>
        </is>
      </c>
      <c r="S2" s="31" t="inlineStr">
        <is>
          <t>Nifty Bank</t>
        </is>
      </c>
      <c r="T2" s="32" t="n">
        <v>0.61</v>
      </c>
      <c r="U2" s="32" t="n">
        <v>71.84</v>
      </c>
      <c r="V2" s="32" t="n">
        <v>70.8</v>
      </c>
      <c r="W2" s="32" t="n">
        <v>16.04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IF(B3=0,"",RANK(B3,$B$2:$B$13,0))</f>
        <v/>
      </c>
      <c r="B3" s="32">
        <f>SUM(N3,Y3,AA3,AC3,AE3,AG3,AI3,AK3,AM3,AO3,AQ3,AS3,AU3,AW3,AY3,BA3,BC3,BE3,BG3,BI3,BK3,BM3,BO3,BQ3,BS3,BU3,BW3,BY3,CA3)</f>
        <v/>
      </c>
      <c r="C3" s="31" t="inlineStr">
        <is>
          <t>WELINV</t>
        </is>
      </c>
      <c r="D3" s="31" t="inlineStr">
        <is>
          <t>Welspun Investments And Commercials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848.5700000000001</v>
      </c>
      <c r="I3" s="32" t="n">
        <v>2276</v>
      </c>
      <c r="J3" s="32" t="n">
        <v>-1.98</v>
      </c>
      <c r="K3" s="32" t="n">
        <v>292</v>
      </c>
      <c r="L3" s="31" t="n">
        <v>72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77.97</v>
      </c>
      <c r="P3" s="32" t="n">
        <v>59.14</v>
      </c>
      <c r="Q3" s="32" t="n">
        <v>1831.74</v>
      </c>
      <c r="R3" s="31" t="inlineStr">
        <is>
          <t>Near 52W High Breakout</t>
        </is>
      </c>
      <c r="S3" s="31" t="inlineStr">
        <is>
          <t>Nifty Bank</t>
        </is>
      </c>
      <c r="T3" s="32" t="n">
        <v>0.61</v>
      </c>
      <c r="U3" s="32" t="n">
        <v>125.35</v>
      </c>
      <c r="V3" s="32" t="n">
        <v>123.99</v>
      </c>
      <c r="W3" s="32" t="n">
        <v>24.84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IF(B4=0,"",RANK(B4,$B$2:$B$13,0))</f>
        <v/>
      </c>
      <c r="B4" s="32">
        <f>SUM(N4,Y4,AA4,AC4,AE4,AG4,AI4,AK4,AM4,AO4,AQ4,AS4,AU4,AW4,AY4,BA4,BC4,BE4,BG4,BI4,BK4,BM4,BO4,BQ4,BS4,BU4,BW4,BY4,CA4)</f>
        <v/>
      </c>
      <c r="C4" s="31" t="inlineStr">
        <is>
          <t>RBLBANK</t>
        </is>
      </c>
      <c r="D4" s="31" t="inlineStr">
        <is>
          <t>Rbl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63885.76</v>
      </c>
      <c r="I4" s="32" t="n">
        <v>403.6</v>
      </c>
      <c r="J4" s="32" t="n">
        <v>-2.17</v>
      </c>
      <c r="K4" s="32" t="n">
        <v>1249135</v>
      </c>
      <c r="L4" s="31" t="n">
        <v>30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63.69</v>
      </c>
      <c r="P4" s="32" t="n">
        <v>36.23</v>
      </c>
      <c r="Q4" s="32" t="n">
        <v>354.02</v>
      </c>
      <c r="R4" s="31" t="inlineStr">
        <is>
          <t>Near 52W High Breakout</t>
        </is>
      </c>
      <c r="S4" s="31" t="inlineStr">
        <is>
          <t>Nifty Bank</t>
        </is>
      </c>
      <c r="T4" s="32" t="n">
        <v>0.61</v>
      </c>
      <c r="U4" s="32" t="n">
        <v>49.32</v>
      </c>
      <c r="V4" s="32" t="n">
        <v>48.42</v>
      </c>
      <c r="W4" s="32" t="n">
        <v>10.17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IF(B5=0,"",RANK(B5,$B$2:$B$13,0))</f>
        <v/>
      </c>
      <c r="B5" s="32">
        <f>SUM(N5,Y5,AA5,AC5,AE5,AG5,AI5,AK5,AM5,AO5,AQ5,AS5,AU5,AW5,AY5,BA5,BC5,BE5,BG5,BI5,BK5,BM5,BO5,BQ5,BS5,BU5,BW5,BY5,CA5)</f>
        <v/>
      </c>
      <c r="C5" s="31" t="inlineStr">
        <is>
          <t>SHAREINDIA</t>
        </is>
      </c>
      <c r="D5" s="31" t="inlineStr">
        <is>
          <t>Share India Securities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4353.1</v>
      </c>
      <c r="I5" s="32" t="n">
        <v>197.2</v>
      </c>
      <c r="J5" s="32" t="n">
        <v>-0.87</v>
      </c>
      <c r="K5" s="32" t="n">
        <v>4211096</v>
      </c>
      <c r="L5" s="31" t="n">
        <v>57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65.92</v>
      </c>
      <c r="P5" s="32" t="n">
        <v>33.74</v>
      </c>
      <c r="Q5" s="32" t="n">
        <v>149.1</v>
      </c>
      <c r="R5" s="31" t="inlineStr">
        <is>
          <t>Near 52W High Breakout</t>
        </is>
      </c>
      <c r="S5" s="31" t="inlineStr">
        <is>
          <t>Nifty Bank</t>
        </is>
      </c>
      <c r="T5" s="32" t="n">
        <v>0.61</v>
      </c>
      <c r="U5" s="32" t="n">
        <v>40.12</v>
      </c>
      <c r="V5" s="32" t="n">
        <v>39.27</v>
      </c>
      <c r="W5" s="32" t="n">
        <v>18.01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IF(B6=0,"",RANK(B6,$B$2:$B$13,0))</f>
        <v/>
      </c>
      <c r="B6" s="32">
        <f>SUM(N6,Y6,AA6,AC6,AE6,AG6,AI6,AK6,AM6,AO6,AQ6,AS6,AU6,AW6,AY6,BA6,BC6,BE6,BG6,BI6,BK6,BM6,BO6,BQ6,BS6,BU6,BW6,BY6,CA6)</f>
        <v/>
      </c>
      <c r="C6" s="31" t="inlineStr">
        <is>
          <t>TFCILTD</t>
        </is>
      </c>
      <c r="D6" s="31" t="inlineStr">
        <is>
          <t>Tourism Finance Corporation Of India Limited</t>
        </is>
      </c>
      <c r="E6" s="31" t="inlineStr">
        <is>
          <t>financials</t>
        </is>
      </c>
      <c r="F6" s="31" t="inlineStr">
        <is>
          <t>finance - term-lending institutions</t>
        </is>
      </c>
      <c r="G6" s="31" t="inlineStr">
        <is>
          <t>midcap</t>
        </is>
      </c>
      <c r="H6" s="32" t="n">
        <v>6550.67</v>
      </c>
      <c r="I6" s="32" t="n">
        <v>138.18</v>
      </c>
      <c r="J6" s="32" t="n">
        <v>-2.34</v>
      </c>
      <c r="K6" s="32" t="n">
        <v>9687578</v>
      </c>
      <c r="L6" s="31" t="n">
        <v>85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79.98</v>
      </c>
      <c r="P6" s="32" t="n">
        <v>69.09</v>
      </c>
      <c r="Q6" s="32" t="n">
        <v>115.91</v>
      </c>
      <c r="R6" s="31" t="inlineStr">
        <is>
          <t>Near 52W High Breakout</t>
        </is>
      </c>
      <c r="S6" s="31" t="inlineStr">
        <is>
          <t>Nifty Bank</t>
        </is>
      </c>
      <c r="T6" s="32" t="n">
        <v>0.61</v>
      </c>
      <c r="U6" s="32" t="n">
        <v>91.84999999999999</v>
      </c>
      <c r="V6" s="32" t="n">
        <v>90.7</v>
      </c>
      <c r="W6" s="32" t="n">
        <v>35.67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IF(B7=0,"",RANK(B7,$B$2:$B$13,0))</f>
        <v/>
      </c>
      <c r="B7" s="32">
        <f>SUM(N7,Y7,AA7,AC7,AE7,AG7,AI7,AK7,AM7,AO7,AQ7,AS7,AU7,AW7,AY7,BA7,BC7,BE7,BG7,BI7,BK7,BM7,BO7,BQ7,BS7,BU7,BW7,BY7,CA7)</f>
        <v/>
      </c>
      <c r="C7" s="31" t="inlineStr">
        <is>
          <t>PAISALO</t>
        </is>
      </c>
      <c r="D7" s="31" t="inlineStr">
        <is>
          <t>Paisalo Digital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midcap</t>
        </is>
      </c>
      <c r="H7" s="32" t="n">
        <v>7660.9</v>
      </c>
      <c r="I7" s="32" t="n">
        <v>84.47</v>
      </c>
      <c r="J7" s="32" t="n">
        <v>0.28</v>
      </c>
      <c r="K7" s="32" t="n">
        <v>14460925</v>
      </c>
      <c r="L7" s="31" t="n">
        <v>79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80.43000000000001</v>
      </c>
      <c r="P7" s="32" t="n">
        <v>68.73</v>
      </c>
      <c r="Q7" s="32" t="n">
        <v>68.04000000000001</v>
      </c>
      <c r="R7" s="31" t="inlineStr">
        <is>
          <t>Near 52W High Breakout</t>
        </is>
      </c>
      <c r="S7" s="31" t="inlineStr">
        <is>
          <t>Nifty Bank</t>
        </is>
      </c>
      <c r="T7" s="32" t="n">
        <v>0.61</v>
      </c>
      <c r="U7" s="32" t="n">
        <v>117.13</v>
      </c>
      <c r="V7" s="32" t="n">
        <v>115.82</v>
      </c>
      <c r="W7" s="32" t="n">
        <v>29.04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IF(B8=0,"",RANK(B8,$B$2:$B$13,0))</f>
        <v/>
      </c>
      <c r="B8" s="32">
        <f>SUM(N8,Y8,AA8,AC8,AE8,AG8,AI8,AK8,AM8,AO8,AQ8,AS8,AU8,AW8,AY8,BA8,BC8,BE8,BG8,BI8,BK8,BM8,BO8,BQ8,BS8,BU8,BW8,BY8,CA8)</f>
        <v/>
      </c>
      <c r="C8" s="31" t="inlineStr">
        <is>
          <t>CONSOFINVT</t>
        </is>
      </c>
      <c r="D8" s="31" t="inlineStr">
        <is>
          <t>Consolidated Finvest &amp; Holdings Limited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974.64</v>
      </c>
      <c r="I8" s="32" t="n">
        <v>302</v>
      </c>
      <c r="J8" s="32" t="n">
        <v>0.17</v>
      </c>
      <c r="K8" s="32" t="n">
        <v>8390</v>
      </c>
      <c r="L8" s="31" t="n">
        <v>57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70.22</v>
      </c>
      <c r="P8" s="32" t="n">
        <v>38.45</v>
      </c>
      <c r="Q8" s="32" t="n">
        <v>237.24</v>
      </c>
      <c r="R8" s="31" t="inlineStr">
        <is>
          <t>Near 52W High Breakout</t>
        </is>
      </c>
      <c r="S8" s="31" t="inlineStr">
        <is>
          <t>Nifty Bank</t>
        </is>
      </c>
      <c r="T8" s="32" t="n">
        <v>0.61</v>
      </c>
      <c r="U8" s="32" t="n">
        <v>59.72</v>
      </c>
      <c r="V8" s="32" t="n">
        <v>58.76</v>
      </c>
      <c r="W8" s="32" t="n">
        <v>18.17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less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IF(B9=0,"",RANK(B9,$B$2:$B$13,0))</f>
        <v/>
      </c>
      <c r="B9" s="32">
        <f>SUM(N9,Y9,AA9,AC9,AE9,AG9,AI9,AK9,AM9,AO9,AQ9,AS9,AU9,AW9,AY9,BA9,BC9,BE9,BG9,BI9,BK9,BM9,BO9,BQ9,BS9,BU9,BW9,BY9,CA9)</f>
        <v/>
      </c>
      <c r="C9" s="33" t="inlineStr">
        <is>
          <t>MANBA</t>
        </is>
      </c>
      <c r="D9" s="33" t="inlineStr">
        <is>
          <t>Manba Finance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665.52</v>
      </c>
      <c r="I9" s="32" t="n">
        <v>133.87</v>
      </c>
      <c r="J9" s="32" t="n">
        <v>1.06</v>
      </c>
      <c r="K9" s="32" t="n">
        <v>104730</v>
      </c>
      <c r="L9" s="31" t="n">
        <v>5</v>
      </c>
      <c r="M9" s="31" t="inlineStr">
        <is>
          <t>Underperforming</t>
        </is>
      </c>
      <c r="N9" s="32">
        <f>IF(M9="Underperforming",-5,IF(L9&gt;=95,15,IF(L9&gt;=90,10,IF(L9&gt;=80,5,0))))</f>
        <v/>
      </c>
      <c r="O9" s="32" t="n">
        <v>57.33</v>
      </c>
      <c r="P9" s="32" t="n">
        <v>36.81</v>
      </c>
      <c r="Q9" s="32" t="n">
        <v>112.9</v>
      </c>
      <c r="R9" s="31" t="inlineStr">
        <is>
          <t>Earnings / Momentum Support</t>
        </is>
      </c>
      <c r="S9" s="31" t="inlineStr">
        <is>
          <t>Nifty Bank</t>
        </is>
      </c>
      <c r="T9" s="32" t="n">
        <v>0.61</v>
      </c>
      <c r="U9" s="32" t="n">
        <v>-3.37</v>
      </c>
      <c r="V9" s="32" t="n">
        <v>-3.95</v>
      </c>
      <c r="W9" s="32" t="n">
        <v>0.21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IF(B10=0,"",RANK(B10,$B$2:$B$13,0))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GCSL</t>
        </is>
      </c>
      <c r="D10" s="31" t="inlineStr">
        <is>
          <t>Gretex Corporate Services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1451.25</v>
      </c>
      <c r="I10" s="32" t="n">
        <v>601.55</v>
      </c>
      <c r="J10" s="32" t="n">
        <v>0.14</v>
      </c>
      <c r="K10" s="32" t="n">
        <v>1181049</v>
      </c>
      <c r="L10" s="31" t="n">
        <v>75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74.47</v>
      </c>
      <c r="P10" s="32" t="n">
        <v>34.6</v>
      </c>
      <c r="Q10" s="32" t="n">
        <v>472.08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0.61</v>
      </c>
      <c r="U10" s="32" t="n">
        <v>131.1</v>
      </c>
      <c r="V10" s="32" t="n">
        <v>129.71</v>
      </c>
      <c r="W10" s="32" t="n">
        <v>27.78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above 5x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IF(B11=0,"",RANK(B11,$B$2:$B$13,0))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YESBANK</t>
        </is>
      </c>
      <c r="D11" s="31" t="inlineStr">
        <is>
          <t>Yes Bank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largecap</t>
        </is>
      </c>
      <c r="H11" s="32" t="n">
        <v>73696.12</v>
      </c>
      <c r="I11" s="32" t="n">
        <v>23.07</v>
      </c>
      <c r="J11" s="32" t="n">
        <v>-1.75</v>
      </c>
      <c r="K11" s="32" t="n">
        <v>95413759</v>
      </c>
      <c r="L11" s="31" t="n">
        <v>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53.9</v>
      </c>
      <c r="P11" s="32" t="n">
        <v>21.31</v>
      </c>
      <c r="Q11" s="32" t="n">
        <v>21.94</v>
      </c>
      <c r="R11" s="31" t="inlineStr">
        <is>
          <t>Earnings / Momentum Support</t>
        </is>
      </c>
      <c r="S11" s="31" t="inlineStr">
        <is>
          <t>Nifty Bank</t>
        </is>
      </c>
      <c r="T11" s="32" t="n">
        <v>0.61</v>
      </c>
      <c r="U11" s="32" t="n">
        <v>8.970000000000001</v>
      </c>
      <c r="V11" s="32" t="n">
        <v>8.32</v>
      </c>
      <c r="W11" s="32" t="n">
        <v>1.29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IF(B12=0,"",RANK(B12,$B$2:$B$13,0))</f>
        <v/>
      </c>
      <c r="B12" s="32">
        <f>SUM(N12,Y12,AA12,AC12,AE12,AG12,AI12,AK12,AM12,AO12,AQ12,AS12,AU12,AW12,AY12,BA12,BC12,BE12,BG12,BI12,BK12,BM12,BO12,BQ12,BS12,BU12,BW12,BY12,CA12)</f>
        <v/>
      </c>
      <c r="C12" s="33" t="inlineStr">
        <is>
          <t>KIRLOSIND</t>
        </is>
      </c>
      <c r="D12" s="33" t="inlineStr">
        <is>
          <t>Kirloskar Industries Limited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4023.3</v>
      </c>
      <c r="I12" s="32" t="n">
        <v>3834</v>
      </c>
      <c r="J12" s="32" t="n">
        <v>0.15</v>
      </c>
      <c r="K12" s="32" t="n">
        <v>37165</v>
      </c>
      <c r="L12" s="31" t="n">
        <v>7</v>
      </c>
      <c r="M12" s="31" t="inlineStr">
        <is>
          <t>Underperforming</t>
        </is>
      </c>
      <c r="N12" s="32">
        <f>IF(M12="Underperforming",-5,IF(L12&gt;=95,15,IF(L12&gt;=90,10,IF(L12&gt;=80,5,0))))</f>
        <v/>
      </c>
      <c r="O12" s="32" t="n">
        <v>58.57</v>
      </c>
      <c r="P12" s="32" t="n">
        <v>36.51</v>
      </c>
      <c r="Q12" s="32" t="n">
        <v>3201.42</v>
      </c>
      <c r="R12" s="31" t="inlineStr">
        <is>
          <t>Earnings / Momentum Support</t>
        </is>
      </c>
      <c r="S12" s="31" t="inlineStr">
        <is>
          <t>Nifty Bank</t>
        </is>
      </c>
      <c r="T12" s="32" t="n">
        <v>0.61</v>
      </c>
      <c r="U12" s="32" t="n">
        <v>-8.970000000000001</v>
      </c>
      <c r="V12" s="32" t="n">
        <v>-9.51</v>
      </c>
      <c r="W12" s="32" t="n">
        <v>0.66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IF(B13=0,"",RANK(B13,$B$2:$B$13,0))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SUNDARMFIN</t>
        </is>
      </c>
      <c r="D13" s="31" t="inlineStr">
        <is>
          <t>Sundaram Finance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52337.7</v>
      </c>
      <c r="I13" s="32" t="n">
        <v>4695</v>
      </c>
      <c r="J13" s="32" t="n">
        <v>-0.33</v>
      </c>
      <c r="K13" s="32" t="n">
        <v>64086</v>
      </c>
      <c r="L13" s="31" t="n">
        <v>10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52.58</v>
      </c>
      <c r="P13" s="32" t="n">
        <v>9.51</v>
      </c>
      <c r="Q13" s="32" t="n">
        <v>3916.2</v>
      </c>
      <c r="R13" s="31" t="inlineStr">
        <is>
          <t>Earnings / Momentum Support</t>
        </is>
      </c>
      <c r="S13" s="31" t="inlineStr">
        <is>
          <t>Nifty Bank</t>
        </is>
      </c>
      <c r="T13" s="32" t="n">
        <v>0.61</v>
      </c>
      <c r="U13" s="32" t="n">
        <v>3.43</v>
      </c>
      <c r="V13" s="32" t="n">
        <v>2.81</v>
      </c>
      <c r="W13" s="32" t="n">
        <v>1.9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1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</sheetData>
  <autoFilter ref="A1:CA13"/>
  <conditionalFormatting sqref="B2:B1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13">
    <cfRule type="cellIs" priority="34" operator="equal" dxfId="3" stopIfTrue="1">
      <formula>"Underperforming"</formula>
    </cfRule>
  </conditionalFormatting>
  <conditionalFormatting sqref="N2:N13">
    <cfRule type="cellIs" priority="35" operator="equal" dxfId="3" stopIfTrue="1">
      <formula>-5</formula>
    </cfRule>
  </conditionalFormatting>
  <conditionalFormatting sqref="Q2:Q13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13" showDropDown="0" showInputMessage="0" showErrorMessage="0" allowBlank="1" type="list">
      <formula1>"Growing Industry,Stagnant Industry,Cyclical in an Upturn"</formula1>
    </dataValidation>
    <dataValidation sqref="Z2:Z13" showDropDown="0" showInputMessage="0" showErrorMessage="0" allowBlank="1" type="list">
      <formula1>"Fragmented with Low ROE,Fragmented with High ROE,Highly Cyclical"</formula1>
    </dataValidation>
    <dataValidation sqref="AB2:AB13" showDropDown="0" showInputMessage="0" showErrorMessage="0" allowBlank="1" type="list">
      <formula1>"Yes,No"</formula1>
    </dataValidation>
    <dataValidation sqref="AD2:AD13" showDropDown="0" showInputMessage="0" showErrorMessage="0" allowBlank="1" type="list">
      <formula1>"Tailwind,Headwind"</formula1>
    </dataValidation>
    <dataValidation sqref="AF2:AF1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3" showDropDown="0" showInputMessage="0" showErrorMessage="0" allowBlank="1" type="list">
      <formula1>"Yes,No"</formula1>
    </dataValidation>
    <dataValidation sqref="AJ2:AJ13" showDropDown="0" showInputMessage="0" showErrorMessage="0" allowBlank="1" type="list">
      <formula1>"Yes,No,Not Applicable"</formula1>
    </dataValidation>
    <dataValidation sqref="AL2:AL13" showDropDown="0" showInputMessage="0" showErrorMessage="0" allowBlank="1" type="list">
      <formula1>"Yes,No"</formula1>
    </dataValidation>
    <dataValidation sqref="AN2:AN13" showDropDown="0" showInputMessage="0" showErrorMessage="0" allowBlank="1" type="list">
      <formula1>"Yes,No"</formula1>
    </dataValidation>
    <dataValidation sqref="AP2:AP13" showDropDown="0" showInputMessage="0" showErrorMessage="0" allowBlank="1" type="list">
      <formula1>"Yes,No"</formula1>
    </dataValidation>
    <dataValidation sqref="AR2:AR13" showDropDown="0" showInputMessage="0" showErrorMessage="0" allowBlank="1" type="list">
      <formula1>"Yes,No"</formula1>
    </dataValidation>
    <dataValidation sqref="AT2:AT13" showDropDown="0" showInputMessage="0" showErrorMessage="0" allowBlank="1" type="list">
      <formula1>"No,Yes"</formula1>
    </dataValidation>
    <dataValidation sqref="AV2:AV13" showDropDown="0" showInputMessage="0" showErrorMessage="0" allowBlank="1" type="list">
      <formula1>"No,Yes"</formula1>
    </dataValidation>
    <dataValidation sqref="AX2:AX13" showDropDown="0" showInputMessage="0" showErrorMessage="0" allowBlank="1" type="list">
      <formula1>"No,Yes CEO Resignation,Yes CEO Retirement"</formula1>
    </dataValidation>
    <dataValidation sqref="AZ2:AZ13" showDropDown="0" showInputMessage="0" showErrorMessage="0" allowBlank="1" type="list">
      <formula1>"No,Yes"</formula1>
    </dataValidation>
    <dataValidation sqref="BB2:BB13" showDropDown="0" showInputMessage="0" showErrorMessage="0" allowBlank="1" type="list">
      <formula1>"No,Yes"</formula1>
    </dataValidation>
    <dataValidation sqref="BD2:BD13" showDropDown="0" showInputMessage="0" showErrorMessage="0" allowBlank="1" type="list">
      <formula1>"Yes,No"</formula1>
    </dataValidation>
    <dataValidation sqref="BF2:BF13" showDropDown="0" showInputMessage="0" showErrorMessage="0" allowBlank="1" type="list">
      <formula1>"Yes,No"</formula1>
    </dataValidation>
    <dataValidation sqref="BH2:BH13" showDropDown="0" showInputMessage="0" showErrorMessage="0" allowBlank="1" type="list">
      <formula1>"Yes,No"</formula1>
    </dataValidation>
    <dataValidation sqref="BJ2:BJ1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3" showDropDown="0" showInputMessage="0" showErrorMessage="0" allowBlank="1" type="list">
      <formula1>"Above 40,20 to 40,0 to 20"</formula1>
    </dataValidation>
    <dataValidation sqref="BN2:BN13" showDropDown="0" showInputMessage="0" showErrorMessage="0" allowBlank="1" type="list">
      <formula1>"Between 50 to 75,Above 75,Below 45"</formula1>
    </dataValidation>
    <dataValidation sqref="BP2:BP13" showDropDown="0" showInputMessage="0" showErrorMessage="0" allowBlank="1" type="list">
      <formula1>"Stage 1,Stage 2,Stage 3,Stage 4"</formula1>
    </dataValidation>
    <dataValidation sqref="BR2:BR13" showDropDown="0" showInputMessage="0" showErrorMessage="0" allowBlank="1" type="list">
      <formula1>"Positive Trend,Negative Trend"</formula1>
    </dataValidation>
    <dataValidation sqref="BT2:BT13" showDropDown="0" showInputMessage="0" showErrorMessage="0" allowBlank="1" type="list">
      <formula1>"Uptrend,Sideways,Downtrend"</formula1>
    </dataValidation>
    <dataValidation sqref="BV2:BV13" showDropDown="0" showInputMessage="0" showErrorMessage="0" allowBlank="1" type="list">
      <formula1>"Uptrend,Sideways,Downtrend"</formula1>
    </dataValidation>
    <dataValidation sqref="BX2:BX1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ATH Momentum</t>
        </is>
      </c>
      <c r="D2" s="32" t="n">
        <v>72.5</v>
      </c>
      <c r="E2" s="32" t="inlineStr">
        <is>
          <t>4%</t>
        </is>
      </c>
      <c r="F2" s="32" t="n">
        <v>40000</v>
      </c>
      <c r="G2" s="32" t="n">
        <v>20</v>
      </c>
      <c r="H2" s="31" t="inlineStr">
        <is>
          <t>EMCURE</t>
        </is>
      </c>
      <c r="I2" s="31" t="inlineStr">
        <is>
          <t>Emcure Pharmaceuticals Ltd</t>
        </is>
      </c>
      <c r="J2" s="31" t="inlineStr">
        <is>
          <t>healthcare</t>
        </is>
      </c>
      <c r="K2" s="31" t="inlineStr">
        <is>
          <t>pharmaceuticals - indian - bulk drugs &amp; formln</t>
        </is>
      </c>
      <c r="L2" s="31" t="inlineStr">
        <is>
          <t>largecap</t>
        </is>
      </c>
      <c r="M2" s="32" t="n">
        <v>37535.8</v>
      </c>
      <c r="N2" s="32" t="n">
        <v>1993</v>
      </c>
      <c r="O2" s="32" t="n">
        <v>0.71</v>
      </c>
      <c r="P2" s="32" t="n">
        <v>239137</v>
      </c>
      <c r="Q2" s="31" t="n">
        <v>33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67.27</v>
      </c>
      <c r="U2" s="32" t="n">
        <v>59.64</v>
      </c>
      <c r="V2" s="32" t="n">
        <v>1659.37</v>
      </c>
      <c r="W2" s="31" t="inlineStr">
        <is>
          <t>Near 52W High Breakout</t>
        </is>
      </c>
      <c r="X2" s="31" t="inlineStr">
        <is>
          <t>Nifty Pharma</t>
        </is>
      </c>
      <c r="Y2" s="32" t="n">
        <v>15.44</v>
      </c>
      <c r="Z2" s="32" t="n">
        <v>48.74</v>
      </c>
      <c r="AA2" s="32" t="n">
        <v>28.85</v>
      </c>
      <c r="AB2" s="32" t="n">
        <v>10.98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137.7</v>
      </c>
      <c r="E3" s="32" t="inlineStr">
        <is>
          <t>5%</t>
        </is>
      </c>
      <c r="F3" s="32" t="n">
        <v>50000</v>
      </c>
      <c r="G3" s="32" t="n">
        <v>88</v>
      </c>
      <c r="H3" s="31" t="inlineStr">
        <is>
          <t>UNIVPHOTO</t>
        </is>
      </c>
      <c r="I3" s="31" t="inlineStr">
        <is>
          <t>Universus Photo Imagings Ltd</t>
        </is>
      </c>
      <c r="J3" s="31" t="inlineStr">
        <is>
          <t>consumer discretionary</t>
        </is>
      </c>
      <c r="K3" s="31" t="inlineStr">
        <is>
          <t>photographic and allied products</t>
        </is>
      </c>
      <c r="L3" s="31" t="inlineStr">
        <is>
          <t>smallcap</t>
        </is>
      </c>
      <c r="M3" s="32" t="n">
        <v>591.28</v>
      </c>
      <c r="N3" s="32" t="n">
        <v>566.75</v>
      </c>
      <c r="O3" s="32" t="n">
        <v>4.92</v>
      </c>
      <c r="P3" s="32" t="n">
        <v>15446</v>
      </c>
      <c r="Q3" s="31" t="n">
        <v>87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71.17</v>
      </c>
      <c r="U3" s="32" t="n">
        <v>21.43</v>
      </c>
      <c r="V3" s="32" t="n">
        <v>423.35</v>
      </c>
      <c r="W3" s="31" t="inlineStr">
        <is>
          <t>Volume Spike &amp; Near 52W High Breakout</t>
        </is>
      </c>
      <c r="X3" s="31" t="inlineStr">
        <is>
          <t>Nifty 50</t>
        </is>
      </c>
      <c r="Y3" s="32" t="n">
        <v>-8.720000000000001</v>
      </c>
      <c r="Z3" s="32" t="n">
        <v>119.12</v>
      </c>
      <c r="AA3" s="32" t="n">
        <v>140.05</v>
      </c>
      <c r="AB3" s="32" t="n">
        <v>37.51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20 to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134.4</v>
      </c>
      <c r="E4" s="32" t="inlineStr">
        <is>
          <t>5%</t>
        </is>
      </c>
      <c r="F4" s="32" t="n">
        <v>50000</v>
      </c>
      <c r="G4" s="32" t="n">
        <v>369</v>
      </c>
      <c r="H4" s="31" t="inlineStr">
        <is>
          <t>NRL</t>
        </is>
      </c>
      <c r="I4" s="31" t="inlineStr">
        <is>
          <t>Nupur Recyclers Ltd</t>
        </is>
      </c>
      <c r="J4" s="31" t="inlineStr">
        <is>
          <t>services</t>
        </is>
      </c>
      <c r="K4" s="31" t="inlineStr">
        <is>
          <t>trading</t>
        </is>
      </c>
      <c r="L4" s="31" t="inlineStr">
        <is>
          <t>smallcap</t>
        </is>
      </c>
      <c r="M4" s="32" t="n">
        <v>919.03</v>
      </c>
      <c r="N4" s="32" t="n">
        <v>135.35</v>
      </c>
      <c r="O4" s="32" t="n">
        <v>1.72</v>
      </c>
      <c r="P4" s="32" t="n">
        <v>118553</v>
      </c>
      <c r="Q4" s="31" t="n">
        <v>81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89.29000000000001</v>
      </c>
      <c r="U4" s="32" t="n">
        <v>71.13</v>
      </c>
      <c r="V4" s="32" t="n">
        <v>112.39</v>
      </c>
      <c r="W4" s="31" t="inlineStr">
        <is>
          <t>Near 52W High Breakout</t>
        </is>
      </c>
      <c r="X4" s="31" t="inlineStr">
        <is>
          <t>Nifty 50</t>
        </is>
      </c>
      <c r="Y4" s="32" t="n">
        <v>-8.720000000000001</v>
      </c>
      <c r="Z4" s="32" t="n">
        <v>74.31</v>
      </c>
      <c r="AA4" s="32" t="n">
        <v>90.95999999999999</v>
      </c>
      <c r="AB4" s="32" t="n">
        <v>31.96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ATH Momentum</t>
        </is>
      </c>
      <c r="D5" s="32" t="n">
        <v>71.7</v>
      </c>
      <c r="E5" s="32" t="inlineStr">
        <is>
          <t>4%</t>
        </is>
      </c>
      <c r="F5" s="32" t="n">
        <v>40000</v>
      </c>
      <c r="G5" s="32" t="n">
        <v>62</v>
      </c>
      <c r="H5" s="31" t="inlineStr">
        <is>
          <t>NITINSPIN</t>
        </is>
      </c>
      <c r="I5" s="31" t="inlineStr">
        <is>
          <t>Nitin Spinners Limited</t>
        </is>
      </c>
      <c r="J5" s="31" t="inlineStr">
        <is>
          <t>textiles</t>
        </is>
      </c>
      <c r="K5" s="31" t="inlineStr">
        <is>
          <t>textiles - cotton/blended</t>
        </is>
      </c>
      <c r="L5" s="31" t="inlineStr">
        <is>
          <t>smallcap</t>
        </is>
      </c>
      <c r="M5" s="32" t="n">
        <v>3660.2</v>
      </c>
      <c r="N5" s="32" t="n">
        <v>643.15</v>
      </c>
      <c r="O5" s="32" t="n">
        <v>-1.21</v>
      </c>
      <c r="P5" s="32" t="n">
        <v>182683</v>
      </c>
      <c r="Q5" s="31" t="n">
        <v>54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74.09999999999999</v>
      </c>
      <c r="U5" s="32" t="n">
        <v>63.43</v>
      </c>
      <c r="V5" s="32" t="n">
        <v>520.12</v>
      </c>
      <c r="W5" s="31" t="inlineStr">
        <is>
          <t>Near 52W High Breakout</t>
        </is>
      </c>
      <c r="X5" s="31" t="inlineStr">
        <is>
          <t>Nifty 50</t>
        </is>
      </c>
      <c r="Y5" s="32" t="n">
        <v>-8.720000000000001</v>
      </c>
      <c r="Z5" s="32" t="n">
        <v>83.48</v>
      </c>
      <c r="AA5" s="32" t="n">
        <v>101.01</v>
      </c>
      <c r="AB5" s="32" t="n">
        <v>17.49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Between 0.7 to 1.2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128</v>
      </c>
      <c r="E6" s="32" t="inlineStr">
        <is>
          <t>5%</t>
        </is>
      </c>
      <c r="F6" s="32" t="n">
        <v>50000</v>
      </c>
      <c r="G6" s="32" t="n">
        <v>2477</v>
      </c>
      <c r="H6" s="31" t="inlineStr">
        <is>
          <t>AHCL</t>
        </is>
      </c>
      <c r="I6" s="31" t="inlineStr">
        <is>
          <t>Anlon Healthcare Ltd</t>
        </is>
      </c>
      <c r="J6" s="31" t="inlineStr">
        <is>
          <t>healthcare</t>
        </is>
      </c>
      <c r="K6" s="31" t="inlineStr">
        <is>
          <t>pharmaceuticals - indian - bulk drugs &amp; formln</t>
        </is>
      </c>
      <c r="L6" s="31" t="inlineStr">
        <is>
          <t>smallcap</t>
        </is>
      </c>
      <c r="M6" s="32" t="n">
        <v>1040.17</v>
      </c>
      <c r="N6" s="32" t="n">
        <v>20.18</v>
      </c>
      <c r="O6" s="32" t="n">
        <v>3.12</v>
      </c>
      <c r="P6" s="32" t="n">
        <v>165056337</v>
      </c>
      <c r="Q6" s="31" t="n">
        <v>43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74.7</v>
      </c>
      <c r="U6" s="32" t="n">
        <v>42.02</v>
      </c>
      <c r="V6" s="32" t="n">
        <v>14.85</v>
      </c>
      <c r="W6" s="31" t="inlineStr">
        <is>
          <t>Volume Spike &amp; Near 52W High Breakout</t>
        </is>
      </c>
      <c r="X6" s="31" t="inlineStr">
        <is>
          <t>Nifty Pharma</t>
        </is>
      </c>
      <c r="Y6" s="32" t="n">
        <v>15.44</v>
      </c>
      <c r="Z6" s="32" t="n">
        <v>50.03</v>
      </c>
      <c r="AA6" s="32" t="n">
        <v>29.97</v>
      </c>
      <c r="AB6" s="32" t="n">
        <v>14.5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137.2</v>
      </c>
      <c r="E7" s="32" t="inlineStr">
        <is>
          <t>5%</t>
        </is>
      </c>
      <c r="F7" s="32" t="n">
        <v>50000</v>
      </c>
      <c r="G7" s="32" t="n">
        <v>234</v>
      </c>
      <c r="H7" s="31" t="inlineStr">
        <is>
          <t>LOTUSDEV</t>
        </is>
      </c>
      <c r="I7" s="31" t="inlineStr">
        <is>
          <t>Sri Lotus Developers &amp; Realty Ltd</t>
        </is>
      </c>
      <c r="J7" s="31" t="inlineStr">
        <is>
          <t>realty</t>
        </is>
      </c>
      <c r="K7" s="31" t="inlineStr">
        <is>
          <t>construction</t>
        </is>
      </c>
      <c r="L7" s="31" t="inlineStr">
        <is>
          <t>midcap</t>
        </is>
      </c>
      <c r="M7" s="32" t="n">
        <v>10227.52</v>
      </c>
      <c r="N7" s="32" t="n">
        <v>213.54</v>
      </c>
      <c r="O7" s="32" t="n">
        <v>2.04</v>
      </c>
      <c r="P7" s="32" t="n">
        <v>2311800</v>
      </c>
      <c r="Q7" s="31" t="n">
        <v>40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66.48999999999999</v>
      </c>
      <c r="U7" s="32" t="n">
        <v>23.65</v>
      </c>
      <c r="V7" s="32" t="n">
        <v>161.32</v>
      </c>
      <c r="W7" s="31" t="inlineStr">
        <is>
          <t>Near 52W High Breakout</t>
        </is>
      </c>
      <c r="X7" s="31" t="inlineStr">
        <is>
          <t>Nifty Realty</t>
        </is>
      </c>
      <c r="Y7" s="32" t="n">
        <v>-6.85</v>
      </c>
      <c r="Z7" s="32" t="n">
        <v>1.94</v>
      </c>
      <c r="AA7" s="32" t="n">
        <v>9.44</v>
      </c>
      <c r="AB7" s="32" t="n">
        <v>13.59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116.8</v>
      </c>
      <c r="E8" s="32" t="inlineStr">
        <is>
          <t>5%</t>
        </is>
      </c>
      <c r="F8" s="32" t="n">
        <v>50000</v>
      </c>
      <c r="G8" s="32" t="n">
        <v>59</v>
      </c>
      <c r="H8" s="31" t="inlineStr">
        <is>
          <t>ARROWGREEN</t>
        </is>
      </c>
      <c r="I8" s="31" t="inlineStr">
        <is>
          <t>Arrow Greentech Limited</t>
        </is>
      </c>
      <c r="J8" s="31" t="inlineStr">
        <is>
          <t>plastic products</t>
        </is>
      </c>
      <c r="K8" s="31" t="inlineStr">
        <is>
          <t>plastics products</t>
        </is>
      </c>
      <c r="L8" s="31" t="inlineStr">
        <is>
          <t>smallcap</t>
        </is>
      </c>
      <c r="M8" s="32" t="n">
        <v>1226.65</v>
      </c>
      <c r="N8" s="32" t="n">
        <v>838.55</v>
      </c>
      <c r="O8" s="32" t="n">
        <v>3.14</v>
      </c>
      <c r="P8" s="32" t="n">
        <v>225224</v>
      </c>
      <c r="Q8" s="31" t="n">
        <v>62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68.02</v>
      </c>
      <c r="U8" s="32" t="n">
        <v>45.16</v>
      </c>
      <c r="V8" s="32" t="n">
        <v>621.0599999999999</v>
      </c>
      <c r="W8" s="31" t="inlineStr">
        <is>
          <t>Volume Spike &amp; Near 52W High Breakout</t>
        </is>
      </c>
      <c r="X8" s="31" t="inlineStr">
        <is>
          <t>Nifty 50</t>
        </is>
      </c>
      <c r="Y8" s="32" t="n">
        <v>-8.720000000000001</v>
      </c>
      <c r="Z8" s="32" t="n">
        <v>47.2</v>
      </c>
      <c r="AA8" s="32" t="n">
        <v>61.27</v>
      </c>
      <c r="AB8" s="32" t="n">
        <v>20.6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ATH Momentum</t>
        </is>
      </c>
      <c r="D9" s="32" t="n">
        <v>72.2</v>
      </c>
      <c r="E9" s="32" t="inlineStr">
        <is>
          <t>4%</t>
        </is>
      </c>
      <c r="F9" s="32" t="n">
        <v>40000</v>
      </c>
      <c r="G9" s="32" t="n">
        <v>20</v>
      </c>
      <c r="H9" s="31" t="inlineStr">
        <is>
          <t>LAURUSLABS</t>
        </is>
      </c>
      <c r="I9" s="31" t="inlineStr">
        <is>
          <t>Laurus Labs Limited</t>
        </is>
      </c>
      <c r="J9" s="31" t="inlineStr">
        <is>
          <t>healthcare</t>
        </is>
      </c>
      <c r="K9" s="31" t="inlineStr">
        <is>
          <t>pharmaceuticals - indian - bulk drugs &amp; formln</t>
        </is>
      </c>
      <c r="L9" s="31" t="inlineStr">
        <is>
          <t>largecap</t>
        </is>
      </c>
      <c r="M9" s="32" t="n">
        <v>106375.14</v>
      </c>
      <c r="N9" s="32" t="n">
        <v>1926.9</v>
      </c>
      <c r="O9" s="32" t="n">
        <v>-2.14</v>
      </c>
      <c r="P9" s="32" t="n">
        <v>1538262</v>
      </c>
      <c r="Q9" s="31" t="n">
        <v>71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73.67</v>
      </c>
      <c r="U9" s="32" t="n">
        <v>72.52</v>
      </c>
      <c r="V9" s="32" t="n">
        <v>1683.28</v>
      </c>
      <c r="W9" s="31" t="inlineStr">
        <is>
          <t>Near 52W High Breakout</t>
        </is>
      </c>
      <c r="X9" s="31" t="inlineStr">
        <is>
          <t>Nifty Pharma</t>
        </is>
      </c>
      <c r="Y9" s="32" t="n">
        <v>15.44</v>
      </c>
      <c r="Z9" s="32" t="n">
        <v>107.1</v>
      </c>
      <c r="AA9" s="32" t="n">
        <v>79.41</v>
      </c>
      <c r="AB9" s="32" t="n">
        <v>24.54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140</v>
      </c>
      <c r="E10" s="32" t="inlineStr">
        <is>
          <t>5%</t>
        </is>
      </c>
      <c r="F10" s="32" t="n">
        <v>50000</v>
      </c>
      <c r="G10" s="32" t="n">
        <v>129</v>
      </c>
      <c r="H10" s="31" t="inlineStr">
        <is>
          <t>DIACABS</t>
        </is>
      </c>
      <c r="I10" s="31" t="inlineStr">
        <is>
          <t>Diamond Power Infrastructure Ltd</t>
        </is>
      </c>
      <c r="J10" s="31" t="inlineStr">
        <is>
          <t>industrials</t>
        </is>
      </c>
      <c r="K10" s="31" t="inlineStr">
        <is>
          <t>cables - power</t>
        </is>
      </c>
      <c r="L10" s="31" t="inlineStr">
        <is>
          <t>largecap</t>
        </is>
      </c>
      <c r="M10" s="32" t="n">
        <v>22071.81</v>
      </c>
      <c r="N10" s="32" t="n">
        <v>387.5</v>
      </c>
      <c r="O10" s="32" t="n">
        <v>5</v>
      </c>
      <c r="P10" s="32" t="n">
        <v>1398719</v>
      </c>
      <c r="Q10" s="31" t="n">
        <v>94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79.8</v>
      </c>
      <c r="U10" s="32" t="n">
        <v>66.81</v>
      </c>
      <c r="V10" s="32" t="n">
        <v>298.62</v>
      </c>
      <c r="W10" s="31" t="inlineStr">
        <is>
          <t>Near 52W High Breakout</t>
        </is>
      </c>
      <c r="X10" s="31" t="inlineStr">
        <is>
          <t>Nifty Energy</t>
        </is>
      </c>
      <c r="Y10" s="32" t="n">
        <v>5.38</v>
      </c>
      <c r="Z10" s="32" t="n">
        <v>137.92</v>
      </c>
      <c r="AA10" s="32" t="n">
        <v>125.77</v>
      </c>
      <c r="AB10" s="32" t="n">
        <v>56.87</v>
      </c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ATH Momentum</t>
        </is>
      </c>
      <c r="D11" s="32" t="n">
        <v>72.2</v>
      </c>
      <c r="E11" s="32" t="inlineStr">
        <is>
          <t>4%</t>
        </is>
      </c>
      <c r="F11" s="32" t="n">
        <v>40000</v>
      </c>
      <c r="G11" s="32" t="n">
        <v>56</v>
      </c>
      <c r="H11" s="31" t="inlineStr">
        <is>
          <t>WSTCSTPAPR</t>
        </is>
      </c>
      <c r="I11" s="31" t="inlineStr">
        <is>
          <t>West Coast Paper Mills Limited</t>
        </is>
      </c>
      <c r="J11" s="31" t="inlineStr">
        <is>
          <t>building materials</t>
        </is>
      </c>
      <c r="K11" s="31" t="inlineStr">
        <is>
          <t>paper</t>
        </is>
      </c>
      <c r="L11" s="31" t="inlineStr">
        <is>
          <t>smallcap</t>
        </is>
      </c>
      <c r="M11" s="32" t="n">
        <v>4714.57</v>
      </c>
      <c r="N11" s="32" t="n">
        <v>713.3</v>
      </c>
      <c r="O11" s="32" t="n">
        <v>-0.07000000000000001</v>
      </c>
      <c r="P11" s="32" t="n">
        <v>375037</v>
      </c>
      <c r="Q11" s="31" t="n">
        <v>58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75.98999999999999</v>
      </c>
      <c r="U11" s="32" t="n">
        <v>54.89</v>
      </c>
      <c r="V11" s="32" t="n">
        <v>575.24</v>
      </c>
      <c r="W11" s="31" t="inlineStr">
        <is>
          <t>Near 52W High Breakout</t>
        </is>
      </c>
      <c r="X11" s="31" t="inlineStr">
        <is>
          <t>Nifty Infra</t>
        </is>
      </c>
      <c r="Y11" s="32" t="n">
        <v>-1.72</v>
      </c>
      <c r="Z11" s="32" t="n">
        <v>33.49</v>
      </c>
      <c r="AA11" s="32" t="n">
        <v>35.82</v>
      </c>
      <c r="AB11" s="32" t="n">
        <v>18.21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ATH Momentum</t>
        </is>
      </c>
      <c r="D12" s="32" t="n">
        <v>71.5</v>
      </c>
      <c r="E12" s="32" t="inlineStr">
        <is>
          <t>4%</t>
        </is>
      </c>
      <c r="F12" s="32" t="n">
        <v>40000</v>
      </c>
      <c r="G12" s="32" t="n">
        <v>130</v>
      </c>
      <c r="H12" s="31" t="inlineStr">
        <is>
          <t>BAFNAPH</t>
        </is>
      </c>
      <c r="I12" s="31" t="inlineStr">
        <is>
          <t>Bafna Pharmaceuticals Ltd</t>
        </is>
      </c>
      <c r="J12" s="31" t="inlineStr">
        <is>
          <t>healthcare</t>
        </is>
      </c>
      <c r="K12" s="31" t="inlineStr">
        <is>
          <t>pharmaceuticals - indian - formulations</t>
        </is>
      </c>
      <c r="L12" s="31" t="inlineStr">
        <is>
          <t>smallcap</t>
        </is>
      </c>
      <c r="M12" s="32" t="n">
        <v>713.12</v>
      </c>
      <c r="N12" s="32" t="n">
        <v>307.3</v>
      </c>
      <c r="O12" s="32" t="n">
        <v>1.94</v>
      </c>
      <c r="P12" s="32" t="n">
        <v>12177</v>
      </c>
      <c r="Q12" s="31" t="n">
        <v>88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73.08</v>
      </c>
      <c r="U12" s="32" t="n">
        <v>59.27</v>
      </c>
      <c r="V12" s="32" t="n">
        <v>238.64</v>
      </c>
      <c r="W12" s="31" t="inlineStr">
        <is>
          <t>Near 52W High Breakout</t>
        </is>
      </c>
      <c r="X12" s="31" t="inlineStr">
        <is>
          <t>Nifty Pharma</t>
        </is>
      </c>
      <c r="Y12" s="32" t="n">
        <v>15.44</v>
      </c>
      <c r="Z12" s="32" t="n">
        <v>122.37</v>
      </c>
      <c r="AA12" s="32" t="n">
        <v>92.64</v>
      </c>
      <c r="AB12" s="32" t="n">
        <v>40.66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137.7</v>
      </c>
      <c r="E13" s="32" t="inlineStr">
        <is>
          <t>5%</t>
        </is>
      </c>
      <c r="F13" s="32" t="n">
        <v>50000</v>
      </c>
      <c r="G13" s="32" t="n">
        <v>118</v>
      </c>
      <c r="H13" s="31" t="inlineStr">
        <is>
          <t>ACMESOLAR</t>
        </is>
      </c>
      <c r="I13" s="31" t="inlineStr">
        <is>
          <t>ACME Solar Holdings Ltd</t>
        </is>
      </c>
      <c r="J13" s="31" t="inlineStr">
        <is>
          <t>realty</t>
        </is>
      </c>
      <c r="K13" s="31" t="inlineStr">
        <is>
          <t>engineering - turnkey services</t>
        </is>
      </c>
      <c r="L13" s="31" t="inlineStr">
        <is>
          <t>largecap</t>
        </is>
      </c>
      <c r="M13" s="32" t="n">
        <v>28437.55</v>
      </c>
      <c r="N13" s="32" t="n">
        <v>420.4</v>
      </c>
      <c r="O13" s="32" t="n">
        <v>4.5</v>
      </c>
      <c r="P13" s="32" t="n">
        <v>5262214</v>
      </c>
      <c r="Q13" s="31" t="n">
        <v>64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69.06</v>
      </c>
      <c r="U13" s="32" t="n">
        <v>49.44</v>
      </c>
      <c r="V13" s="32" t="n">
        <v>328.01</v>
      </c>
      <c r="W13" s="31" t="inlineStr">
        <is>
          <t>Near 52W High Breakout</t>
        </is>
      </c>
      <c r="X13" s="31" t="inlineStr">
        <is>
          <t>Nifty Realty</t>
        </is>
      </c>
      <c r="Y13" s="32" t="n">
        <v>-14.34</v>
      </c>
      <c r="Z13" s="32" t="n">
        <v>55.58</v>
      </c>
      <c r="AA13" s="32" t="n">
        <v>81.63</v>
      </c>
      <c r="AB13" s="32" t="n">
        <v>20.79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Less than 1.5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More than 1.2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136.8</v>
      </c>
      <c r="E14" s="32" t="inlineStr">
        <is>
          <t>5%</t>
        </is>
      </c>
      <c r="F14" s="32" t="n">
        <v>50000</v>
      </c>
      <c r="G14" s="32" t="n">
        <v>1344</v>
      </c>
      <c r="H14" s="31" t="inlineStr">
        <is>
          <t>STLNETWORK</t>
        </is>
      </c>
      <c r="I14" s="31" t="inlineStr">
        <is>
          <t>STL Networks Ltd</t>
        </is>
      </c>
      <c r="J14" s="31" t="inlineStr">
        <is>
          <t>telecom-service</t>
        </is>
      </c>
      <c r="K14" s="31" t="inlineStr">
        <is>
          <t>telecommunications - service provider</t>
        </is>
      </c>
      <c r="L14" s="31" t="inlineStr">
        <is>
          <t>smallcap</t>
        </is>
      </c>
      <c r="M14" s="32" t="n">
        <v>1786.36</v>
      </c>
      <c r="N14" s="32" t="n">
        <v>37.2</v>
      </c>
      <c r="O14" s="32" t="n">
        <v>1.64</v>
      </c>
      <c r="P14" s="32" t="n">
        <v>14945148</v>
      </c>
      <c r="Q14" s="31" t="n">
        <v>44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74.54000000000001</v>
      </c>
      <c r="U14" s="32" t="n">
        <v>28.59</v>
      </c>
      <c r="V14" s="32" t="n">
        <v>28.42</v>
      </c>
      <c r="W14" s="31" t="inlineStr">
        <is>
          <t>Volume Spike &amp; Near 52W High Breakout</t>
        </is>
      </c>
      <c r="X14" s="31" t="inlineStr">
        <is>
          <t>Nifty 50</t>
        </is>
      </c>
      <c r="Y14" s="32" t="n">
        <v>-8.720000000000001</v>
      </c>
      <c r="Z14" s="32" t="n">
        <v>26.83</v>
      </c>
      <c r="AA14" s="32" t="n">
        <v>38.95</v>
      </c>
      <c r="AB14" s="32" t="n">
        <v>14.91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Oligopoly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Less than 1.5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ATH Momentum</t>
        </is>
      </c>
      <c r="D15" s="32" t="n">
        <v>72</v>
      </c>
      <c r="E15" s="32" t="inlineStr">
        <is>
          <t>4%</t>
        </is>
      </c>
      <c r="F15" s="32" t="n">
        <v>40000</v>
      </c>
      <c r="G15" s="32" t="n">
        <v>132</v>
      </c>
      <c r="H15" s="31" t="inlineStr">
        <is>
          <t>AEGISVOPAK</t>
        </is>
      </c>
      <c r="I15" s="31" t="inlineStr">
        <is>
          <t>Aegis Vopak Terminals Ltd</t>
        </is>
      </c>
      <c r="J15" s="31" t="inlineStr">
        <is>
          <t>transportation</t>
        </is>
      </c>
      <c r="K15" s="31" t="inlineStr">
        <is>
          <t>miscellaneous</t>
        </is>
      </c>
      <c r="L15" s="31" t="inlineStr">
        <is>
          <t>largecap</t>
        </is>
      </c>
      <c r="M15" s="32" t="n">
        <v>32696.83</v>
      </c>
      <c r="N15" s="32" t="n">
        <v>302</v>
      </c>
      <c r="O15" s="32" t="n">
        <v>2.34</v>
      </c>
      <c r="P15" s="32" t="n">
        <v>4447657</v>
      </c>
      <c r="Q15" s="31" t="n">
        <v>38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64.34999999999999</v>
      </c>
      <c r="U15" s="32" t="n">
        <v>44.76</v>
      </c>
      <c r="V15" s="32" t="n">
        <v>224.69</v>
      </c>
      <c r="W15" s="31" t="inlineStr">
        <is>
          <t>Near 52W High Breakout</t>
        </is>
      </c>
      <c r="X15" s="31" t="inlineStr">
        <is>
          <t>Nifty 50</t>
        </is>
      </c>
      <c r="Y15" s="32" t="n">
        <v>-8.720000000000001</v>
      </c>
      <c r="Z15" s="32" t="n">
        <v>24.64</v>
      </c>
      <c r="AA15" s="32" t="n">
        <v>36.55</v>
      </c>
      <c r="AB15" s="32" t="n">
        <v>12.63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Between 0.7 to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112.3</v>
      </c>
      <c r="E16" s="32" t="inlineStr">
        <is>
          <t>5%</t>
        </is>
      </c>
      <c r="F16" s="32" t="n">
        <v>50000</v>
      </c>
      <c r="G16" s="32" t="n">
        <v>200</v>
      </c>
      <c r="H16" s="31" t="inlineStr">
        <is>
          <t>KOPRAN</t>
        </is>
      </c>
      <c r="I16" s="31" t="inlineStr">
        <is>
          <t>Kopran Limited</t>
        </is>
      </c>
      <c r="J16" s="31" t="inlineStr">
        <is>
          <t>healthcare</t>
        </is>
      </c>
      <c r="K16" s="31" t="inlineStr">
        <is>
          <t>pharmaceuticals - indian - bulk drugs &amp; formln</t>
        </is>
      </c>
      <c r="L16" s="31" t="inlineStr">
        <is>
          <t>smallcap</t>
        </is>
      </c>
      <c r="M16" s="32" t="n">
        <v>1135.97</v>
      </c>
      <c r="N16" s="32" t="n">
        <v>249.9</v>
      </c>
      <c r="O16" s="32" t="n">
        <v>6.22</v>
      </c>
      <c r="P16" s="32" t="n">
        <v>15857726</v>
      </c>
      <c r="Q16" s="31" t="n">
        <v>60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74.27</v>
      </c>
      <c r="U16" s="32" t="n">
        <v>41.79</v>
      </c>
      <c r="V16" s="32" t="n">
        <v>184.8</v>
      </c>
      <c r="W16" s="31" t="inlineStr">
        <is>
          <t>Volume Spike &amp; Near 52W High Breakout</t>
        </is>
      </c>
      <c r="X16" s="31" t="inlineStr">
        <is>
          <t>Nifty Pharma</t>
        </is>
      </c>
      <c r="Y16" s="32" t="n">
        <v>15.44</v>
      </c>
      <c r="Z16" s="32" t="n">
        <v>47.43</v>
      </c>
      <c r="AA16" s="32" t="n">
        <v>27.71</v>
      </c>
      <c r="AB16" s="32" t="n">
        <v>18.5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Yes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Annuity, Lower One Time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ATH Momentum</t>
        </is>
      </c>
      <c r="D17" s="32" t="n">
        <v>71.5</v>
      </c>
      <c r="E17" s="32" t="inlineStr">
        <is>
          <t>4%</t>
        </is>
      </c>
      <c r="F17" s="32" t="n">
        <v>40000</v>
      </c>
      <c r="G17" s="32" t="n">
        <v>42</v>
      </c>
      <c r="H17" s="33" t="inlineStr">
        <is>
          <t>ANTHEM</t>
        </is>
      </c>
      <c r="I17" s="33" t="inlineStr">
        <is>
          <t>Anthem Biosciences Ltd</t>
        </is>
      </c>
      <c r="J17" s="31" t="inlineStr">
        <is>
          <t>healthcare</t>
        </is>
      </c>
      <c r="K17" s="31" t="inlineStr">
        <is>
          <t>pharmaceuticals - indian - bulk drugs &amp; formln</t>
        </is>
      </c>
      <c r="L17" s="31" t="inlineStr">
        <is>
          <t>largecap</t>
        </is>
      </c>
      <c r="M17" s="32" t="n">
        <v>53008.87</v>
      </c>
      <c r="N17" s="32" t="n">
        <v>942.85</v>
      </c>
      <c r="O17" s="32" t="n">
        <v>0.21</v>
      </c>
      <c r="P17" s="32" t="n">
        <v>599280</v>
      </c>
      <c r="Q17" s="31" t="n">
        <v>22</v>
      </c>
      <c r="R17" s="31" t="inlineStr">
        <is>
          <t>Underperforming</t>
        </is>
      </c>
      <c r="S17" s="32">
        <f>IF(R17="Underperforming",-5,IF(Q17&gt;=95,15,IF(Q17&gt;=90,10,IF(Q17&gt;=80,5,0))))</f>
        <v/>
      </c>
      <c r="T17" s="32" t="n">
        <v>73.29000000000001</v>
      </c>
      <c r="U17" s="32" t="n">
        <v>48.05</v>
      </c>
      <c r="V17" s="32" t="n">
        <v>792.62</v>
      </c>
      <c r="W17" s="31" t="inlineStr">
        <is>
          <t>Near 52W High Breakout</t>
        </is>
      </c>
      <c r="X17" s="31" t="inlineStr">
        <is>
          <t>Nifty Pharma</t>
        </is>
      </c>
      <c r="Y17" s="32" t="n">
        <v>15.44</v>
      </c>
      <c r="Z17" s="32" t="n">
        <v>11.73</v>
      </c>
      <c r="AA17" s="32" t="n">
        <v>-3.21</v>
      </c>
      <c r="AB17" s="32" t="n">
        <v>7.38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140</v>
      </c>
      <c r="E18" s="32" t="inlineStr">
        <is>
          <t>5%</t>
        </is>
      </c>
      <c r="F18" s="32" t="n">
        <v>50000</v>
      </c>
      <c r="G18" s="32" t="n">
        <v>15</v>
      </c>
      <c r="H18" s="31" t="inlineStr">
        <is>
          <t>SPECTRUM</t>
        </is>
      </c>
      <c r="I18" s="31" t="inlineStr">
        <is>
          <t>Spectrum Electrical Industries Ltd</t>
        </is>
      </c>
      <c r="J18" s="31" t="inlineStr">
        <is>
          <t>industrials</t>
        </is>
      </c>
      <c r="K18" s="31" t="inlineStr">
        <is>
          <t>electric equipment</t>
        </is>
      </c>
      <c r="L18" s="31" t="inlineStr">
        <is>
          <t>smallcap</t>
        </is>
      </c>
      <c r="M18" s="32" t="n">
        <v>4749.51</v>
      </c>
      <c r="N18" s="32" t="n">
        <v>3173.6</v>
      </c>
      <c r="O18" s="32" t="n">
        <v>5</v>
      </c>
      <c r="P18" s="32" t="n">
        <v>29046</v>
      </c>
      <c r="Q18" s="31" t="n">
        <v>86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79.42</v>
      </c>
      <c r="U18" s="32" t="n">
        <v>61.42</v>
      </c>
      <c r="V18" s="32" t="n">
        <v>2348.66</v>
      </c>
      <c r="W18" s="31" t="inlineStr">
        <is>
          <t>Near 52W High Breakout</t>
        </is>
      </c>
      <c r="X18" s="31" t="inlineStr">
        <is>
          <t>Nifty 50</t>
        </is>
      </c>
      <c r="Y18" s="32" t="n">
        <v>-8.720000000000001</v>
      </c>
      <c r="Z18" s="32" t="n">
        <v>128.71</v>
      </c>
      <c r="AA18" s="32" t="n">
        <v>150.56</v>
      </c>
      <c r="AB18" s="32" t="n">
        <v>36.66</v>
      </c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Between 0.7 to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ATH Momentum</t>
        </is>
      </c>
      <c r="D19" s="32" t="n">
        <v>72.59999999999999</v>
      </c>
      <c r="E19" s="32" t="inlineStr">
        <is>
          <t>4%</t>
        </is>
      </c>
      <c r="F19" s="32" t="n">
        <v>40000</v>
      </c>
      <c r="G19" s="32" t="n">
        <v>316</v>
      </c>
      <c r="H19" s="31" t="inlineStr">
        <is>
          <t>GLOBAL</t>
        </is>
      </c>
      <c r="I19" s="31" t="inlineStr">
        <is>
          <t>Global Education Ltd</t>
        </is>
      </c>
      <c r="J19" s="31" t="inlineStr">
        <is>
          <t>services</t>
        </is>
      </c>
      <c r="K19" s="31" t="inlineStr">
        <is>
          <t>miscellaneous</t>
        </is>
      </c>
      <c r="L19" s="31" t="inlineStr">
        <is>
          <t>smallcap</t>
        </is>
      </c>
      <c r="M19" s="32" t="n">
        <v>645.99</v>
      </c>
      <c r="N19" s="32" t="n">
        <v>126.23</v>
      </c>
      <c r="O19" s="32" t="n">
        <v>-0.54</v>
      </c>
      <c r="P19" s="32" t="n">
        <v>86903</v>
      </c>
      <c r="Q19" s="31" t="n">
        <v>54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70.37</v>
      </c>
      <c r="U19" s="32" t="n">
        <v>35.42</v>
      </c>
      <c r="V19" s="32" t="n">
        <v>96.67</v>
      </c>
      <c r="W19" s="31" t="inlineStr">
        <is>
          <t>Near 52W High Breakout</t>
        </is>
      </c>
      <c r="X19" s="31" t="inlineStr">
        <is>
          <t>Nifty 50</t>
        </is>
      </c>
      <c r="Y19" s="32" t="n">
        <v>-8.720000000000001</v>
      </c>
      <c r="Z19" s="32" t="n">
        <v>85.73</v>
      </c>
      <c r="AA19" s="32" t="n">
        <v>103.47</v>
      </c>
      <c r="AB19" s="32" t="n">
        <v>17.46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Less than 50%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136.7</v>
      </c>
      <c r="E20" s="32" t="inlineStr">
        <is>
          <t>5%</t>
        </is>
      </c>
      <c r="F20" s="32" t="n">
        <v>50000</v>
      </c>
      <c r="G20" s="32" t="n">
        <v>39</v>
      </c>
      <c r="H20" s="31" t="inlineStr">
        <is>
          <t>ROSSTECH</t>
        </is>
      </c>
      <c r="I20" s="31" t="inlineStr">
        <is>
          <t>Rossell Techsys Ltd</t>
        </is>
      </c>
      <c r="J20" s="31" t="inlineStr">
        <is>
          <t>aerospace &amp; defence</t>
        </is>
      </c>
      <c r="K20" s="31" t="inlineStr">
        <is>
          <t>engineering</t>
        </is>
      </c>
      <c r="L20" s="31" t="inlineStr">
        <is>
          <t>smallcap</t>
        </is>
      </c>
      <c r="M20" s="32" t="n">
        <v>4577.48</v>
      </c>
      <c r="N20" s="32" t="n">
        <v>1265.4</v>
      </c>
      <c r="O20" s="32" t="n">
        <v>4.21</v>
      </c>
      <c r="P20" s="32" t="n">
        <v>1062808</v>
      </c>
      <c r="Q20" s="31" t="n">
        <v>53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72.44</v>
      </c>
      <c r="U20" s="32" t="n">
        <v>27.1</v>
      </c>
      <c r="V20" s="32" t="n">
        <v>940.9</v>
      </c>
      <c r="W20" s="31" t="inlineStr">
        <is>
          <t>Volume Spike &amp; Near 52W High Breakout</t>
        </is>
      </c>
      <c r="X20" s="31" t="inlineStr">
        <is>
          <t>Nifty 50</t>
        </is>
      </c>
      <c r="Y20" s="32" t="n">
        <v>-8.720000000000001</v>
      </c>
      <c r="Z20" s="32" t="n">
        <v>68.62</v>
      </c>
      <c r="AA20" s="32" t="n">
        <v>84.73</v>
      </c>
      <c r="AB20" s="32" t="n">
        <v>17.34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More than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134.5</v>
      </c>
      <c r="E21" s="32" t="inlineStr">
        <is>
          <t>5%</t>
        </is>
      </c>
      <c r="F21" s="32" t="n">
        <v>50000</v>
      </c>
      <c r="G21" s="32" t="n">
        <v>39</v>
      </c>
      <c r="H21" s="31" t="inlineStr">
        <is>
          <t>HATSUN</t>
        </is>
      </c>
      <c r="I21" s="31" t="inlineStr">
        <is>
          <t>Hatsun Agro Product Limited</t>
        </is>
      </c>
      <c r="J21" s="31" t="inlineStr">
        <is>
          <t>fmcg</t>
        </is>
      </c>
      <c r="K21" s="31" t="inlineStr">
        <is>
          <t>food - processing - indian</t>
        </is>
      </c>
      <c r="L21" s="31" t="inlineStr">
        <is>
          <t>largecap</t>
        </is>
      </c>
      <c r="M21" s="32" t="n">
        <v>27273.3</v>
      </c>
      <c r="N21" s="32" t="n">
        <v>1275</v>
      </c>
      <c r="O21" s="32" t="n">
        <v>4.13</v>
      </c>
      <c r="P21" s="32" t="n">
        <v>874664</v>
      </c>
      <c r="Q21" s="31" t="n">
        <v>41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79.95999999999999</v>
      </c>
      <c r="U21" s="32" t="n">
        <v>27.44</v>
      </c>
      <c r="V21" s="32" t="n">
        <v>1040.12</v>
      </c>
      <c r="W21" s="31" t="inlineStr">
        <is>
          <t>Volume Spike &amp; Near 52W High Breakout</t>
        </is>
      </c>
      <c r="X21" s="31" t="inlineStr">
        <is>
          <t>Nifty FMCG</t>
        </is>
      </c>
      <c r="Y21" s="32" t="n">
        <v>-17.86</v>
      </c>
      <c r="Z21" s="32" t="n">
        <v>39.68</v>
      </c>
      <c r="AA21" s="32" t="n">
        <v>70.06</v>
      </c>
      <c r="AB21" s="32" t="n">
        <v>13.6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B2C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Annuity, Lower One Time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Between 0.7 to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131.6</v>
      </c>
      <c r="E22" s="32" t="inlineStr">
        <is>
          <t>5%</t>
        </is>
      </c>
      <c r="F22" s="32" t="n">
        <v>50000</v>
      </c>
      <c r="G22" s="32" t="n">
        <v>37</v>
      </c>
      <c r="H22" s="31" t="inlineStr">
        <is>
          <t>GMMPFAUDLR</t>
        </is>
      </c>
      <c r="I22" s="31" t="inlineStr">
        <is>
          <t>GMM Pfaudler Ltd</t>
        </is>
      </c>
      <c r="J22" s="31" t="inlineStr">
        <is>
          <t>industrials</t>
        </is>
      </c>
      <c r="K22" s="31" t="inlineStr">
        <is>
          <t>engineering</t>
        </is>
      </c>
      <c r="L22" s="31" t="inlineStr">
        <is>
          <t>midcap</t>
        </is>
      </c>
      <c r="M22" s="32" t="n">
        <v>5879.96</v>
      </c>
      <c r="N22" s="32" t="n">
        <v>1348</v>
      </c>
      <c r="O22" s="32" t="n">
        <v>3.07</v>
      </c>
      <c r="P22" s="32" t="n">
        <v>1157001</v>
      </c>
      <c r="Q22" s="31" t="n">
        <v>63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78.28</v>
      </c>
      <c r="U22" s="32" t="n">
        <v>32.95</v>
      </c>
      <c r="V22" s="32" t="n">
        <v>1094.14</v>
      </c>
      <c r="W22" s="31" t="inlineStr">
        <is>
          <t>Near 52W High Breakout</t>
        </is>
      </c>
      <c r="X22" s="31" t="inlineStr">
        <is>
          <t>Nifty 50</t>
        </is>
      </c>
      <c r="Y22" s="32" t="n">
        <v>-8.720000000000001</v>
      </c>
      <c r="Z22" s="32" t="n">
        <v>19.99</v>
      </c>
      <c r="AA22" s="32" t="n">
        <v>31.45</v>
      </c>
      <c r="AB22" s="32" t="n">
        <v>20.61</v>
      </c>
      <c r="AC22" s="31" t="inlineStr">
        <is>
          <t>Cyclical in an Upturn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20 to 40</t>
        </is>
      </c>
      <c r="BD22" s="31">
        <f>IF(BC22="Above 40",20,IF(BC22="20 to 40",10,IF(BC22="0 to 20",-5,0)))</f>
        <v/>
      </c>
      <c r="BE22" s="31" t="inlineStr">
        <is>
          <t>Above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Close to 52 week high or retracement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Between 0.7 to 1.2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139.1</v>
      </c>
      <c r="E2" s="32" t="inlineStr">
        <is>
          <t>5%</t>
        </is>
      </c>
      <c r="F2" s="32" t="n">
        <v>50000</v>
      </c>
      <c r="G2" s="32" t="n">
        <v>591</v>
      </c>
      <c r="H2" s="31" t="inlineStr">
        <is>
          <t>PAISALO</t>
        </is>
      </c>
      <c r="I2" s="31" t="inlineStr">
        <is>
          <t>Paisalo Digital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midcap</t>
        </is>
      </c>
      <c r="M2" s="32" t="n">
        <v>7660.9</v>
      </c>
      <c r="N2" s="32" t="n">
        <v>84.47</v>
      </c>
      <c r="O2" s="32" t="n">
        <v>0.28</v>
      </c>
      <c r="P2" s="32" t="n">
        <v>14460925</v>
      </c>
      <c r="Q2" s="31" t="n">
        <v>79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80.43000000000001</v>
      </c>
      <c r="U2" s="32" t="n">
        <v>68.73</v>
      </c>
      <c r="V2" s="32" t="n">
        <v>68.04000000000001</v>
      </c>
      <c r="W2" s="31" t="inlineStr">
        <is>
          <t>Near 52W High Breakout</t>
        </is>
      </c>
      <c r="X2" s="31" t="inlineStr">
        <is>
          <t>Nifty Bank</t>
        </is>
      </c>
      <c r="Y2" s="32" t="n">
        <v>0.61</v>
      </c>
      <c r="Z2" s="32" t="n">
        <v>117.13</v>
      </c>
      <c r="AA2" s="32" t="n">
        <v>115.82</v>
      </c>
      <c r="AB2" s="32" t="n">
        <v>29.04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between 2.5x to 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2026-09-15T15:05:21Z</dcterms:created>
  <dcterms:modified xmlns:dcterms="http://purl.org/dc/terms/" xmlns:xsi="http://www.w3.org/2001/XMLSchema-instance" xsi:type="dcterms:W3CDTF">2026-09-15T15:07:25Z</dcterms:modified>
</cp:coreProperties>
</file>