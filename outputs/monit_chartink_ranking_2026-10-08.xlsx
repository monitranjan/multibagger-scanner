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Universe'!$A$1:$J$136</definedName>
    <definedName name="_xlnm._FilterDatabase" localSheetId="3" hidden="1">'Confluence Overlap'!$A$1:$K$61</definedName>
    <definedName name="_xlnm._FilterDatabase" localSheetId="4" hidden="1">'Monit Non Financial'!$A$1:$CE$128</definedName>
    <definedName name="_xlnm._FilterDatabase" localSheetId="5" hidden="1">'Monit Banks NBFC'!$A$1:$CA$9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08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33" customWidth="1" min="3" max="3"/>
    <col width="38" customWidth="1" min="4" max="4"/>
    <col width="22" customWidth="1" min="5" max="5"/>
    <col width="45" customWidth="1" min="6" max="6"/>
    <col width="22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450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60</v>
      </c>
      <c r="G6" s="19" t="n">
        <v>2818.46</v>
      </c>
      <c r="H6" s="18" t="inlineStr">
        <is>
          <t>Potential Leader</t>
        </is>
      </c>
      <c r="J6" s="18" t="inlineStr">
        <is>
          <t>media</t>
        </is>
      </c>
      <c r="K6" s="16" t="n">
        <v>8</v>
      </c>
      <c r="L6" s="16" t="n">
        <v>4</v>
      </c>
      <c r="M6" s="20" t="inlineStr">
        <is>
          <t>100.0%</t>
        </is>
      </c>
    </row>
    <row r="7">
      <c r="A7" s="16" t="n">
        <v>2</v>
      </c>
      <c r="B7" s="17" t="n">
        <v>384</v>
      </c>
      <c r="C7" s="17" t="inlineStr">
        <is>
          <t>RATNAVEER</t>
        </is>
      </c>
      <c r="D7" s="18" t="inlineStr">
        <is>
          <t>Ratnaveer Precision Engineering Ltd</t>
        </is>
      </c>
      <c r="E7" s="18" t="inlineStr">
        <is>
          <t>metals &amp; mining</t>
        </is>
      </c>
      <c r="F7" s="16" t="n">
        <v>49</v>
      </c>
      <c r="G7" s="19" t="n">
        <v>2823.7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6</v>
      </c>
      <c r="L7" s="16" t="n">
        <v>3</v>
      </c>
      <c r="M7" s="20" t="inlineStr">
        <is>
          <t>100.0%</t>
        </is>
      </c>
    </row>
    <row r="8">
      <c r="A8" s="16" t="n">
        <v>3</v>
      </c>
      <c r="B8" s="17" t="n">
        <v>384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49</v>
      </c>
      <c r="G8" s="19" t="n">
        <v>20950.72</v>
      </c>
      <c r="H8" s="18" t="inlineStr">
        <is>
          <t>Potential Leader</t>
        </is>
      </c>
      <c r="J8" s="18" t="inlineStr">
        <is>
          <t>telecom</t>
        </is>
      </c>
      <c r="K8" s="16" t="n">
        <v>10</v>
      </c>
      <c r="L8" s="16" t="n">
        <v>6</v>
      </c>
      <c r="M8" s="20" t="inlineStr">
        <is>
          <t>66.7%</t>
        </is>
      </c>
    </row>
    <row r="9">
      <c r="A9" s="16" t="n">
        <v>4</v>
      </c>
      <c r="B9" s="17" t="n">
        <v>384</v>
      </c>
      <c r="C9" s="17" t="inlineStr">
        <is>
          <t>STLTECH</t>
        </is>
      </c>
      <c r="D9" s="18" t="inlineStr">
        <is>
          <t>Sterlite Technologies Limited</t>
        </is>
      </c>
      <c r="E9" s="18" t="inlineStr">
        <is>
          <t>industrials</t>
        </is>
      </c>
      <c r="F9" s="16" t="n">
        <v>49</v>
      </c>
      <c r="G9" s="19" t="n">
        <v>52252.96</v>
      </c>
      <c r="H9" s="18" t="inlineStr">
        <is>
          <t>Potential Leader</t>
        </is>
      </c>
      <c r="J9" s="18" t="inlineStr">
        <is>
          <t>energy</t>
        </is>
      </c>
      <c r="K9" s="16" t="n">
        <v>25</v>
      </c>
      <c r="L9" s="16" t="n">
        <v>18</v>
      </c>
      <c r="M9" s="20" t="inlineStr">
        <is>
          <t>38.9%</t>
        </is>
      </c>
    </row>
    <row r="10">
      <c r="A10" s="16" t="n">
        <v>5</v>
      </c>
      <c r="B10" s="17" t="n">
        <v>378</v>
      </c>
      <c r="C10" s="17" t="inlineStr">
        <is>
          <t>MOREPENLAB</t>
        </is>
      </c>
      <c r="D10" s="18" t="inlineStr">
        <is>
          <t>Morepen Laboratories Limited</t>
        </is>
      </c>
      <c r="E10" s="18" t="inlineStr">
        <is>
          <t>healthcare</t>
        </is>
      </c>
      <c r="F10" s="16" t="n">
        <v>48</v>
      </c>
      <c r="G10" s="19" t="n">
        <v>8053.28</v>
      </c>
      <c r="H10" s="18" t="inlineStr">
        <is>
          <t>Potential Leader</t>
        </is>
      </c>
      <c r="J10" s="18" t="inlineStr">
        <is>
          <t>fmcg</t>
        </is>
      </c>
      <c r="K10" s="16" t="n">
        <v>64</v>
      </c>
      <c r="L10" s="16" t="n">
        <v>48</v>
      </c>
      <c r="M10" s="20" t="inlineStr">
        <is>
          <t>33.3%</t>
        </is>
      </c>
    </row>
    <row r="11">
      <c r="A11" s="16" t="n">
        <v>6</v>
      </c>
      <c r="B11" s="17" t="n">
        <v>324</v>
      </c>
      <c r="C11" s="17" t="inlineStr">
        <is>
          <t>WELSPUNLIV</t>
        </is>
      </c>
      <c r="D11" s="18" t="inlineStr">
        <is>
          <t>Welspun Living Ltd</t>
        </is>
      </c>
      <c r="E11" s="18" t="inlineStr">
        <is>
          <t>textiles</t>
        </is>
      </c>
      <c r="F11" s="16" t="n">
        <v>39</v>
      </c>
      <c r="G11" s="19" t="n">
        <v>22282.93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53</v>
      </c>
      <c r="L11" s="16" t="n">
        <v>46</v>
      </c>
      <c r="M11" s="20" t="inlineStr">
        <is>
          <t>15.2%</t>
        </is>
      </c>
    </row>
    <row r="12">
      <c r="A12" s="16" t="n">
        <v>7</v>
      </c>
      <c r="B12" s="17" t="n">
        <v>318</v>
      </c>
      <c r="C12" s="17" t="inlineStr">
        <is>
          <t>YUKEN</t>
        </is>
      </c>
      <c r="D12" s="18" t="inlineStr">
        <is>
          <t>Yuken India Ltd</t>
        </is>
      </c>
      <c r="E12" s="18" t="inlineStr">
        <is>
          <t>industrials</t>
        </is>
      </c>
      <c r="F12" s="16" t="n">
        <v>38</v>
      </c>
      <c r="G12" s="19" t="n">
        <v>1652.49</v>
      </c>
      <c r="H12" s="18" t="inlineStr">
        <is>
          <t>Potential Leader</t>
        </is>
      </c>
      <c r="J12" s="18" t="inlineStr">
        <is>
          <t>financials</t>
        </is>
      </c>
      <c r="K12" s="16" t="n">
        <v>57</v>
      </c>
      <c r="L12" s="16" t="n">
        <v>53</v>
      </c>
      <c r="M12" s="20" t="inlineStr">
        <is>
          <t>7.5%</t>
        </is>
      </c>
    </row>
    <row r="13">
      <c r="A13" s="16" t="n">
        <v>8</v>
      </c>
      <c r="B13" s="17" t="n">
        <v>300</v>
      </c>
      <c r="C13" s="17" t="inlineStr">
        <is>
          <t>BHAGERIA</t>
        </is>
      </c>
      <c r="D13" s="18" t="inlineStr">
        <is>
          <t>Bhageria Industries Limited</t>
        </is>
      </c>
      <c r="E13" s="18" t="inlineStr">
        <is>
          <t>chemicals</t>
        </is>
      </c>
      <c r="F13" s="16" t="n">
        <v>35</v>
      </c>
      <c r="G13" s="19" t="n">
        <v>1647.79</v>
      </c>
      <c r="H13" s="18" t="inlineStr">
        <is>
          <t>Potential Leader</t>
        </is>
      </c>
      <c r="J13" s="18" t="inlineStr">
        <is>
          <t>i.t</t>
        </is>
      </c>
      <c r="K13" s="16" t="n">
        <v>46</v>
      </c>
      <c r="L13" s="16" t="n">
        <v>44</v>
      </c>
      <c r="M13" s="20" t="inlineStr">
        <is>
          <t>4.5%</t>
        </is>
      </c>
    </row>
    <row r="14">
      <c r="A14" s="16" t="n">
        <v>9</v>
      </c>
      <c r="B14" s="17" t="n">
        <v>288</v>
      </c>
      <c r="C14" s="17" t="inlineStr">
        <is>
          <t>BAFNAPH</t>
        </is>
      </c>
      <c r="D14" s="18" t="inlineStr">
        <is>
          <t>Bafna Pharmaceuticals Ltd</t>
        </is>
      </c>
      <c r="E14" s="18" t="inlineStr">
        <is>
          <t>healthcare</t>
        </is>
      </c>
      <c r="F14" s="16" t="n">
        <v>33</v>
      </c>
      <c r="G14" s="19" t="n">
        <v>950.63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76</v>
      </c>
      <c r="L14" s="16" t="n">
        <v>73</v>
      </c>
      <c r="M14" s="20" t="inlineStr">
        <is>
          <t>4.1%</t>
        </is>
      </c>
    </row>
    <row r="15">
      <c r="A15" s="16" t="n">
        <v>10</v>
      </c>
      <c r="B15" s="17" t="n">
        <v>288</v>
      </c>
      <c r="C15" s="17" t="inlineStr">
        <is>
          <t>SIGMAADV</t>
        </is>
      </c>
      <c r="D15" s="18" t="inlineStr">
        <is>
          <t>Sigma Advanced System Ltd</t>
        </is>
      </c>
      <c r="E15" s="18" t="inlineStr">
        <is>
          <t>aerospace &amp; defence</t>
        </is>
      </c>
      <c r="F15" s="16" t="n">
        <v>33</v>
      </c>
      <c r="G15" s="19" t="n">
        <v>20685.4</v>
      </c>
      <c r="H15" s="18" t="inlineStr">
        <is>
          <t>Potential Leader</t>
        </is>
      </c>
      <c r="J15" s="18" t="inlineStr">
        <is>
          <t>services</t>
        </is>
      </c>
      <c r="K15" s="16" t="n">
        <v>40</v>
      </c>
      <c r="L15" s="16" t="n">
        <v>41</v>
      </c>
      <c r="M15" s="21" t="inlineStr">
        <is>
          <t>-2.4%</t>
        </is>
      </c>
    </row>
    <row r="16">
      <c r="A16" s="16" t="n">
        <v>11</v>
      </c>
      <c r="B16" s="17" t="n">
        <v>282</v>
      </c>
      <c r="C16" s="17" t="inlineStr">
        <is>
          <t>ROSSTECH</t>
        </is>
      </c>
      <c r="D16" s="18" t="inlineStr">
        <is>
          <t>Rossell Techsys Ltd</t>
        </is>
      </c>
      <c r="E16" s="18" t="inlineStr">
        <is>
          <t>aerospace &amp; defence</t>
        </is>
      </c>
      <c r="F16" s="16" t="n">
        <v>32</v>
      </c>
      <c r="G16" s="19" t="n">
        <v>6115.88</v>
      </c>
      <c r="H16" s="18" t="inlineStr">
        <is>
          <t>Potential Leader</t>
        </is>
      </c>
      <c r="J16" s="18" t="inlineStr">
        <is>
          <t>castings, forgings &amp; fasteners</t>
        </is>
      </c>
      <c r="K16" s="16" t="n">
        <v>21</v>
      </c>
      <c r="L16" s="16" t="n">
        <v>22</v>
      </c>
      <c r="M16" s="21" t="inlineStr">
        <is>
          <t>-4.5%</t>
        </is>
      </c>
    </row>
    <row r="17">
      <c r="A17" s="16" t="n">
        <v>12</v>
      </c>
      <c r="B17" s="17" t="n">
        <v>276</v>
      </c>
      <c r="C17" s="17" t="inlineStr">
        <is>
          <t>NRL</t>
        </is>
      </c>
      <c r="D17" s="18" t="inlineStr">
        <is>
          <t>Nupur Recyclers Ltd</t>
        </is>
      </c>
      <c r="E17" s="18" t="inlineStr">
        <is>
          <t>services</t>
        </is>
      </c>
      <c r="F17" s="16" t="n">
        <v>31</v>
      </c>
      <c r="G17" s="19" t="n">
        <v>1106.07</v>
      </c>
      <c r="H17" s="18" t="inlineStr">
        <is>
          <t>Potential Leader</t>
        </is>
      </c>
      <c r="J17" s="18" t="inlineStr">
        <is>
          <t>plastic products</t>
        </is>
      </c>
      <c r="K17" s="16" t="n">
        <v>13</v>
      </c>
      <c r="L17" s="16" t="n">
        <v>14</v>
      </c>
      <c r="M17" s="21" t="inlineStr">
        <is>
          <t>-7.1%</t>
        </is>
      </c>
    </row>
    <row r="18">
      <c r="A18" s="16" t="n">
        <v>13</v>
      </c>
      <c r="B18" s="17" t="n">
        <v>276</v>
      </c>
      <c r="C18" s="17" t="inlineStr">
        <is>
          <t>SBC</t>
        </is>
      </c>
      <c r="D18" s="18" t="inlineStr">
        <is>
          <t>SBC Exports Ltd</t>
        </is>
      </c>
      <c r="E18" s="18" t="inlineStr">
        <is>
          <t>textiles</t>
        </is>
      </c>
      <c r="F18" s="16" t="n">
        <v>31</v>
      </c>
      <c r="G18" s="19" t="n">
        <v>2941.43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35</v>
      </c>
      <c r="L18" s="16" t="n">
        <v>38</v>
      </c>
      <c r="M18" s="21" t="inlineStr">
        <is>
          <t>-7.9%</t>
        </is>
      </c>
    </row>
    <row r="19">
      <c r="A19" s="16" t="n">
        <v>14</v>
      </c>
      <c r="B19" s="17" t="n">
        <v>276</v>
      </c>
      <c r="C19" s="17" t="inlineStr">
        <is>
          <t>WHEELS</t>
        </is>
      </c>
      <c r="D19" s="18" t="inlineStr">
        <is>
          <t>Wheels India Limited</t>
        </is>
      </c>
      <c r="E19" s="18" t="inlineStr">
        <is>
          <t>auto</t>
        </is>
      </c>
      <c r="F19" s="16" t="n">
        <v>31</v>
      </c>
      <c r="G19" s="19" t="n">
        <v>5580.26</v>
      </c>
      <c r="H19" s="18" t="inlineStr">
        <is>
          <t>Potential Leader</t>
        </is>
      </c>
      <c r="J19" s="18" t="inlineStr">
        <is>
          <t>industrials</t>
        </is>
      </c>
      <c r="K19" s="16" t="n">
        <v>150</v>
      </c>
      <c r="L19" s="16" t="n">
        <v>171</v>
      </c>
      <c r="M19" s="21" t="inlineStr">
        <is>
          <t>-12.3%</t>
        </is>
      </c>
    </row>
    <row r="20">
      <c r="A20" s="16" t="n">
        <v>15</v>
      </c>
      <c r="B20" s="17" t="n">
        <v>255</v>
      </c>
      <c r="C20" s="17" t="inlineStr">
        <is>
          <t>GLOBAL</t>
        </is>
      </c>
      <c r="D20" s="18" t="inlineStr">
        <is>
          <t>Global Education Ltd</t>
        </is>
      </c>
      <c r="E20" s="18" t="inlineStr">
        <is>
          <t>services</t>
        </is>
      </c>
      <c r="F20" s="16" t="n">
        <v>28</v>
      </c>
      <c r="G20" s="19" t="n">
        <v>737</v>
      </c>
      <c r="H20" s="18" t="inlineStr">
        <is>
          <t>Potential Leader</t>
        </is>
      </c>
      <c r="J20" s="18" t="inlineStr">
        <is>
          <t>miscellaneous</t>
        </is>
      </c>
      <c r="K20" s="16" t="n">
        <v>20</v>
      </c>
      <c r="L20" s="16" t="n">
        <v>23</v>
      </c>
      <c r="M20" s="21" t="inlineStr">
        <is>
          <t>-13.0%</t>
        </is>
      </c>
    </row>
    <row r="21">
      <c r="A21" s="16" t="n">
        <v>16</v>
      </c>
      <c r="B21" s="17" t="n">
        <v>252</v>
      </c>
      <c r="C21" s="17" t="inlineStr">
        <is>
          <t>RAYMOND</t>
        </is>
      </c>
      <c r="D21" s="18" t="inlineStr">
        <is>
          <t>Raymond Limited</t>
        </is>
      </c>
      <c r="E21" s="18" t="inlineStr">
        <is>
          <t>transportation</t>
        </is>
      </c>
      <c r="F21" s="16" t="n">
        <v>28</v>
      </c>
      <c r="G21" s="19" t="n">
        <v>8033.45</v>
      </c>
      <c r="H21" s="18" t="inlineStr">
        <is>
          <t>Potential Leader</t>
        </is>
      </c>
    </row>
    <row r="22">
      <c r="A22" s="16" t="n">
        <v>17</v>
      </c>
      <c r="B22" s="17" t="n">
        <v>249</v>
      </c>
      <c r="C22" s="17" t="inlineStr">
        <is>
          <t>ZIMLAB</t>
        </is>
      </c>
      <c r="D22" s="18" t="inlineStr">
        <is>
          <t>Zim Laboratories Ltd</t>
        </is>
      </c>
      <c r="E22" s="18" t="inlineStr">
        <is>
          <t>healthcare</t>
        </is>
      </c>
      <c r="F22" s="16" t="n">
        <v>27</v>
      </c>
      <c r="G22" s="19" t="n">
        <v>785.08</v>
      </c>
      <c r="H22" s="18" t="inlineStr">
        <is>
          <t>Potential Leader</t>
        </is>
      </c>
    </row>
    <row r="23">
      <c r="A23" s="16" t="n">
        <v>18</v>
      </c>
      <c r="B23" s="17" t="n">
        <v>243</v>
      </c>
      <c r="C23" s="17" t="inlineStr">
        <is>
          <t>RUBYMILLS</t>
        </is>
      </c>
      <c r="D23" s="18" t="inlineStr">
        <is>
          <t>The Ruby Mills Limited</t>
        </is>
      </c>
      <c r="E23" s="18" t="inlineStr">
        <is>
          <t>textiles</t>
        </is>
      </c>
      <c r="F23" s="16" t="n">
        <v>27</v>
      </c>
      <c r="G23" s="19" t="n">
        <v>1704.77</v>
      </c>
      <c r="H23" s="18" t="inlineStr">
        <is>
          <t>Potential Leader</t>
        </is>
      </c>
    </row>
    <row r="24">
      <c r="A24" s="16" t="n">
        <v>19</v>
      </c>
      <c r="B24" s="17" t="n">
        <v>240</v>
      </c>
      <c r="C24" s="17" t="inlineStr">
        <is>
          <t>LOTUSDEV</t>
        </is>
      </c>
      <c r="D24" s="18" t="inlineStr">
        <is>
          <t>Sri Lotus Developers &amp; Realty Ltd</t>
        </is>
      </c>
      <c r="E24" s="18" t="inlineStr">
        <is>
          <t>realty</t>
        </is>
      </c>
      <c r="F24" s="16" t="n">
        <v>26</v>
      </c>
      <c r="G24" s="19" t="n">
        <v>11872.08</v>
      </c>
      <c r="H24" s="18" t="inlineStr">
        <is>
          <t>Potential Leader</t>
        </is>
      </c>
    </row>
    <row r="25">
      <c r="A25" s="16" t="n">
        <v>20</v>
      </c>
      <c r="B25" s="17" t="n">
        <v>234</v>
      </c>
      <c r="C25" s="17" t="inlineStr">
        <is>
          <t>SHREEJISPG</t>
        </is>
      </c>
      <c r="D25" s="18" t="inlineStr">
        <is>
          <t>Shreeji Shipping Global Ltd</t>
        </is>
      </c>
      <c r="E25" s="18" t="inlineStr">
        <is>
          <t>transportation</t>
        </is>
      </c>
      <c r="F25" s="16" t="n">
        <v>26</v>
      </c>
      <c r="G25" s="19" t="n">
        <v>13067.67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DELTACORP</t>
        </is>
      </c>
      <c r="B30" s="18" t="inlineStr">
        <is>
          <t>Delta Corp Limited</t>
        </is>
      </c>
      <c r="C30" s="18" t="inlineStr">
        <is>
          <t>miscellaneous</t>
        </is>
      </c>
      <c r="D30" s="16" t="n">
        <v>10</v>
      </c>
      <c r="E30" s="16" t="n">
        <v>1</v>
      </c>
      <c r="F30" s="19" t="n">
        <v>2205.63</v>
      </c>
      <c r="J30" s="17" t="inlineStr">
        <is>
          <t>SHANTIGOLD</t>
        </is>
      </c>
      <c r="K30" s="18" t="inlineStr">
        <is>
          <t>consumer discretionary</t>
        </is>
      </c>
      <c r="L30" s="19" t="n">
        <v>290</v>
      </c>
      <c r="M30" s="19" t="n">
        <v>2617.2</v>
      </c>
      <c r="N30" s="16" t="n">
        <v>21</v>
      </c>
    </row>
    <row r="31">
      <c r="A31" s="17" t="inlineStr">
        <is>
          <t>SATIA</t>
        </is>
      </c>
      <c r="B31" s="18" t="inlineStr">
        <is>
          <t>Satia Industries Ltd</t>
        </is>
      </c>
      <c r="C31" s="18" t="inlineStr">
        <is>
          <t>building materials</t>
        </is>
      </c>
      <c r="D31" s="16" t="n">
        <v>9</v>
      </c>
      <c r="E31" s="16" t="n">
        <v>0</v>
      </c>
      <c r="F31" s="19" t="n">
        <v>690</v>
      </c>
      <c r="J31" s="17" t="inlineStr">
        <is>
          <t>PGIL</t>
        </is>
      </c>
      <c r="K31" s="18" t="inlineStr">
        <is>
          <t>readymade garments/apparels</t>
        </is>
      </c>
      <c r="L31" s="19" t="n">
        <v>290</v>
      </c>
      <c r="M31" s="19" t="n">
        <v>11761.04</v>
      </c>
      <c r="N31" s="16" t="n">
        <v>19</v>
      </c>
    </row>
    <row r="32">
      <c r="A32" s="17" t="inlineStr">
        <is>
          <t>SUNTV</t>
        </is>
      </c>
      <c r="B32" s="18" t="inlineStr">
        <is>
          <t>Sun Tv Network Limited</t>
        </is>
      </c>
      <c r="C32" s="18" t="inlineStr">
        <is>
          <t>media</t>
        </is>
      </c>
      <c r="D32" s="16" t="n">
        <v>8</v>
      </c>
      <c r="E32" s="16" t="n">
        <v>0</v>
      </c>
      <c r="F32" s="19" t="n">
        <v>25083.49</v>
      </c>
      <c r="J32" s="17" t="inlineStr">
        <is>
          <t>PREMIERPOL</t>
        </is>
      </c>
      <c r="K32" s="18" t="inlineStr">
        <is>
          <t>plastic products</t>
        </is>
      </c>
      <c r="L32" s="19" t="n">
        <v>290</v>
      </c>
      <c r="M32" s="19" t="n">
        <v>1060.31</v>
      </c>
      <c r="N32" s="16" t="n">
        <v>19</v>
      </c>
    </row>
    <row r="33">
      <c r="A33" s="17" t="inlineStr">
        <is>
          <t>ALICON</t>
        </is>
      </c>
      <c r="B33" s="18" t="inlineStr">
        <is>
          <t>Alicon Castalloy Limited</t>
        </is>
      </c>
      <c r="C33" s="18" t="inlineStr">
        <is>
          <t>castings, forgings &amp; fasteners</t>
        </is>
      </c>
      <c r="D33" s="16" t="n">
        <v>7</v>
      </c>
      <c r="E33" s="16" t="n">
        <v>0</v>
      </c>
      <c r="F33" s="19" t="n">
        <v>1479.36</v>
      </c>
      <c r="J33" s="17" t="inlineStr">
        <is>
          <t>ORIENTBELL</t>
        </is>
      </c>
      <c r="K33" s="18" t="inlineStr">
        <is>
          <t>building materials</t>
        </is>
      </c>
      <c r="L33" s="19" t="n">
        <v>288</v>
      </c>
      <c r="M33" s="19" t="n">
        <v>636.3</v>
      </c>
      <c r="N33" s="16" t="n">
        <v>27</v>
      </c>
    </row>
    <row r="34">
      <c r="A34" s="17" t="inlineStr">
        <is>
          <t>ISGEC</t>
        </is>
      </c>
      <c r="B34" s="18" t="inlineStr">
        <is>
          <t>ISGEC Heavy Engineering  Ltd</t>
        </is>
      </c>
      <c r="C34" s="18" t="inlineStr">
        <is>
          <t>realty</t>
        </is>
      </c>
      <c r="D34" s="16" t="n">
        <v>6</v>
      </c>
      <c r="E34" s="16" t="n">
        <v>0</v>
      </c>
      <c r="F34" s="19" t="n">
        <v>6630.52</v>
      </c>
      <c r="J34" s="17" t="inlineStr">
        <is>
          <t>SMCGLOBAL</t>
        </is>
      </c>
      <c r="K34" s="18" t="inlineStr">
        <is>
          <t>financials</t>
        </is>
      </c>
      <c r="L34" s="19" t="n">
        <v>287</v>
      </c>
      <c r="M34" s="19" t="n">
        <v>2308.43</v>
      </c>
      <c r="N34" s="16" t="n">
        <v>20</v>
      </c>
    </row>
    <row r="35">
      <c r="A35" s="17" t="inlineStr">
        <is>
          <t>TEXRAIL</t>
        </is>
      </c>
      <c r="B35" s="18" t="inlineStr">
        <is>
          <t>Texmaco Rail &amp; Engineering Limited</t>
        </is>
      </c>
      <c r="C35" s="18" t="inlineStr">
        <is>
          <t>Industrials</t>
        </is>
      </c>
      <c r="D35" s="16" t="n">
        <v>6</v>
      </c>
      <c r="E35" s="16" t="n">
        <v>2</v>
      </c>
      <c r="F35" s="19" t="n">
        <v>4356.71</v>
      </c>
      <c r="J35" s="17" t="inlineStr">
        <is>
          <t>KINGFA</t>
        </is>
      </c>
      <c r="K35" s="18" t="inlineStr">
        <is>
          <t>plastic products</t>
        </is>
      </c>
      <c r="L35" s="19" t="n">
        <v>285</v>
      </c>
      <c r="M35" s="19" t="n">
        <v>9394.49</v>
      </c>
      <c r="N35" s="16" t="n">
        <v>26</v>
      </c>
    </row>
    <row r="36">
      <c r="A36" s="17" t="inlineStr">
        <is>
          <t>GPTINFRA</t>
        </is>
      </c>
      <c r="B36" s="18" t="inlineStr">
        <is>
          <t>Gpt Infraprojects Limited</t>
        </is>
      </c>
      <c r="C36" s="18" t="inlineStr">
        <is>
          <t>realty</t>
        </is>
      </c>
      <c r="D36" s="16" t="n">
        <v>4</v>
      </c>
      <c r="E36" s="16" t="n">
        <v>2</v>
      </c>
      <c r="F36" s="19" t="n">
        <v>1643.5</v>
      </c>
      <c r="J36" s="17" t="inlineStr">
        <is>
          <t>SWANDEF</t>
        </is>
      </c>
      <c r="K36" s="18" t="inlineStr">
        <is>
          <t>transportation</t>
        </is>
      </c>
      <c r="L36" s="19" t="n">
        <v>283</v>
      </c>
      <c r="M36" s="19" t="n">
        <v>14537.11</v>
      </c>
      <c r="N36" s="16" t="n">
        <v>26</v>
      </c>
    </row>
    <row r="37">
      <c r="A37" s="17" t="inlineStr">
        <is>
          <t>PATELRMART</t>
        </is>
      </c>
      <c r="B37" s="18" t="inlineStr">
        <is>
          <t>Patel Retail Ltd</t>
        </is>
      </c>
      <c r="C37" s="18" t="inlineStr">
        <is>
          <t>consumer discretionary</t>
        </is>
      </c>
      <c r="D37" s="16" t="n">
        <v>4</v>
      </c>
      <c r="E37" s="16" t="n">
        <v>0</v>
      </c>
      <c r="F37" s="19" t="n">
        <v>761.0599999999999</v>
      </c>
      <c r="J37" s="17" t="inlineStr">
        <is>
          <t>NRL</t>
        </is>
      </c>
      <c r="K37" s="18" t="inlineStr">
        <is>
          <t>services</t>
        </is>
      </c>
      <c r="L37" s="19" t="n">
        <v>280</v>
      </c>
      <c r="M37" s="19" t="n">
        <v>1106.07</v>
      </c>
      <c r="N37" s="16" t="n">
        <v>30</v>
      </c>
    </row>
    <row r="38">
      <c r="A38" s="17" t="inlineStr">
        <is>
          <t>SHRINGARMS</t>
        </is>
      </c>
      <c r="B38" s="18" t="inlineStr">
        <is>
          <t>Shringar House of Mangalsutra Limited</t>
        </is>
      </c>
      <c r="C38" s="18" t="inlineStr">
        <is>
          <t>Consumer Cyclical</t>
        </is>
      </c>
      <c r="D38" s="16" t="n">
        <v>4</v>
      </c>
      <c r="E38" s="16" t="n">
        <v>0</v>
      </c>
      <c r="F38" s="19" t="n">
        <v>2107.91</v>
      </c>
      <c r="J38" s="17" t="inlineStr">
        <is>
          <t>MBECL</t>
        </is>
      </c>
      <c r="K38" s="18" t="inlineStr">
        <is>
          <t>realty</t>
        </is>
      </c>
      <c r="L38" s="19" t="n">
        <v>280</v>
      </c>
      <c r="M38" s="19" t="n">
        <v>1613.17</v>
      </c>
      <c r="N38" s="16" t="n">
        <v>19</v>
      </c>
    </row>
    <row r="39">
      <c r="A39" s="17" t="inlineStr">
        <is>
          <t>AMANTA</t>
        </is>
      </c>
      <c r="B39" s="18" t="inlineStr">
        <is>
          <t>Amanta Healthcare Ltd</t>
        </is>
      </c>
      <c r="C39" s="18" t="inlineStr">
        <is>
          <t>healthcare</t>
        </is>
      </c>
      <c r="D39" s="16" t="n">
        <v>4</v>
      </c>
      <c r="E39" s="16" t="n">
        <v>1</v>
      </c>
      <c r="F39" s="19" t="n">
        <v>804.08</v>
      </c>
      <c r="J39" s="17" t="inlineStr">
        <is>
          <t>MANBA</t>
        </is>
      </c>
      <c r="K39" s="18" t="inlineStr">
        <is>
          <t>financials</t>
        </is>
      </c>
      <c r="L39" s="19" t="n">
        <v>280</v>
      </c>
      <c r="M39" s="19" t="n">
        <v>712.09</v>
      </c>
      <c r="N39" s="16" t="n">
        <v>17</v>
      </c>
    </row>
    <row r="40">
      <c r="A40" s="17" t="inlineStr">
        <is>
          <t>ATLANTAELE</t>
        </is>
      </c>
      <c r="B40" s="18" t="inlineStr">
        <is>
          <t>Atlanta Electricals Ltd</t>
        </is>
      </c>
      <c r="C40" s="18" t="inlineStr">
        <is>
          <t>industrials</t>
        </is>
      </c>
      <c r="D40" s="16" t="n">
        <v>3</v>
      </c>
      <c r="E40" s="16" t="n">
        <v>0</v>
      </c>
      <c r="F40" s="19" t="n">
        <v>14424.27</v>
      </c>
      <c r="J40" s="17" t="inlineStr">
        <is>
          <t>OCCLLTD</t>
        </is>
      </c>
      <c r="K40" s="18" t="inlineStr">
        <is>
          <t>chemicals</t>
        </is>
      </c>
      <c r="L40" s="19" t="n">
        <v>280</v>
      </c>
      <c r="M40" s="19" t="n">
        <v>1085.42</v>
      </c>
      <c r="N40" s="16" t="n">
        <v>18</v>
      </c>
    </row>
    <row r="41">
      <c r="A41" s="17" t="inlineStr">
        <is>
          <t>PARAGMILK</t>
        </is>
      </c>
      <c r="B41" s="18" t="inlineStr">
        <is>
          <t>Parag Milk Foods Limited</t>
        </is>
      </c>
      <c r="C41" s="18" t="inlineStr">
        <is>
          <t>fmcg</t>
        </is>
      </c>
      <c r="D41" s="16" t="n">
        <v>3</v>
      </c>
      <c r="E41" s="16" t="n">
        <v>0</v>
      </c>
      <c r="F41" s="19" t="n">
        <v>3916.51</v>
      </c>
      <c r="J41" s="17" t="inlineStr">
        <is>
          <t>IBULLSLTD</t>
        </is>
      </c>
      <c r="K41" s="18" t="inlineStr">
        <is>
          <t>miscellaneous</t>
        </is>
      </c>
      <c r="L41" s="19" t="n">
        <v>280</v>
      </c>
      <c r="M41" s="19" t="n">
        <v>7568.69</v>
      </c>
      <c r="N41" s="16" t="n">
        <v>17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106.16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3022.77</v>
      </c>
    </row>
    <row r="48">
      <c r="A48" s="16" t="n">
        <v>2</v>
      </c>
      <c r="B48" s="27" t="n">
        <v>98</v>
      </c>
      <c r="C48" s="28" t="n">
        <v>80.83</v>
      </c>
      <c r="D48" s="28" t="n">
        <v>245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Basic Materials</t>
        </is>
      </c>
      <c r="H48" s="19" t="n">
        <v>2203.39</v>
      </c>
    </row>
    <row r="49">
      <c r="A49" s="16" t="n">
        <v>3</v>
      </c>
      <c r="B49" s="27" t="n">
        <v>97</v>
      </c>
      <c r="C49" s="28" t="n">
        <v>79.18000000000001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20685.4</v>
      </c>
    </row>
    <row r="50">
      <c r="A50" s="16" t="n">
        <v>4</v>
      </c>
      <c r="B50" s="27" t="n">
        <v>97</v>
      </c>
      <c r="C50" s="28" t="n">
        <v>68.98</v>
      </c>
      <c r="D50" s="28" t="n">
        <v>258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2818.46</v>
      </c>
    </row>
    <row r="51">
      <c r="A51" s="16" t="n">
        <v>5</v>
      </c>
      <c r="B51" s="27" t="n">
        <v>96</v>
      </c>
      <c r="C51" s="28" t="n">
        <v>56.09</v>
      </c>
      <c r="D51" s="28" t="n">
        <v>275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8053.28</v>
      </c>
    </row>
    <row r="52">
      <c r="A52" s="16" t="n">
        <v>6</v>
      </c>
      <c r="B52" s="27" t="n">
        <v>95</v>
      </c>
      <c r="C52" s="28" t="n">
        <v>52.39</v>
      </c>
      <c r="D52" s="28" t="n">
        <v>283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14537.11</v>
      </c>
    </row>
    <row r="53">
      <c r="A53" s="16" t="n">
        <v>7</v>
      </c>
      <c r="B53" s="29" t="n">
        <v>94</v>
      </c>
      <c r="C53" s="28" t="n">
        <v>49.56</v>
      </c>
      <c r="D53" s="28" t="n">
        <v>260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6670.43</v>
      </c>
    </row>
    <row r="54">
      <c r="A54" s="16" t="n">
        <v>8</v>
      </c>
      <c r="B54" s="29" t="n">
        <v>94</v>
      </c>
      <c r="C54" s="28" t="n">
        <v>46.92</v>
      </c>
      <c r="D54" s="28" t="n">
        <v>260</v>
      </c>
      <c r="E54" s="17" t="inlineStr">
        <is>
          <t>BAFNAPH</t>
        </is>
      </c>
      <c r="F54" s="18" t="inlineStr">
        <is>
          <t>Bafna Pharmaceuticals Ltd</t>
        </is>
      </c>
      <c r="G54" s="18" t="inlineStr">
        <is>
          <t>healthcare</t>
        </is>
      </c>
      <c r="H54" s="19" t="n">
        <v>950.63</v>
      </c>
    </row>
    <row r="55">
      <c r="A55" s="16" t="n">
        <v>9</v>
      </c>
      <c r="B55" s="29" t="n">
        <v>93</v>
      </c>
      <c r="C55" s="28" t="n">
        <v>43.5</v>
      </c>
      <c r="D55" s="28" t="n">
        <v>252</v>
      </c>
      <c r="E55" s="17" t="inlineStr">
        <is>
          <t>BIRLACABLE</t>
        </is>
      </c>
      <c r="F55" s="18" t="inlineStr">
        <is>
          <t>Birla Cable Limited</t>
        </is>
      </c>
      <c r="G55" s="18" t="inlineStr">
        <is>
          <t>Technology</t>
        </is>
      </c>
      <c r="H55" s="19" t="n">
        <v>1100.7</v>
      </c>
    </row>
    <row r="56">
      <c r="A56" s="16" t="n">
        <v>10</v>
      </c>
      <c r="B56" s="29" t="n">
        <v>92</v>
      </c>
      <c r="C56" s="28" t="n">
        <v>43.05</v>
      </c>
      <c r="D56" s="28" t="n">
        <v>240</v>
      </c>
      <c r="E56" s="17" t="inlineStr">
        <is>
          <t>SVRL</t>
        </is>
      </c>
      <c r="F56" s="18" t="inlineStr">
        <is>
          <t>Shri Venkatesh Refineries Limited</t>
        </is>
      </c>
      <c r="G56" s="18" t="inlineStr">
        <is>
          <t>Consumer Defensive</t>
        </is>
      </c>
      <c r="H56" s="19" t="n">
        <v>1507.99</v>
      </c>
    </row>
    <row r="57">
      <c r="A57" s="16" t="n">
        <v>11</v>
      </c>
      <c r="B57" s="29" t="n">
        <v>91</v>
      </c>
      <c r="C57" s="28" t="n">
        <v>43</v>
      </c>
      <c r="D57" s="28" t="n">
        <v>240</v>
      </c>
      <c r="E57" s="17" t="inlineStr">
        <is>
          <t>MODISONLTD</t>
        </is>
      </c>
      <c r="F57" s="18" t="inlineStr">
        <is>
          <t>Modison Limited</t>
        </is>
      </c>
      <c r="G57" s="18" t="inlineStr">
        <is>
          <t>Industrials</t>
        </is>
      </c>
      <c r="H57" s="19" t="n">
        <v>1506.98</v>
      </c>
    </row>
    <row r="58">
      <c r="A58" s="16" t="n">
        <v>12</v>
      </c>
      <c r="B58" s="29" t="n">
        <v>91</v>
      </c>
      <c r="C58" s="28" t="n">
        <v>41.22</v>
      </c>
      <c r="D58" s="28" t="n">
        <v>252</v>
      </c>
      <c r="E58" s="17" t="inlineStr">
        <is>
          <t>KPL</t>
        </is>
      </c>
      <c r="F58" s="18" t="inlineStr">
        <is>
          <t>Kwality Pharmaceuticals Limited</t>
        </is>
      </c>
      <c r="G58" s="18" t="inlineStr">
        <is>
          <t>Healthcare</t>
        </is>
      </c>
      <c r="H58" s="19" t="n">
        <v>3662.8</v>
      </c>
    </row>
    <row r="59">
      <c r="A59" s="16" t="n">
        <v>13</v>
      </c>
      <c r="B59" s="29" t="n">
        <v>90</v>
      </c>
      <c r="C59" s="28" t="n">
        <v>41</v>
      </c>
      <c r="D59" s="28" t="n">
        <v>275</v>
      </c>
      <c r="E59" s="17" t="inlineStr">
        <is>
          <t>HIIL</t>
        </is>
      </c>
      <c r="F59" s="18" t="inlineStr">
        <is>
          <t>Hindusthan Insulators &amp; Industries Limited</t>
        </is>
      </c>
      <c r="G59" s="18" t="inlineStr">
        <is>
          <t>Industrials</t>
        </is>
      </c>
      <c r="H59" s="19" t="n">
        <v>1209.21</v>
      </c>
    </row>
    <row r="6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IBULLSLTD</t>
        </is>
      </c>
      <c r="B2" s="31" t="inlineStr">
        <is>
          <t>Indiabulls Limited</t>
        </is>
      </c>
      <c r="C2" s="31" t="inlineStr">
        <is>
          <t>miscellaneous</t>
        </is>
      </c>
      <c r="D2" s="31" t="inlineStr">
        <is>
          <t>diversified - medium / small</t>
        </is>
      </c>
      <c r="E2" s="31" t="inlineStr">
        <is>
          <t>midcap</t>
        </is>
      </c>
      <c r="F2" s="31" t="n">
        <v>7568.69</v>
      </c>
      <c r="G2" s="31" t="n">
        <v>34.88</v>
      </c>
      <c r="H2" s="31" t="n">
        <v>7.36</v>
      </c>
      <c r="I2" s="31" t="n">
        <v>80328946</v>
      </c>
      <c r="J2" s="31" t="inlineStr">
        <is>
          <t>533520</t>
        </is>
      </c>
    </row>
    <row r="3">
      <c r="A3" s="31" t="inlineStr">
        <is>
          <t>PCJEWELLER</t>
        </is>
      </c>
      <c r="B3" s="31" t="inlineStr">
        <is>
          <t>Pc Jeweller Limited</t>
        </is>
      </c>
      <c r="C3" s="31" t="inlineStr">
        <is>
          <t>consumer discretionary</t>
        </is>
      </c>
      <c r="D3" s="31" t="inlineStr">
        <is>
          <t>diamond cutting / jewellery</t>
        </is>
      </c>
      <c r="E3" s="31" t="inlineStr">
        <is>
          <t>midcap</t>
        </is>
      </c>
      <c r="F3" s="31" t="n">
        <v>12759.64</v>
      </c>
      <c r="G3" s="31" t="n">
        <v>13.9</v>
      </c>
      <c r="H3" s="31" t="n">
        <v>5.78</v>
      </c>
      <c r="I3" s="31" t="n">
        <v>859046354</v>
      </c>
      <c r="J3" s="31" t="inlineStr">
        <is>
          <t>534809</t>
        </is>
      </c>
    </row>
    <row r="4">
      <c r="A4" s="31" t="inlineStr">
        <is>
          <t>VHLTD</t>
        </is>
      </c>
      <c r="B4" s="31" t="inlineStr">
        <is>
          <t>Viceroy Hotels Ltd</t>
        </is>
      </c>
      <c r="C4" s="31" t="inlineStr">
        <is>
          <t>services</t>
        </is>
      </c>
      <c r="D4" s="31" t="inlineStr">
        <is>
          <t>hotels</t>
        </is>
      </c>
      <c r="E4" s="31" t="inlineStr">
        <is>
          <t>smallcap</t>
        </is>
      </c>
      <c r="F4" s="31" t="n">
        <v>995.25</v>
      </c>
      <c r="G4" s="31" t="n">
        <v>136.1</v>
      </c>
      <c r="H4" s="31" t="n">
        <v>5</v>
      </c>
      <c r="I4" s="31" t="n">
        <v>159535</v>
      </c>
      <c r="J4" s="31" t="inlineStr">
        <is>
          <t>523796</t>
        </is>
      </c>
    </row>
    <row r="5">
      <c r="A5" s="31" t="inlineStr">
        <is>
          <t>ARFIN</t>
        </is>
      </c>
      <c r="B5" s="31" t="inlineStr">
        <is>
          <t>Arfin India Ltd</t>
        </is>
      </c>
      <c r="C5" s="31" t="inlineStr">
        <is>
          <t>metals &amp; mining</t>
        </is>
      </c>
      <c r="D5" s="31" t="inlineStr">
        <is>
          <t>aluminium and aluminium products</t>
        </is>
      </c>
      <c r="E5" s="31" t="inlineStr">
        <is>
          <t>smallcap</t>
        </is>
      </c>
      <c r="F5" s="31" t="n">
        <v>1738.85</v>
      </c>
      <c r="G5" s="31" t="n">
        <v>107.52</v>
      </c>
      <c r="H5" s="31" t="n">
        <v>4.33</v>
      </c>
      <c r="I5" s="31" t="n">
        <v>18357661</v>
      </c>
      <c r="J5" s="31" t="inlineStr">
        <is>
          <t>539151</t>
        </is>
      </c>
    </row>
    <row r="6">
      <c r="A6" s="31" t="inlineStr">
        <is>
          <t>CUPID</t>
        </is>
      </c>
      <c r="B6" s="31" t="inlineStr">
        <is>
          <t>Cupid Limited</t>
        </is>
      </c>
      <c r="C6" s="31" t="inlineStr">
        <is>
          <t>fmcg</t>
        </is>
      </c>
      <c r="D6" s="31" t="inlineStr">
        <is>
          <t>personal care - indian</t>
        </is>
      </c>
      <c r="E6" s="31" t="inlineStr">
        <is>
          <t>largecap</t>
        </is>
      </c>
      <c r="F6" s="31" t="n">
        <v>46249.6</v>
      </c>
      <c r="G6" s="31" t="n">
        <v>356.65</v>
      </c>
      <c r="H6" s="31" t="n">
        <v>3.69</v>
      </c>
      <c r="I6" s="31" t="n">
        <v>29558194</v>
      </c>
      <c r="J6" s="31" t="inlineStr">
        <is>
          <t>530843</t>
        </is>
      </c>
    </row>
    <row r="7">
      <c r="A7" s="31" t="inlineStr">
        <is>
          <t>MANBA</t>
        </is>
      </c>
      <c r="B7" s="31" t="inlineStr">
        <is>
          <t>Manba Finance Ltd</t>
        </is>
      </c>
      <c r="C7" s="31" t="inlineStr">
        <is>
          <t>financials</t>
        </is>
      </c>
      <c r="D7" s="31" t="inlineStr">
        <is>
          <t>finance &amp; investments</t>
        </is>
      </c>
      <c r="E7" s="31" t="inlineStr">
        <is>
          <t>smallcap</t>
        </is>
      </c>
      <c r="F7" s="31" t="n">
        <v>712.09</v>
      </c>
      <c r="G7" s="31" t="n">
        <v>146.82</v>
      </c>
      <c r="H7" s="31" t="n">
        <v>3.58</v>
      </c>
      <c r="I7" s="31" t="n">
        <v>525646</v>
      </c>
      <c r="J7" s="31" t="inlineStr">
        <is>
          <t>544262</t>
        </is>
      </c>
    </row>
    <row r="8">
      <c r="A8" s="31" t="inlineStr">
        <is>
          <t>SALSTEEL</t>
        </is>
      </c>
      <c r="B8" s="31" t="inlineStr">
        <is>
          <t>SAL Steel</t>
        </is>
      </c>
      <c r="C8" s="31" t="inlineStr">
        <is>
          <t>metals &amp; mining</t>
        </is>
      </c>
      <c r="D8" s="31" t="inlineStr">
        <is>
          <t>steel - sponge iron</t>
        </is>
      </c>
      <c r="E8" s="31" t="inlineStr">
        <is>
          <t>smallcap</t>
        </is>
      </c>
      <c r="F8" s="31" t="n">
        <v>1251.36</v>
      </c>
      <c r="G8" s="31" t="n">
        <v>88.93000000000001</v>
      </c>
      <c r="H8" s="31" t="n">
        <v>2.88</v>
      </c>
      <c r="I8" s="31" t="n">
        <v>1424858</v>
      </c>
      <c r="J8" s="31" t="inlineStr">
        <is>
          <t>532604</t>
        </is>
      </c>
    </row>
    <row r="9">
      <c r="A9" s="31" t="inlineStr">
        <is>
          <t>SHANTIGOLD</t>
        </is>
      </c>
      <c r="B9" s="31" t="inlineStr">
        <is>
          <t>Shanti Gold International Ltd</t>
        </is>
      </c>
      <c r="C9" s="31" t="inlineStr">
        <is>
          <t>consumer discretionary</t>
        </is>
      </c>
      <c r="D9" s="31" t="inlineStr">
        <is>
          <t>diamond cutting / jewellery</t>
        </is>
      </c>
      <c r="E9" s="31" t="inlineStr">
        <is>
          <t>smallcap</t>
        </is>
      </c>
      <c r="F9" s="31" t="n">
        <v>2617.2</v>
      </c>
      <c r="G9" s="31" t="n">
        <v>350.65</v>
      </c>
      <c r="H9" s="31" t="n">
        <v>2.81</v>
      </c>
      <c r="I9" s="31" t="n">
        <v>5937219</v>
      </c>
      <c r="J9" s="31" t="inlineStr">
        <is>
          <t>544459</t>
        </is>
      </c>
    </row>
    <row r="10">
      <c r="A10" s="31" t="inlineStr">
        <is>
          <t>FAIRCHEMOR</t>
        </is>
      </c>
      <c r="B10" s="31" t="inlineStr">
        <is>
          <t>Fairchem Organics Ltd</t>
        </is>
      </c>
      <c r="C10" s="31" t="inlineStr">
        <is>
          <t>chemicals</t>
        </is>
      </c>
      <c r="D10" s="31" t="inlineStr">
        <is>
          <t>chemicals</t>
        </is>
      </c>
      <c r="E10" s="31" t="inlineStr">
        <is>
          <t>smallcap</t>
        </is>
      </c>
      <c r="F10" s="31" t="n">
        <v>886.5599999999999</v>
      </c>
      <c r="G10" s="31" t="n">
        <v>720.9</v>
      </c>
      <c r="H10" s="31" t="n">
        <v>2.42</v>
      </c>
      <c r="I10" s="31" t="n">
        <v>104670</v>
      </c>
      <c r="J10" s="31" t="inlineStr">
        <is>
          <t>543252</t>
        </is>
      </c>
    </row>
    <row r="11">
      <c r="A11" s="31" t="inlineStr">
        <is>
          <t>SBC</t>
        </is>
      </c>
      <c r="B11" s="31" t="inlineStr">
        <is>
          <t>SBC Exports Ltd</t>
        </is>
      </c>
      <c r="C11" s="31" t="inlineStr">
        <is>
          <t>textiles</t>
        </is>
      </c>
      <c r="D11" s="31" t="inlineStr">
        <is>
          <t>textiles - products</t>
        </is>
      </c>
      <c r="E11" s="31" t="inlineStr">
        <is>
          <t>smallcap</t>
        </is>
      </c>
      <c r="F11" s="31" t="n">
        <v>2941.43</v>
      </c>
      <c r="G11" s="31" t="n">
        <v>63.21</v>
      </c>
      <c r="H11" s="31" t="n">
        <v>2.33</v>
      </c>
      <c r="I11" s="31" t="n">
        <v>17429844</v>
      </c>
      <c r="J11" s="31" t="inlineStr">
        <is>
          <t>542725</t>
        </is>
      </c>
    </row>
    <row r="12">
      <c r="A12" s="31" t="inlineStr">
        <is>
          <t>BAFNAPH</t>
        </is>
      </c>
      <c r="B12" s="31" t="inlineStr">
        <is>
          <t>Bafna Pharmaceuticals Ltd</t>
        </is>
      </c>
      <c r="C12" s="31" t="inlineStr">
        <is>
          <t>healthcare</t>
        </is>
      </c>
      <c r="D12" s="31" t="inlineStr">
        <is>
          <t>pharmaceuticals - indian - formulations</t>
        </is>
      </c>
      <c r="E12" s="31" t="inlineStr">
        <is>
          <t>smallcap</t>
        </is>
      </c>
      <c r="F12" s="31" t="n">
        <v>950.63</v>
      </c>
      <c r="G12" s="31" t="n">
        <v>409.85</v>
      </c>
      <c r="H12" s="31" t="n">
        <v>1.99</v>
      </c>
      <c r="I12" s="31" t="n">
        <v>1108</v>
      </c>
      <c r="J12" s="31" t="inlineStr">
        <is>
          <t>532989</t>
        </is>
      </c>
    </row>
    <row r="13">
      <c r="A13" s="31" t="inlineStr">
        <is>
          <t>ISGEC</t>
        </is>
      </c>
      <c r="B13" s="31" t="inlineStr">
        <is>
          <t>ISGEC Heavy Engineering  Ltd</t>
        </is>
      </c>
      <c r="C13" s="31" t="inlineStr">
        <is>
          <t>realty</t>
        </is>
      </c>
      <c r="D13" s="31" t="inlineStr">
        <is>
          <t>engineering - turnkey services</t>
        </is>
      </c>
      <c r="E13" s="31" t="inlineStr">
        <is>
          <t>midcap</t>
        </is>
      </c>
      <c r="F13" s="31" t="n">
        <v>6630.52</v>
      </c>
      <c r="G13" s="31" t="n">
        <v>918.4</v>
      </c>
      <c r="H13" s="31" t="n">
        <v>1.85</v>
      </c>
      <c r="I13" s="31" t="n">
        <v>231042</v>
      </c>
      <c r="J13" s="31" t="inlineStr">
        <is>
          <t>533033</t>
        </is>
      </c>
    </row>
    <row r="14">
      <c r="A14" s="31" t="inlineStr">
        <is>
          <t>PNBHOUSING</t>
        </is>
      </c>
      <c r="B14" s="31" t="inlineStr">
        <is>
          <t>Pnb Housing Finance Limited</t>
        </is>
      </c>
      <c r="C14" s="31" t="inlineStr">
        <is>
          <t>financials</t>
        </is>
      </c>
      <c r="D14" s="31" t="inlineStr">
        <is>
          <t>finance - housing</t>
        </is>
      </c>
      <c r="E14" s="31" t="inlineStr">
        <is>
          <t>largecap</t>
        </is>
      </c>
      <c r="F14" s="31" t="n">
        <v>29472.72</v>
      </c>
      <c r="G14" s="31" t="n">
        <v>1150</v>
      </c>
      <c r="H14" s="31" t="n">
        <v>1.68</v>
      </c>
      <c r="I14" s="31" t="n">
        <v>1912599</v>
      </c>
      <c r="J14" s="31" t="inlineStr">
        <is>
          <t>540173</t>
        </is>
      </c>
    </row>
    <row r="15">
      <c r="A15" s="31" t="inlineStr">
        <is>
          <t>KMEW</t>
        </is>
      </c>
      <c r="B15" s="31" t="inlineStr">
        <is>
          <t>Knowledge Marine &amp; Engineering Works Ltd</t>
        </is>
      </c>
      <c r="C15" s="31" t="inlineStr">
        <is>
          <t>transportation</t>
        </is>
      </c>
      <c r="D15" s="31" t="inlineStr">
        <is>
          <t>miscellaneous</t>
        </is>
      </c>
      <c r="E15" s="31" t="inlineStr">
        <is>
          <t>midcap</t>
        </is>
      </c>
      <c r="F15" s="31" t="n">
        <v>7856.34</v>
      </c>
      <c r="G15" s="31" t="n">
        <v>3256.7</v>
      </c>
      <c r="H15" s="31" t="n">
        <v>1.33</v>
      </c>
      <c r="I15" s="31" t="n">
        <v>177999</v>
      </c>
      <c r="J15" s="31" t="inlineStr">
        <is>
          <t>543273</t>
        </is>
      </c>
    </row>
    <row r="16">
      <c r="A16" s="31" t="inlineStr">
        <is>
          <t>MGEL</t>
        </is>
      </c>
      <c r="B16" s="31" t="inlineStr">
        <is>
          <t>Mangalam Global Enterprise Ltd</t>
        </is>
      </c>
      <c r="C16" s="31" t="inlineStr">
        <is>
          <t>services</t>
        </is>
      </c>
      <c r="D16" s="31" t="inlineStr">
        <is>
          <t>trading</t>
        </is>
      </c>
      <c r="E16" s="31" t="inlineStr">
        <is>
          <t>smallcap</t>
        </is>
      </c>
      <c r="F16" s="31" t="n">
        <v>517.73</v>
      </c>
      <c r="G16" s="31" t="n">
        <v>15.9</v>
      </c>
      <c r="H16" s="31" t="n">
        <v>1.21</v>
      </c>
      <c r="I16" s="31" t="n">
        <v>336436</v>
      </c>
      <c r="J16" s="31" t="inlineStr">
        <is>
          <t>535349</t>
        </is>
      </c>
    </row>
    <row r="17">
      <c r="A17" s="31" t="inlineStr">
        <is>
          <t>GCSL</t>
        </is>
      </c>
      <c r="B17" s="31" t="inlineStr">
        <is>
          <t>Gretex Corporate Services Ltd</t>
        </is>
      </c>
      <c r="C17" s="31" t="inlineStr">
        <is>
          <t>financials</t>
        </is>
      </c>
      <c r="D17" s="31" t="inlineStr">
        <is>
          <t>finance &amp; investments</t>
        </is>
      </c>
      <c r="E17" s="31" t="inlineStr">
        <is>
          <t>smallcap</t>
        </is>
      </c>
      <c r="F17" s="31" t="n">
        <v>1724.62</v>
      </c>
      <c r="G17" s="31" t="n">
        <v>697.75</v>
      </c>
      <c r="H17" s="31" t="n">
        <v>1.17</v>
      </c>
      <c r="I17" s="31" t="n">
        <v>479957</v>
      </c>
      <c r="J17" s="31" t="inlineStr">
        <is>
          <t>543324</t>
        </is>
      </c>
    </row>
    <row r="18">
      <c r="A18" s="31" t="inlineStr">
        <is>
          <t>SWANDEF</t>
        </is>
      </c>
      <c r="B18" s="31" t="inlineStr">
        <is>
          <t>Swan Defence and Heavy Industries Ltd</t>
        </is>
      </c>
      <c r="C18" s="31" t="inlineStr">
        <is>
          <t>transportation</t>
        </is>
      </c>
      <c r="D18" s="31" t="inlineStr">
        <is>
          <t>miscellaneous</t>
        </is>
      </c>
      <c r="E18" s="31" t="inlineStr">
        <is>
          <t>midcap</t>
        </is>
      </c>
      <c r="F18" s="31" t="n">
        <v>14537.11</v>
      </c>
      <c r="G18" s="31" t="n">
        <v>2785.1</v>
      </c>
      <c r="H18" s="31" t="n">
        <v>0.93</v>
      </c>
      <c r="I18" s="31" t="n">
        <v>24580</v>
      </c>
      <c r="J18" s="31" t="inlineStr">
        <is>
          <t>533107</t>
        </is>
      </c>
    </row>
    <row r="19">
      <c r="A19" s="31" t="inlineStr">
        <is>
          <t>SKYGOLD</t>
        </is>
      </c>
      <c r="B19" s="31" t="inlineStr">
        <is>
          <t>Sky Gold Ltd</t>
        </is>
      </c>
      <c r="C19" s="31" t="inlineStr">
        <is>
          <t>consumer discretionary</t>
        </is>
      </c>
      <c r="D19" s="31" t="inlineStr">
        <is>
          <t>diamond cutting / jewellery</t>
        </is>
      </c>
      <c r="E19" s="31" t="inlineStr">
        <is>
          <t>midcap</t>
        </is>
      </c>
      <c r="F19" s="31" t="n">
        <v>13581.67</v>
      </c>
      <c r="G19" s="31" t="n">
        <v>884.5</v>
      </c>
      <c r="H19" s="31" t="n">
        <v>0.86</v>
      </c>
      <c r="I19" s="31" t="n">
        <v>2677878</v>
      </c>
      <c r="J19" s="31" t="inlineStr">
        <is>
          <t>541967</t>
        </is>
      </c>
    </row>
    <row r="20">
      <c r="A20" s="31" t="inlineStr">
        <is>
          <t>PATELRMART</t>
        </is>
      </c>
      <c r="B20" s="31" t="inlineStr">
        <is>
          <t>Patel Retail Ltd</t>
        </is>
      </c>
      <c r="C20" s="31" t="inlineStr">
        <is>
          <t>consumer discretionary</t>
        </is>
      </c>
      <c r="D20" s="31" t="inlineStr">
        <is>
          <t>trading</t>
        </is>
      </c>
      <c r="E20" s="31" t="inlineStr">
        <is>
          <t>smallcap</t>
        </is>
      </c>
      <c r="F20" s="31" t="n">
        <v>761.0599999999999</v>
      </c>
      <c r="G20" s="31" t="n">
        <v>229.61</v>
      </c>
      <c r="H20" s="31" t="n">
        <v>0.77</v>
      </c>
      <c r="I20" s="31" t="n">
        <v>157882</v>
      </c>
      <c r="J20" s="31" t="inlineStr">
        <is>
          <t>544487</t>
        </is>
      </c>
    </row>
    <row r="21">
      <c r="A21" s="31" t="inlineStr">
        <is>
          <t>DIACABS</t>
        </is>
      </c>
      <c r="B21" s="31" t="inlineStr">
        <is>
          <t>Diamond Power Infrastructure Ltd</t>
        </is>
      </c>
      <c r="C21" s="31" t="inlineStr">
        <is>
          <t>industrials</t>
        </is>
      </c>
      <c r="D21" s="31" t="inlineStr">
        <is>
          <t>cables - power</t>
        </is>
      </c>
      <c r="E21" s="31" t="inlineStr">
        <is>
          <t>largecap</t>
        </is>
      </c>
      <c r="F21" s="31" t="n">
        <v>22077.79</v>
      </c>
      <c r="G21" s="31" t="n">
        <v>371.9</v>
      </c>
      <c r="H21" s="31" t="n">
        <v>0.75</v>
      </c>
      <c r="I21" s="31" t="n">
        <v>1005633</v>
      </c>
      <c r="J21" s="31" t="inlineStr">
        <is>
          <t>522163</t>
        </is>
      </c>
    </row>
    <row r="22">
      <c r="A22" s="31" t="inlineStr">
        <is>
          <t>VMART</t>
        </is>
      </c>
      <c r="B22" s="31" t="inlineStr">
        <is>
          <t>V-mart Retail Limited</t>
        </is>
      </c>
      <c r="C22" s="31" t="inlineStr">
        <is>
          <t>consumer discretionary</t>
        </is>
      </c>
      <c r="D22" s="31" t="inlineStr">
        <is>
          <t>trading</t>
        </is>
      </c>
      <c r="E22" s="31" t="inlineStr">
        <is>
          <t>midcap</t>
        </is>
      </c>
      <c r="F22" s="31" t="n">
        <v>6413.16</v>
      </c>
      <c r="G22" s="31" t="n">
        <v>811.15</v>
      </c>
      <c r="H22" s="31" t="n">
        <v>0.61</v>
      </c>
      <c r="I22" s="31" t="n">
        <v>85252</v>
      </c>
      <c r="J22" s="31" t="inlineStr">
        <is>
          <t>534976</t>
        </is>
      </c>
    </row>
    <row r="23">
      <c r="A23" s="31" t="inlineStr">
        <is>
          <t>HITECHCORP</t>
        </is>
      </c>
      <c r="B23" s="31" t="inlineStr">
        <is>
          <t>Hitech Corporation</t>
        </is>
      </c>
      <c r="C23" s="31" t="inlineStr">
        <is>
          <t>industrials</t>
        </is>
      </c>
      <c r="D23" s="31" t="inlineStr">
        <is>
          <t>packaging</t>
        </is>
      </c>
      <c r="E23" s="31" t="inlineStr">
        <is>
          <t>smallcap</t>
        </is>
      </c>
      <c r="F23" s="31" t="n">
        <v>599.6</v>
      </c>
      <c r="G23" s="31" t="n">
        <v>350.55</v>
      </c>
      <c r="H23" s="31" t="n">
        <v>0.42</v>
      </c>
      <c r="I23" s="31" t="n">
        <v>60899</v>
      </c>
      <c r="J23" s="31" t="inlineStr">
        <is>
          <t>526217</t>
        </is>
      </c>
    </row>
    <row r="24">
      <c r="A24" s="31" t="inlineStr">
        <is>
          <t>PREMEXPLN</t>
        </is>
      </c>
      <c r="B24" s="31" t="inlineStr">
        <is>
          <t>Premier Explosives Limited</t>
        </is>
      </c>
      <c r="C24" s="31" t="inlineStr">
        <is>
          <t>aerospace &amp; defence</t>
        </is>
      </c>
      <c r="D24" s="31" t="inlineStr">
        <is>
          <t>chemicals</t>
        </is>
      </c>
      <c r="E24" s="31" t="inlineStr">
        <is>
          <t>smallcap</t>
        </is>
      </c>
      <c r="F24" s="31" t="n">
        <v>3693.66</v>
      </c>
      <c r="G24" s="31" t="n">
        <v>689.05</v>
      </c>
      <c r="H24" s="31" t="n">
        <v>0.29</v>
      </c>
      <c r="I24" s="31" t="n">
        <v>283990</v>
      </c>
      <c r="J24" s="31" t="inlineStr">
        <is>
          <t>526247</t>
        </is>
      </c>
    </row>
    <row r="25">
      <c r="A25" s="31" t="inlineStr">
        <is>
          <t>AVADHSUGAR</t>
        </is>
      </c>
      <c r="B25" s="31" t="inlineStr">
        <is>
          <t>Avadh Sugar &amp; Energy</t>
        </is>
      </c>
      <c r="C25" s="31" t="inlineStr">
        <is>
          <t>fmcg</t>
        </is>
      </c>
      <c r="D25" s="31" t="inlineStr">
        <is>
          <t>sugar</t>
        </is>
      </c>
      <c r="E25" s="31" t="inlineStr">
        <is>
          <t>smallcap</t>
        </is>
      </c>
      <c r="F25" s="31" t="n">
        <v>1876.83</v>
      </c>
      <c r="G25" s="31" t="n">
        <v>939.55</v>
      </c>
      <c r="H25" s="31" t="n">
        <v>0.21</v>
      </c>
      <c r="I25" s="31" t="n">
        <v>519526</v>
      </c>
      <c r="J25" s="31" t="inlineStr">
        <is>
          <t>540649</t>
        </is>
      </c>
    </row>
    <row r="26">
      <c r="A26" s="31" t="inlineStr">
        <is>
          <t>MANORAMA</t>
        </is>
      </c>
      <c r="B26" s="31" t="inlineStr">
        <is>
          <t>Manorama Industries Ltd</t>
        </is>
      </c>
      <c r="C26" s="31" t="inlineStr">
        <is>
          <t>fmcg</t>
        </is>
      </c>
      <c r="D26" s="31" t="inlineStr">
        <is>
          <t>food - processing - indian</t>
        </is>
      </c>
      <c r="E26" s="31" t="inlineStr">
        <is>
          <t>midcap</t>
        </is>
      </c>
      <c r="F26" s="31" t="n">
        <v>11917.82</v>
      </c>
      <c r="G26" s="31" t="n">
        <v>1998.5</v>
      </c>
      <c r="H26" s="31" t="n">
        <v>0.13</v>
      </c>
      <c r="I26" s="31" t="n">
        <v>195866</v>
      </c>
      <c r="J26" s="31" t="inlineStr">
        <is>
          <t>541974</t>
        </is>
      </c>
    </row>
    <row r="27">
      <c r="A27" s="31" t="inlineStr">
        <is>
          <t>DBOL</t>
        </is>
      </c>
      <c r="B27" s="31" t="inlineStr">
        <is>
          <t>Dhampur Bio Organics Ltd</t>
        </is>
      </c>
      <c r="C27" s="31" t="inlineStr">
        <is>
          <t>fmcg</t>
        </is>
      </c>
      <c r="D27" s="31" t="inlineStr">
        <is>
          <t>sugar</t>
        </is>
      </c>
      <c r="E27" s="31" t="inlineStr">
        <is>
          <t>smallcap</t>
        </is>
      </c>
      <c r="F27" s="31" t="n">
        <v>931.09</v>
      </c>
      <c r="G27" s="31" t="n">
        <v>140.43</v>
      </c>
      <c r="H27" s="31" t="n">
        <v>0.13</v>
      </c>
      <c r="I27" s="31" t="n">
        <v>472789</v>
      </c>
      <c r="J27" s="31" t="inlineStr">
        <is>
          <t>543593</t>
        </is>
      </c>
    </row>
    <row r="28">
      <c r="A28" s="31" t="inlineStr">
        <is>
          <t>PGIL</t>
        </is>
      </c>
      <c r="B28" s="31" t="inlineStr">
        <is>
          <t>Pearl Global Industries Limited</t>
        </is>
      </c>
      <c r="C28" s="31" t="inlineStr">
        <is>
          <t>readymade garments/apparels</t>
        </is>
      </c>
      <c r="D28" s="31" t="inlineStr">
        <is>
          <t>textiles - products</t>
        </is>
      </c>
      <c r="E28" s="31" t="inlineStr">
        <is>
          <t>midcap</t>
        </is>
      </c>
      <c r="F28" s="31" t="n">
        <v>11761.04</v>
      </c>
      <c r="G28" s="31" t="n">
        <v>1272.3</v>
      </c>
      <c r="H28" s="31" t="n">
        <v>-0.06</v>
      </c>
      <c r="I28" s="31" t="n">
        <v>129386</v>
      </c>
      <c r="J28" s="31" t="inlineStr">
        <is>
          <t>532808</t>
        </is>
      </c>
    </row>
    <row r="29">
      <c r="A29" s="31" t="inlineStr">
        <is>
          <t>ABDL</t>
        </is>
      </c>
      <c r="B29" s="31" t="inlineStr">
        <is>
          <t>Allied Blenders &amp; Distillers Ltd</t>
        </is>
      </c>
      <c r="C29" s="31" t="inlineStr">
        <is>
          <t>fmcg</t>
        </is>
      </c>
      <c r="D29" s="31" t="inlineStr">
        <is>
          <t>breweries &amp; distilleries</t>
        </is>
      </c>
      <c r="E29" s="31" t="inlineStr">
        <is>
          <t>midcap</t>
        </is>
      </c>
      <c r="F29" s="31" t="n">
        <v>19418.88</v>
      </c>
      <c r="G29" s="31" t="n">
        <v>693.45</v>
      </c>
      <c r="H29" s="31" t="n">
        <v>-0.12</v>
      </c>
      <c r="I29" s="31" t="n">
        <v>845151</v>
      </c>
      <c r="J29" s="31" t="inlineStr">
        <is>
          <t>544203</t>
        </is>
      </c>
    </row>
    <row r="30">
      <c r="A30" s="31" t="inlineStr">
        <is>
          <t>DPABHUSHAN</t>
        </is>
      </c>
      <c r="B30" s="31" t="inlineStr">
        <is>
          <t>D.P. Abhushan Ltd</t>
        </is>
      </c>
      <c r="C30" s="31" t="inlineStr">
        <is>
          <t>consumer discretionary</t>
        </is>
      </c>
      <c r="D30" s="31" t="inlineStr">
        <is>
          <t>trading</t>
        </is>
      </c>
      <c r="E30" s="31" t="inlineStr">
        <is>
          <t>midcap</t>
        </is>
      </c>
      <c r="F30" s="31" t="n">
        <v>5165.27</v>
      </c>
      <c r="G30" s="31" t="n">
        <v>2258.9</v>
      </c>
      <c r="H30" s="31" t="n">
        <v>-0.17</v>
      </c>
      <c r="I30" s="31" t="n">
        <v>157486</v>
      </c>
      <c r="J30" s="31" t="inlineStr">
        <is>
          <t>535026</t>
        </is>
      </c>
    </row>
    <row r="31">
      <c r="A31" s="31" t="inlineStr">
        <is>
          <t>SHREEJISPG</t>
        </is>
      </c>
      <c r="B31" s="31" t="inlineStr">
        <is>
          <t>Shreeji Shipping Global Ltd</t>
        </is>
      </c>
      <c r="C31" s="31" t="inlineStr">
        <is>
          <t>transportation</t>
        </is>
      </c>
      <c r="D31" s="31" t="inlineStr">
        <is>
          <t>shipping</t>
        </is>
      </c>
      <c r="E31" s="31" t="inlineStr">
        <is>
          <t>midcap</t>
        </is>
      </c>
      <c r="F31" s="31" t="n">
        <v>13067.67</v>
      </c>
      <c r="G31" s="31" t="n">
        <v>800.75</v>
      </c>
      <c r="H31" s="31" t="n">
        <v>-0.17</v>
      </c>
      <c r="I31" s="31" t="n">
        <v>1184742</v>
      </c>
      <c r="J31" s="31" t="inlineStr">
        <is>
          <t>544490</t>
        </is>
      </c>
    </row>
    <row r="32">
      <c r="A32" s="31" t="inlineStr">
        <is>
          <t>MTARTECH</t>
        </is>
      </c>
      <c r="B32" s="31" t="inlineStr">
        <is>
          <t>MTAR Technologies Ltd</t>
        </is>
      </c>
      <c r="C32" s="31" t="inlineStr">
        <is>
          <t>aerospace &amp; defence</t>
        </is>
      </c>
      <c r="D32" s="31" t="inlineStr">
        <is>
          <t>engineering</t>
        </is>
      </c>
      <c r="E32" s="31" t="inlineStr">
        <is>
          <t>largecap</t>
        </is>
      </c>
      <c r="F32" s="31" t="n">
        <v>24190.88</v>
      </c>
      <c r="G32" s="31" t="n">
        <v>7849.5</v>
      </c>
      <c r="H32" s="31" t="n">
        <v>-0.19</v>
      </c>
      <c r="I32" s="31" t="n">
        <v>110779</v>
      </c>
      <c r="J32" s="31" t="inlineStr">
        <is>
          <t>543270</t>
        </is>
      </c>
    </row>
    <row r="33">
      <c r="A33" s="31" t="inlineStr">
        <is>
          <t>BOSCH-HCIL</t>
        </is>
      </c>
      <c r="B33" s="31" t="inlineStr">
        <is>
          <t>Bosch Home Comfort India Ltd</t>
        </is>
      </c>
      <c r="C33" s="31" t="inlineStr">
        <is>
          <t>consumer discretionary</t>
        </is>
      </c>
      <c r="D33" s="31" t="inlineStr">
        <is>
          <t>air-conditioners</t>
        </is>
      </c>
      <c r="E33" s="31" t="inlineStr">
        <is>
          <t>midcap</t>
        </is>
      </c>
      <c r="F33" s="31" t="n">
        <v>5297.06</v>
      </c>
      <c r="G33" s="31" t="n">
        <v>1943.8</v>
      </c>
      <c r="H33" s="31" t="n">
        <v>-0.22</v>
      </c>
      <c r="I33" s="31" t="n">
        <v>102060</v>
      </c>
      <c r="J33" s="31" t="inlineStr">
        <is>
          <t>523398</t>
        </is>
      </c>
    </row>
    <row r="34">
      <c r="A34" s="31" t="inlineStr">
        <is>
          <t>SUNDROP</t>
        </is>
      </c>
      <c r="B34" s="31" t="inlineStr">
        <is>
          <t>Sundrop Brands Ltd</t>
        </is>
      </c>
      <c r="C34" s="31" t="inlineStr">
        <is>
          <t>fmcg</t>
        </is>
      </c>
      <c r="D34" s="31" t="inlineStr">
        <is>
          <t>food - processing - indian</t>
        </is>
      </c>
      <c r="E34" s="31" t="inlineStr">
        <is>
          <t>smallcap</t>
        </is>
      </c>
      <c r="F34" s="31" t="n">
        <v>2811.81</v>
      </c>
      <c r="G34" s="31" t="n">
        <v>743.55</v>
      </c>
      <c r="H34" s="31" t="n">
        <v>-0.32</v>
      </c>
      <c r="I34" s="31" t="n">
        <v>39823</v>
      </c>
      <c r="J34" s="31" t="inlineStr">
        <is>
          <t>500215</t>
        </is>
      </c>
    </row>
    <row r="35">
      <c r="A35" s="31" t="inlineStr">
        <is>
          <t>ONEPOINT</t>
        </is>
      </c>
      <c r="B35" s="31" t="inlineStr">
        <is>
          <t>One Point One Solutions Ltd</t>
        </is>
      </c>
      <c r="C35" s="31" t="inlineStr">
        <is>
          <t>i.t</t>
        </is>
      </c>
      <c r="D35" s="31" t="inlineStr">
        <is>
          <t>computers - software - medium / small</t>
        </is>
      </c>
      <c r="E35" s="31" t="inlineStr">
        <is>
          <t>smallcap</t>
        </is>
      </c>
      <c r="F35" s="31" t="n">
        <v>2071.15</v>
      </c>
      <c r="G35" s="31" t="n">
        <v>78.45</v>
      </c>
      <c r="H35" s="31" t="n">
        <v>-0.41</v>
      </c>
      <c r="I35" s="31" t="n">
        <v>3031082</v>
      </c>
      <c r="J35" s="31" t="inlineStr">
        <is>
          <t>535039</t>
        </is>
      </c>
    </row>
    <row r="36">
      <c r="A36" s="31" t="inlineStr">
        <is>
          <t>STLTECH</t>
        </is>
      </c>
      <c r="B36" s="31" t="inlineStr">
        <is>
          <t>Sterlite Technologies Limited</t>
        </is>
      </c>
      <c r="C36" s="31" t="inlineStr">
        <is>
          <t>industrials</t>
        </is>
      </c>
      <c r="D36" s="31" t="inlineStr">
        <is>
          <t>cables - telephone</t>
        </is>
      </c>
      <c r="E36" s="31" t="inlineStr">
        <is>
          <t>largecap</t>
        </is>
      </c>
      <c r="F36" s="31" t="n">
        <v>52252.96</v>
      </c>
      <c r="G36" s="31" t="n">
        <v>1011.55</v>
      </c>
      <c r="H36" s="31" t="n">
        <v>-0.52</v>
      </c>
      <c r="I36" s="31" t="n">
        <v>1604237</v>
      </c>
      <c r="J36" s="31" t="inlineStr">
        <is>
          <t>532374</t>
        </is>
      </c>
    </row>
    <row r="37">
      <c r="A37" s="31" t="inlineStr">
        <is>
          <t>DHANBANK</t>
        </is>
      </c>
      <c r="B37" s="31" t="inlineStr">
        <is>
          <t>Dhanlaxmi Bank Limited</t>
        </is>
      </c>
      <c r="C37" s="31" t="inlineStr">
        <is>
          <t>bank</t>
        </is>
      </c>
      <c r="D37" s="31" t="inlineStr">
        <is>
          <t>banks - private sector</t>
        </is>
      </c>
      <c r="E37" s="31" t="inlineStr">
        <is>
          <t>smallcap</t>
        </is>
      </c>
      <c r="F37" s="31" t="n">
        <v>1295.8</v>
      </c>
      <c r="G37" s="31" t="n">
        <v>32.65</v>
      </c>
      <c r="H37" s="31" t="n">
        <v>-0.55</v>
      </c>
      <c r="I37" s="31" t="n">
        <v>6525785</v>
      </c>
      <c r="J37" s="31" t="inlineStr">
        <is>
          <t>532180</t>
        </is>
      </c>
    </row>
    <row r="38">
      <c r="A38" s="31" t="inlineStr">
        <is>
          <t>VHL</t>
        </is>
      </c>
      <c r="B38" s="31" t="inlineStr">
        <is>
          <t>Vardhman Holdings Limited</t>
        </is>
      </c>
      <c r="C38" s="31" t="inlineStr">
        <is>
          <t>financials</t>
        </is>
      </c>
      <c r="D38" s="31" t="inlineStr">
        <is>
          <t>finance &amp; investments</t>
        </is>
      </c>
      <c r="E38" s="31" t="inlineStr">
        <is>
          <t>smallcap</t>
        </is>
      </c>
      <c r="F38" s="31" t="n">
        <v>1148.57</v>
      </c>
      <c r="G38" s="31" t="n">
        <v>3578.8</v>
      </c>
      <c r="H38" s="31" t="n">
        <v>-0.5600000000000001</v>
      </c>
      <c r="I38" s="31" t="n">
        <v>2435</v>
      </c>
      <c r="J38" s="31" t="inlineStr">
        <is>
          <t>500439</t>
        </is>
      </c>
    </row>
    <row r="39">
      <c r="A39" s="31" t="inlineStr">
        <is>
          <t>SAMBHV</t>
        </is>
      </c>
      <c r="B39" s="31" t="inlineStr">
        <is>
          <t>Sambhv Steel Tubes Ltd</t>
        </is>
      </c>
      <c r="C39" s="31" t="inlineStr">
        <is>
          <t>metals &amp; mining</t>
        </is>
      </c>
      <c r="D39" s="31" t="inlineStr">
        <is>
          <t>steel - medium / small</t>
        </is>
      </c>
      <c r="E39" s="31" t="inlineStr">
        <is>
          <t>smallcap</t>
        </is>
      </c>
      <c r="F39" s="31" t="n">
        <v>4665.24</v>
      </c>
      <c r="G39" s="31" t="n">
        <v>157.31</v>
      </c>
      <c r="H39" s="31" t="n">
        <v>-0.64</v>
      </c>
      <c r="I39" s="31" t="n">
        <v>3138458</v>
      </c>
      <c r="J39" s="31" t="inlineStr">
        <is>
          <t>544430</t>
        </is>
      </c>
    </row>
    <row r="40">
      <c r="A40" s="31" t="inlineStr">
        <is>
          <t>CYIENTDLM</t>
        </is>
      </c>
      <c r="B40" s="31" t="inlineStr">
        <is>
          <t>Cyient DLM Ltd</t>
        </is>
      </c>
      <c r="C40" s="31" t="inlineStr">
        <is>
          <t>aerospace &amp; defence</t>
        </is>
      </c>
      <c r="D40" s="31" t="inlineStr">
        <is>
          <t>electronics - components</t>
        </is>
      </c>
      <c r="E40" s="31" t="inlineStr">
        <is>
          <t>midcap</t>
        </is>
      </c>
      <c r="F40" s="31" t="n">
        <v>7845.46</v>
      </c>
      <c r="G40" s="31" t="n">
        <v>981.3</v>
      </c>
      <c r="H40" s="31" t="n">
        <v>-0.71</v>
      </c>
      <c r="I40" s="31" t="n">
        <v>619329</v>
      </c>
      <c r="J40" s="31" t="inlineStr">
        <is>
          <t>543933</t>
        </is>
      </c>
    </row>
    <row r="41">
      <c r="A41" s="31" t="inlineStr">
        <is>
          <t>NRL</t>
        </is>
      </c>
      <c r="B41" s="31" t="inlineStr">
        <is>
          <t>Nupur Recyclers Ltd</t>
        </is>
      </c>
      <c r="C41" s="31" t="inlineStr">
        <is>
          <t>services</t>
        </is>
      </c>
      <c r="D41" s="31" t="inlineStr">
        <is>
          <t>trading</t>
        </is>
      </c>
      <c r="E41" s="31" t="inlineStr">
        <is>
          <t>smallcap</t>
        </is>
      </c>
      <c r="F41" s="31" t="n">
        <v>1106.07</v>
      </c>
      <c r="G41" s="31" t="n">
        <v>158.9</v>
      </c>
      <c r="H41" s="31" t="n">
        <v>-0.77</v>
      </c>
      <c r="I41" s="31" t="n">
        <v>27444</v>
      </c>
      <c r="J41" s="31" t="inlineStr">
        <is>
          <t>535413</t>
        </is>
      </c>
    </row>
    <row r="42">
      <c r="A42" s="31" t="inlineStr">
        <is>
          <t>PTCIL</t>
        </is>
      </c>
      <c r="B42" s="31" t="inlineStr">
        <is>
          <t>PTC Industries Ltd</t>
        </is>
      </c>
      <c r="C42" s="31" t="inlineStr">
        <is>
          <t>castings, forgings &amp; fasteners</t>
        </is>
      </c>
      <c r="D42" s="31" t="inlineStr">
        <is>
          <t>castings &amp; forgings</t>
        </is>
      </c>
      <c r="E42" s="31" t="inlineStr">
        <is>
          <t>largecap</t>
        </is>
      </c>
      <c r="F42" s="31" t="n">
        <v>37009.11</v>
      </c>
      <c r="G42" s="31" t="n">
        <v>24470</v>
      </c>
      <c r="H42" s="31" t="n">
        <v>-0.87</v>
      </c>
      <c r="I42" s="31" t="n">
        <v>31950</v>
      </c>
      <c r="J42" s="31" t="inlineStr">
        <is>
          <t>539006</t>
        </is>
      </c>
    </row>
    <row r="43">
      <c r="A43" s="31" t="inlineStr">
        <is>
          <t>GANDHAR</t>
        </is>
      </c>
      <c r="B43" s="31" t="inlineStr">
        <is>
          <t>Gandhar Oil Refinery (India) Ltd</t>
        </is>
      </c>
      <c r="C43" s="31" t="inlineStr">
        <is>
          <t>energy</t>
        </is>
      </c>
      <c r="D43" s="31" t="inlineStr">
        <is>
          <t>refineries</t>
        </is>
      </c>
      <c r="E43" s="31" t="inlineStr">
        <is>
          <t>smallcap</t>
        </is>
      </c>
      <c r="F43" s="31" t="n">
        <v>2928.56</v>
      </c>
      <c r="G43" s="31" t="n">
        <v>296.45</v>
      </c>
      <c r="H43" s="31" t="n">
        <v>-0.92</v>
      </c>
      <c r="I43" s="31" t="n">
        <v>1098034</v>
      </c>
      <c r="J43" s="31" t="inlineStr">
        <is>
          <t>544029</t>
        </is>
      </c>
    </row>
    <row r="44">
      <c r="A44" s="31" t="inlineStr">
        <is>
          <t>ONWARDTEC</t>
        </is>
      </c>
      <c r="B44" s="31" t="inlineStr">
        <is>
          <t>Onward Technologies Limited</t>
        </is>
      </c>
      <c r="C44" s="31" t="inlineStr">
        <is>
          <t>i.t</t>
        </is>
      </c>
      <c r="D44" s="31" t="inlineStr">
        <is>
          <t>computers - software - medium / small</t>
        </is>
      </c>
      <c r="E44" s="31" t="inlineStr">
        <is>
          <t>smallcap</t>
        </is>
      </c>
      <c r="F44" s="31" t="n">
        <v>661.5</v>
      </c>
      <c r="G44" s="31" t="n">
        <v>294.6</v>
      </c>
      <c r="H44" s="31" t="n">
        <v>-0.9399999999999999</v>
      </c>
      <c r="I44" s="31" t="n">
        <v>55959</v>
      </c>
      <c r="J44" s="31" t="inlineStr">
        <is>
          <t>517536</t>
        </is>
      </c>
    </row>
    <row r="45">
      <c r="A45" s="31" t="inlineStr">
        <is>
          <t>RRKABEL</t>
        </is>
      </c>
      <c r="B45" s="31" t="inlineStr">
        <is>
          <t>R R Kabel Ltd</t>
        </is>
      </c>
      <c r="C45" s="31" t="inlineStr">
        <is>
          <t>industrials</t>
        </is>
      </c>
      <c r="D45" s="31" t="inlineStr">
        <is>
          <t>cables - power</t>
        </is>
      </c>
      <c r="E45" s="31" t="inlineStr">
        <is>
          <t>largecap</t>
        </is>
      </c>
      <c r="F45" s="31" t="n">
        <v>30792.97</v>
      </c>
      <c r="G45" s="31" t="n">
        <v>2696.4</v>
      </c>
      <c r="H45" s="31" t="n">
        <v>-0.96</v>
      </c>
      <c r="I45" s="31" t="n">
        <v>281306</v>
      </c>
      <c r="J45" s="31" t="inlineStr">
        <is>
          <t>543981</t>
        </is>
      </c>
    </row>
    <row r="46">
      <c r="A46" s="31" t="inlineStr">
        <is>
          <t>UNITEDPOLY</t>
        </is>
      </c>
      <c r="B46" s="31" t="inlineStr">
        <is>
          <t>United Polyfab Gujarat Ltd</t>
        </is>
      </c>
      <c r="C46" s="31" t="inlineStr">
        <is>
          <t>textiles</t>
        </is>
      </c>
      <c r="D46" s="31" t="inlineStr">
        <is>
          <t>textiles - products</t>
        </is>
      </c>
      <c r="E46" s="31" t="inlineStr">
        <is>
          <t>smallcap</t>
        </is>
      </c>
      <c r="F46" s="31" t="n">
        <v>1103.97</v>
      </c>
      <c r="G46" s="31" t="n">
        <v>47.56</v>
      </c>
      <c r="H46" s="31" t="n">
        <v>-1.12</v>
      </c>
      <c r="I46" s="31" t="n">
        <v>215130</v>
      </c>
      <c r="J46" s="31" t="inlineStr">
        <is>
          <t>533024</t>
        </is>
      </c>
    </row>
    <row r="47">
      <c r="A47" s="31" t="inlineStr">
        <is>
          <t>GALAXYSURF</t>
        </is>
      </c>
      <c r="B47" s="31" t="inlineStr">
        <is>
          <t>Galaxy Surfactants Ltd</t>
        </is>
      </c>
      <c r="C47" s="31" t="inlineStr">
        <is>
          <t>chemicals</t>
        </is>
      </c>
      <c r="D47" s="31" t="inlineStr">
        <is>
          <t>chemicals</t>
        </is>
      </c>
      <c r="E47" s="31" t="inlineStr">
        <is>
          <t>midcap</t>
        </is>
      </c>
      <c r="F47" s="31" t="n">
        <v>8629.690000000001</v>
      </c>
      <c r="G47" s="31" t="n">
        <v>2406.7</v>
      </c>
      <c r="H47" s="31" t="n">
        <v>-1.12</v>
      </c>
      <c r="I47" s="31" t="n">
        <v>42011</v>
      </c>
      <c r="J47" s="31" t="inlineStr">
        <is>
          <t>540935</t>
        </is>
      </c>
    </row>
    <row r="48">
      <c r="A48" s="31" t="inlineStr">
        <is>
          <t>KOTAKBANK</t>
        </is>
      </c>
      <c r="B48" s="31" t="inlineStr">
        <is>
          <t>Kotak Mahindra Bank Limited</t>
        </is>
      </c>
      <c r="C48" s="31" t="inlineStr">
        <is>
          <t>bank</t>
        </is>
      </c>
      <c r="D48" s="31" t="inlineStr">
        <is>
          <t>banks - private sector</t>
        </is>
      </c>
      <c r="E48" s="31" t="inlineStr">
        <is>
          <t>largecap</t>
        </is>
      </c>
      <c r="F48" s="31" t="n">
        <v>437655.2</v>
      </c>
      <c r="G48" s="31" t="n">
        <v>435</v>
      </c>
      <c r="H48" s="31" t="n">
        <v>-1.14</v>
      </c>
      <c r="I48" s="31" t="n">
        <v>22068818</v>
      </c>
      <c r="J48" s="31" t="inlineStr">
        <is>
          <t>500247</t>
        </is>
      </c>
    </row>
    <row r="49">
      <c r="A49" s="31" t="inlineStr">
        <is>
          <t>ADFFOODS</t>
        </is>
      </c>
      <c r="B49" s="31" t="inlineStr">
        <is>
          <t>Adf Foods Limited</t>
        </is>
      </c>
      <c r="C49" s="31" t="inlineStr">
        <is>
          <t>fmcg</t>
        </is>
      </c>
      <c r="D49" s="31" t="inlineStr">
        <is>
          <t>food - processing - indian</t>
        </is>
      </c>
      <c r="E49" s="31" t="inlineStr">
        <is>
          <t>smallcap</t>
        </is>
      </c>
      <c r="F49" s="31" t="n">
        <v>3204.72</v>
      </c>
      <c r="G49" s="31" t="n">
        <v>288.3</v>
      </c>
      <c r="H49" s="31" t="n">
        <v>-1.17</v>
      </c>
      <c r="I49" s="31" t="n">
        <v>118955</v>
      </c>
      <c r="J49" s="31" t="inlineStr">
        <is>
          <t>519183</t>
        </is>
      </c>
    </row>
    <row r="50">
      <c r="A50" s="31" t="inlineStr">
        <is>
          <t>VINDHYATEL</t>
        </is>
      </c>
      <c r="B50" s="31" t="inlineStr">
        <is>
          <t>Vindhya Telelinks Limited</t>
        </is>
      </c>
      <c r="C50" s="31" t="inlineStr">
        <is>
          <t>realty</t>
        </is>
      </c>
      <c r="D50" s="31" t="inlineStr">
        <is>
          <t>construction</t>
        </is>
      </c>
      <c r="E50" s="31" t="inlineStr">
        <is>
          <t>smallcap</t>
        </is>
      </c>
      <c r="F50" s="31" t="n">
        <v>3330.21</v>
      </c>
      <c r="G50" s="31" t="n">
        <v>2776.7</v>
      </c>
      <c r="H50" s="31" t="n">
        <v>-1.19</v>
      </c>
      <c r="I50" s="31" t="n">
        <v>72244</v>
      </c>
      <c r="J50" s="31" t="inlineStr">
        <is>
          <t>517015</t>
        </is>
      </c>
    </row>
    <row r="51">
      <c r="A51" s="31" t="inlineStr">
        <is>
          <t>E2E</t>
        </is>
      </c>
      <c r="B51" s="31" t="inlineStr">
        <is>
          <t>E2E Networks Ltd</t>
        </is>
      </c>
      <c r="C51" s="31" t="inlineStr">
        <is>
          <t>i.t</t>
        </is>
      </c>
      <c r="D51" s="31" t="inlineStr">
        <is>
          <t>computers - software - medium / small</t>
        </is>
      </c>
      <c r="E51" s="31" t="inlineStr">
        <is>
          <t>midcap</t>
        </is>
      </c>
      <c r="F51" s="31" t="n">
        <v>14868.51</v>
      </c>
      <c r="G51" s="31" t="n">
        <v>714.15</v>
      </c>
      <c r="H51" s="31" t="n">
        <v>-1.27</v>
      </c>
      <c r="I51" s="31" t="n">
        <v>950336</v>
      </c>
      <c r="J51" s="31" t="inlineStr">
        <is>
          <t>535080</t>
        </is>
      </c>
    </row>
    <row r="52">
      <c r="A52" s="31" t="inlineStr">
        <is>
          <t>PANACHE</t>
        </is>
      </c>
      <c r="B52" s="31" t="inlineStr">
        <is>
          <t>Panache Digilife Ltd</t>
        </is>
      </c>
      <c r="C52" s="31" t="inlineStr">
        <is>
          <t>i.t</t>
        </is>
      </c>
      <c r="D52" s="31" t="inlineStr">
        <is>
          <t>computers - hardware</t>
        </is>
      </c>
      <c r="E52" s="31" t="inlineStr">
        <is>
          <t>smallcap</t>
        </is>
      </c>
      <c r="F52" s="31" t="n">
        <v>956.76</v>
      </c>
      <c r="G52" s="31" t="n">
        <v>589.25</v>
      </c>
      <c r="H52" s="31" t="n">
        <v>-1.37</v>
      </c>
      <c r="I52" s="31" t="n">
        <v>225061</v>
      </c>
      <c r="J52" s="31" t="inlineStr">
        <is>
          <t>538424</t>
        </is>
      </c>
    </row>
    <row r="53">
      <c r="A53" s="31" t="inlineStr">
        <is>
          <t>NRAIL</t>
        </is>
      </c>
      <c r="B53" s="31" t="inlineStr">
        <is>
          <t>N R Agarwal Industries Ltd</t>
        </is>
      </c>
      <c r="C53" s="31" t="inlineStr">
        <is>
          <t>building materials</t>
        </is>
      </c>
      <c r="D53" s="31" t="inlineStr">
        <is>
          <t>paper</t>
        </is>
      </c>
      <c r="E53" s="31" t="inlineStr">
        <is>
          <t>smallcap</t>
        </is>
      </c>
      <c r="F53" s="31" t="n">
        <v>1124.79</v>
      </c>
      <c r="G53" s="31" t="n">
        <v>651.15</v>
      </c>
      <c r="H53" s="31" t="n">
        <v>-1.48</v>
      </c>
      <c r="I53" s="31" t="n">
        <v>29846</v>
      </c>
      <c r="J53" s="31" t="inlineStr">
        <is>
          <t>516082</t>
        </is>
      </c>
    </row>
    <row r="54">
      <c r="A54" s="31" t="inlineStr">
        <is>
          <t>RATNAVEER</t>
        </is>
      </c>
      <c r="B54" s="31" t="inlineStr">
        <is>
          <t>Ratnaveer Precision Engineering Ltd</t>
        </is>
      </c>
      <c r="C54" s="31" t="inlineStr">
        <is>
          <t>metals &amp; mining</t>
        </is>
      </c>
      <c r="D54" s="31" t="inlineStr">
        <is>
          <t>steel - medium / small</t>
        </is>
      </c>
      <c r="E54" s="31" t="inlineStr">
        <is>
          <t>smallcap</t>
        </is>
      </c>
      <c r="F54" s="31" t="n">
        <v>2823.7</v>
      </c>
      <c r="G54" s="31" t="n">
        <v>331.35</v>
      </c>
      <c r="H54" s="31" t="n">
        <v>-1.52</v>
      </c>
      <c r="I54" s="31" t="n">
        <v>3247691</v>
      </c>
      <c r="J54" s="31" t="inlineStr">
        <is>
          <t>543978</t>
        </is>
      </c>
    </row>
    <row r="55">
      <c r="A55" s="31" t="inlineStr">
        <is>
          <t>NINSYS</t>
        </is>
      </c>
      <c r="B55" s="31" t="inlineStr">
        <is>
          <t>NINtec Systems Ltd</t>
        </is>
      </c>
      <c r="C55" s="31" t="inlineStr">
        <is>
          <t>i.t</t>
        </is>
      </c>
      <c r="D55" s="31" t="inlineStr">
        <is>
          <t>computers - software - medium / small</t>
        </is>
      </c>
      <c r="E55" s="31" t="inlineStr">
        <is>
          <t>smallcap</t>
        </is>
      </c>
      <c r="F55" s="31" t="n">
        <v>1541.34</v>
      </c>
      <c r="G55" s="31" t="n">
        <v>816.45</v>
      </c>
      <c r="H55" s="31" t="n">
        <v>-1.6</v>
      </c>
      <c r="I55" s="31" t="n">
        <v>12531</v>
      </c>
      <c r="J55" s="31" t="inlineStr">
        <is>
          <t>539843</t>
        </is>
      </c>
    </row>
    <row r="56">
      <c r="A56" s="31" t="inlineStr">
        <is>
          <t>GREENPLY</t>
        </is>
      </c>
      <c r="B56" s="31" t="inlineStr">
        <is>
          <t>Greenply Industries Limited</t>
        </is>
      </c>
      <c r="C56" s="31" t="inlineStr">
        <is>
          <t>building materials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3881.33</v>
      </c>
      <c r="G56" s="31" t="n">
        <v>305.7</v>
      </c>
      <c r="H56" s="31" t="n">
        <v>-1.63</v>
      </c>
      <c r="I56" s="31" t="n">
        <v>108920</v>
      </c>
      <c r="J56" s="31" t="inlineStr">
        <is>
          <t>526797</t>
        </is>
      </c>
    </row>
    <row r="57">
      <c r="A57" s="31" t="inlineStr">
        <is>
          <t>FILATEX</t>
        </is>
      </c>
      <c r="B57" s="31" t="inlineStr">
        <is>
          <t>Filatex India Limited</t>
        </is>
      </c>
      <c r="C57" s="31" t="inlineStr">
        <is>
          <t>textiles</t>
        </is>
      </c>
      <c r="D57" s="31" t="inlineStr">
        <is>
          <t>textiles - manmade</t>
        </is>
      </c>
      <c r="E57" s="31" t="inlineStr">
        <is>
          <t>smallcap</t>
        </is>
      </c>
      <c r="F57" s="31" t="n">
        <v>4957.02</v>
      </c>
      <c r="G57" s="31" t="n">
        <v>109.74</v>
      </c>
      <c r="H57" s="31" t="n">
        <v>-1.69</v>
      </c>
      <c r="I57" s="31" t="n">
        <v>2775146</v>
      </c>
      <c r="J57" s="31" t="inlineStr">
        <is>
          <t>526227</t>
        </is>
      </c>
    </row>
    <row r="58">
      <c r="A58" s="31" t="inlineStr">
        <is>
          <t>KINGFA</t>
        </is>
      </c>
      <c r="B58" s="31" t="inlineStr">
        <is>
          <t>Kingfa Science &amp; Technology (india) Limited</t>
        </is>
      </c>
      <c r="C58" s="31" t="inlineStr">
        <is>
          <t>plastic products</t>
        </is>
      </c>
      <c r="D58" s="31" t="inlineStr">
        <is>
          <t>plastics products</t>
        </is>
      </c>
      <c r="E58" s="31" t="inlineStr">
        <is>
          <t>midcap</t>
        </is>
      </c>
      <c r="F58" s="31" t="n">
        <v>9394.49</v>
      </c>
      <c r="G58" s="31" t="n">
        <v>6804</v>
      </c>
      <c r="H58" s="31" t="n">
        <v>-1.85</v>
      </c>
      <c r="I58" s="31" t="n">
        <v>8335</v>
      </c>
      <c r="J58" s="31" t="inlineStr">
        <is>
          <t>524019</t>
        </is>
      </c>
    </row>
    <row r="59">
      <c r="A59" s="31" t="inlineStr">
        <is>
          <t>MVGJL</t>
        </is>
      </c>
      <c r="B59" s="31" t="inlineStr">
        <is>
          <t>Manoj Vaibhav Gems N Jewellers Ltd</t>
        </is>
      </c>
      <c r="C59" s="31" t="inlineStr">
        <is>
          <t>consumer discretionary</t>
        </is>
      </c>
      <c r="D59" s="31" t="inlineStr">
        <is>
          <t>diamond cutting / jewellery</t>
        </is>
      </c>
      <c r="E59" s="31" t="inlineStr">
        <is>
          <t>smallcap</t>
        </is>
      </c>
      <c r="F59" s="31" t="n">
        <v>1037.47</v>
      </c>
      <c r="G59" s="31" t="n">
        <v>208.29</v>
      </c>
      <c r="H59" s="31" t="n">
        <v>-1.93</v>
      </c>
      <c r="I59" s="31" t="n">
        <v>275432</v>
      </c>
      <c r="J59" s="31" t="inlineStr">
        <is>
          <t>543995</t>
        </is>
      </c>
    </row>
    <row r="60">
      <c r="A60" s="31" t="inlineStr">
        <is>
          <t>SATIA</t>
        </is>
      </c>
      <c r="B60" s="31" t="inlineStr">
        <is>
          <t>Satia Industries Ltd</t>
        </is>
      </c>
      <c r="C60" s="31" t="inlineStr">
        <is>
          <t>building materials</t>
        </is>
      </c>
      <c r="D60" s="31" t="inlineStr">
        <is>
          <t>paper</t>
        </is>
      </c>
      <c r="E60" s="31" t="inlineStr">
        <is>
          <t>smallcap</t>
        </is>
      </c>
      <c r="F60" s="31" t="n">
        <v>690</v>
      </c>
      <c r="G60" s="31" t="n">
        <v>67.64</v>
      </c>
      <c r="H60" s="31" t="n">
        <v>-1.97</v>
      </c>
      <c r="I60" s="31" t="n">
        <v>173194</v>
      </c>
      <c r="J60" s="31" t="inlineStr">
        <is>
          <t>539201</t>
        </is>
      </c>
    </row>
    <row r="61">
      <c r="A61" s="31" t="inlineStr">
        <is>
          <t>MBECL</t>
        </is>
      </c>
      <c r="B61" s="31" t="inlineStr">
        <is>
          <t>Mcnally Bharat Engineering Company Limited</t>
        </is>
      </c>
      <c r="C61" s="31" t="inlineStr">
        <is>
          <t>realty</t>
        </is>
      </c>
      <c r="D61" s="31" t="inlineStr">
        <is>
          <t>engineering - turnkey services</t>
        </is>
      </c>
      <c r="E61" s="31" t="inlineStr">
        <is>
          <t>smallcap</t>
        </is>
      </c>
      <c r="F61" s="31" t="n">
        <v>1613.17</v>
      </c>
      <c r="G61" s="31" t="n">
        <v>474.3</v>
      </c>
      <c r="H61" s="31" t="n">
        <v>-1.99</v>
      </c>
      <c r="I61" s="31" t="n">
        <v>512</v>
      </c>
      <c r="J61" s="31" t="inlineStr">
        <is>
          <t>532629</t>
        </is>
      </c>
    </row>
    <row r="62">
      <c r="A62" s="31" t="inlineStr">
        <is>
          <t>SMCGLOBAL</t>
        </is>
      </c>
      <c r="B62" s="31" t="inlineStr">
        <is>
          <t>SMC Global Securities Ltd</t>
        </is>
      </c>
      <c r="C62" s="31" t="inlineStr">
        <is>
          <t>financials</t>
        </is>
      </c>
      <c r="D62" s="31" t="inlineStr">
        <is>
          <t>finance &amp; investments</t>
        </is>
      </c>
      <c r="E62" s="31" t="inlineStr">
        <is>
          <t>smallcap</t>
        </is>
      </c>
      <c r="F62" s="31" t="n">
        <v>2308.43</v>
      </c>
      <c r="G62" s="31" t="n">
        <v>107.83</v>
      </c>
      <c r="H62" s="31" t="n">
        <v>-2.19</v>
      </c>
      <c r="I62" s="31" t="n">
        <v>3775916</v>
      </c>
      <c r="J62" s="31" t="inlineStr">
        <is>
          <t>543263</t>
        </is>
      </c>
    </row>
    <row r="63">
      <c r="A63" s="31" t="inlineStr">
        <is>
          <t>DEEPINDS</t>
        </is>
      </c>
      <c r="B63" s="31" t="inlineStr">
        <is>
          <t>Deep Industries Ltd</t>
        </is>
      </c>
      <c r="C63" s="31" t="inlineStr">
        <is>
          <t>energy</t>
        </is>
      </c>
      <c r="D63" s="31" t="inlineStr">
        <is>
          <t>oil drilling / allied services</t>
        </is>
      </c>
      <c r="E63" s="31" t="inlineStr">
        <is>
          <t>midcap</t>
        </is>
      </c>
      <c r="F63" s="31" t="n">
        <v>5091.84</v>
      </c>
      <c r="G63" s="31" t="n">
        <v>777.6</v>
      </c>
      <c r="H63" s="31" t="n">
        <v>-2.26</v>
      </c>
      <c r="I63" s="31" t="n">
        <v>347535</v>
      </c>
      <c r="J63" s="31" t="inlineStr">
        <is>
          <t>543288</t>
        </is>
      </c>
    </row>
    <row r="64">
      <c r="A64" s="31" t="inlineStr">
        <is>
          <t>BIL</t>
        </is>
      </c>
      <c r="B64" s="31" t="inlineStr">
        <is>
          <t>Bhartiya International Limited</t>
        </is>
      </c>
      <c r="C64" s="31" t="inlineStr">
        <is>
          <t>consumer discretionary</t>
        </is>
      </c>
      <c r="D64" s="31" t="inlineStr">
        <is>
          <t>leather / leather products</t>
        </is>
      </c>
      <c r="E64" s="31" t="inlineStr">
        <is>
          <t>smallcap</t>
        </is>
      </c>
      <c r="F64" s="31" t="n">
        <v>1438.8</v>
      </c>
      <c r="G64" s="31" t="n">
        <v>1048.55</v>
      </c>
      <c r="H64" s="31" t="n">
        <v>-2.27</v>
      </c>
      <c r="I64" s="31" t="n">
        <v>7802</v>
      </c>
      <c r="J64" s="31" t="inlineStr">
        <is>
          <t>526666</t>
        </is>
      </c>
    </row>
    <row r="65">
      <c r="A65" s="31" t="inlineStr">
        <is>
          <t>GLAND</t>
        </is>
      </c>
      <c r="B65" s="31" t="inlineStr">
        <is>
          <t>Gland Pharma Ltd</t>
        </is>
      </c>
      <c r="C65" s="31" t="inlineStr">
        <is>
          <t>healthcare</t>
        </is>
      </c>
      <c r="D65" s="31" t="inlineStr">
        <is>
          <t>pharmaceuticals - indian - formulations</t>
        </is>
      </c>
      <c r="E65" s="31" t="inlineStr">
        <is>
          <t>largecap</t>
        </is>
      </c>
      <c r="F65" s="31" t="n">
        <v>51972.2</v>
      </c>
      <c r="G65" s="31" t="n">
        <v>3079.1</v>
      </c>
      <c r="H65" s="31" t="n">
        <v>-2.27</v>
      </c>
      <c r="I65" s="31" t="n">
        <v>495007</v>
      </c>
      <c r="J65" s="31" t="inlineStr">
        <is>
          <t>543245</t>
        </is>
      </c>
    </row>
    <row r="66">
      <c r="A66" s="31" t="inlineStr">
        <is>
          <t>CPPLUS</t>
        </is>
      </c>
      <c r="B66" s="31" t="inlineStr">
        <is>
          <t>Aditya Infotech Ltd</t>
        </is>
      </c>
      <c r="C66" s="31" t="inlineStr">
        <is>
          <t>consumer discretionary</t>
        </is>
      </c>
      <c r="D66" s="31" t="inlineStr">
        <is>
          <t>trading</t>
        </is>
      </c>
      <c r="E66" s="31" t="inlineStr">
        <is>
          <t>largecap</t>
        </is>
      </c>
      <c r="F66" s="31" t="n">
        <v>49846.63</v>
      </c>
      <c r="G66" s="31" t="n">
        <v>3972.2</v>
      </c>
      <c r="H66" s="31" t="n">
        <v>-2.28</v>
      </c>
      <c r="I66" s="31" t="n">
        <v>272957</v>
      </c>
      <c r="J66" s="31" t="inlineStr">
        <is>
          <t>544466</t>
        </is>
      </c>
    </row>
    <row r="67">
      <c r="A67" s="31" t="inlineStr">
        <is>
          <t>GLOBAL</t>
        </is>
      </c>
      <c r="B67" s="31" t="inlineStr">
        <is>
          <t>Global Education Ltd</t>
        </is>
      </c>
      <c r="C67" s="31" t="inlineStr">
        <is>
          <t>services</t>
        </is>
      </c>
      <c r="D67" s="31" t="inlineStr">
        <is>
          <t>miscellaneous</t>
        </is>
      </c>
      <c r="E67" s="31" t="inlineStr">
        <is>
          <t>smallcap</t>
        </is>
      </c>
      <c r="F67" s="31" t="n">
        <v>737</v>
      </c>
      <c r="G67" s="31" t="n">
        <v>141.41</v>
      </c>
      <c r="H67" s="31" t="n">
        <v>-2.33</v>
      </c>
      <c r="I67" s="31" t="n">
        <v>147670</v>
      </c>
      <c r="J67" s="31" t="inlineStr">
        <is>
          <t>538406</t>
        </is>
      </c>
    </row>
    <row r="68">
      <c r="A68" s="31" t="inlineStr">
        <is>
          <t>SPECTRUM</t>
        </is>
      </c>
      <c r="B68" s="31" t="inlineStr">
        <is>
          <t>Spectrum Electrical Industries Ltd</t>
        </is>
      </c>
      <c r="C68" s="31" t="inlineStr">
        <is>
          <t>industrials</t>
        </is>
      </c>
      <c r="D68" s="31" t="inlineStr">
        <is>
          <t>electric equipment</t>
        </is>
      </c>
      <c r="E68" s="31" t="inlineStr">
        <is>
          <t>midcap</t>
        </is>
      </c>
      <c r="F68" s="31" t="n">
        <v>6670.43</v>
      </c>
      <c r="G68" s="31" t="n">
        <v>3810.6</v>
      </c>
      <c r="H68" s="31" t="n">
        <v>-2.38</v>
      </c>
      <c r="I68" s="31" t="n">
        <v>5196</v>
      </c>
      <c r="J68" s="31" t="inlineStr">
        <is>
          <t>535112</t>
        </is>
      </c>
    </row>
    <row r="69">
      <c r="A69" s="31" t="inlineStr">
        <is>
          <t>DYNAMATECH</t>
        </is>
      </c>
      <c r="B69" s="31" t="inlineStr">
        <is>
          <t>Dynamatic Technologies Limited</t>
        </is>
      </c>
      <c r="C69" s="31" t="inlineStr">
        <is>
          <t>aerospace &amp; defence</t>
        </is>
      </c>
      <c r="D69" s="31" t="inlineStr">
        <is>
          <t>engineering</t>
        </is>
      </c>
      <c r="E69" s="31" t="inlineStr">
        <is>
          <t>midcap</t>
        </is>
      </c>
      <c r="F69" s="31" t="n">
        <v>9319.9</v>
      </c>
      <c r="G69" s="31" t="n">
        <v>13391</v>
      </c>
      <c r="H69" s="31" t="n">
        <v>-2.42</v>
      </c>
      <c r="I69" s="31" t="n">
        <v>21879</v>
      </c>
      <c r="J69" s="31" t="inlineStr">
        <is>
          <t>505242</t>
        </is>
      </c>
    </row>
    <row r="70">
      <c r="A70" s="31" t="inlineStr">
        <is>
          <t>AETHER</t>
        </is>
      </c>
      <c r="B70" s="31" t="inlineStr">
        <is>
          <t>Aether Industries Ltd</t>
        </is>
      </c>
      <c r="C70" s="31" t="inlineStr">
        <is>
          <t>chemicals</t>
        </is>
      </c>
      <c r="D70" s="31" t="inlineStr">
        <is>
          <t>chemicals</t>
        </is>
      </c>
      <c r="E70" s="31" t="inlineStr">
        <is>
          <t>largecap</t>
        </is>
      </c>
      <c r="F70" s="31" t="n">
        <v>23723.7</v>
      </c>
      <c r="G70" s="31" t="n">
        <v>1744.1</v>
      </c>
      <c r="H70" s="31" t="n">
        <v>-2.43</v>
      </c>
      <c r="I70" s="31" t="n">
        <v>198493</v>
      </c>
      <c r="J70" s="31" t="inlineStr">
        <is>
          <t>543534</t>
        </is>
      </c>
    </row>
    <row r="71">
      <c r="A71" s="31" t="inlineStr">
        <is>
          <t>GESHIP</t>
        </is>
      </c>
      <c r="B71" s="31" t="inlineStr">
        <is>
          <t>The Great Eastern Shipping Company Limited</t>
        </is>
      </c>
      <c r="C71" s="31" t="inlineStr">
        <is>
          <t>transportation</t>
        </is>
      </c>
      <c r="D71" s="31" t="inlineStr">
        <is>
          <t>shipping</t>
        </is>
      </c>
      <c r="E71" s="31" t="inlineStr">
        <is>
          <t>largecap</t>
        </is>
      </c>
      <c r="F71" s="31" t="n">
        <v>22384.46</v>
      </c>
      <c r="G71" s="31" t="n">
        <v>1529.7</v>
      </c>
      <c r="H71" s="31" t="n">
        <v>-2.44</v>
      </c>
      <c r="I71" s="31" t="n">
        <v>808062</v>
      </c>
      <c r="J71" s="31" t="inlineStr">
        <is>
          <t>500620</t>
        </is>
      </c>
    </row>
    <row r="72">
      <c r="A72" s="31" t="inlineStr">
        <is>
          <t>JAMNAAUTO</t>
        </is>
      </c>
      <c r="B72" s="31" t="inlineStr">
        <is>
          <t>Jamna Auto Industries Limited</t>
        </is>
      </c>
      <c r="C72" s="31" t="inlineStr">
        <is>
          <t>auto</t>
        </is>
      </c>
      <c r="D72" s="31" t="inlineStr">
        <is>
          <t>auto ancillaries</t>
        </is>
      </c>
      <c r="E72" s="31" t="inlineStr">
        <is>
          <t>midcap</t>
        </is>
      </c>
      <c r="F72" s="31" t="n">
        <v>6067.56</v>
      </c>
      <c r="G72" s="31" t="n">
        <v>147.95</v>
      </c>
      <c r="H72" s="31" t="n">
        <v>-2.52</v>
      </c>
      <c r="I72" s="31" t="n">
        <v>4686358</v>
      </c>
      <c r="J72" s="31" t="inlineStr">
        <is>
          <t>520051</t>
        </is>
      </c>
    </row>
    <row r="73">
      <c r="A73" s="31" t="inlineStr">
        <is>
          <t>THELEELA</t>
        </is>
      </c>
      <c r="B73" s="31" t="inlineStr">
        <is>
          <t>Leela Palaces Hotels &amp; Resorts Ltd</t>
        </is>
      </c>
      <c r="C73" s="31" t="inlineStr">
        <is>
          <t>services</t>
        </is>
      </c>
      <c r="D73" s="31" t="inlineStr">
        <is>
          <t>hotels</t>
        </is>
      </c>
      <c r="E73" s="31" t="inlineStr">
        <is>
          <t>largecap</t>
        </is>
      </c>
      <c r="F73" s="31" t="n">
        <v>20119.29</v>
      </c>
      <c r="G73" s="31" t="n">
        <v>586.95</v>
      </c>
      <c r="H73" s="31" t="n">
        <v>-2.57</v>
      </c>
      <c r="I73" s="31" t="n">
        <v>253791</v>
      </c>
      <c r="J73" s="31" t="inlineStr">
        <is>
          <t>544408</t>
        </is>
      </c>
    </row>
    <row r="74">
      <c r="A74" s="31" t="inlineStr">
        <is>
          <t>PVRINOX</t>
        </is>
      </c>
      <c r="B74" s="31" t="inlineStr">
        <is>
          <t>PVR Inox Ltd</t>
        </is>
      </c>
      <c r="C74" s="31" t="inlineStr">
        <is>
          <t>media</t>
        </is>
      </c>
      <c r="D74" s="31" t="inlineStr">
        <is>
          <t>entertainment / electronic media software</t>
        </is>
      </c>
      <c r="E74" s="31" t="inlineStr">
        <is>
          <t>midcap</t>
        </is>
      </c>
      <c r="F74" s="31" t="n">
        <v>13196.11</v>
      </c>
      <c r="G74" s="31" t="n">
        <v>1309.2</v>
      </c>
      <c r="H74" s="31" t="n">
        <v>-2.57</v>
      </c>
      <c r="I74" s="31" t="n">
        <v>661907</v>
      </c>
      <c r="J74" s="31" t="inlineStr">
        <is>
          <t>532689</t>
        </is>
      </c>
    </row>
    <row r="75">
      <c r="A75" s="31" t="inlineStr">
        <is>
          <t>LAURUSLABS</t>
        </is>
      </c>
      <c r="B75" s="31" t="inlineStr">
        <is>
          <t>Laurus Labs Limited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largecap</t>
        </is>
      </c>
      <c r="F75" s="31" t="n">
        <v>110902.43</v>
      </c>
      <c r="G75" s="31" t="n">
        <v>1997.9</v>
      </c>
      <c r="H75" s="31" t="n">
        <v>-2.67</v>
      </c>
      <c r="I75" s="31" t="n">
        <v>1394208</v>
      </c>
      <c r="J75" s="31" t="inlineStr">
        <is>
          <t>540222</t>
        </is>
      </c>
    </row>
    <row r="76">
      <c r="A76" s="31" t="inlineStr">
        <is>
          <t>RBZJEWEL</t>
        </is>
      </c>
      <c r="B76" s="31" t="inlineStr">
        <is>
          <t>RBZ Jewellers Ltd</t>
        </is>
      </c>
      <c r="C76" s="31" t="inlineStr">
        <is>
          <t>consumer discretionary</t>
        </is>
      </c>
      <c r="D76" s="31" t="inlineStr">
        <is>
          <t>diamond cutting / jewellery</t>
        </is>
      </c>
      <c r="E76" s="31" t="inlineStr">
        <is>
          <t>smallcap</t>
        </is>
      </c>
      <c r="F76" s="31" t="n">
        <v>797.52</v>
      </c>
      <c r="G76" s="31" t="n">
        <v>193.98</v>
      </c>
      <c r="H76" s="31" t="n">
        <v>-2.71</v>
      </c>
      <c r="I76" s="31" t="n">
        <v>72214</v>
      </c>
      <c r="J76" s="31" t="inlineStr">
        <is>
          <t>544060</t>
        </is>
      </c>
    </row>
    <row r="77">
      <c r="A77" s="31" t="inlineStr">
        <is>
          <t>PARAGMILK</t>
        </is>
      </c>
      <c r="B77" s="31" t="inlineStr">
        <is>
          <t>Parag Milk Foods Limited</t>
        </is>
      </c>
      <c r="C77" s="31" t="inlineStr">
        <is>
          <t>fmcg</t>
        </is>
      </c>
      <c r="D77" s="31" t="inlineStr">
        <is>
          <t>food - processing - indian</t>
        </is>
      </c>
      <c r="E77" s="31" t="inlineStr">
        <is>
          <t>smallcap</t>
        </is>
      </c>
      <c r="F77" s="31" t="n">
        <v>3916.51</v>
      </c>
      <c r="G77" s="31" t="n">
        <v>303.25</v>
      </c>
      <c r="H77" s="31" t="n">
        <v>-2.74</v>
      </c>
      <c r="I77" s="31" t="n">
        <v>2092973</v>
      </c>
      <c r="J77" s="31" t="inlineStr">
        <is>
          <t>539889</t>
        </is>
      </c>
    </row>
    <row r="78">
      <c r="A78" s="31" t="inlineStr">
        <is>
          <t>PLASTIBLEN</t>
        </is>
      </c>
      <c r="B78" s="31" t="inlineStr">
        <is>
          <t>Plastiblends India Limited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smallcap</t>
        </is>
      </c>
      <c r="F78" s="31" t="n">
        <v>533.01</v>
      </c>
      <c r="G78" s="31" t="n">
        <v>199.47</v>
      </c>
      <c r="H78" s="31" t="n">
        <v>-2.74</v>
      </c>
      <c r="I78" s="31" t="n">
        <v>57601</v>
      </c>
      <c r="J78" s="31" t="inlineStr">
        <is>
          <t>523648</t>
        </is>
      </c>
    </row>
    <row r="79">
      <c r="A79" s="31" t="inlineStr">
        <is>
          <t>STLNETWORK</t>
        </is>
      </c>
      <c r="B79" s="31" t="inlineStr">
        <is>
          <t>STL Networks Ltd</t>
        </is>
      </c>
      <c r="C79" s="31" t="inlineStr">
        <is>
          <t>telecom-service</t>
        </is>
      </c>
      <c r="D79" s="31" t="inlineStr">
        <is>
          <t>telecommunications - service provider</t>
        </is>
      </c>
      <c r="E79" s="31" t="inlineStr">
        <is>
          <t>smallcap</t>
        </is>
      </c>
      <c r="F79" s="31" t="n">
        <v>2412.56</v>
      </c>
      <c r="G79" s="31" t="n">
        <v>48.07</v>
      </c>
      <c r="H79" s="31" t="n">
        <v>-2.75</v>
      </c>
      <c r="I79" s="31" t="n">
        <v>9238203</v>
      </c>
      <c r="J79" s="31" t="inlineStr">
        <is>
          <t>544395</t>
        </is>
      </c>
    </row>
    <row r="80">
      <c r="A80" s="31" t="inlineStr">
        <is>
          <t>BHAGERIA</t>
        </is>
      </c>
      <c r="B80" s="31" t="inlineStr">
        <is>
          <t>Bhageria Industries Limited</t>
        </is>
      </c>
      <c r="C80" s="31" t="inlineStr">
        <is>
          <t>chemicals</t>
        </is>
      </c>
      <c r="D80" s="31" t="inlineStr">
        <is>
          <t>dyes and pigments</t>
        </is>
      </c>
      <c r="E80" s="31" t="inlineStr">
        <is>
          <t>smallcap</t>
        </is>
      </c>
      <c r="F80" s="31" t="n">
        <v>1647.79</v>
      </c>
      <c r="G80" s="31" t="n">
        <v>367</v>
      </c>
      <c r="H80" s="31" t="n">
        <v>-2.79</v>
      </c>
      <c r="I80" s="31" t="n">
        <v>160878</v>
      </c>
      <c r="J80" s="31" t="inlineStr">
        <is>
          <t>530803</t>
        </is>
      </c>
    </row>
    <row r="81">
      <c r="A81" s="31" t="inlineStr">
        <is>
          <t>PREMIERPOL</t>
        </is>
      </c>
      <c r="B81" s="31" t="inlineStr">
        <is>
          <t>Premier Polyfilm Limited</t>
        </is>
      </c>
      <c r="C81" s="31" t="inlineStr">
        <is>
          <t>plastic products</t>
        </is>
      </c>
      <c r="D81" s="31" t="inlineStr">
        <is>
          <t>plastics products</t>
        </is>
      </c>
      <c r="E81" s="31" t="inlineStr">
        <is>
          <t>smallcap</t>
        </is>
      </c>
      <c r="F81" s="31" t="n">
        <v>1060.31</v>
      </c>
      <c r="G81" s="31" t="n">
        <v>98.25</v>
      </c>
      <c r="H81" s="31" t="n">
        <v>-2.94</v>
      </c>
      <c r="I81" s="31" t="n">
        <v>1065254</v>
      </c>
      <c r="J81" s="31" t="inlineStr">
        <is>
          <t>514354</t>
        </is>
      </c>
    </row>
    <row r="82">
      <c r="A82" s="31" t="inlineStr">
        <is>
          <t>RAYMONDREL</t>
        </is>
      </c>
      <c r="B82" s="31" t="inlineStr">
        <is>
          <t>Raymond Realty Ltd</t>
        </is>
      </c>
      <c r="C82" s="31" t="inlineStr">
        <is>
          <t>realty</t>
        </is>
      </c>
      <c r="D82" s="31" t="inlineStr">
        <is>
          <t>construction</t>
        </is>
      </c>
      <c r="E82" s="31" t="inlineStr">
        <is>
          <t>smallcap</t>
        </is>
      </c>
      <c r="F82" s="31" t="n">
        <v>4672.14</v>
      </c>
      <c r="G82" s="31" t="n">
        <v>679.9</v>
      </c>
      <c r="H82" s="31" t="n">
        <v>-3.12</v>
      </c>
      <c r="I82" s="31" t="n">
        <v>688642</v>
      </c>
      <c r="J82" s="31" t="inlineStr">
        <is>
          <t>544420</t>
        </is>
      </c>
    </row>
    <row r="83">
      <c r="A83" s="31" t="inlineStr">
        <is>
          <t>MMP</t>
        </is>
      </c>
      <c r="B83" s="31" t="inlineStr">
        <is>
          <t>MMP Industries Ltd</t>
        </is>
      </c>
      <c r="C83" s="31" t="inlineStr">
        <is>
          <t>metals &amp; mining</t>
        </is>
      </c>
      <c r="D83" s="31" t="inlineStr">
        <is>
          <t>aluminium and aluminium products</t>
        </is>
      </c>
      <c r="E83" s="31" t="inlineStr">
        <is>
          <t>smallcap</t>
        </is>
      </c>
      <c r="F83" s="31" t="n">
        <v>1267.08</v>
      </c>
      <c r="G83" s="31" t="n">
        <v>483.25</v>
      </c>
      <c r="H83" s="31" t="n">
        <v>-3.12</v>
      </c>
      <c r="I83" s="31" t="n">
        <v>213115</v>
      </c>
      <c r="J83" s="31" t="inlineStr">
        <is>
          <t>535071</t>
        </is>
      </c>
    </row>
    <row r="84">
      <c r="A84" s="31" t="inlineStr">
        <is>
          <t>DHAMPURSUG</t>
        </is>
      </c>
      <c r="B84" s="31" t="inlineStr">
        <is>
          <t>Dhampur Sugar Mills Limited</t>
        </is>
      </c>
      <c r="C84" s="31" t="inlineStr">
        <is>
          <t>fmcg</t>
        </is>
      </c>
      <c r="D84" s="31" t="inlineStr">
        <is>
          <t>sugar</t>
        </is>
      </c>
      <c r="E84" s="31" t="inlineStr">
        <is>
          <t>smallcap</t>
        </is>
      </c>
      <c r="F84" s="31" t="n">
        <v>1214.88</v>
      </c>
      <c r="G84" s="31" t="n">
        <v>182.91</v>
      </c>
      <c r="H84" s="31" t="n">
        <v>-3.18</v>
      </c>
      <c r="I84" s="31" t="n">
        <v>886547</v>
      </c>
      <c r="J84" s="31" t="inlineStr">
        <is>
          <t>500119</t>
        </is>
      </c>
    </row>
    <row r="85">
      <c r="A85" s="31" t="inlineStr">
        <is>
          <t>ROSSTECH</t>
        </is>
      </c>
      <c r="B85" s="31" t="inlineStr">
        <is>
          <t>Rossell Techsys Ltd</t>
        </is>
      </c>
      <c r="C85" s="31" t="inlineStr">
        <is>
          <t>aerospace &amp; defence</t>
        </is>
      </c>
      <c r="D85" s="31" t="inlineStr">
        <is>
          <t>engineering</t>
        </is>
      </c>
      <c r="E85" s="31" t="inlineStr">
        <is>
          <t>midcap</t>
        </is>
      </c>
      <c r="F85" s="31" t="n">
        <v>6115.88</v>
      </c>
      <c r="G85" s="31" t="n">
        <v>1570.1</v>
      </c>
      <c r="H85" s="31" t="n">
        <v>-3.22</v>
      </c>
      <c r="I85" s="31" t="n">
        <v>227875</v>
      </c>
      <c r="J85" s="31" t="inlineStr">
        <is>
          <t>544294</t>
        </is>
      </c>
    </row>
    <row r="86">
      <c r="A86" s="31" t="inlineStr">
        <is>
          <t>SSWL</t>
        </is>
      </c>
      <c r="B86" s="31" t="inlineStr">
        <is>
          <t>Steel Strips Wheels Limited</t>
        </is>
      </c>
      <c r="C86" s="31" t="inlineStr">
        <is>
          <t>auto</t>
        </is>
      </c>
      <c r="D86" s="31" t="inlineStr">
        <is>
          <t>auto ancillaries</t>
        </is>
      </c>
      <c r="E86" s="31" t="inlineStr">
        <is>
          <t>midcap</t>
        </is>
      </c>
      <c r="F86" s="31" t="n">
        <v>6667.59</v>
      </c>
      <c r="G86" s="31" t="n">
        <v>410.5</v>
      </c>
      <c r="H86" s="31" t="n">
        <v>-3.23</v>
      </c>
      <c r="I86" s="31" t="n">
        <v>1268927</v>
      </c>
      <c r="J86" s="31" t="inlineStr">
        <is>
          <t>513262</t>
        </is>
      </c>
    </row>
    <row r="87">
      <c r="A87" s="31" t="inlineStr">
        <is>
          <t>NELCAST</t>
        </is>
      </c>
      <c r="B87" s="31" t="inlineStr">
        <is>
          <t>Nelcast Limited</t>
        </is>
      </c>
      <c r="C87" s="31" t="inlineStr">
        <is>
          <t>castings, forgings &amp; fasteners</t>
        </is>
      </c>
      <c r="D87" s="31" t="inlineStr">
        <is>
          <t>castings &amp; forgings</t>
        </is>
      </c>
      <c r="E87" s="31" t="inlineStr">
        <is>
          <t>smallcap</t>
        </is>
      </c>
      <c r="F87" s="31" t="n">
        <v>1272.74</v>
      </c>
      <c r="G87" s="31" t="n">
        <v>141.52</v>
      </c>
      <c r="H87" s="31" t="n">
        <v>-3.26</v>
      </c>
      <c r="I87" s="31" t="n">
        <v>1946820</v>
      </c>
      <c r="J87" s="31" t="inlineStr">
        <is>
          <t>532864</t>
        </is>
      </c>
    </row>
    <row r="88">
      <c r="A88" s="31" t="inlineStr">
        <is>
          <t>RAYMOND</t>
        </is>
      </c>
      <c r="B88" s="31" t="inlineStr">
        <is>
          <t>Raymond Limited</t>
        </is>
      </c>
      <c r="C88" s="31" t="inlineStr">
        <is>
          <t>transportation</t>
        </is>
      </c>
      <c r="D88" s="31" t="inlineStr">
        <is>
          <t>transport - airlines</t>
        </is>
      </c>
      <c r="E88" s="31" t="inlineStr">
        <is>
          <t>midcap</t>
        </is>
      </c>
      <c r="F88" s="31" t="n">
        <v>8033.45</v>
      </c>
      <c r="G88" s="31" t="n">
        <v>1167.1</v>
      </c>
      <c r="H88" s="31" t="n">
        <v>-3.28</v>
      </c>
      <c r="I88" s="31" t="n">
        <v>1649827</v>
      </c>
      <c r="J88" s="31" t="inlineStr">
        <is>
          <t>500330</t>
        </is>
      </c>
    </row>
    <row r="89">
      <c r="A89" s="31" t="inlineStr">
        <is>
          <t>WHEELS</t>
        </is>
      </c>
      <c r="B89" s="31" t="inlineStr">
        <is>
          <t>Wheels India Limited</t>
        </is>
      </c>
      <c r="C89" s="31" t="inlineStr">
        <is>
          <t>auto</t>
        </is>
      </c>
      <c r="D89" s="31" t="inlineStr">
        <is>
          <t>auto ancillaries</t>
        </is>
      </c>
      <c r="E89" s="31" t="inlineStr">
        <is>
          <t>midcap</t>
        </is>
      </c>
      <c r="F89" s="31" t="n">
        <v>5580.26</v>
      </c>
      <c r="G89" s="31" t="n">
        <v>2208.2</v>
      </c>
      <c r="H89" s="31" t="n">
        <v>-3.31</v>
      </c>
      <c r="I89" s="31" t="n">
        <v>246531</v>
      </c>
      <c r="J89" s="31" t="inlineStr">
        <is>
          <t>590073</t>
        </is>
      </c>
    </row>
    <row r="90">
      <c r="A90" s="31" t="inlineStr">
        <is>
          <t>SOMANYCERA</t>
        </is>
      </c>
      <c r="B90" s="31" t="inlineStr">
        <is>
          <t>Somany Ceramics Limited</t>
        </is>
      </c>
      <c r="C90" s="31" t="inlineStr">
        <is>
          <t>building materials</t>
        </is>
      </c>
      <c r="D90" s="31" t="inlineStr">
        <is>
          <t>ceramics - tiles / sanitaryware</t>
        </is>
      </c>
      <c r="E90" s="31" t="inlineStr">
        <is>
          <t>smallcap</t>
        </is>
      </c>
      <c r="F90" s="31" t="n">
        <v>2547.51</v>
      </c>
      <c r="G90" s="31" t="n">
        <v>600.6</v>
      </c>
      <c r="H90" s="31" t="n">
        <v>-3.31</v>
      </c>
      <c r="I90" s="31" t="n">
        <v>76485</v>
      </c>
      <c r="J90" s="31" t="inlineStr">
        <is>
          <t>531548</t>
        </is>
      </c>
    </row>
    <row r="91">
      <c r="A91" s="31" t="inlineStr">
        <is>
          <t>TDPOWERSYS</t>
        </is>
      </c>
      <c r="B91" s="31" t="inlineStr">
        <is>
          <t>Td Power Systems Limited</t>
        </is>
      </c>
      <c r="C91" s="31" t="inlineStr">
        <is>
          <t>industrials</t>
        </is>
      </c>
      <c r="D91" s="31" t="inlineStr">
        <is>
          <t>electric equipment</t>
        </is>
      </c>
      <c r="E91" s="31" t="inlineStr">
        <is>
          <t>midcap</t>
        </is>
      </c>
      <c r="F91" s="31" t="n">
        <v>12827.92</v>
      </c>
      <c r="G91" s="31" t="n">
        <v>793.5</v>
      </c>
      <c r="H91" s="31" t="n">
        <v>-3.36</v>
      </c>
      <c r="I91" s="31" t="n">
        <v>2548022</v>
      </c>
      <c r="J91" s="31" t="inlineStr">
        <is>
          <t>533553</t>
        </is>
      </c>
    </row>
    <row r="92">
      <c r="A92" s="31" t="inlineStr">
        <is>
          <t>SUNTV</t>
        </is>
      </c>
      <c r="B92" s="31" t="inlineStr">
        <is>
          <t>Sun Tv Network Limited</t>
        </is>
      </c>
      <c r="C92" s="31" t="inlineStr">
        <is>
          <t>media</t>
        </is>
      </c>
      <c r="D92" s="31" t="inlineStr">
        <is>
          <t>entertainment / electronic media software</t>
        </is>
      </c>
      <c r="E92" s="31" t="inlineStr">
        <is>
          <t>largecap</t>
        </is>
      </c>
      <c r="F92" s="31" t="n">
        <v>25083.49</v>
      </c>
      <c r="G92" s="31" t="n">
        <v>614.2</v>
      </c>
      <c r="H92" s="31" t="n">
        <v>-3.5</v>
      </c>
      <c r="I92" s="31" t="n">
        <v>1100802</v>
      </c>
      <c r="J92" s="31" t="inlineStr">
        <is>
          <t>532733</t>
        </is>
      </c>
    </row>
    <row r="93">
      <c r="A93" s="31" t="inlineStr">
        <is>
          <t>MIDHANI</t>
        </is>
      </c>
      <c r="B93" s="31" t="inlineStr">
        <is>
          <t>Mishra Dhatu Nigam Ltd</t>
        </is>
      </c>
      <c r="C93" s="31" t="inlineStr">
        <is>
          <t>aerospace &amp; defence</t>
        </is>
      </c>
      <c r="D93" s="31" t="inlineStr">
        <is>
          <t>steel - medium / small</t>
        </is>
      </c>
      <c r="E93" s="31" t="inlineStr">
        <is>
          <t>midcap</t>
        </is>
      </c>
      <c r="F93" s="31" t="n">
        <v>8593.290000000001</v>
      </c>
      <c r="G93" s="31" t="n">
        <v>442.55</v>
      </c>
      <c r="H93" s="31" t="n">
        <v>-3.52</v>
      </c>
      <c r="I93" s="31" t="n">
        <v>655965</v>
      </c>
      <c r="J93" s="31" t="inlineStr">
        <is>
          <t>541195</t>
        </is>
      </c>
    </row>
    <row r="94">
      <c r="A94" s="31" t="inlineStr">
        <is>
          <t>TFCILTD</t>
        </is>
      </c>
      <c r="B94" s="31" t="inlineStr">
        <is>
          <t>Tourism Finance Corporation Of India Limited</t>
        </is>
      </c>
      <c r="C94" s="31" t="inlineStr">
        <is>
          <t>financials</t>
        </is>
      </c>
      <c r="D94" s="31" t="inlineStr">
        <is>
          <t>finance - term-lending institutions</t>
        </is>
      </c>
      <c r="E94" s="31" t="inlineStr">
        <is>
          <t>midcap</t>
        </is>
      </c>
      <c r="F94" s="31" t="n">
        <v>7048.37</v>
      </c>
      <c r="G94" s="31" t="n">
        <v>146.65</v>
      </c>
      <c r="H94" s="31" t="n">
        <v>-3.67</v>
      </c>
      <c r="I94" s="31" t="n">
        <v>8707702</v>
      </c>
      <c r="J94" s="31" t="inlineStr">
        <is>
          <t>526650</t>
        </is>
      </c>
    </row>
    <row r="95">
      <c r="A95" s="31" t="inlineStr">
        <is>
          <t>ATLANTAELE</t>
        </is>
      </c>
      <c r="B95" s="31" t="inlineStr">
        <is>
          <t>Atlanta Electricals Ltd</t>
        </is>
      </c>
      <c r="C95" s="31" t="inlineStr">
        <is>
          <t>industrials</t>
        </is>
      </c>
      <c r="D95" s="31" t="inlineStr">
        <is>
          <t>electric equipment</t>
        </is>
      </c>
      <c r="E95" s="31" t="inlineStr">
        <is>
          <t>midcap</t>
        </is>
      </c>
      <c r="F95" s="31" t="n">
        <v>14424.27</v>
      </c>
      <c r="G95" s="31" t="n">
        <v>1806.6</v>
      </c>
      <c r="H95" s="31" t="n">
        <v>-3.69</v>
      </c>
      <c r="I95" s="31" t="n">
        <v>336989</v>
      </c>
      <c r="J95" s="31" t="inlineStr">
        <is>
          <t>544527</t>
        </is>
      </c>
    </row>
    <row r="96">
      <c r="A96" s="31" t="inlineStr">
        <is>
          <t>LOKESHMACH</t>
        </is>
      </c>
      <c r="B96" s="31" t="inlineStr">
        <is>
          <t>Lokesh Machines Limited</t>
        </is>
      </c>
      <c r="C96" s="31" t="inlineStr">
        <is>
          <t>industrials</t>
        </is>
      </c>
      <c r="D96" s="31" t="inlineStr">
        <is>
          <t>engineering</t>
        </is>
      </c>
      <c r="E96" s="31" t="inlineStr">
        <is>
          <t>smallcap</t>
        </is>
      </c>
      <c r="F96" s="31" t="n">
        <v>1014.53</v>
      </c>
      <c r="G96" s="31" t="n">
        <v>447.85</v>
      </c>
      <c r="H96" s="31" t="n">
        <v>-3.78</v>
      </c>
      <c r="I96" s="31" t="n">
        <v>424361</v>
      </c>
      <c r="J96" s="31" t="inlineStr">
        <is>
          <t>532740</t>
        </is>
      </c>
    </row>
    <row r="97">
      <c r="A97" s="31" t="inlineStr">
        <is>
          <t>LOTUSDEV</t>
        </is>
      </c>
      <c r="B97" s="31" t="inlineStr">
        <is>
          <t>Sri Lotus Developers &amp; Realty Ltd</t>
        </is>
      </c>
      <c r="C97" s="31" t="inlineStr">
        <is>
          <t>realty</t>
        </is>
      </c>
      <c r="D97" s="31" t="inlineStr">
        <is>
          <t>construction</t>
        </is>
      </c>
      <c r="E97" s="31" t="inlineStr">
        <is>
          <t>midcap</t>
        </is>
      </c>
      <c r="F97" s="31" t="n">
        <v>11872.08</v>
      </c>
      <c r="G97" s="31" t="n">
        <v>233.73</v>
      </c>
      <c r="H97" s="31" t="n">
        <v>-3.78</v>
      </c>
      <c r="I97" s="31" t="n">
        <v>521433</v>
      </c>
      <c r="J97" s="31" t="inlineStr">
        <is>
          <t>544469</t>
        </is>
      </c>
    </row>
    <row r="98">
      <c r="A98" s="31" t="inlineStr">
        <is>
          <t>INDOAMIN</t>
        </is>
      </c>
      <c r="B98" s="31" t="inlineStr">
        <is>
          <t>Indo Amines Ltd</t>
        </is>
      </c>
      <c r="C98" s="31" t="inlineStr">
        <is>
          <t>chemicals</t>
        </is>
      </c>
      <c r="D98" s="31" t="inlineStr">
        <is>
          <t>chemicals</t>
        </is>
      </c>
      <c r="E98" s="31" t="inlineStr">
        <is>
          <t>smallcap</t>
        </is>
      </c>
      <c r="F98" s="31" t="n">
        <v>1146.67</v>
      </c>
      <c r="G98" s="31" t="n">
        <v>151.7</v>
      </c>
      <c r="H98" s="31" t="n">
        <v>-3.97</v>
      </c>
      <c r="I98" s="31" t="n">
        <v>511210</v>
      </c>
      <c r="J98" s="31" t="inlineStr">
        <is>
          <t>524648</t>
        </is>
      </c>
    </row>
    <row r="99">
      <c r="A99" s="31" t="inlineStr">
        <is>
          <t>OCCLLTD</t>
        </is>
      </c>
      <c r="B99" s="31" t="inlineStr">
        <is>
          <t>OCCL Ltd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1085.42</v>
      </c>
      <c r="G99" s="31" t="n">
        <v>208.36</v>
      </c>
      <c r="H99" s="31" t="n">
        <v>-4.11</v>
      </c>
      <c r="I99" s="31" t="n">
        <v>164531</v>
      </c>
      <c r="J99" s="31" t="inlineStr">
        <is>
          <t>544278</t>
        </is>
      </c>
    </row>
    <row r="100">
      <c r="A100" s="31" t="inlineStr">
        <is>
          <t>RAMRAT</t>
        </is>
      </c>
      <c r="B100" s="31" t="inlineStr">
        <is>
          <t>Ram Ratna Wires Ltd</t>
        </is>
      </c>
      <c r="C100" s="31" t="inlineStr">
        <is>
          <t>metals &amp; mining</t>
        </is>
      </c>
      <c r="D100" s="31" t="inlineStr">
        <is>
          <t>mining / minerals / metals</t>
        </is>
      </c>
      <c r="E100" s="31" t="inlineStr">
        <is>
          <t>midcap</t>
        </is>
      </c>
      <c r="F100" s="31" t="n">
        <v>5950.07</v>
      </c>
      <c r="G100" s="31" t="n">
        <v>611.15</v>
      </c>
      <c r="H100" s="31" t="n">
        <v>-4.12</v>
      </c>
      <c r="I100" s="31" t="n">
        <v>201976</v>
      </c>
      <c r="J100" s="31" t="inlineStr">
        <is>
          <t>522281</t>
        </is>
      </c>
    </row>
    <row r="101">
      <c r="A101" s="31" t="inlineStr">
        <is>
          <t>ZIMLAB</t>
        </is>
      </c>
      <c r="B101" s="31" t="inlineStr">
        <is>
          <t>Zim Laboratories Ltd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smallcap</t>
        </is>
      </c>
      <c r="F101" s="31" t="n">
        <v>785.08</v>
      </c>
      <c r="G101" s="31" t="n">
        <v>140.53</v>
      </c>
      <c r="H101" s="31" t="n">
        <v>-4.15</v>
      </c>
      <c r="I101" s="31" t="n">
        <v>105008</v>
      </c>
      <c r="J101" s="31" t="inlineStr">
        <is>
          <t>541400</t>
        </is>
      </c>
    </row>
    <row r="102">
      <c r="A102" s="31" t="inlineStr">
        <is>
          <t>SHILPAMED</t>
        </is>
      </c>
      <c r="B102" s="31" t="inlineStr">
        <is>
          <t>Shilpa Medicare Limited</t>
        </is>
      </c>
      <c r="C102" s="31" t="inlineStr">
        <is>
          <t>healthcare</t>
        </is>
      </c>
      <c r="D102" s="31" t="inlineStr">
        <is>
          <t>pharmaceuticals - indian - formulations</t>
        </is>
      </c>
      <c r="E102" s="31" t="inlineStr">
        <is>
          <t>largecap</t>
        </is>
      </c>
      <c r="F102" s="31" t="n">
        <v>20950.72</v>
      </c>
      <c r="G102" s="31" t="n">
        <v>1025.3</v>
      </c>
      <c r="H102" s="31" t="n">
        <v>-4.28</v>
      </c>
      <c r="I102" s="31" t="n">
        <v>677879</v>
      </c>
      <c r="J102" s="31" t="inlineStr">
        <is>
          <t>530549</t>
        </is>
      </c>
    </row>
    <row r="103">
      <c r="A103" s="31" t="inlineStr">
        <is>
          <t>MAWANASUG</t>
        </is>
      </c>
      <c r="B103" s="31" t="inlineStr">
        <is>
          <t>Mawana Sugars Limited</t>
        </is>
      </c>
      <c r="C103" s="31" t="inlineStr">
        <is>
          <t>fmcg</t>
        </is>
      </c>
      <c r="D103" s="31" t="inlineStr">
        <is>
          <t>sugar</t>
        </is>
      </c>
      <c r="E103" s="31" t="inlineStr">
        <is>
          <t>smallcap</t>
        </is>
      </c>
      <c r="F103" s="31" t="n">
        <v>593.25</v>
      </c>
      <c r="G103" s="31" t="n">
        <v>145.11</v>
      </c>
      <c r="H103" s="31" t="n">
        <v>-4.32</v>
      </c>
      <c r="I103" s="31" t="n">
        <v>330517</v>
      </c>
      <c r="J103" s="31" t="inlineStr">
        <is>
          <t>523371</t>
        </is>
      </c>
    </row>
    <row r="104">
      <c r="A104" s="31" t="inlineStr">
        <is>
          <t>KABRAEXTRU</t>
        </is>
      </c>
      <c r="B104" s="31" t="inlineStr">
        <is>
          <t>Kabra Extrusion Technik Limited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smallcap</t>
        </is>
      </c>
      <c r="F104" s="31" t="n">
        <v>2818.46</v>
      </c>
      <c r="G104" s="31" t="n">
        <v>771.05</v>
      </c>
      <c r="H104" s="31" t="n">
        <v>-4.32</v>
      </c>
      <c r="I104" s="31" t="n">
        <v>70015</v>
      </c>
      <c r="J104" s="31" t="inlineStr">
        <is>
          <t>524109</t>
        </is>
      </c>
    </row>
    <row r="105">
      <c r="A105" s="31" t="inlineStr">
        <is>
          <t>FINEORG</t>
        </is>
      </c>
      <c r="B105" s="31" t="inlineStr">
        <is>
          <t>Fine Organic Industries Ltd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midcap</t>
        </is>
      </c>
      <c r="F105" s="31" t="n">
        <v>17247.77</v>
      </c>
      <c r="G105" s="31" t="n">
        <v>5380.5</v>
      </c>
      <c r="H105" s="31" t="n">
        <v>-4.36</v>
      </c>
      <c r="I105" s="31" t="n">
        <v>38476</v>
      </c>
      <c r="J105" s="31" t="inlineStr">
        <is>
          <t>541557</t>
        </is>
      </c>
    </row>
    <row r="106">
      <c r="A106" s="31" t="inlineStr">
        <is>
          <t>MOBIKWIK</t>
        </is>
      </c>
      <c r="B106" s="31" t="inlineStr">
        <is>
          <t>One Mobikwik Systems Ltd</t>
        </is>
      </c>
      <c r="C106" s="31" t="inlineStr">
        <is>
          <t>i.t</t>
        </is>
      </c>
      <c r="D106" s="31" t="inlineStr">
        <is>
          <t>miscellaneous</t>
        </is>
      </c>
      <c r="E106" s="31" t="inlineStr">
        <is>
          <t>smallcap</t>
        </is>
      </c>
      <c r="F106" s="31" t="n">
        <v>2016.55</v>
      </c>
      <c r="G106" s="31" t="n">
        <v>244.52</v>
      </c>
      <c r="H106" s="31" t="n">
        <v>-4.51</v>
      </c>
      <c r="I106" s="31" t="n">
        <v>18727942</v>
      </c>
      <c r="J106" s="31" t="inlineStr">
        <is>
          <t>544305</t>
        </is>
      </c>
    </row>
    <row r="107">
      <c r="A107" s="31" t="inlineStr">
        <is>
          <t>ORIENTBELL</t>
        </is>
      </c>
      <c r="B107" s="31" t="inlineStr">
        <is>
          <t>Orient Bell Limited</t>
        </is>
      </c>
      <c r="C107" s="31" t="inlineStr">
        <is>
          <t>building materials</t>
        </is>
      </c>
      <c r="D107" s="31" t="inlineStr">
        <is>
          <t>ceramics - tiles / sanitaryware</t>
        </is>
      </c>
      <c r="E107" s="31" t="inlineStr">
        <is>
          <t>smallcap</t>
        </is>
      </c>
      <c r="F107" s="31" t="n">
        <v>636.3</v>
      </c>
      <c r="G107" s="31" t="n">
        <v>413</v>
      </c>
      <c r="H107" s="31" t="n">
        <v>-4.52</v>
      </c>
      <c r="I107" s="31" t="n">
        <v>91820</v>
      </c>
      <c r="J107" s="31" t="inlineStr">
        <is>
          <t>530365</t>
        </is>
      </c>
    </row>
    <row r="108">
      <c r="A108" s="31" t="inlineStr">
        <is>
          <t>WELSPUNLIV</t>
        </is>
      </c>
      <c r="B108" s="31" t="inlineStr">
        <is>
          <t>Welspun Living Ltd</t>
        </is>
      </c>
      <c r="C108" s="31" t="inlineStr">
        <is>
          <t>textiles</t>
        </is>
      </c>
      <c r="D108" s="31" t="inlineStr">
        <is>
          <t>textiles - products</t>
        </is>
      </c>
      <c r="E108" s="31" t="inlineStr">
        <is>
          <t>largecap</t>
        </is>
      </c>
      <c r="F108" s="31" t="n">
        <v>22282.93</v>
      </c>
      <c r="G108" s="31" t="n">
        <v>225.07</v>
      </c>
      <c r="H108" s="31" t="n">
        <v>-4.57</v>
      </c>
      <c r="I108" s="31" t="n">
        <v>2311267</v>
      </c>
      <c r="J108" s="31" t="inlineStr">
        <is>
          <t>514162</t>
        </is>
      </c>
    </row>
    <row r="109">
      <c r="A109" s="31" t="inlineStr">
        <is>
          <t>KILITCH</t>
        </is>
      </c>
      <c r="B109" s="31" t="inlineStr">
        <is>
          <t>Kilitch Drugs (india) Limited</t>
        </is>
      </c>
      <c r="C109" s="31" t="inlineStr">
        <is>
          <t>healthcare</t>
        </is>
      </c>
      <c r="D109" s="31" t="inlineStr">
        <is>
          <t>pharmaceuticals - indian - formulations</t>
        </is>
      </c>
      <c r="E109" s="31" t="inlineStr">
        <is>
          <t>smallcap</t>
        </is>
      </c>
      <c r="F109" s="31" t="n">
        <v>895.89</v>
      </c>
      <c r="G109" s="31" t="n">
        <v>244.3</v>
      </c>
      <c r="H109" s="31" t="n">
        <v>-4.66</v>
      </c>
      <c r="I109" s="31" t="n">
        <v>87295</v>
      </c>
      <c r="J109" s="31" t="inlineStr">
        <is>
          <t>524500</t>
        </is>
      </c>
    </row>
    <row r="110">
      <c r="A110" s="31" t="inlineStr">
        <is>
          <t>ALICON</t>
        </is>
      </c>
      <c r="B110" s="31" t="inlineStr">
        <is>
          <t>Alicon Castalloy Limited</t>
        </is>
      </c>
      <c r="C110" s="31" t="inlineStr">
        <is>
          <t>castings, forgings &amp; fasteners</t>
        </is>
      </c>
      <c r="D110" s="31" t="inlineStr">
        <is>
          <t>castings &amp; forgings</t>
        </is>
      </c>
      <c r="E110" s="31" t="inlineStr">
        <is>
          <t>smallcap</t>
        </is>
      </c>
      <c r="F110" s="31" t="n">
        <v>1479.36</v>
      </c>
      <c r="G110" s="31" t="n">
        <v>859</v>
      </c>
      <c r="H110" s="31" t="n">
        <v>-4.7</v>
      </c>
      <c r="I110" s="31" t="n">
        <v>55487</v>
      </c>
      <c r="J110" s="31" t="inlineStr">
        <is>
          <t>531147</t>
        </is>
      </c>
    </row>
    <row r="111">
      <c r="A111" s="31" t="inlineStr">
        <is>
          <t>KRONOX</t>
        </is>
      </c>
      <c r="B111" s="31" t="inlineStr">
        <is>
          <t>Kronox Lab Sciences Ltd</t>
        </is>
      </c>
      <c r="C111" s="31" t="inlineStr">
        <is>
          <t>chemicals</t>
        </is>
      </c>
      <c r="D111" s="31" t="inlineStr">
        <is>
          <t>chemicals</t>
        </is>
      </c>
      <c r="E111" s="31" t="inlineStr">
        <is>
          <t>smallcap</t>
        </is>
      </c>
      <c r="F111" s="31" t="n">
        <v>781.41</v>
      </c>
      <c r="G111" s="31" t="n">
        <v>200.6</v>
      </c>
      <c r="H111" s="31" t="n">
        <v>-4.75</v>
      </c>
      <c r="I111" s="31" t="n">
        <v>62960</v>
      </c>
      <c r="J111" s="31" t="inlineStr">
        <is>
          <t>544187</t>
        </is>
      </c>
    </row>
    <row r="112">
      <c r="A112" s="31" t="inlineStr">
        <is>
          <t>RUBYMILLS</t>
        </is>
      </c>
      <c r="B112" s="31" t="inlineStr">
        <is>
          <t>The Ruby Mills Limited</t>
        </is>
      </c>
      <c r="C112" s="31" t="inlineStr">
        <is>
          <t>textiles</t>
        </is>
      </c>
      <c r="D112" s="31" t="inlineStr">
        <is>
          <t>textiles - composite</t>
        </is>
      </c>
      <c r="E112" s="31" t="inlineStr">
        <is>
          <t>smallcap</t>
        </is>
      </c>
      <c r="F112" s="31" t="n">
        <v>1704.77</v>
      </c>
      <c r="G112" s="31" t="n">
        <v>485.05</v>
      </c>
      <c r="H112" s="31" t="n">
        <v>-4.85</v>
      </c>
      <c r="I112" s="31" t="n">
        <v>10015</v>
      </c>
      <c r="J112" s="31" t="inlineStr">
        <is>
          <t>503169</t>
        </is>
      </c>
    </row>
    <row r="113">
      <c r="A113" s="31" t="inlineStr">
        <is>
          <t>LLOYDSENGG</t>
        </is>
      </c>
      <c r="B113" s="31" t="inlineStr">
        <is>
          <t>Lloyds Engineering Works Ltd</t>
        </is>
      </c>
      <c r="C113" s="31" t="inlineStr">
        <is>
          <t>industrials</t>
        </is>
      </c>
      <c r="D113" s="31" t="inlineStr">
        <is>
          <t>engineering</t>
        </is>
      </c>
      <c r="E113" s="31" t="inlineStr">
        <is>
          <t>midcap</t>
        </is>
      </c>
      <c r="F113" s="31" t="n">
        <v>15681</v>
      </c>
      <c r="G113" s="31" t="n">
        <v>96.18000000000001</v>
      </c>
      <c r="H113" s="31" t="n">
        <v>-4.87</v>
      </c>
      <c r="I113" s="31" t="n">
        <v>13917134</v>
      </c>
      <c r="J113" s="31" t="inlineStr">
        <is>
          <t>539992</t>
        </is>
      </c>
    </row>
    <row r="114">
      <c r="A114" s="31" t="inlineStr">
        <is>
          <t>DELTACORP</t>
        </is>
      </c>
      <c r="B114" s="31" t="inlineStr">
        <is>
          <t>Delta Corp Limited</t>
        </is>
      </c>
      <c r="C114" s="31" t="inlineStr">
        <is>
          <t>miscellaneous</t>
        </is>
      </c>
      <c r="D114" s="31" t="inlineStr">
        <is>
          <t>recreation / amusement parks</t>
        </is>
      </c>
      <c r="E114" s="31" t="inlineStr">
        <is>
          <t>smallcap</t>
        </is>
      </c>
      <c r="F114" s="31" t="n">
        <v>2205.63</v>
      </c>
      <c r="G114" s="31" t="n">
        <v>78.31999999999999</v>
      </c>
      <c r="H114" s="31" t="n">
        <v>-4.92</v>
      </c>
      <c r="I114" s="31" t="n">
        <v>9531081</v>
      </c>
      <c r="J114" s="31" t="inlineStr">
        <is>
          <t>532848</t>
        </is>
      </c>
    </row>
    <row r="115">
      <c r="A115" s="31" t="inlineStr">
        <is>
          <t>SOTL</t>
        </is>
      </c>
      <c r="B115" s="31" t="inlineStr">
        <is>
          <t>Savita Oil Technologies Limited</t>
        </is>
      </c>
      <c r="C115" s="31" t="inlineStr">
        <is>
          <t>energy</t>
        </is>
      </c>
      <c r="D115" s="31" t="inlineStr">
        <is>
          <t>petrochemicals</t>
        </is>
      </c>
      <c r="E115" s="31" t="inlineStr">
        <is>
          <t>midcap</t>
        </is>
      </c>
      <c r="F115" s="31" t="n">
        <v>5510.89</v>
      </c>
      <c r="G115" s="31" t="n">
        <v>764.2</v>
      </c>
      <c r="H115" s="31" t="n">
        <v>-4.93</v>
      </c>
      <c r="I115" s="31" t="n">
        <v>281955</v>
      </c>
      <c r="J115" s="31" t="inlineStr">
        <is>
          <t>524667</t>
        </is>
      </c>
    </row>
    <row r="116">
      <c r="A116" s="31" t="inlineStr">
        <is>
          <t>AMANTA</t>
        </is>
      </c>
      <c r="B116" s="31" t="inlineStr">
        <is>
          <t>Amanta Healthcare Ltd</t>
        </is>
      </c>
      <c r="C116" s="31" t="inlineStr">
        <is>
          <t>healthcare</t>
        </is>
      </c>
      <c r="D116" s="31" t="inlineStr">
        <is>
          <t>pharmaceuticals - indian - bulk drugs &amp; formln</t>
        </is>
      </c>
      <c r="E116" s="31" t="inlineStr">
        <is>
          <t>smallcap</t>
        </is>
      </c>
      <c r="F116" s="31" t="n">
        <v>804.08</v>
      </c>
      <c r="G116" s="31" t="n">
        <v>196.76</v>
      </c>
      <c r="H116" s="31" t="n">
        <v>-4.98</v>
      </c>
      <c r="I116" s="31" t="n">
        <v>67009</v>
      </c>
      <c r="J116" s="31" t="inlineStr">
        <is>
          <t>544502</t>
        </is>
      </c>
    </row>
    <row r="117">
      <c r="A117" s="31" t="inlineStr">
        <is>
          <t>SIGMAADV</t>
        </is>
      </c>
      <c r="B117" s="31" t="inlineStr">
        <is>
          <t>Sigma Advanced System Ltd</t>
        </is>
      </c>
      <c r="C117" s="31" t="inlineStr">
        <is>
          <t>aerospace &amp; defence</t>
        </is>
      </c>
      <c r="D117" s="31" t="inlineStr">
        <is>
          <t>electronics - components</t>
        </is>
      </c>
      <c r="E117" s="31" t="inlineStr">
        <is>
          <t>largecap</t>
        </is>
      </c>
      <c r="F117" s="31" t="n">
        <v>20685.4</v>
      </c>
      <c r="G117" s="31" t="n">
        <v>1037.1</v>
      </c>
      <c r="H117" s="31" t="n">
        <v>-4.99</v>
      </c>
      <c r="I117" s="31" t="n">
        <v>164537</v>
      </c>
      <c r="J117" s="31" t="inlineStr">
        <is>
          <t>532408</t>
        </is>
      </c>
    </row>
    <row r="118">
      <c r="A118" s="31" t="inlineStr">
        <is>
          <t>MOLDTECH</t>
        </is>
      </c>
      <c r="B118" s="31" t="inlineStr">
        <is>
          <t>Mold-tek Technologies Limited</t>
        </is>
      </c>
      <c r="C118" s="31" t="inlineStr">
        <is>
          <t>realty</t>
        </is>
      </c>
      <c r="D118" s="31" t="inlineStr">
        <is>
          <t>engineering - turnkey services</t>
        </is>
      </c>
      <c r="E118" s="31" t="inlineStr">
        <is>
          <t>smallcap</t>
        </is>
      </c>
      <c r="F118" s="31" t="n">
        <v>636.5599999999999</v>
      </c>
      <c r="G118" s="31" t="n">
        <v>209.95</v>
      </c>
      <c r="H118" s="31" t="n">
        <v>-5</v>
      </c>
      <c r="I118" s="31" t="n">
        <v>42530</v>
      </c>
      <c r="J118" s="31" t="inlineStr">
        <is>
          <t>526263</t>
        </is>
      </c>
    </row>
    <row r="119">
      <c r="A119" s="31" t="inlineStr">
        <is>
          <t>SUNFLAG</t>
        </is>
      </c>
      <c r="B119" s="31" t="inlineStr">
        <is>
          <t>Sunflag Iron And Steel Company Limited</t>
        </is>
      </c>
      <c r="C119" s="31" t="inlineStr">
        <is>
          <t>metals &amp; mining</t>
        </is>
      </c>
      <c r="D119" s="31" t="inlineStr">
        <is>
          <t>steel - medium / small</t>
        </is>
      </c>
      <c r="E119" s="31" t="inlineStr">
        <is>
          <t>midcap</t>
        </is>
      </c>
      <c r="F119" s="31" t="n">
        <v>8549.610000000001</v>
      </c>
      <c r="G119" s="31" t="n">
        <v>450.7</v>
      </c>
      <c r="H119" s="31" t="n">
        <v>-5</v>
      </c>
      <c r="I119" s="31" t="n">
        <v>423244</v>
      </c>
      <c r="J119" s="31" t="inlineStr">
        <is>
          <t>500404</t>
        </is>
      </c>
    </row>
    <row r="120">
      <c r="A120" s="31" t="inlineStr">
        <is>
          <t>MARINE</t>
        </is>
      </c>
      <c r="B120" s="31" t="inlineStr">
        <is>
          <t>Marine Electricals (India) Ltd</t>
        </is>
      </c>
      <c r="C120" s="31" t="inlineStr">
        <is>
          <t>industrials</t>
        </is>
      </c>
      <c r="D120" s="31" t="inlineStr">
        <is>
          <t>electric equipment</t>
        </is>
      </c>
      <c r="E120" s="31" t="inlineStr">
        <is>
          <t>midcap</t>
        </is>
      </c>
      <c r="F120" s="31" t="n">
        <v>6666.95</v>
      </c>
      <c r="G120" s="31" t="n">
        <v>452.6</v>
      </c>
      <c r="H120" s="31" t="n">
        <v>-5</v>
      </c>
      <c r="I120" s="31" t="n">
        <v>1804249</v>
      </c>
      <c r="J120" s="31" t="inlineStr">
        <is>
          <t>535119</t>
        </is>
      </c>
    </row>
    <row r="121">
      <c r="A121" s="31" t="inlineStr">
        <is>
          <t>HFCL</t>
        </is>
      </c>
      <c r="B121" s="31" t="inlineStr">
        <is>
          <t>HFCL Ltd</t>
        </is>
      </c>
      <c r="C121" s="31" t="inlineStr">
        <is>
          <t>telecom</t>
        </is>
      </c>
      <c r="D121" s="31" t="inlineStr">
        <is>
          <t>cables - telephone</t>
        </is>
      </c>
      <c r="E121" s="31" t="inlineStr">
        <is>
          <t>largecap</t>
        </is>
      </c>
      <c r="F121" s="31" t="n">
        <v>41617.08</v>
      </c>
      <c r="G121" s="31" t="n">
        <v>258.31</v>
      </c>
      <c r="H121" s="31" t="n">
        <v>-5</v>
      </c>
      <c r="I121" s="31" t="n">
        <v>6335883</v>
      </c>
      <c r="J121" s="31" t="inlineStr">
        <is>
          <t>500183</t>
        </is>
      </c>
    </row>
    <row r="122">
      <c r="A122" s="31" t="inlineStr">
        <is>
          <t>CHENNPETRO</t>
        </is>
      </c>
      <c r="B122" s="31" t="inlineStr">
        <is>
          <t>Chennai Petroleum Corporation Limited</t>
        </is>
      </c>
      <c r="C122" s="31" t="inlineStr">
        <is>
          <t>energy</t>
        </is>
      </c>
      <c r="D122" s="31" t="inlineStr">
        <is>
          <t>refineries</t>
        </is>
      </c>
      <c r="E122" s="31" t="inlineStr">
        <is>
          <t>largecap</t>
        </is>
      </c>
      <c r="F122" s="31" t="n">
        <v>24008.99</v>
      </c>
      <c r="G122" s="31" t="n">
        <v>1531</v>
      </c>
      <c r="H122" s="31" t="n">
        <v>-5.04</v>
      </c>
      <c r="I122" s="31" t="n">
        <v>6075729</v>
      </c>
      <c r="J122" s="31" t="inlineStr">
        <is>
          <t>500110</t>
        </is>
      </c>
    </row>
    <row r="123">
      <c r="A123" s="31" t="inlineStr">
        <is>
          <t>OPTIEMUS</t>
        </is>
      </c>
      <c r="B123" s="31" t="inlineStr">
        <is>
          <t>Optiemus Infracom Ltd</t>
        </is>
      </c>
      <c r="C123" s="31" t="inlineStr">
        <is>
          <t>telecom</t>
        </is>
      </c>
      <c r="D123" s="31" t="inlineStr">
        <is>
          <t>trading</t>
        </is>
      </c>
      <c r="E123" s="31" t="inlineStr">
        <is>
          <t>midcap</t>
        </is>
      </c>
      <c r="F123" s="31" t="n">
        <v>7771.45</v>
      </c>
      <c r="G123" s="31" t="n">
        <v>816.85</v>
      </c>
      <c r="H123" s="31" t="n">
        <v>-5.23</v>
      </c>
      <c r="I123" s="31" t="n">
        <v>783987</v>
      </c>
      <c r="J123" s="31" t="inlineStr">
        <is>
          <t>530135</t>
        </is>
      </c>
    </row>
    <row r="124">
      <c r="A124" s="31" t="inlineStr">
        <is>
          <t>VENUSPIPES</t>
        </is>
      </c>
      <c r="B124" s="31" t="inlineStr">
        <is>
          <t>Venus Pipes &amp; Tubes Ltd</t>
        </is>
      </c>
      <c r="C124" s="31" t="inlineStr">
        <is>
          <t>metals &amp; mining</t>
        </is>
      </c>
      <c r="D124" s="31" t="inlineStr">
        <is>
          <t>steel - medium / small</t>
        </is>
      </c>
      <c r="E124" s="31" t="inlineStr">
        <is>
          <t>smallcap</t>
        </is>
      </c>
      <c r="F124" s="31" t="n">
        <v>4637.3</v>
      </c>
      <c r="G124" s="31" t="n">
        <v>2119.8</v>
      </c>
      <c r="H124" s="31" t="n">
        <v>-5.3</v>
      </c>
      <c r="I124" s="31" t="n">
        <v>525166</v>
      </c>
      <c r="J124" s="31" t="inlineStr">
        <is>
          <t>543528</t>
        </is>
      </c>
    </row>
    <row r="125">
      <c r="A125" s="31" t="inlineStr">
        <is>
          <t>DMCC</t>
        </is>
      </c>
      <c r="B125" s="31" t="inlineStr">
        <is>
          <t>DMCC Speciality Chemicals Ltd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smallcap</t>
        </is>
      </c>
      <c r="F125" s="31" t="n">
        <v>887.99</v>
      </c>
      <c r="G125" s="31" t="n">
        <v>337.1</v>
      </c>
      <c r="H125" s="31" t="n">
        <v>-5.32</v>
      </c>
      <c r="I125" s="31" t="n">
        <v>251316</v>
      </c>
      <c r="J125" s="31" t="inlineStr">
        <is>
          <t>506405</t>
        </is>
      </c>
    </row>
    <row r="126">
      <c r="A126" s="31" t="inlineStr">
        <is>
          <t>SYNCOMF</t>
        </is>
      </c>
      <c r="B126" s="31" t="inlineStr">
        <is>
          <t>Syncom Formulations (India) Ltd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smallcap</t>
        </is>
      </c>
      <c r="F126" s="31" t="n">
        <v>2344.36</v>
      </c>
      <c r="G126" s="31" t="n">
        <v>23.57</v>
      </c>
      <c r="H126" s="31" t="n">
        <v>-5.49</v>
      </c>
      <c r="I126" s="31" t="n">
        <v>14107513</v>
      </c>
      <c r="J126" s="31" t="inlineStr">
        <is>
          <t>524470</t>
        </is>
      </c>
    </row>
    <row r="127">
      <c r="A127" s="31" t="inlineStr">
        <is>
          <t>UNIMECH</t>
        </is>
      </c>
      <c r="B127" s="31" t="inlineStr">
        <is>
          <t>Unimech Aerospace and Manufacturing Ltd</t>
        </is>
      </c>
      <c r="C127" s="31" t="inlineStr">
        <is>
          <t>aerospace &amp; defence</t>
        </is>
      </c>
      <c r="D127" s="31" t="inlineStr">
        <is>
          <t>engineering</t>
        </is>
      </c>
      <c r="E127" s="31" t="inlineStr">
        <is>
          <t>midcap</t>
        </is>
      </c>
      <c r="F127" s="31" t="n">
        <v>9431.41</v>
      </c>
      <c r="G127" s="31" t="n">
        <v>1751.9</v>
      </c>
      <c r="H127" s="31" t="n">
        <v>-5.53</v>
      </c>
      <c r="I127" s="31" t="n">
        <v>293889</v>
      </c>
      <c r="J127" s="31" t="inlineStr">
        <is>
          <t>544322</t>
        </is>
      </c>
    </row>
    <row r="128">
      <c r="A128" s="31" t="inlineStr">
        <is>
          <t>VALIANTORG</t>
        </is>
      </c>
      <c r="B128" s="31" t="inlineStr">
        <is>
          <t>Valiant Organics Ltd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smallcap</t>
        </is>
      </c>
      <c r="F128" s="31" t="n">
        <v>1345.24</v>
      </c>
      <c r="G128" s="31" t="n">
        <v>450.6</v>
      </c>
      <c r="H128" s="31" t="n">
        <v>-6.1</v>
      </c>
      <c r="I128" s="31" t="n">
        <v>128189</v>
      </c>
      <c r="J128" s="31" t="inlineStr">
        <is>
          <t>540145</t>
        </is>
      </c>
    </row>
    <row r="129">
      <c r="A129" s="31" t="inlineStr">
        <is>
          <t>MUKANDLTD</t>
        </is>
      </c>
      <c r="B129" s="31" t="inlineStr">
        <is>
          <t>Mukand Limited</t>
        </is>
      </c>
      <c r="C129" s="31" t="inlineStr">
        <is>
          <t>metals &amp; mining</t>
        </is>
      </c>
      <c r="D129" s="31" t="inlineStr">
        <is>
          <t>steel - medium / small</t>
        </is>
      </c>
      <c r="E129" s="31" t="inlineStr">
        <is>
          <t>smallcap</t>
        </is>
      </c>
      <c r="F129" s="31" t="n">
        <v>2686.46</v>
      </c>
      <c r="G129" s="31" t="n">
        <v>174.29</v>
      </c>
      <c r="H129" s="31" t="n">
        <v>-6.26</v>
      </c>
      <c r="I129" s="31" t="n">
        <v>528265</v>
      </c>
      <c r="J129" s="31" t="inlineStr">
        <is>
          <t>500460</t>
        </is>
      </c>
    </row>
    <row r="130">
      <c r="A130" s="31" t="inlineStr">
        <is>
          <t>PANAMAPET</t>
        </is>
      </c>
      <c r="B130" s="31" t="inlineStr">
        <is>
          <t>Panama Petrochem Limited</t>
        </is>
      </c>
      <c r="C130" s="31" t="inlineStr">
        <is>
          <t>energy</t>
        </is>
      </c>
      <c r="D130" s="31" t="inlineStr">
        <is>
          <t>petrochemicals</t>
        </is>
      </c>
      <c r="E130" s="31" t="inlineStr">
        <is>
          <t>smallcap</t>
        </is>
      </c>
      <c r="F130" s="31" t="n">
        <v>3248.51</v>
      </c>
      <c r="G130" s="31" t="n">
        <v>501.3</v>
      </c>
      <c r="H130" s="31" t="n">
        <v>-6.65</v>
      </c>
      <c r="I130" s="31" t="n">
        <v>562620</v>
      </c>
      <c r="J130" s="31" t="inlineStr">
        <is>
          <t>524820</t>
        </is>
      </c>
    </row>
    <row r="131">
      <c r="A131" s="31" t="inlineStr">
        <is>
          <t>YUKEN</t>
        </is>
      </c>
      <c r="B131" s="31" t="inlineStr">
        <is>
          <t>Yuken India Ltd</t>
        </is>
      </c>
      <c r="C131" s="31" t="inlineStr">
        <is>
          <t>industrials</t>
        </is>
      </c>
      <c r="D131" s="31" t="inlineStr">
        <is>
          <t>engineering</t>
        </is>
      </c>
      <c r="E131" s="31" t="inlineStr">
        <is>
          <t>smallcap</t>
        </is>
      </c>
      <c r="F131" s="31" t="n">
        <v>1652.49</v>
      </c>
      <c r="G131" s="31" t="n">
        <v>1135.3</v>
      </c>
      <c r="H131" s="31" t="n">
        <v>-6.67</v>
      </c>
      <c r="I131" s="31" t="n">
        <v>35706</v>
      </c>
      <c r="J131" s="31" t="inlineStr">
        <is>
          <t>522108</t>
        </is>
      </c>
    </row>
    <row r="132">
      <c r="A132" s="31" t="inlineStr">
        <is>
          <t>INDIAGLYCO</t>
        </is>
      </c>
      <c r="B132" s="31" t="inlineStr">
        <is>
          <t>India Glycols Limited</t>
        </is>
      </c>
      <c r="C132" s="31" t="inlineStr">
        <is>
          <t>fmcg</t>
        </is>
      </c>
      <c r="D132" s="31" t="inlineStr">
        <is>
          <t>breweries &amp; distilleries</t>
        </is>
      </c>
      <c r="E132" s="31" t="inlineStr">
        <is>
          <t>smallcap</t>
        </is>
      </c>
      <c r="F132" s="31" t="n">
        <v>2565.11</v>
      </c>
      <c r="G132" s="31" t="n">
        <v>356.9</v>
      </c>
      <c r="H132" s="31" t="n">
        <v>-6.74</v>
      </c>
      <c r="I132" s="31" t="n">
        <v>2966275</v>
      </c>
      <c r="J132" s="31" t="inlineStr">
        <is>
          <t>500201</t>
        </is>
      </c>
    </row>
    <row r="133">
      <c r="A133" s="31" t="inlineStr">
        <is>
          <t>TATVA</t>
        </is>
      </c>
      <c r="B133" s="31" t="inlineStr">
        <is>
          <t>Tatva Chintan Pharma Chem Ltd</t>
        </is>
      </c>
      <c r="C133" s="31" t="inlineStr">
        <is>
          <t>chemicals</t>
        </is>
      </c>
      <c r="D133" s="31" t="inlineStr">
        <is>
          <t>chemicals</t>
        </is>
      </c>
      <c r="E133" s="31" t="inlineStr">
        <is>
          <t>smallcap</t>
        </is>
      </c>
      <c r="F133" s="31" t="n">
        <v>4657.83</v>
      </c>
      <c r="G133" s="31" t="n">
        <v>1855.6</v>
      </c>
      <c r="H133" s="31" t="n">
        <v>-6.81</v>
      </c>
      <c r="I133" s="31" t="n">
        <v>140860</v>
      </c>
      <c r="J133" s="31" t="inlineStr">
        <is>
          <t>543321</t>
        </is>
      </c>
    </row>
    <row r="134">
      <c r="A134" s="31" t="inlineStr">
        <is>
          <t>GPTINFRA</t>
        </is>
      </c>
      <c r="B134" s="31" t="inlineStr">
        <is>
          <t>Gpt Infraprojects Limited</t>
        </is>
      </c>
      <c r="C134" s="31" t="inlineStr">
        <is>
          <t>realty</t>
        </is>
      </c>
      <c r="D134" s="31" t="inlineStr">
        <is>
          <t>construction</t>
        </is>
      </c>
      <c r="E134" s="31" t="inlineStr">
        <is>
          <t>smallcap</t>
        </is>
      </c>
      <c r="F134" s="31" t="n">
        <v>1643.5</v>
      </c>
      <c r="G134" s="31" t="n">
        <v>121.19</v>
      </c>
      <c r="H134" s="31" t="n">
        <v>-6.82</v>
      </c>
      <c r="I134" s="31" t="n">
        <v>474533</v>
      </c>
      <c r="J134" s="31" t="inlineStr">
        <is>
          <t>533761</t>
        </is>
      </c>
    </row>
    <row r="135">
      <c r="A135" s="31" t="inlineStr">
        <is>
          <t>MOREPENLAB</t>
        </is>
      </c>
      <c r="B135" s="31" t="inlineStr">
        <is>
          <t>Morepen Laboratories Limited</t>
        </is>
      </c>
      <c r="C135" s="31" t="inlineStr">
        <is>
          <t>healthcare</t>
        </is>
      </c>
      <c r="D135" s="31" t="inlineStr">
        <is>
          <t>pharmaceuticals - indian - bulk drugs &amp; formln</t>
        </is>
      </c>
      <c r="E135" s="31" t="inlineStr">
        <is>
          <t>midcap</t>
        </is>
      </c>
      <c r="F135" s="31" t="n">
        <v>8053.28</v>
      </c>
      <c r="G135" s="31" t="n">
        <v>136.55</v>
      </c>
      <c r="H135" s="31" t="n">
        <v>-7.09</v>
      </c>
      <c r="I135" s="31" t="n">
        <v>21277943</v>
      </c>
      <c r="J135" s="31" t="inlineStr">
        <is>
          <t>500288</t>
        </is>
      </c>
    </row>
    <row r="136">
      <c r="A136" s="31" t="inlineStr">
        <is>
          <t>AXISCADES</t>
        </is>
      </c>
      <c r="B136" s="31" t="inlineStr">
        <is>
          <t>AXISCADES Technologies Ltd</t>
        </is>
      </c>
      <c r="C136" s="31" t="inlineStr">
        <is>
          <t>aerospace &amp; defence</t>
        </is>
      </c>
      <c r="D136" s="31" t="inlineStr">
        <is>
          <t>computers - software - medium / small</t>
        </is>
      </c>
      <c r="E136" s="31" t="inlineStr">
        <is>
          <t>midcap</t>
        </is>
      </c>
      <c r="F136" s="31" t="n">
        <v>9550.76</v>
      </c>
      <c r="G136" s="31" t="n">
        <v>2077.6</v>
      </c>
      <c r="H136" s="31" t="n">
        <v>-7.48</v>
      </c>
      <c r="I136" s="31" t="n">
        <v>333272</v>
      </c>
      <c r="J136" s="31" t="inlineStr">
        <is>
          <t>532395</t>
        </is>
      </c>
    </row>
  </sheetData>
  <autoFilter ref="A1:J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SHANTIGOLD</t>
        </is>
      </c>
      <c r="E2" s="31" t="inlineStr">
        <is>
          <t>Shanti Gold International Ltd</t>
        </is>
      </c>
      <c r="F2" s="31" t="inlineStr">
        <is>
          <t>Diamond Gems and Jewellery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KINGFA</t>
        </is>
      </c>
      <c r="E3" s="31" t="inlineStr">
        <is>
          <t>Kingfa Science &amp; Technology (india) Limited</t>
        </is>
      </c>
      <c r="F3" s="31" t="inlineStr">
        <is>
          <t>Plastics Plastic and Plastic Products</t>
        </is>
      </c>
      <c r="G3" s="31" t="n">
        <v>3</v>
      </c>
      <c r="H3" s="31" t="inlineStr">
        <is>
          <t>ATH Momentum</t>
        </is>
      </c>
      <c r="I3" s="31" t="inlineStr">
        <is>
          <t>Yes</t>
        </is>
      </c>
      <c r="J3" s="31" t="n">
        <v>22</v>
      </c>
      <c r="K3" s="31" t="n">
        <v>26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THELEELA</t>
        </is>
      </c>
      <c r="E4" s="31" t="inlineStr">
        <is>
          <t>Leela Palaces Hotels &amp; Resorts Ltd</t>
        </is>
      </c>
      <c r="F4" s="31" t="inlineStr">
        <is>
          <t>Hotels</t>
        </is>
      </c>
      <c r="G4" s="31" t="n">
        <v>3</v>
      </c>
      <c r="H4" s="31" t="inlineStr">
        <is>
          <t>ATH Momentum</t>
        </is>
      </c>
      <c r="I4" s="31" t="inlineStr">
        <is>
          <t>Yes</t>
        </is>
      </c>
      <c r="J4" s="31" t="n">
        <v>21</v>
      </c>
      <c r="K4" s="31" t="n">
        <v>14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IBULLSLTD</t>
        </is>
      </c>
      <c r="E5" s="31" t="inlineStr">
        <is>
          <t>Indiabulls Limited</t>
        </is>
      </c>
      <c r="F5" s="31" t="inlineStr">
        <is>
          <t>Diversified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22</v>
      </c>
      <c r="K5" s="31" t="n">
        <v>17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AETHER</t>
        </is>
      </c>
      <c r="E6" s="31" t="inlineStr">
        <is>
          <t>Aether Industries Ltd</t>
        </is>
      </c>
      <c r="F6" s="31" t="inlineStr">
        <is>
          <t>Specialty Chemicals</t>
        </is>
      </c>
      <c r="G6" s="31" t="n">
        <v>3</v>
      </c>
      <c r="H6" s="31" t="inlineStr">
        <is>
          <t>ATH Momentum</t>
        </is>
      </c>
      <c r="I6" s="31" t="inlineStr">
        <is>
          <t>Yes</t>
        </is>
      </c>
      <c r="J6" s="31" t="n">
        <v>19</v>
      </c>
      <c r="K6" s="31" t="n">
        <v>15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CUPID</t>
        </is>
      </c>
      <c r="E7" s="31" t="inlineStr">
        <is>
          <t>Cupid Limited</t>
        </is>
      </c>
      <c r="F7" s="31" t="inlineStr">
        <is>
          <t>Contraceptives and Protectives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22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DPABHUSHAN</t>
        </is>
      </c>
      <c r="E8" s="31" t="inlineStr">
        <is>
          <t>D.P. Abhushan Ltd</t>
        </is>
      </c>
      <c r="F8" s="31" t="inlineStr">
        <is>
          <t>Diamond Gems and Jewellery</t>
        </is>
      </c>
      <c r="G8" s="31" t="n">
        <v>3</v>
      </c>
      <c r="H8" s="31" t="inlineStr">
        <is>
          <t>ATH Momentum</t>
        </is>
      </c>
      <c r="I8" s="31" t="inlineStr">
        <is>
          <t>Yes</t>
        </is>
      </c>
      <c r="J8" s="31" t="n">
        <v>29</v>
      </c>
      <c r="K8" s="31" t="n">
        <v>13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KMEW</t>
        </is>
      </c>
      <c r="E9" s="31" t="inlineStr">
        <is>
          <t>Knowledge Marine &amp; Engineering Works Ltd</t>
        </is>
      </c>
      <c r="F9" s="31" t="inlineStr">
        <is>
          <t>Shipping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19</v>
      </c>
      <c r="K9" s="31" t="n">
        <v>18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JAMNAAUTO</t>
        </is>
      </c>
      <c r="E10" s="31" t="inlineStr">
        <is>
          <t>Jamna Auto Industries Limited</t>
        </is>
      </c>
      <c r="F10" s="31" t="inlineStr">
        <is>
          <t>Auto Springs</t>
        </is>
      </c>
      <c r="G10" s="31" t="n">
        <v>3</v>
      </c>
      <c r="H10" s="31" t="inlineStr">
        <is>
          <t>ATH Momentum</t>
        </is>
      </c>
      <c r="I10" s="31" t="inlineStr">
        <is>
          <t>Yes</t>
        </is>
      </c>
      <c r="J10" s="31" t="n">
        <v>18</v>
      </c>
      <c r="K10" s="31" t="n">
        <v>14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GCSL</t>
        </is>
      </c>
      <c r="E11" s="31" t="inlineStr">
        <is>
          <t>Gretex Corporate Services Ltd</t>
        </is>
      </c>
      <c r="F11" s="31" t="inlineStr">
        <is>
          <t>Finance and Investments Others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15</v>
      </c>
      <c r="K11" s="31" t="n">
        <v>21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GANDHAR</t>
        </is>
      </c>
      <c r="E12" s="31" t="inlineStr">
        <is>
          <t>Gandhar Oil Refinery (India) Ltd</t>
        </is>
      </c>
      <c r="F12" s="31" t="inlineStr">
        <is>
          <t>Refineries</t>
        </is>
      </c>
      <c r="G12" s="31" t="n">
        <v>3</v>
      </c>
      <c r="H12" s="31" t="inlineStr">
        <is>
          <t>ATH Momentum</t>
        </is>
      </c>
      <c r="I12" s="31" t="inlineStr">
        <is>
          <t>Yes</t>
        </is>
      </c>
      <c r="J12" s="31" t="n">
        <v>21</v>
      </c>
      <c r="K12" s="31" t="n">
        <v>25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SKYGOLD</t>
        </is>
      </c>
      <c r="E13" s="31" t="inlineStr">
        <is>
          <t>Sky Gold Ltd</t>
        </is>
      </c>
      <c r="F13" s="31" t="inlineStr">
        <is>
          <t>Diamond Gems and Jewellery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29</v>
      </c>
      <c r="K13" s="31" t="n">
        <v>17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ONEPOINT</t>
        </is>
      </c>
      <c r="E14" s="31" t="inlineStr">
        <is>
          <t>One Point One Solutions Ltd</t>
        </is>
      </c>
      <c r="F14" s="31" t="inlineStr">
        <is>
          <t>IT Enabled Services</t>
        </is>
      </c>
      <c r="G14" s="31" t="n">
        <v>3</v>
      </c>
      <c r="H14" s="31" t="inlineStr">
        <is>
          <t>ATH Momentum</t>
        </is>
      </c>
      <c r="I14" s="31" t="inlineStr">
        <is>
          <t>Yes</t>
        </is>
      </c>
      <c r="J14" s="31" t="n">
        <v>22</v>
      </c>
      <c r="K14" s="31" t="n">
        <v>20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STLTECH</t>
        </is>
      </c>
      <c r="E15" s="31" t="inlineStr">
        <is>
          <t>Sterlite Technologies Limited</t>
        </is>
      </c>
      <c r="F15" s="31" t="inlineStr">
        <is>
          <t>Cables Telecom</t>
        </is>
      </c>
      <c r="G15" s="31" t="n">
        <v>3</v>
      </c>
      <c r="H15" s="31" t="inlineStr">
        <is>
          <t>ATH Momentum</t>
        </is>
      </c>
      <c r="I15" s="31" t="inlineStr">
        <is>
          <t>Yes</t>
        </is>
      </c>
      <c r="J15" s="31" t="n">
        <v>19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SBC</t>
        </is>
      </c>
      <c r="E16" s="31" t="inlineStr">
        <is>
          <t>SBC Exports Ltd</t>
        </is>
      </c>
      <c r="F16" s="31" t="inlineStr">
        <is>
          <t>Textiles Readymade Apparel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22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PREMIERPOL</t>
        </is>
      </c>
      <c r="E17" s="31" t="inlineStr">
        <is>
          <t>Premier Polyfilm Limited</t>
        </is>
      </c>
      <c r="F17" s="31" t="inlineStr">
        <is>
          <t>Plastics Sheets and Films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19</v>
      </c>
      <c r="K17" s="31" t="n">
        <v>19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PGIL</t>
        </is>
      </c>
      <c r="E18" s="31" t="inlineStr">
        <is>
          <t>Pearl Global Industries Limited</t>
        </is>
      </c>
      <c r="F18" s="31" t="inlineStr">
        <is>
          <t>Textiles Readymade Apparel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19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SMCGLOBAL</t>
        </is>
      </c>
      <c r="E19" s="31" t="inlineStr">
        <is>
          <t>SMC Global Securities Ltd</t>
        </is>
      </c>
      <c r="F19" s="31" t="inlineStr">
        <is>
          <t>Finance Capital Markets Brokers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16</v>
      </c>
      <c r="K19" s="31" t="n">
        <v>20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GLAND</t>
        </is>
      </c>
      <c r="E20" s="31" t="inlineStr">
        <is>
          <t>Gland Pharma Ltd</t>
        </is>
      </c>
      <c r="F20" s="31" t="inlineStr">
        <is>
          <t>Pharma Formulations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20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MBECL</t>
        </is>
      </c>
      <c r="E21" s="31" t="inlineStr">
        <is>
          <t>Mcnally Bharat Engineering Company Limited</t>
        </is>
      </c>
      <c r="F21" s="31" t="inlineStr">
        <is>
          <t>Engineering Turnkey Services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16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OCCLLTD</t>
        </is>
      </c>
      <c r="E22" s="31" t="inlineStr">
        <is>
          <t>OCCL Ltd</t>
        </is>
      </c>
      <c r="F22" s="31" t="inlineStr">
        <is>
          <t>Chemicals Organic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18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NRL</t>
        </is>
      </c>
      <c r="E23" s="31" t="inlineStr">
        <is>
          <t>Nupur Recyclers Ltd</t>
        </is>
      </c>
      <c r="F23" s="31" t="inlineStr">
        <is>
          <t>Trading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15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CPPLUS</t>
        </is>
      </c>
      <c r="E24" s="31" t="inlineStr">
        <is>
          <t>Aditya Infotech Ltd</t>
        </is>
      </c>
      <c r="F24" s="31" t="inlineStr">
        <is>
          <t>CCTV Camera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15</v>
      </c>
      <c r="K24" s="31" t="n">
        <v>20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VALIANTORG</t>
        </is>
      </c>
      <c r="E25" s="31" t="inlineStr">
        <is>
          <t>Valiant Organics Ltd</t>
        </is>
      </c>
      <c r="F25" s="31" t="inlineStr">
        <is>
          <t>Chemicals Organic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15</v>
      </c>
      <c r="K25" s="31" t="n">
        <v>25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LOTUSDEV</t>
        </is>
      </c>
      <c r="E26" s="31" t="inlineStr">
        <is>
          <t>Sri Lotus Developers &amp; Realty Ltd</t>
        </is>
      </c>
      <c r="F26" s="31" t="inlineStr">
        <is>
          <t>Construction Factories and Offices and Commercial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TATVA</t>
        </is>
      </c>
      <c r="E27" s="31" t="inlineStr">
        <is>
          <t>Tatva Chintan Pharma Chem Ltd</t>
        </is>
      </c>
      <c r="F27" s="31" t="inlineStr">
        <is>
          <t>Specialty Chemicals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16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MARINE</t>
        </is>
      </c>
      <c r="E28" s="31" t="inlineStr">
        <is>
          <t>Marine Electricals (India) Ltd</t>
        </is>
      </c>
      <c r="F28" s="31" t="inlineStr">
        <is>
          <t>Shipping Proxy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19</v>
      </c>
      <c r="K28" s="31" t="n">
        <v>25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DELTACORP</t>
        </is>
      </c>
      <c r="E29" s="31" t="inlineStr">
        <is>
          <t>Delta Corp Limited</t>
        </is>
      </c>
      <c r="F29" s="31" t="inlineStr">
        <is>
          <t>Miscellaneous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16</v>
      </c>
      <c r="K29" s="31" t="n">
        <v>11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PTCIL</t>
        </is>
      </c>
      <c r="E30" s="31" t="inlineStr">
        <is>
          <t>PTC Industries Ltd</t>
        </is>
      </c>
      <c r="F30" s="31" t="inlineStr">
        <is>
          <t>unknown</t>
        </is>
      </c>
      <c r="G30" s="31" t="n">
        <v>2</v>
      </c>
      <c r="H30" s="31" t="inlineStr">
        <is>
          <t>ATH Momentum</t>
        </is>
      </c>
      <c r="I30" s="31" t="inlineStr">
        <is>
          <t>Yes</t>
        </is>
      </c>
      <c r="J30" s="31" t="n">
        <v>0</v>
      </c>
      <c r="K30" s="31" t="n">
        <v>21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HITECHCORP</t>
        </is>
      </c>
      <c r="E31" s="31" t="inlineStr">
        <is>
          <t>Hitech Corporation</t>
        </is>
      </c>
      <c r="F31" s="31" t="inlineStr">
        <is>
          <t>unknown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0</v>
      </c>
      <c r="K31" s="31" t="n">
        <v>21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CYIENTDLM</t>
        </is>
      </c>
      <c r="E32" s="31" t="inlineStr">
        <is>
          <t>Cyient DLM Ltd</t>
        </is>
      </c>
      <c r="F32" s="31" t="inlineStr">
        <is>
          <t>EMS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15</v>
      </c>
      <c r="K32" s="31" t="n">
        <v>28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HFCL</t>
        </is>
      </c>
      <c r="E33" s="31" t="inlineStr">
        <is>
          <t>HFCL Ltd</t>
        </is>
      </c>
      <c r="F33" s="31" t="inlineStr">
        <is>
          <t>Telecommunications Equipment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15</v>
      </c>
      <c r="K33" s="31" t="n">
        <v>12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WELSPUNLIV</t>
        </is>
      </c>
      <c r="E34" s="31" t="inlineStr">
        <is>
          <t>Welspun Living Ltd</t>
        </is>
      </c>
      <c r="F34" s="31" t="inlineStr">
        <is>
          <t>Textiles Home Textile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TFCILTD</t>
        </is>
      </c>
      <c r="E35" s="31" t="inlineStr">
        <is>
          <t>Tourism Finance Corporation Of India Limited</t>
        </is>
      </c>
      <c r="F35" s="31" t="inlineStr">
        <is>
          <t>Finance PSU Lending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22</v>
      </c>
      <c r="K35" s="31" t="n">
        <v>28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SYNCOMF</t>
        </is>
      </c>
      <c r="E36" s="31" t="inlineStr">
        <is>
          <t>Syncom Formulations (India) Ltd</t>
        </is>
      </c>
      <c r="F36" s="31" t="inlineStr">
        <is>
          <t>Pharma Others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SHILPAMED</t>
        </is>
      </c>
      <c r="E37" s="31" t="inlineStr">
        <is>
          <t>Shilpa Medicare Limited</t>
        </is>
      </c>
      <c r="F37" s="31" t="inlineStr">
        <is>
          <t>Pharma API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15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DBOL</t>
        </is>
      </c>
      <c r="E38" s="31" t="inlineStr">
        <is>
          <t>Dhampur Bio Organics Ltd</t>
        </is>
      </c>
      <c r="F38" s="31" t="inlineStr">
        <is>
          <t>unknown</t>
        </is>
      </c>
      <c r="G38" s="31" t="n">
        <v>2</v>
      </c>
      <c r="H38" s="31" t="inlineStr">
        <is>
          <t>52W Breakout</t>
        </is>
      </c>
      <c r="I38" s="31" t="inlineStr">
        <is>
          <t>Yes</t>
        </is>
      </c>
      <c r="J38" s="31" t="n">
        <v>0</v>
      </c>
      <c r="K38" s="31" t="n">
        <v>14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BHAGERIA</t>
        </is>
      </c>
      <c r="E39" s="31" t="inlineStr">
        <is>
          <t>Bhageria Industries Limited</t>
        </is>
      </c>
      <c r="F39" s="31" t="inlineStr">
        <is>
          <t>Dyes and Pigments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SAMBHV</t>
        </is>
      </c>
      <c r="E40" s="31" t="inlineStr">
        <is>
          <t>Sambhv Steel Tubes Ltd</t>
        </is>
      </c>
      <c r="F40" s="31" t="inlineStr">
        <is>
          <t>Steel Tubes and Pipes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25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ABDL</t>
        </is>
      </c>
      <c r="E41" s="31" t="inlineStr">
        <is>
          <t>Allied Blenders &amp; Distillers Ltd</t>
        </is>
      </c>
      <c r="F41" s="31" t="inlineStr">
        <is>
          <t>Alcoholic Beverages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15</v>
      </c>
      <c r="K41" s="31" t="n">
        <v>20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LAURUSLABS</t>
        </is>
      </c>
      <c r="E42" s="31" t="inlineStr">
        <is>
          <t>Laurus Labs Limited</t>
        </is>
      </c>
      <c r="F42" s="31" t="inlineStr">
        <is>
          <t>Pharma API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SPECTRUM</t>
        </is>
      </c>
      <c r="E43" s="31" t="inlineStr">
        <is>
          <t>Spectrum Electrical Industries Ltd</t>
        </is>
      </c>
      <c r="F43" s="31" t="inlineStr">
        <is>
          <t>Capital Goods Electric General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25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SHREEJISPG</t>
        </is>
      </c>
      <c r="E44" s="31" t="inlineStr">
        <is>
          <t>Shreeji Shipping Global Ltd</t>
        </is>
      </c>
      <c r="F44" s="31" t="inlineStr">
        <is>
          <t>unknown</t>
        </is>
      </c>
      <c r="G44" s="31" t="n">
        <v>2</v>
      </c>
      <c r="H44" s="31" t="inlineStr">
        <is>
          <t>ATH Momentum</t>
        </is>
      </c>
      <c r="I44" s="31" t="inlineStr">
        <is>
          <t>Yes</t>
        </is>
      </c>
      <c r="J44" s="31" t="n">
        <v>0</v>
      </c>
      <c r="K44" s="31" t="n">
        <v>26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MMP</t>
        </is>
      </c>
      <c r="E45" s="31" t="inlineStr">
        <is>
          <t>MMP Industries Ltd</t>
        </is>
      </c>
      <c r="F45" s="31" t="inlineStr">
        <is>
          <t>Aluminium Products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15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MUKANDLTD</t>
        </is>
      </c>
      <c r="E46" s="31" t="inlineStr">
        <is>
          <t>Mukand Limited</t>
        </is>
      </c>
      <c r="F46" s="31" t="inlineStr">
        <is>
          <t>Steel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15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AVADHSUGAR</t>
        </is>
      </c>
      <c r="E47" s="31" t="inlineStr">
        <is>
          <t>Avadh Sugar &amp; Energy</t>
        </is>
      </c>
      <c r="F47" s="31" t="inlineStr">
        <is>
          <t>unknown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0</v>
      </c>
      <c r="K47" s="31" t="n">
        <v>18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DYNAMATECH</t>
        </is>
      </c>
      <c r="E48" s="31" t="inlineStr">
        <is>
          <t>Dynamatic Technologies Limited</t>
        </is>
      </c>
      <c r="F48" s="31" t="inlineStr">
        <is>
          <t>Aerospace and Defence Equipment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15</v>
      </c>
      <c r="K48" s="31" t="n">
        <v>28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SOTL</t>
        </is>
      </c>
      <c r="E49" s="31" t="inlineStr">
        <is>
          <t>Savita Oil Technologies Limited</t>
        </is>
      </c>
      <c r="F49" s="31" t="inlineStr">
        <is>
          <t>Petrochemicals Others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14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DEEPINDS</t>
        </is>
      </c>
      <c r="E50" s="31" t="inlineStr">
        <is>
          <t>Deep Industries Ltd</t>
        </is>
      </c>
      <c r="F50" s="31" t="inlineStr">
        <is>
          <t>Oil Drilling and Exploration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15</v>
      </c>
      <c r="K50" s="31" t="n">
        <v>24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WHEELS</t>
        </is>
      </c>
      <c r="E51" s="31" t="inlineStr">
        <is>
          <t>Wheels India Limited</t>
        </is>
      </c>
      <c r="F51" s="31" t="inlineStr">
        <is>
          <t>Auto Wheels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16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PVRINOX</t>
        </is>
      </c>
      <c r="E52" s="31" t="inlineStr">
        <is>
          <t>PVR Inox Ltd</t>
        </is>
      </c>
      <c r="F52" s="31" t="inlineStr">
        <is>
          <t>Entertainment and Media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15</v>
      </c>
      <c r="K52" s="31" t="n">
        <v>17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RAMRAT</t>
        </is>
      </c>
      <c r="E53" s="31" t="inlineStr">
        <is>
          <t>Ram Ratna Wires Ltd</t>
        </is>
      </c>
      <c r="F53" s="31" t="inlineStr">
        <is>
          <t>Copper Wires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16</v>
      </c>
      <c r="K53" s="31" t="n">
        <v>28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MTARTECH</t>
        </is>
      </c>
      <c r="E54" s="31" t="inlineStr">
        <is>
          <t>MTAR Technologies Ltd</t>
        </is>
      </c>
      <c r="F54" s="31" t="inlineStr">
        <is>
          <t>Aerospace and Defence Equipment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15</v>
      </c>
      <c r="K54" s="31" t="n">
        <v>16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GLOBAL</t>
        </is>
      </c>
      <c r="E55" s="31" t="inlineStr">
        <is>
          <t>Global Education Ltd</t>
        </is>
      </c>
      <c r="F55" s="31" t="inlineStr">
        <is>
          <t>unknown</t>
        </is>
      </c>
      <c r="G55" s="31" t="n">
        <v>2</v>
      </c>
      <c r="H55" s="31" t="inlineStr">
        <is>
          <t>ATH Momentum</t>
        </is>
      </c>
      <c r="I55" s="31" t="inlineStr">
        <is>
          <t>Yes</t>
        </is>
      </c>
      <c r="J55" s="31" t="n">
        <v>0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RATNAVEER</t>
        </is>
      </c>
      <c r="E56" s="31" t="inlineStr">
        <is>
          <t>Ratnaveer Precision Engineering Ltd</t>
        </is>
      </c>
      <c r="F56" s="31" t="inlineStr">
        <is>
          <t>Stainless Steel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15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SUNFLAG</t>
        </is>
      </c>
      <c r="E57" s="31" t="inlineStr">
        <is>
          <t>Sunflag Iron And Steel Company Limited</t>
        </is>
      </c>
      <c r="F57" s="31" t="inlineStr">
        <is>
          <t>Steel Products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17</v>
      </c>
      <c r="K57" s="31" t="n">
        <v>13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CHENNPETRO</t>
        </is>
      </c>
      <c r="E58" s="31" t="inlineStr">
        <is>
          <t>Chennai Petroleum Corporation Limited</t>
        </is>
      </c>
      <c r="F58" s="31" t="inlineStr">
        <is>
          <t>Refineries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23</v>
      </c>
      <c r="K58" s="31" t="n">
        <v>13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ARFIN</t>
        </is>
      </c>
      <c r="E59" s="31" t="inlineStr">
        <is>
          <t>Arfin India Ltd</t>
        </is>
      </c>
      <c r="F59" s="31" t="inlineStr">
        <is>
          <t>unknown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0</v>
      </c>
      <c r="K59" s="31" t="n">
        <v>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TDPOWERSYS</t>
        </is>
      </c>
      <c r="E60" s="31" t="inlineStr">
        <is>
          <t>Td Power Systems Limited</t>
        </is>
      </c>
      <c r="F60" s="31" t="inlineStr">
        <is>
          <t>Capital Goods Gensets and Turbines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17</v>
      </c>
      <c r="K60" s="31" t="n">
        <v>11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UNITEDPOLY</t>
        </is>
      </c>
      <c r="E61" s="31" t="inlineStr">
        <is>
          <t>United Polyfab Gujarat Ltd</t>
        </is>
      </c>
      <c r="F61" s="31" t="inlineStr">
        <is>
          <t>unknown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0</v>
      </c>
      <c r="K61" s="31" t="n">
        <v>25</v>
      </c>
    </row>
  </sheetData>
  <autoFilter ref="A1:K61"/>
  <conditionalFormatting sqref="G2:G6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6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IF(B2=0,"",RANK(B2,$B$2:$B$128,0))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SHANTIGOLD</t>
        </is>
      </c>
      <c r="D2" s="31" t="inlineStr">
        <is>
          <t>Shanti Gold International Ltd</t>
        </is>
      </c>
      <c r="E2" s="31" t="inlineStr">
        <is>
          <t>consumer discretionary</t>
        </is>
      </c>
      <c r="F2" s="31" t="inlineStr">
        <is>
          <t>diamond cutting / jewellery</t>
        </is>
      </c>
      <c r="G2" s="31" t="inlineStr">
        <is>
          <t>smallcap</t>
        </is>
      </c>
      <c r="H2" s="32" t="n">
        <v>2617.2</v>
      </c>
      <c r="I2" s="32" t="n">
        <v>350.65</v>
      </c>
      <c r="J2" s="32" t="n">
        <v>2.81</v>
      </c>
      <c r="K2" s="32" t="n">
        <v>5937219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72.98</v>
      </c>
      <c r="P2" s="32" t="n">
        <v>43.95</v>
      </c>
      <c r="Q2" s="32" t="n">
        <v>258.82</v>
      </c>
      <c r="R2" s="31" t="inlineStr">
        <is>
          <t>Near 52W High Breakout</t>
        </is>
      </c>
      <c r="S2" s="31" t="inlineStr">
        <is>
          <t>Nifty 50</t>
        </is>
      </c>
      <c r="T2" s="32" t="n">
        <v>-12.08</v>
      </c>
      <c r="U2" s="32" t="n">
        <v>63.76</v>
      </c>
      <c r="V2" s="32" t="n">
        <v>86.25</v>
      </c>
      <c r="W2" s="32" t="n">
        <v>26.34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IF(B3=0,"",RANK(B3,$B$2:$B$128,0))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PGIL</t>
        </is>
      </c>
      <c r="D3" s="31" t="inlineStr">
        <is>
          <t>Pearl Global Industries Limited</t>
        </is>
      </c>
      <c r="E3" s="31" t="inlineStr">
        <is>
          <t>readymade garments/apparels</t>
        </is>
      </c>
      <c r="F3" s="31" t="inlineStr">
        <is>
          <t>textiles - products</t>
        </is>
      </c>
      <c r="G3" s="31" t="inlineStr">
        <is>
          <t>midcap</t>
        </is>
      </c>
      <c r="H3" s="32" t="n">
        <v>11761.04</v>
      </c>
      <c r="I3" s="32" t="n">
        <v>1272.3</v>
      </c>
      <c r="J3" s="32" t="n">
        <v>-0.06</v>
      </c>
      <c r="K3" s="32" t="n">
        <v>129386</v>
      </c>
      <c r="L3" s="31" t="n">
        <v>48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66.31</v>
      </c>
      <c r="P3" s="32" t="n">
        <v>59.01</v>
      </c>
      <c r="Q3" s="32" t="n">
        <v>1018.71</v>
      </c>
      <c r="R3" s="31" t="inlineStr">
        <is>
          <t>Near 52W High Breakout</t>
        </is>
      </c>
      <c r="S3" s="31" t="inlineStr">
        <is>
          <t>Nifty 50</t>
        </is>
      </c>
      <c r="T3" s="32" t="n">
        <v>-12.08</v>
      </c>
      <c r="U3" s="32" t="n">
        <v>97.19</v>
      </c>
      <c r="V3" s="32" t="n">
        <v>124.27</v>
      </c>
      <c r="W3" s="32" t="n">
        <v>20.72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IF(B4=0,"",RANK(B4,$B$2:$B$128,0))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PREMIERPOL</t>
        </is>
      </c>
      <c r="D4" s="31" t="inlineStr">
        <is>
          <t>Premier Polyfilm Limited</t>
        </is>
      </c>
      <c r="E4" s="31" t="inlineStr">
        <is>
          <t>plastic products</t>
        </is>
      </c>
      <c r="F4" s="31" t="inlineStr">
        <is>
          <t>plastics products</t>
        </is>
      </c>
      <c r="G4" s="31" t="inlineStr">
        <is>
          <t>smallcap</t>
        </is>
      </c>
      <c r="H4" s="32" t="n">
        <v>1060.31</v>
      </c>
      <c r="I4" s="32" t="n">
        <v>98.25</v>
      </c>
      <c r="J4" s="32" t="n">
        <v>-2.94</v>
      </c>
      <c r="K4" s="32" t="n">
        <v>1065254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66.38</v>
      </c>
      <c r="P4" s="32" t="n">
        <v>58.98</v>
      </c>
      <c r="Q4" s="32" t="n">
        <v>64.65000000000001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-12.08</v>
      </c>
      <c r="U4" s="32" t="n">
        <v>120</v>
      </c>
      <c r="V4" s="32" t="n">
        <v>150.22</v>
      </c>
      <c r="W4" s="32" t="n">
        <v>30.48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IF(B5=0,"",RANK(B5,$B$2:$B$128,0))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ORIENTBELL</t>
        </is>
      </c>
      <c r="D5" s="31" t="inlineStr">
        <is>
          <t>Orient Bell Limited</t>
        </is>
      </c>
      <c r="E5" s="31" t="inlineStr">
        <is>
          <t>building materials</t>
        </is>
      </c>
      <c r="F5" s="31" t="inlineStr">
        <is>
          <t>ceramics - tiles / sanitaryware</t>
        </is>
      </c>
      <c r="G5" s="31" t="inlineStr">
        <is>
          <t>smallcap</t>
        </is>
      </c>
      <c r="H5" s="32" t="n">
        <v>636.3</v>
      </c>
      <c r="I5" s="32" t="n">
        <v>413</v>
      </c>
      <c r="J5" s="32" t="n">
        <v>-4.52</v>
      </c>
      <c r="K5" s="32" t="n">
        <v>91820</v>
      </c>
      <c r="L5" s="31" t="inlineStr"/>
      <c r="M5" s="31" t="inlineStr"/>
      <c r="N5" s="32">
        <f>IF(M5="Underperforming",-5,IF(L5&gt;=95,15,IF(L5&gt;=90,10,IF(L5&gt;=80,5,0))))</f>
        <v/>
      </c>
      <c r="O5" s="32" t="n">
        <v>67.02</v>
      </c>
      <c r="P5" s="32" t="n">
        <v>46.82</v>
      </c>
      <c r="Q5" s="32" t="n">
        <v>321.48</v>
      </c>
      <c r="R5" s="31" t="inlineStr">
        <is>
          <t>Near 52W High Breakout</t>
        </is>
      </c>
      <c r="S5" s="31" t="inlineStr">
        <is>
          <t>Nifty Infra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IF(B6=0,"",RANK(B6,$B$2:$B$128,0))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SWANDEF</t>
        </is>
      </c>
      <c r="D6" s="31" t="inlineStr">
        <is>
          <t>Swan Defence and Heavy Industries Ltd</t>
        </is>
      </c>
      <c r="E6" s="31" t="inlineStr">
        <is>
          <t>transportation</t>
        </is>
      </c>
      <c r="F6" s="31" t="inlineStr">
        <is>
          <t>miscellaneous</t>
        </is>
      </c>
      <c r="G6" s="31" t="inlineStr">
        <is>
          <t>midcap</t>
        </is>
      </c>
      <c r="H6" s="32" t="n">
        <v>14537.11</v>
      </c>
      <c r="I6" s="32" t="n">
        <v>2785.1</v>
      </c>
      <c r="J6" s="32" t="n">
        <v>0.93</v>
      </c>
      <c r="K6" s="32" t="n">
        <v>24580</v>
      </c>
      <c r="L6" s="31" t="n">
        <v>95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68.28</v>
      </c>
      <c r="P6" s="32" t="n">
        <v>56.51</v>
      </c>
      <c r="Q6" s="32" t="n">
        <v>2126.26</v>
      </c>
      <c r="R6" s="31" t="inlineStr">
        <is>
          <t>Near 52W High Breakout</t>
        </is>
      </c>
      <c r="S6" s="31" t="inlineStr">
        <is>
          <t>Nifty 50</t>
        </is>
      </c>
      <c r="T6" s="32" t="n">
        <v>-12.08</v>
      </c>
      <c r="U6" s="32" t="n">
        <v>337.77</v>
      </c>
      <c r="V6" s="32" t="n">
        <v>397.9</v>
      </c>
      <c r="W6" s="32" t="n">
        <v>52.39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More than 1.2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IF(B7=0,"",RANK(B7,$B$2:$B$128,0))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KINGFA</t>
        </is>
      </c>
      <c r="D7" s="31" t="inlineStr">
        <is>
          <t>Kingfa Science &amp; Technology (india) Limited</t>
        </is>
      </c>
      <c r="E7" s="31" t="inlineStr">
        <is>
          <t>plastic products</t>
        </is>
      </c>
      <c r="F7" s="31" t="inlineStr">
        <is>
          <t>plastics products</t>
        </is>
      </c>
      <c r="G7" s="31" t="inlineStr">
        <is>
          <t>midcap</t>
        </is>
      </c>
      <c r="H7" s="32" t="n">
        <v>9394.49</v>
      </c>
      <c r="I7" s="32" t="n">
        <v>6804</v>
      </c>
      <c r="J7" s="32" t="n">
        <v>-1.85</v>
      </c>
      <c r="K7" s="32" t="n">
        <v>8335</v>
      </c>
      <c r="L7" s="31" t="n">
        <v>35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73.95</v>
      </c>
      <c r="P7" s="32" t="n">
        <v>45.04</v>
      </c>
      <c r="Q7" s="32" t="n">
        <v>5492.56</v>
      </c>
      <c r="R7" s="31" t="inlineStr">
        <is>
          <t>Near 52W High Breakout</t>
        </is>
      </c>
      <c r="S7" s="31" t="inlineStr">
        <is>
          <t>Nifty 50</t>
        </is>
      </c>
      <c r="T7" s="32" t="n">
        <v>-12.08</v>
      </c>
      <c r="U7" s="32" t="n">
        <v>46.31</v>
      </c>
      <c r="V7" s="32" t="n">
        <v>66.40000000000001</v>
      </c>
      <c r="W7" s="32" t="n">
        <v>15.35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IF(B8=0,"",RANK(B8,$B$2:$B$128,0))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GLAND</t>
        </is>
      </c>
      <c r="D8" s="31" t="inlineStr">
        <is>
          <t>Gland Pharma Ltd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largecap</t>
        </is>
      </c>
      <c r="H8" s="32" t="n">
        <v>51972.2</v>
      </c>
      <c r="I8" s="32" t="n">
        <v>3079.1</v>
      </c>
      <c r="J8" s="32" t="n">
        <v>-2.27</v>
      </c>
      <c r="K8" s="32" t="n">
        <v>495007</v>
      </c>
      <c r="L8" s="31" t="n">
        <v>40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73.76000000000001</v>
      </c>
      <c r="P8" s="32" t="n">
        <v>62.96</v>
      </c>
      <c r="Q8" s="32" t="n">
        <v>2525.29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16.23</v>
      </c>
      <c r="U8" s="32" t="n">
        <v>61.3</v>
      </c>
      <c r="V8" s="32" t="n">
        <v>38.78</v>
      </c>
      <c r="W8" s="32" t="n">
        <v>16.72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IF(B9=0,"",RANK(B9,$B$2:$B$128,0))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7568.69</v>
      </c>
      <c r="I9" s="32" t="n">
        <v>34.88</v>
      </c>
      <c r="J9" s="32" t="n">
        <v>7.36</v>
      </c>
      <c r="K9" s="32" t="n">
        <v>80328946</v>
      </c>
      <c r="L9" s="31" t="n">
        <v>70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71.51000000000001</v>
      </c>
      <c r="P9" s="32" t="n">
        <v>39.98</v>
      </c>
      <c r="Q9" s="32" t="n">
        <v>24.09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-12.08</v>
      </c>
      <c r="U9" s="32" t="n">
        <v>102.2</v>
      </c>
      <c r="V9" s="32" t="n">
        <v>129.98</v>
      </c>
      <c r="W9" s="32" t="n">
        <v>29.7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IF(B10=0,"",RANK(B10,$B$2:$B$128,0))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NRL</t>
        </is>
      </c>
      <c r="D10" s="31" t="inlineStr">
        <is>
          <t>Nupur Recyclers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smallcap</t>
        </is>
      </c>
      <c r="H10" s="32" t="n">
        <v>1106.07</v>
      </c>
      <c r="I10" s="32" t="n">
        <v>158.9</v>
      </c>
      <c r="J10" s="32" t="n">
        <v>-0.77</v>
      </c>
      <c r="K10" s="32" t="n">
        <v>27444</v>
      </c>
      <c r="L10" s="31" t="n">
        <v>82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87.11</v>
      </c>
      <c r="P10" s="32" t="n">
        <v>77.98999999999999</v>
      </c>
      <c r="Q10" s="32" t="n">
        <v>134.3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-12.08</v>
      </c>
      <c r="U10" s="32" t="n">
        <v>124.24</v>
      </c>
      <c r="V10" s="32" t="n">
        <v>155.05</v>
      </c>
      <c r="W10" s="32" t="n">
        <v>36.57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IF(B11=0,"",RANK(B11,$B$2:$B$128,0))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FILATEX</t>
        </is>
      </c>
      <c r="D11" s="31" t="inlineStr">
        <is>
          <t>Filatex India Limited</t>
        </is>
      </c>
      <c r="E11" s="31" t="inlineStr">
        <is>
          <t>textiles</t>
        </is>
      </c>
      <c r="F11" s="31" t="inlineStr">
        <is>
          <t>textiles - manmade</t>
        </is>
      </c>
      <c r="G11" s="31" t="inlineStr">
        <is>
          <t>smallcap</t>
        </is>
      </c>
      <c r="H11" s="32" t="n">
        <v>4957.02</v>
      </c>
      <c r="I11" s="32" t="n">
        <v>109.74</v>
      </c>
      <c r="J11" s="32" t="n">
        <v>-1.69</v>
      </c>
      <c r="K11" s="32" t="n">
        <v>2775146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83.02</v>
      </c>
      <c r="P11" s="32" t="n">
        <v>53.94</v>
      </c>
      <c r="Q11" s="32" t="n">
        <v>81.61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-12.08</v>
      </c>
      <c r="U11" s="32" t="n">
        <v>103.62</v>
      </c>
      <c r="V11" s="32" t="n">
        <v>131.59</v>
      </c>
      <c r="W11" s="32" t="n">
        <v>34.95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Between 12 to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IF(B12=0,"",RANK(B12,$B$2:$B$128,0))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MBECL</t>
        </is>
      </c>
      <c r="D12" s="31" t="inlineStr">
        <is>
          <t>Mcnally Bharat Engineering Company Limited</t>
        </is>
      </c>
      <c r="E12" s="31" t="inlineStr">
        <is>
          <t>realty</t>
        </is>
      </c>
      <c r="F12" s="31" t="inlineStr">
        <is>
          <t>engineering - turnkey services</t>
        </is>
      </c>
      <c r="G12" s="31" t="inlineStr">
        <is>
          <t>smallcap</t>
        </is>
      </c>
      <c r="H12" s="32" t="n">
        <v>1613.17</v>
      </c>
      <c r="I12" s="32" t="n">
        <v>474.3</v>
      </c>
      <c r="J12" s="32" t="n">
        <v>-1.99</v>
      </c>
      <c r="K12" s="32" t="n">
        <v>512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94.27</v>
      </c>
      <c r="P12" s="32" t="n">
        <v>74.89</v>
      </c>
      <c r="Q12" s="32" t="n">
        <v>415.49</v>
      </c>
      <c r="R12" s="31" t="inlineStr">
        <is>
          <t>Volume Spike &amp; Near 52W High Breakout</t>
        </is>
      </c>
      <c r="S12" s="31" t="inlineStr">
        <is>
          <t>Nifty Realty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IF(B13=0,"",RANK(B13,$B$2:$B$128,0))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THELEELA</t>
        </is>
      </c>
      <c r="D13" s="31" t="inlineStr">
        <is>
          <t>Leela Palaces Hotels &amp; Resorts Ltd</t>
        </is>
      </c>
      <c r="E13" s="31" t="inlineStr">
        <is>
          <t>services</t>
        </is>
      </c>
      <c r="F13" s="31" t="inlineStr">
        <is>
          <t>hotels</t>
        </is>
      </c>
      <c r="G13" s="31" t="inlineStr">
        <is>
          <t>largecap</t>
        </is>
      </c>
      <c r="H13" s="32" t="n">
        <v>20119.29</v>
      </c>
      <c r="I13" s="32" t="n">
        <v>586.95</v>
      </c>
      <c r="J13" s="32" t="n">
        <v>-2.57</v>
      </c>
      <c r="K13" s="32" t="n">
        <v>253791</v>
      </c>
      <c r="L13" s="31" t="n">
        <v>21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71.92</v>
      </c>
      <c r="P13" s="32" t="n">
        <v>42.29</v>
      </c>
      <c r="Q13" s="32" t="n">
        <v>476.74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-12.08</v>
      </c>
      <c r="U13" s="32" t="n">
        <v>29.61</v>
      </c>
      <c r="V13" s="32" t="n">
        <v>47.41</v>
      </c>
      <c r="W13" s="32" t="n">
        <v>9.16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IF(B14=0,"",RANK(B14,$B$2:$B$128,0))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SSWL</t>
        </is>
      </c>
      <c r="D14" s="31" t="inlineStr">
        <is>
          <t>Steel Strips Wheels Limited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midcap</t>
        </is>
      </c>
      <c r="H14" s="32" t="n">
        <v>6667.59</v>
      </c>
      <c r="I14" s="32" t="n">
        <v>410.5</v>
      </c>
      <c r="J14" s="32" t="n">
        <v>-3.23</v>
      </c>
      <c r="K14" s="32" t="n">
        <v>1268927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83.73999999999999</v>
      </c>
      <c r="P14" s="32" t="n">
        <v>49.86</v>
      </c>
      <c r="Q14" s="32" t="n">
        <v>320.13</v>
      </c>
      <c r="R14" s="31" t="inlineStr">
        <is>
          <t>Near 52W High Breakout</t>
        </is>
      </c>
      <c r="S14" s="31" t="inlineStr">
        <is>
          <t>Nifty Auto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IF(B15=0,"",RANK(B15,$B$2:$B$128,0))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OCCLLTD</t>
        </is>
      </c>
      <c r="D15" s="31" t="inlineStr">
        <is>
          <t>OCCL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1085.42</v>
      </c>
      <c r="I15" s="32" t="n">
        <v>208.36</v>
      </c>
      <c r="J15" s="32" t="n">
        <v>-4.11</v>
      </c>
      <c r="K15" s="32" t="n">
        <v>164531</v>
      </c>
      <c r="L15" s="31" t="n">
        <v>68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79.83</v>
      </c>
      <c r="P15" s="32" t="n">
        <v>50</v>
      </c>
      <c r="Q15" s="32" t="n">
        <v>157.23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-12.08</v>
      </c>
      <c r="U15" s="32" t="n">
        <v>66.41</v>
      </c>
      <c r="V15" s="32" t="n">
        <v>89.26000000000001</v>
      </c>
      <c r="W15" s="32" t="n">
        <v>29.09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IF(B16=0,"",RANK(B16,$B$2:$B$128,0))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LLOYDSENGG</t>
        </is>
      </c>
      <c r="D16" s="31" t="inlineStr">
        <is>
          <t>Lloyds Engineering Works Ltd</t>
        </is>
      </c>
      <c r="E16" s="31" t="inlineStr">
        <is>
          <t>industrials</t>
        </is>
      </c>
      <c r="F16" s="31" t="inlineStr">
        <is>
          <t>engineering</t>
        </is>
      </c>
      <c r="G16" s="31" t="inlineStr">
        <is>
          <t>midcap</t>
        </is>
      </c>
      <c r="H16" s="32" t="n">
        <v>15681</v>
      </c>
      <c r="I16" s="32" t="n">
        <v>96.18000000000001</v>
      </c>
      <c r="J16" s="32" t="n">
        <v>-4.87</v>
      </c>
      <c r="K16" s="32" t="n">
        <v>13917134</v>
      </c>
      <c r="L16" s="31" t="n">
        <v>31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65.91</v>
      </c>
      <c r="P16" s="32" t="n">
        <v>44.85</v>
      </c>
      <c r="Q16" s="32" t="n">
        <v>73.88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-12.08</v>
      </c>
      <c r="U16" s="32" t="n">
        <v>53.5</v>
      </c>
      <c r="V16" s="32" t="n">
        <v>74.58</v>
      </c>
      <c r="W16" s="32" t="n">
        <v>14.7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IF(B17=0,"",RANK(B17,$B$2:$B$128,0))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MAWANASUG</t>
        </is>
      </c>
      <c r="D17" s="31" t="inlineStr">
        <is>
          <t>Mawana Sugars Limited</t>
        </is>
      </c>
      <c r="E17" s="31" t="inlineStr">
        <is>
          <t>fmcg</t>
        </is>
      </c>
      <c r="F17" s="31" t="inlineStr">
        <is>
          <t>sugar</t>
        </is>
      </c>
      <c r="G17" s="31" t="inlineStr">
        <is>
          <t>smallcap</t>
        </is>
      </c>
      <c r="H17" s="32" t="n">
        <v>593.25</v>
      </c>
      <c r="I17" s="32" t="n">
        <v>145.11</v>
      </c>
      <c r="J17" s="32" t="n">
        <v>-4.32</v>
      </c>
      <c r="K17" s="32" t="n">
        <v>330517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63.53</v>
      </c>
      <c r="P17" s="32" t="n">
        <v>44.14</v>
      </c>
      <c r="Q17" s="32" t="n">
        <v>107.73</v>
      </c>
      <c r="R17" s="31" t="inlineStr">
        <is>
          <t>Near 52W High Breakout</t>
        </is>
      </c>
      <c r="S17" s="31" t="inlineStr">
        <is>
          <t>Nifty FMCG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Between 0.7 to 1.2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IF(B18=0,"",RANK(B18,$B$2:$B$128,0))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MOREPENLAB</t>
        </is>
      </c>
      <c r="D18" s="31" t="inlineStr">
        <is>
          <t>Morepen Laboratories Limited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midcap</t>
        </is>
      </c>
      <c r="H18" s="32" t="n">
        <v>8053.28</v>
      </c>
      <c r="I18" s="32" t="n">
        <v>136.55</v>
      </c>
      <c r="J18" s="32" t="n">
        <v>-7.09</v>
      </c>
      <c r="K18" s="32" t="n">
        <v>21277943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90.5</v>
      </c>
      <c r="P18" s="32" t="n">
        <v>57.57</v>
      </c>
      <c r="Q18" s="32" t="n">
        <v>101.57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16.23</v>
      </c>
      <c r="U18" s="32" t="n">
        <v>174.38</v>
      </c>
      <c r="V18" s="32" t="n">
        <v>136.07</v>
      </c>
      <c r="W18" s="32" t="n">
        <v>56.09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IF(B19=0,"",RANK(B19,$B$2:$B$128,0))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PCJEWELLER</t>
        </is>
      </c>
      <c r="D19" s="31" t="inlineStr">
        <is>
          <t>Pc Jeweller Limited</t>
        </is>
      </c>
      <c r="E19" s="31" t="inlineStr">
        <is>
          <t>consumer discretionary</t>
        </is>
      </c>
      <c r="F19" s="31" t="inlineStr">
        <is>
          <t>diamond cutting / jewellery</t>
        </is>
      </c>
      <c r="G19" s="31" t="inlineStr">
        <is>
          <t>midcap</t>
        </is>
      </c>
      <c r="H19" s="32" t="n">
        <v>12759.64</v>
      </c>
      <c r="I19" s="32" t="n">
        <v>13.9</v>
      </c>
      <c r="J19" s="32" t="n">
        <v>5.78</v>
      </c>
      <c r="K19" s="32" t="n">
        <v>859046354</v>
      </c>
      <c r="L19" s="31" t="n">
        <v>25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</v>
      </c>
      <c r="P19" s="32" t="n">
        <v>36.35</v>
      </c>
      <c r="Q19" s="32" t="n">
        <v>9.83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-12.08</v>
      </c>
      <c r="U19" s="32" t="n">
        <v>8.26</v>
      </c>
      <c r="V19" s="32" t="n">
        <v>23.12</v>
      </c>
      <c r="W19" s="32" t="n">
        <v>11.28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IF(B20=0,"",RANK(B20,$B$2:$B$128,0))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HITECHCORP</t>
        </is>
      </c>
      <c r="D20" s="31" t="inlineStr">
        <is>
          <t>Hitech Corporation</t>
        </is>
      </c>
      <c r="E20" s="31" t="inlineStr">
        <is>
          <t>industrials</t>
        </is>
      </c>
      <c r="F20" s="31" t="inlineStr">
        <is>
          <t>packaging</t>
        </is>
      </c>
      <c r="G20" s="31" t="inlineStr">
        <is>
          <t>smallcap</t>
        </is>
      </c>
      <c r="H20" s="32" t="n">
        <v>599.6</v>
      </c>
      <c r="I20" s="32" t="n">
        <v>350.55</v>
      </c>
      <c r="J20" s="32" t="n">
        <v>0.42</v>
      </c>
      <c r="K20" s="32" t="n">
        <v>60899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80.59999999999999</v>
      </c>
      <c r="P20" s="32" t="n">
        <v>65.58</v>
      </c>
      <c r="Q20" s="32" t="n">
        <v>296.72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-12.08</v>
      </c>
      <c r="U20" s="32" t="n">
        <v>78.86</v>
      </c>
      <c r="V20" s="32" t="n">
        <v>103.43</v>
      </c>
      <c r="W20" s="32" t="n">
        <v>22.66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IF(B21=0,"",RANK(B21,$B$2:$B$128,0))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PTCIL</t>
        </is>
      </c>
      <c r="D21" s="31" t="inlineStr">
        <is>
          <t>PTC Industries Ltd</t>
        </is>
      </c>
      <c r="E21" s="31" t="inlineStr">
        <is>
          <t>castings, forgings &amp; fasteners</t>
        </is>
      </c>
      <c r="F21" s="31" t="inlineStr">
        <is>
          <t>castings &amp; forgings</t>
        </is>
      </c>
      <c r="G21" s="31" t="inlineStr">
        <is>
          <t>largecap</t>
        </is>
      </c>
      <c r="H21" s="32" t="n">
        <v>37009.11</v>
      </c>
      <c r="I21" s="32" t="n">
        <v>24470</v>
      </c>
      <c r="J21" s="32" t="n">
        <v>-0.87</v>
      </c>
      <c r="K21" s="32" t="n">
        <v>31950</v>
      </c>
      <c r="L21" s="31" t="n">
        <v>42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71.89</v>
      </c>
      <c r="P21" s="32" t="n">
        <v>43.33</v>
      </c>
      <c r="Q21" s="32" t="n">
        <v>19673.51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-12.08</v>
      </c>
      <c r="U21" s="32" t="n">
        <v>50.61</v>
      </c>
      <c r="V21" s="32" t="n">
        <v>71.3</v>
      </c>
      <c r="W21" s="32" t="n">
        <v>17.67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IF(B22=0,"",RANK(B22,$B$2:$B$128,0))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CPPLUS</t>
        </is>
      </c>
      <c r="D22" s="31" t="inlineStr">
        <is>
          <t>Aditya Infotech Ltd</t>
        </is>
      </c>
      <c r="E22" s="31" t="inlineStr">
        <is>
          <t>consumer discretionary</t>
        </is>
      </c>
      <c r="F22" s="31" t="inlineStr">
        <is>
          <t>trading</t>
        </is>
      </c>
      <c r="G22" s="31" t="inlineStr">
        <is>
          <t>largecap</t>
        </is>
      </c>
      <c r="H22" s="32" t="n">
        <v>49846.63</v>
      </c>
      <c r="I22" s="32" t="n">
        <v>3972.2</v>
      </c>
      <c r="J22" s="32" t="n">
        <v>-2.28</v>
      </c>
      <c r="K22" s="32" t="n">
        <v>272957</v>
      </c>
      <c r="L22" s="31" t="n">
        <v>69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67.36</v>
      </c>
      <c r="P22" s="32" t="n">
        <v>43.87</v>
      </c>
      <c r="Q22" s="32" t="n">
        <v>2940.91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-12.08</v>
      </c>
      <c r="U22" s="32" t="n">
        <v>185.65</v>
      </c>
      <c r="V22" s="32" t="n">
        <v>224.89</v>
      </c>
      <c r="W22" s="32" t="n">
        <v>29.23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IF(B23=0,"",RANK(B23,$B$2:$B$128,0))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AETHER</t>
        </is>
      </c>
      <c r="D23" s="31" t="inlineStr">
        <is>
          <t>Aether Industries Ltd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largecap</t>
        </is>
      </c>
      <c r="H23" s="32" t="n">
        <v>23723.7</v>
      </c>
      <c r="I23" s="32" t="n">
        <v>1744.1</v>
      </c>
      <c r="J23" s="32" t="n">
        <v>-2.43</v>
      </c>
      <c r="K23" s="32" t="n">
        <v>198493</v>
      </c>
      <c r="L23" s="31" t="n">
        <v>52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68.3</v>
      </c>
      <c r="P23" s="32" t="n">
        <v>61.31</v>
      </c>
      <c r="Q23" s="32" t="n">
        <v>1402.95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-12.08</v>
      </c>
      <c r="U23" s="32" t="n">
        <v>132.48</v>
      </c>
      <c r="V23" s="32" t="n">
        <v>164.42</v>
      </c>
      <c r="W23" s="32" t="n">
        <v>22.12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IF(B24=0,"",RANK(B24,$B$2:$B$128,0))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RBZJEWEL</t>
        </is>
      </c>
      <c r="D24" s="31" t="inlineStr">
        <is>
          <t>RBZ Jewellers Ltd</t>
        </is>
      </c>
      <c r="E24" s="31" t="inlineStr">
        <is>
          <t>consumer discretionary</t>
        </is>
      </c>
      <c r="F24" s="31" t="inlineStr">
        <is>
          <t>diamond cutting / jewellery</t>
        </is>
      </c>
      <c r="G24" s="31" t="inlineStr">
        <is>
          <t>smallcap</t>
        </is>
      </c>
      <c r="H24" s="32" t="n">
        <v>797.52</v>
      </c>
      <c r="I24" s="32" t="n">
        <v>193.98</v>
      </c>
      <c r="J24" s="32" t="n">
        <v>-2.71</v>
      </c>
      <c r="K24" s="32" t="n">
        <v>72214</v>
      </c>
      <c r="L24" s="31" t="n">
        <v>26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63.67</v>
      </c>
      <c r="P24" s="32" t="n">
        <v>36.61</v>
      </c>
      <c r="Q24" s="32" t="n">
        <v>141.03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-12.08</v>
      </c>
      <c r="U24" s="32" t="n">
        <v>33.15</v>
      </c>
      <c r="V24" s="32" t="n">
        <v>51.43</v>
      </c>
      <c r="W24" s="32" t="n">
        <v>11.6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IF(B25=0,"",RANK(B25,$B$2:$B$128,0))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PLASTIBLEN</t>
        </is>
      </c>
      <c r="D25" s="31" t="inlineStr">
        <is>
          <t>Plastiblends India Limited</t>
        </is>
      </c>
      <c r="E25" s="31" t="inlineStr">
        <is>
          <t>chemicals</t>
        </is>
      </c>
      <c r="F25" s="31" t="inlineStr">
        <is>
          <t>chemicals</t>
        </is>
      </c>
      <c r="G25" s="31" t="inlineStr">
        <is>
          <t>smallcap</t>
        </is>
      </c>
      <c r="H25" s="32" t="n">
        <v>533.01</v>
      </c>
      <c r="I25" s="32" t="n">
        <v>199.47</v>
      </c>
      <c r="J25" s="32" t="n">
        <v>-2.74</v>
      </c>
      <c r="K25" s="32" t="n">
        <v>57601</v>
      </c>
      <c r="L25" s="31" t="n">
        <v>15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61.02</v>
      </c>
      <c r="P25" s="32" t="n">
        <v>35.52</v>
      </c>
      <c r="Q25" s="32" t="n">
        <v>157.62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-12.08</v>
      </c>
      <c r="U25" s="32" t="n">
        <v>10.29</v>
      </c>
      <c r="V25" s="32" t="n">
        <v>25.44</v>
      </c>
      <c r="W25" s="32" t="n">
        <v>5.28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IF(B26=0,"",RANK(B26,$B$2:$B$128,0))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LOTUSDEV</t>
        </is>
      </c>
      <c r="D26" s="31" t="inlineStr">
        <is>
          <t>Sri Lotus Developers &amp; Realty Ltd</t>
        </is>
      </c>
      <c r="E26" s="31" t="inlineStr">
        <is>
          <t>realty</t>
        </is>
      </c>
      <c r="F26" s="31" t="inlineStr">
        <is>
          <t>construction</t>
        </is>
      </c>
      <c r="G26" s="31" t="inlineStr">
        <is>
          <t>midcap</t>
        </is>
      </c>
      <c r="H26" s="32" t="n">
        <v>11872.08</v>
      </c>
      <c r="I26" s="32" t="n">
        <v>233.73</v>
      </c>
      <c r="J26" s="32" t="n">
        <v>-3.78</v>
      </c>
      <c r="K26" s="32" t="n">
        <v>521433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71.40000000000001</v>
      </c>
      <c r="P26" s="32" t="n">
        <v>33.1</v>
      </c>
      <c r="Q26" s="32" t="n">
        <v>177.97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IF(B27=0,"",RANK(B27,$B$2:$B$128,0))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DELTACORP</t>
        </is>
      </c>
      <c r="D27" s="31" t="inlineStr">
        <is>
          <t>Delta Corp Limited</t>
        </is>
      </c>
      <c r="E27" s="31" t="inlineStr">
        <is>
          <t>miscellaneous</t>
        </is>
      </c>
      <c r="F27" s="31" t="inlineStr">
        <is>
          <t>recreation / amusement parks</t>
        </is>
      </c>
      <c r="G27" s="31" t="inlineStr">
        <is>
          <t>smallcap</t>
        </is>
      </c>
      <c r="H27" s="32" t="n">
        <v>2205.63</v>
      </c>
      <c r="I27" s="32" t="n">
        <v>78.31999999999999</v>
      </c>
      <c r="J27" s="32" t="n">
        <v>-4.92</v>
      </c>
      <c r="K27" s="32" t="n">
        <v>9531081</v>
      </c>
      <c r="L27" s="31" t="n">
        <v>14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63.4</v>
      </c>
      <c r="P27" s="32" t="n">
        <v>24.89</v>
      </c>
      <c r="Q27" s="32" t="n">
        <v>54.11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-12.08</v>
      </c>
      <c r="U27" s="32" t="n">
        <v>-0.45</v>
      </c>
      <c r="V27" s="32" t="n">
        <v>13.22</v>
      </c>
      <c r="W27" s="32" t="n">
        <v>5.19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IF(B28=0,"",RANK(B28,$B$2:$B$128,0))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MOLDTECH</t>
        </is>
      </c>
      <c r="D28" s="31" t="inlineStr">
        <is>
          <t>Mold-tek Technologies Limited</t>
        </is>
      </c>
      <c r="E28" s="31" t="inlineStr">
        <is>
          <t>realty</t>
        </is>
      </c>
      <c r="F28" s="31" t="inlineStr">
        <is>
          <t>engineering - turnkey services</t>
        </is>
      </c>
      <c r="G28" s="31" t="inlineStr">
        <is>
          <t>smallcap</t>
        </is>
      </c>
      <c r="H28" s="32" t="n">
        <v>636.5599999999999</v>
      </c>
      <c r="I28" s="32" t="n">
        <v>209.95</v>
      </c>
      <c r="J28" s="32" t="n">
        <v>-5</v>
      </c>
      <c r="K28" s="32" t="n">
        <v>42530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70.45999999999999</v>
      </c>
      <c r="P28" s="32" t="n">
        <v>47.23</v>
      </c>
      <c r="Q28" s="32" t="n">
        <v>150.2</v>
      </c>
      <c r="R28" s="31" t="inlineStr">
        <is>
          <t>Near 52W High Breakout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IF(B29=0,"",RANK(B29,$B$2:$B$128,0))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MARINE</t>
        </is>
      </c>
      <c r="D29" s="31" t="inlineStr">
        <is>
          <t>Marine Electricals (India) Ltd</t>
        </is>
      </c>
      <c r="E29" s="31" t="inlineStr">
        <is>
          <t>industrials</t>
        </is>
      </c>
      <c r="F29" s="31" t="inlineStr">
        <is>
          <t>electric equipment</t>
        </is>
      </c>
      <c r="G29" s="31" t="inlineStr">
        <is>
          <t>midcap</t>
        </is>
      </c>
      <c r="H29" s="32" t="n">
        <v>6666.95</v>
      </c>
      <c r="I29" s="32" t="n">
        <v>452.6</v>
      </c>
      <c r="J29" s="32" t="n">
        <v>-5</v>
      </c>
      <c r="K29" s="32" t="n">
        <v>1804249</v>
      </c>
      <c r="L29" s="31" t="n">
        <v>81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73.8</v>
      </c>
      <c r="P29" s="32" t="n">
        <v>49.9</v>
      </c>
      <c r="Q29" s="32" t="n">
        <v>326.24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-12.08</v>
      </c>
      <c r="U29" s="32" t="n">
        <v>114.89</v>
      </c>
      <c r="V29" s="32" t="n">
        <v>144.41</v>
      </c>
      <c r="W29" s="32" t="n">
        <v>35.18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IF(B30=0,"",RANK(B30,$B$2:$B$128,0))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VALIANTORG</t>
        </is>
      </c>
      <c r="D30" s="31" t="inlineStr">
        <is>
          <t>Valiant Organics Ltd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smallcap</t>
        </is>
      </c>
      <c r="H30" s="32" t="n">
        <v>1345.24</v>
      </c>
      <c r="I30" s="32" t="n">
        <v>450.6</v>
      </c>
      <c r="J30" s="32" t="n">
        <v>-6.1</v>
      </c>
      <c r="K30" s="32" t="n">
        <v>128189</v>
      </c>
      <c r="L30" s="31" t="n">
        <v>53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69.31999999999999</v>
      </c>
      <c r="P30" s="32" t="n">
        <v>47.79</v>
      </c>
      <c r="Q30" s="32" t="n">
        <v>347.48</v>
      </c>
      <c r="R30" s="31" t="inlineStr">
        <is>
          <t>Volume Spike / Accumulation</t>
        </is>
      </c>
      <c r="S30" s="31" t="inlineStr">
        <is>
          <t>Nifty 50</t>
        </is>
      </c>
      <c r="T30" s="32" t="n">
        <v>-12.08</v>
      </c>
      <c r="U30" s="32" t="n">
        <v>42.37</v>
      </c>
      <c r="V30" s="32" t="n">
        <v>61.92</v>
      </c>
      <c r="W30" s="32" t="n">
        <v>22.49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IF(B31=0,"",RANK(B31,$B$2:$B$128,0))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TATVA</t>
        </is>
      </c>
      <c r="D31" s="31" t="inlineStr">
        <is>
          <t>Tatva Chintan Pharma Chem Ltd</t>
        </is>
      </c>
      <c r="E31" s="31" t="inlineStr">
        <is>
          <t>chemicals</t>
        </is>
      </c>
      <c r="F31" s="31" t="inlineStr">
        <is>
          <t>chemicals</t>
        </is>
      </c>
      <c r="G31" s="31" t="inlineStr">
        <is>
          <t>smallcap</t>
        </is>
      </c>
      <c r="H31" s="32" t="n">
        <v>4657.83</v>
      </c>
      <c r="I31" s="32" t="n">
        <v>1855.6</v>
      </c>
      <c r="J31" s="32" t="n">
        <v>-6.81</v>
      </c>
      <c r="K31" s="32" t="n">
        <v>140860</v>
      </c>
      <c r="L31" s="31" t="n">
        <v>49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68.26000000000001</v>
      </c>
      <c r="P31" s="32" t="n">
        <v>42.31</v>
      </c>
      <c r="Q31" s="32" t="n">
        <v>1373.35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-12.08</v>
      </c>
      <c r="U31" s="32" t="n">
        <v>73.76000000000001</v>
      </c>
      <c r="V31" s="32" t="n">
        <v>97.63</v>
      </c>
      <c r="W31" s="32" t="n">
        <v>20.78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IF(B32=0,"",RANK(B32,$B$2:$B$128,0))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CUPID</t>
        </is>
      </c>
      <c r="D32" s="31" t="inlineStr">
        <is>
          <t>Cupid Limited</t>
        </is>
      </c>
      <c r="E32" s="31" t="inlineStr">
        <is>
          <t>fmcg</t>
        </is>
      </c>
      <c r="F32" s="31" t="inlineStr">
        <is>
          <t>personal care - indian</t>
        </is>
      </c>
      <c r="G32" s="31" t="inlineStr">
        <is>
          <t>largecap</t>
        </is>
      </c>
      <c r="H32" s="32" t="n">
        <v>46249.6</v>
      </c>
      <c r="I32" s="32" t="n">
        <v>356.65</v>
      </c>
      <c r="J32" s="32" t="n">
        <v>3.69</v>
      </c>
      <c r="K32" s="32" t="n">
        <v>29558194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86.39</v>
      </c>
      <c r="P32" s="32" t="n">
        <v>66.28</v>
      </c>
      <c r="Q32" s="32" t="n">
        <v>273.56</v>
      </c>
      <c r="R32" s="31" t="inlineStr">
        <is>
          <t>Near 52W High Breakout</t>
        </is>
      </c>
      <c r="S32" s="31" t="inlineStr">
        <is>
          <t>Nifty FMCG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IF(B33=0,"",RANK(B33,$B$2:$B$128,0))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E2E</t>
        </is>
      </c>
      <c r="D33" s="31" t="inlineStr">
        <is>
          <t>E2E Networks Ltd</t>
        </is>
      </c>
      <c r="E33" s="31" t="inlineStr">
        <is>
          <t>i.t</t>
        </is>
      </c>
      <c r="F33" s="31" t="inlineStr">
        <is>
          <t>computers - software - medium / small</t>
        </is>
      </c>
      <c r="G33" s="31" t="inlineStr">
        <is>
          <t>midcap</t>
        </is>
      </c>
      <c r="H33" s="32" t="n">
        <v>14868.51</v>
      </c>
      <c r="I33" s="32" t="n">
        <v>714.15</v>
      </c>
      <c r="J33" s="32" t="n">
        <v>-1.27</v>
      </c>
      <c r="K33" s="32" t="n">
        <v>950336</v>
      </c>
      <c r="L33" s="31" t="n">
        <v>88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76.29000000000001</v>
      </c>
      <c r="P33" s="32" t="n">
        <v>55.11</v>
      </c>
      <c r="Q33" s="32" t="n">
        <v>510.11</v>
      </c>
      <c r="R33" s="31" t="inlineStr">
        <is>
          <t>Near 52W High Breakout</t>
        </is>
      </c>
      <c r="S33" s="31" t="inlineStr">
        <is>
          <t>Nifty IT</t>
        </is>
      </c>
      <c r="T33" s="32" t="n">
        <v>-22.11</v>
      </c>
      <c r="U33" s="32" t="n">
        <v>109.56</v>
      </c>
      <c r="V33" s="32" t="n">
        <v>169.04</v>
      </c>
      <c r="W33" s="32" t="n">
        <v>40.28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IF(B34=0,"",RANK(B34,$B$2:$B$128,0))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ZIMLAB</t>
        </is>
      </c>
      <c r="D34" s="31" t="inlineStr">
        <is>
          <t>Zim Laboratories Ltd</t>
        </is>
      </c>
      <c r="E34" s="31" t="inlineStr">
        <is>
          <t>healthcare</t>
        </is>
      </c>
      <c r="F34" s="31" t="inlineStr">
        <is>
          <t>pharmaceuticals - indian - bulk drugs &amp; formln</t>
        </is>
      </c>
      <c r="G34" s="31" t="inlineStr">
        <is>
          <t>smallcap</t>
        </is>
      </c>
      <c r="H34" s="32" t="n">
        <v>785.08</v>
      </c>
      <c r="I34" s="32" t="n">
        <v>140.53</v>
      </c>
      <c r="J34" s="32" t="n">
        <v>-4.15</v>
      </c>
      <c r="K34" s="32" t="n">
        <v>105008</v>
      </c>
      <c r="L34" s="31" t="n">
        <v>51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70.53</v>
      </c>
      <c r="P34" s="32" t="n">
        <v>57.73</v>
      </c>
      <c r="Q34" s="32" t="n">
        <v>100.97</v>
      </c>
      <c r="R34" s="31" t="inlineStr">
        <is>
          <t>Volume Spike &amp; Near 52W High Breakout</t>
        </is>
      </c>
      <c r="S34" s="31" t="inlineStr">
        <is>
          <t>Nifty Pharma</t>
        </is>
      </c>
      <c r="T34" s="32" t="n">
        <v>16.23</v>
      </c>
      <c r="U34" s="32" t="n">
        <v>97.34999999999999</v>
      </c>
      <c r="V34" s="32" t="n">
        <v>69.8</v>
      </c>
      <c r="W34" s="32" t="n">
        <v>21.13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IF(B35=0,"",RANK(B35,$B$2:$B$128,0))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DIACABS</t>
        </is>
      </c>
      <c r="D35" s="31" t="inlineStr">
        <is>
          <t>Diamond Power Infrastructure Ltd</t>
        </is>
      </c>
      <c r="E35" s="31" t="inlineStr">
        <is>
          <t>industrials</t>
        </is>
      </c>
      <c r="F35" s="31" t="inlineStr">
        <is>
          <t>cables - power</t>
        </is>
      </c>
      <c r="G35" s="31" t="inlineStr">
        <is>
          <t>largecap</t>
        </is>
      </c>
      <c r="H35" s="32" t="n">
        <v>22077.79</v>
      </c>
      <c r="I35" s="32" t="n">
        <v>371.9</v>
      </c>
      <c r="J35" s="32" t="n">
        <v>0.75</v>
      </c>
      <c r="K35" s="32" t="n">
        <v>1005633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73.09</v>
      </c>
      <c r="P35" s="32" t="n">
        <v>67.25</v>
      </c>
      <c r="Q35" s="32" t="n">
        <v>277.63</v>
      </c>
      <c r="R35" s="31" t="inlineStr">
        <is>
          <t>Near 52W High Breakout</t>
        </is>
      </c>
      <c r="S35" s="31" t="inlineStr">
        <is>
          <t>Nifty Energy</t>
        </is>
      </c>
      <c r="T35" s="32" t="inlineStr"/>
      <c r="U35" s="32" t="inlineStr"/>
      <c r="V35" s="32" t="inlineStr"/>
      <c r="W35" s="32" t="inlineStr"/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IF(B36=0,"",RANK(B36,$B$2:$B$128,0))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DPABHUSHAN</t>
        </is>
      </c>
      <c r="D36" s="31" t="inlineStr">
        <is>
          <t>D.P. Abhushan Ltd</t>
        </is>
      </c>
      <c r="E36" s="31" t="inlineStr">
        <is>
          <t>consumer discretionary</t>
        </is>
      </c>
      <c r="F36" s="31" t="inlineStr">
        <is>
          <t>trading</t>
        </is>
      </c>
      <c r="G36" s="31" t="inlineStr">
        <is>
          <t>midcap</t>
        </is>
      </c>
      <c r="H36" s="32" t="n">
        <v>5165.27</v>
      </c>
      <c r="I36" s="32" t="n">
        <v>2258.9</v>
      </c>
      <c r="J36" s="32" t="n">
        <v>-0.17</v>
      </c>
      <c r="K36" s="32" t="n">
        <v>157486</v>
      </c>
      <c r="L36" s="31" t="n">
        <v>77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80.86</v>
      </c>
      <c r="P36" s="32" t="n">
        <v>39.09</v>
      </c>
      <c r="Q36" s="32" t="n">
        <v>1689.61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-12.08</v>
      </c>
      <c r="U36" s="32" t="n">
        <v>58.3</v>
      </c>
      <c r="V36" s="32" t="n">
        <v>80.04000000000001</v>
      </c>
      <c r="W36" s="32" t="n">
        <v>32.62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IF(B37=0,"",RANK(B37,$B$2:$B$128,0))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CYIENTDLM</t>
        </is>
      </c>
      <c r="D37" s="31" t="inlineStr">
        <is>
          <t>Cyient DLM Ltd</t>
        </is>
      </c>
      <c r="E37" s="31" t="inlineStr">
        <is>
          <t>aerospace &amp; defence</t>
        </is>
      </c>
      <c r="F37" s="31" t="inlineStr">
        <is>
          <t>electronics - components</t>
        </is>
      </c>
      <c r="G37" s="31" t="inlineStr">
        <is>
          <t>midcap</t>
        </is>
      </c>
      <c r="H37" s="32" t="n">
        <v>7845.46</v>
      </c>
      <c r="I37" s="32" t="n">
        <v>981.3</v>
      </c>
      <c r="J37" s="32" t="n">
        <v>-0.71</v>
      </c>
      <c r="K37" s="32" t="n">
        <v>619329</v>
      </c>
      <c r="L37" s="31" t="n">
        <v>86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85.13</v>
      </c>
      <c r="P37" s="32" t="n">
        <v>78.94</v>
      </c>
      <c r="Q37" s="32" t="n">
        <v>755.28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-12.08</v>
      </c>
      <c r="U37" s="32" t="n">
        <v>108.19</v>
      </c>
      <c r="V37" s="32" t="n">
        <v>136.78</v>
      </c>
      <c r="W37" s="32" t="n">
        <v>39.36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IF(B38=0,"",RANK(B38,$B$2:$B$128,0))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NRAIL</t>
        </is>
      </c>
      <c r="D38" s="31" t="inlineStr">
        <is>
          <t>N R Agarwal Industries Ltd</t>
        </is>
      </c>
      <c r="E38" s="31" t="inlineStr">
        <is>
          <t>building materials</t>
        </is>
      </c>
      <c r="F38" s="31" t="inlineStr">
        <is>
          <t>paper</t>
        </is>
      </c>
      <c r="G38" s="31" t="inlineStr">
        <is>
          <t>smallcap</t>
        </is>
      </c>
      <c r="H38" s="32" t="n">
        <v>1124.79</v>
      </c>
      <c r="I38" s="32" t="n">
        <v>651.15</v>
      </c>
      <c r="J38" s="32" t="n">
        <v>-1.48</v>
      </c>
      <c r="K38" s="32" t="n">
        <v>29846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67.87</v>
      </c>
      <c r="P38" s="32" t="n">
        <v>46.21</v>
      </c>
      <c r="Q38" s="32" t="n">
        <v>501.94</v>
      </c>
      <c r="R38" s="31" t="inlineStr">
        <is>
          <t>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IF(B39=0,"",RANK(B39,$B$2:$B$128,0))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ATLANTAELE</t>
        </is>
      </c>
      <c r="D39" s="31" t="inlineStr">
        <is>
          <t>Atlanta Electricals Ltd</t>
        </is>
      </c>
      <c r="E39" s="31" t="inlineStr">
        <is>
          <t>industrials</t>
        </is>
      </c>
      <c r="F39" s="31" t="inlineStr">
        <is>
          <t>electric equipment</t>
        </is>
      </c>
      <c r="G39" s="31" t="inlineStr">
        <is>
          <t>midcap</t>
        </is>
      </c>
      <c r="H39" s="32" t="n">
        <v>14424.27</v>
      </c>
      <c r="I39" s="32" t="n">
        <v>1806.6</v>
      </c>
      <c r="J39" s="32" t="n">
        <v>-3.69</v>
      </c>
      <c r="K39" s="32" t="n">
        <v>336989</v>
      </c>
      <c r="L39" s="31" t="n">
        <v>44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57.51</v>
      </c>
      <c r="P39" s="32" t="n">
        <v>22.82</v>
      </c>
      <c r="Q39" s="32" t="n">
        <v>1313.27</v>
      </c>
      <c r="R39" s="31" t="inlineStr">
        <is>
          <t>Volume Spike / Accumulation</t>
        </is>
      </c>
      <c r="S39" s="31" t="inlineStr">
        <is>
          <t>Nifty 50</t>
        </is>
      </c>
      <c r="T39" s="32" t="n">
        <v>-12.08</v>
      </c>
      <c r="U39" s="32" t="n">
        <v>100.48</v>
      </c>
      <c r="V39" s="32" t="n">
        <v>128.01</v>
      </c>
      <c r="W39" s="32" t="n">
        <v>18.61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IF(B40=0,"",RANK(B40,$B$2:$B$128,0))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WELSPUNLIV</t>
        </is>
      </c>
      <c r="D40" s="31" t="inlineStr">
        <is>
          <t>Welspun Living Ltd</t>
        </is>
      </c>
      <c r="E40" s="31" t="inlineStr">
        <is>
          <t>textiles</t>
        </is>
      </c>
      <c r="F40" s="31" t="inlineStr">
        <is>
          <t>textiles - products</t>
        </is>
      </c>
      <c r="G40" s="31" t="inlineStr">
        <is>
          <t>largecap</t>
        </is>
      </c>
      <c r="H40" s="32" t="n">
        <v>22282.93</v>
      </c>
      <c r="I40" s="32" t="n">
        <v>225.07</v>
      </c>
      <c r="J40" s="32" t="n">
        <v>-4.57</v>
      </c>
      <c r="K40" s="32" t="n">
        <v>2311267</v>
      </c>
      <c r="L40" s="31" t="n">
        <v>51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73.58</v>
      </c>
      <c r="P40" s="32" t="n">
        <v>46.64</v>
      </c>
      <c r="Q40" s="32" t="n">
        <v>191.75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-12.08</v>
      </c>
      <c r="U40" s="32" t="n">
        <v>83.44</v>
      </c>
      <c r="V40" s="32" t="n">
        <v>108.63</v>
      </c>
      <c r="W40" s="32" t="n">
        <v>21.25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IF(B41=0,"",RANK(B41,$B$2:$B$128,0))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KRONOX</t>
        </is>
      </c>
      <c r="D41" s="31" t="inlineStr">
        <is>
          <t>Kronox Lab Sciences Ltd</t>
        </is>
      </c>
      <c r="E41" s="31" t="inlineStr">
        <is>
          <t>chemicals</t>
        </is>
      </c>
      <c r="F41" s="31" t="inlineStr">
        <is>
          <t>chemicals</t>
        </is>
      </c>
      <c r="G41" s="31" t="inlineStr">
        <is>
          <t>smallcap</t>
        </is>
      </c>
      <c r="H41" s="32" t="n">
        <v>781.41</v>
      </c>
      <c r="I41" s="32" t="n">
        <v>200.6</v>
      </c>
      <c r="J41" s="32" t="n">
        <v>-4.75</v>
      </c>
      <c r="K41" s="32" t="n">
        <v>62960</v>
      </c>
      <c r="L41" s="31" t="n">
        <v>30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62.17</v>
      </c>
      <c r="P41" s="32" t="n">
        <v>51.03</v>
      </c>
      <c r="Q41" s="32" t="n">
        <v>146.25</v>
      </c>
      <c r="R41" s="31" t="inlineStr">
        <is>
          <t>Earnings / Momentum Support</t>
        </is>
      </c>
      <c r="S41" s="31" t="inlineStr">
        <is>
          <t>Nifty 50</t>
        </is>
      </c>
      <c r="T41" s="32" t="n">
        <v>-12.08</v>
      </c>
      <c r="U41" s="32" t="n">
        <v>32.47</v>
      </c>
      <c r="V41" s="32" t="n">
        <v>50.67</v>
      </c>
      <c r="W41" s="32" t="n">
        <v>13.55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IF(B42=0,"",RANK(B42,$B$2:$B$128,0))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RUBYMILLS</t>
        </is>
      </c>
      <c r="D42" s="31" t="inlineStr">
        <is>
          <t>The Ruby Mills Limited</t>
        </is>
      </c>
      <c r="E42" s="31" t="inlineStr">
        <is>
          <t>textiles</t>
        </is>
      </c>
      <c r="F42" s="31" t="inlineStr">
        <is>
          <t>textiles - composite</t>
        </is>
      </c>
      <c r="G42" s="31" t="inlineStr">
        <is>
          <t>smallcap</t>
        </is>
      </c>
      <c r="H42" s="32" t="n">
        <v>1704.77</v>
      </c>
      <c r="I42" s="32" t="n">
        <v>485.05</v>
      </c>
      <c r="J42" s="32" t="n">
        <v>-4.85</v>
      </c>
      <c r="K42" s="32" t="n">
        <v>10015</v>
      </c>
      <c r="L42" s="31" t="n">
        <v>58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73.98</v>
      </c>
      <c r="P42" s="32" t="n">
        <v>53.69</v>
      </c>
      <c r="Q42" s="32" t="n">
        <v>360.39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-12.08</v>
      </c>
      <c r="U42" s="32" t="n">
        <v>119.21</v>
      </c>
      <c r="V42" s="32" t="n">
        <v>149.31</v>
      </c>
      <c r="W42" s="32" t="n">
        <v>24.78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Less than 12%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IF(B43=0,"",RANK(B43,$B$2:$B$128,0))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HFCL</t>
        </is>
      </c>
      <c r="D43" s="31" t="inlineStr">
        <is>
          <t>HFCL Ltd</t>
        </is>
      </c>
      <c r="E43" s="31" t="inlineStr">
        <is>
          <t>telecom</t>
        </is>
      </c>
      <c r="F43" s="31" t="inlineStr">
        <is>
          <t>cables - telephone</t>
        </is>
      </c>
      <c r="G43" s="31" t="inlineStr">
        <is>
          <t>largecap</t>
        </is>
      </c>
      <c r="H43" s="32" t="n">
        <v>41617.08</v>
      </c>
      <c r="I43" s="32" t="n">
        <v>258.31</v>
      </c>
      <c r="J43" s="32" t="n">
        <v>-5</v>
      </c>
      <c r="K43" s="32" t="n">
        <v>6335883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71.05</v>
      </c>
      <c r="P43" s="32" t="n">
        <v>49.87</v>
      </c>
      <c r="Q43" s="32" t="n">
        <v>183.92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IF(B44=0,"",RANK(B44,$B$2:$B$128,0))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DBOL</t>
        </is>
      </c>
      <c r="D44" s="31" t="inlineStr">
        <is>
          <t>Dhampur Bio Organics Ltd</t>
        </is>
      </c>
      <c r="E44" s="31" t="inlineStr">
        <is>
          <t>fmcg</t>
        </is>
      </c>
      <c r="F44" s="31" t="inlineStr">
        <is>
          <t>sugar</t>
        </is>
      </c>
      <c r="G44" s="31" t="inlineStr">
        <is>
          <t>smallcap</t>
        </is>
      </c>
      <c r="H44" s="32" t="n">
        <v>931.09</v>
      </c>
      <c r="I44" s="32" t="n">
        <v>140.43</v>
      </c>
      <c r="J44" s="32" t="n">
        <v>0.13</v>
      </c>
      <c r="K44" s="32" t="n">
        <v>472789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66.90000000000001</v>
      </c>
      <c r="P44" s="32" t="n">
        <v>35.17</v>
      </c>
      <c r="Q44" s="32" t="n">
        <v>103.15</v>
      </c>
      <c r="R44" s="31" t="inlineStr">
        <is>
          <t>Volume Spike &amp; Near 52W High Breakout</t>
        </is>
      </c>
      <c r="S44" s="31" t="inlineStr">
        <is>
          <t>Nifty FMCG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IF(B45=0,"",RANK(B45,$B$2:$B$128,0))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SUNDROP</t>
        </is>
      </c>
      <c r="D45" s="31" t="inlineStr">
        <is>
          <t>Sundrop Brands Ltd</t>
        </is>
      </c>
      <c r="E45" s="31" t="inlineStr">
        <is>
          <t>fmcg</t>
        </is>
      </c>
      <c r="F45" s="31" t="inlineStr">
        <is>
          <t>food - processing - indian</t>
        </is>
      </c>
      <c r="G45" s="31" t="inlineStr">
        <is>
          <t>smallcap</t>
        </is>
      </c>
      <c r="H45" s="32" t="n">
        <v>2811.81</v>
      </c>
      <c r="I45" s="32" t="n">
        <v>743.55</v>
      </c>
      <c r="J45" s="32" t="n">
        <v>-0.32</v>
      </c>
      <c r="K45" s="32" t="n">
        <v>39823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62.82</v>
      </c>
      <c r="P45" s="32" t="n">
        <v>23.85</v>
      </c>
      <c r="Q45" s="32" t="n">
        <v>620.34</v>
      </c>
      <c r="R45" s="31" t="inlineStr">
        <is>
          <t>Near 52W High Breakout</t>
        </is>
      </c>
      <c r="S45" s="31" t="inlineStr">
        <is>
          <t>Nifty FMCG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IF(B46=0,"",RANK(B46,$B$2:$B$128,0))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ADFFOODS</t>
        </is>
      </c>
      <c r="D46" s="31" t="inlineStr">
        <is>
          <t>Adf Foods Limited</t>
        </is>
      </c>
      <c r="E46" s="31" t="inlineStr">
        <is>
          <t>fmcg</t>
        </is>
      </c>
      <c r="F46" s="31" t="inlineStr">
        <is>
          <t>food - processing - indian</t>
        </is>
      </c>
      <c r="G46" s="31" t="inlineStr">
        <is>
          <t>smallcap</t>
        </is>
      </c>
      <c r="H46" s="32" t="n">
        <v>3204.72</v>
      </c>
      <c r="I46" s="32" t="n">
        <v>288.3</v>
      </c>
      <c r="J46" s="32" t="n">
        <v>-1.17</v>
      </c>
      <c r="K46" s="32" t="n">
        <v>118955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57.59</v>
      </c>
      <c r="P46" s="32" t="n">
        <v>27.28</v>
      </c>
      <c r="Q46" s="32" t="n">
        <v>243.4</v>
      </c>
      <c r="R46" s="31" t="inlineStr">
        <is>
          <t>Volume Spike / Accumulation</t>
        </is>
      </c>
      <c r="S46" s="31" t="inlineStr">
        <is>
          <t>Nifty FMCG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IF(B47=0,"",RANK(B47,$B$2:$B$128,0))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SHILPAMED</t>
        </is>
      </c>
      <c r="D47" s="31" t="inlineStr">
        <is>
          <t>Shilpa Medicare Limited</t>
        </is>
      </c>
      <c r="E47" s="31" t="inlineStr">
        <is>
          <t>healthcare</t>
        </is>
      </c>
      <c r="F47" s="31" t="inlineStr">
        <is>
          <t>pharmaceuticals - indian - formulations</t>
        </is>
      </c>
      <c r="G47" s="31" t="inlineStr">
        <is>
          <t>largecap</t>
        </is>
      </c>
      <c r="H47" s="32" t="n">
        <v>20950.72</v>
      </c>
      <c r="I47" s="32" t="n">
        <v>1025.3</v>
      </c>
      <c r="J47" s="32" t="n">
        <v>-4.28</v>
      </c>
      <c r="K47" s="32" t="n">
        <v>677879</v>
      </c>
      <c r="L47" s="31" t="n">
        <v>87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83.86</v>
      </c>
      <c r="P47" s="32" t="n">
        <v>83.67</v>
      </c>
      <c r="Q47" s="32" t="n">
        <v>854.22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16.23</v>
      </c>
      <c r="U47" s="32" t="n">
        <v>179.7</v>
      </c>
      <c r="V47" s="32" t="n">
        <v>140.65</v>
      </c>
      <c r="W47" s="32" t="n">
        <v>39.59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IF(B48=0,"",RANK(B48,$B$2:$B$128,0))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SYNCOMF</t>
        </is>
      </c>
      <c r="D48" s="31" t="inlineStr">
        <is>
          <t>Syncom Formulations (India)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smallcap</t>
        </is>
      </c>
      <c r="H48" s="32" t="n">
        <v>2344.36</v>
      </c>
      <c r="I48" s="32" t="n">
        <v>23.57</v>
      </c>
      <c r="J48" s="32" t="n">
        <v>-5.49</v>
      </c>
      <c r="K48" s="32" t="n">
        <v>14107513</v>
      </c>
      <c r="L48" s="31" t="n">
        <v>56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77.03</v>
      </c>
      <c r="P48" s="32" t="n">
        <v>37.45</v>
      </c>
      <c r="Q48" s="32" t="n">
        <v>17.04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16.23</v>
      </c>
      <c r="U48" s="32" t="n">
        <v>39.41</v>
      </c>
      <c r="V48" s="32" t="n">
        <v>19.95</v>
      </c>
      <c r="W48" s="32" t="n">
        <v>23.84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IF(B49=0,"",RANK(B49,$B$2:$B$128,0))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KMEW</t>
        </is>
      </c>
      <c r="D49" s="31" t="inlineStr">
        <is>
          <t>Knowledge Marine &amp; Engineering Works Ltd</t>
        </is>
      </c>
      <c r="E49" s="31" t="inlineStr">
        <is>
          <t>transportation</t>
        </is>
      </c>
      <c r="F49" s="31" t="inlineStr">
        <is>
          <t>miscellaneous</t>
        </is>
      </c>
      <c r="G49" s="31" t="inlineStr">
        <is>
          <t>midcap</t>
        </is>
      </c>
      <c r="H49" s="32" t="n">
        <v>7856.34</v>
      </c>
      <c r="I49" s="32" t="n">
        <v>3256.7</v>
      </c>
      <c r="J49" s="32" t="n">
        <v>1.33</v>
      </c>
      <c r="K49" s="32" t="n">
        <v>177999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78.45999999999999</v>
      </c>
      <c r="P49" s="32" t="n">
        <v>58.57</v>
      </c>
      <c r="Q49" s="32" t="n">
        <v>2391.78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-12.08</v>
      </c>
      <c r="U49" s="32" t="n">
        <v>174.32</v>
      </c>
      <c r="V49" s="32" t="n">
        <v>212</v>
      </c>
      <c r="W49" s="32" t="n">
        <v>30.59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IF(B50=0,"",RANK(B50,$B$2:$B$128,0))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SAMBHV</t>
        </is>
      </c>
      <c r="D50" s="31" t="inlineStr">
        <is>
          <t>Sambhv Steel Tubes Ltd</t>
        </is>
      </c>
      <c r="E50" s="31" t="inlineStr">
        <is>
          <t>metals &amp; mining</t>
        </is>
      </c>
      <c r="F50" s="31" t="inlineStr">
        <is>
          <t>steel - medium / small</t>
        </is>
      </c>
      <c r="G50" s="31" t="inlineStr">
        <is>
          <t>smallcap</t>
        </is>
      </c>
      <c r="H50" s="32" t="n">
        <v>4665.24</v>
      </c>
      <c r="I50" s="32" t="n">
        <v>157.31</v>
      </c>
      <c r="J50" s="32" t="n">
        <v>-0.64</v>
      </c>
      <c r="K50" s="32" t="n">
        <v>3138458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74.48</v>
      </c>
      <c r="P50" s="32" t="n">
        <v>49.27</v>
      </c>
      <c r="Q50" s="32" t="n">
        <v>124.65</v>
      </c>
      <c r="R50" s="31" t="inlineStr">
        <is>
          <t>Near 52W High Breakout</t>
        </is>
      </c>
      <c r="S50" s="31" t="inlineStr">
        <is>
          <t>Nifty Metal</t>
        </is>
      </c>
      <c r="T50" s="32" t="inlineStr"/>
      <c r="U50" s="32" t="inlineStr"/>
      <c r="V50" s="32" t="inlineStr"/>
      <c r="W50" s="32" t="inlineStr"/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Cyclical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Volatile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IF(B51=0,"",RANK(B51,$B$2:$B$128,0))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GALAXYSURF</t>
        </is>
      </c>
      <c r="D51" s="31" t="inlineStr">
        <is>
          <t>Galaxy Surfactants Ltd</t>
        </is>
      </c>
      <c r="E51" s="31" t="inlineStr">
        <is>
          <t>chemicals</t>
        </is>
      </c>
      <c r="F51" s="31" t="inlineStr">
        <is>
          <t>chemicals</t>
        </is>
      </c>
      <c r="G51" s="31" t="inlineStr">
        <is>
          <t>midcap</t>
        </is>
      </c>
      <c r="H51" s="32" t="n">
        <v>8629.690000000001</v>
      </c>
      <c r="I51" s="32" t="n">
        <v>2406.7</v>
      </c>
      <c r="J51" s="32" t="n">
        <v>-1.12</v>
      </c>
      <c r="K51" s="32" t="n">
        <v>42011</v>
      </c>
      <c r="L51" s="31" t="n">
        <v>16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64.52</v>
      </c>
      <c r="P51" s="32" t="n">
        <v>31.71</v>
      </c>
      <c r="Q51" s="32" t="n">
        <v>1973.74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-12.08</v>
      </c>
      <c r="U51" s="32" t="n">
        <v>7.91</v>
      </c>
      <c r="V51" s="32" t="n">
        <v>22.73</v>
      </c>
      <c r="W51" s="32" t="n">
        <v>6.6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IF(B52=0,"",RANK(B52,$B$2:$B$128,0))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MVGJL</t>
        </is>
      </c>
      <c r="D52" s="31" t="inlineStr">
        <is>
          <t>Manoj Vaibhav Gems N Jewellers Ltd</t>
        </is>
      </c>
      <c r="E52" s="31" t="inlineStr">
        <is>
          <t>consumer discretionary</t>
        </is>
      </c>
      <c r="F52" s="31" t="inlineStr">
        <is>
          <t>diamond cutting / jewellery</t>
        </is>
      </c>
      <c r="G52" s="31" t="inlineStr">
        <is>
          <t>smallcap</t>
        </is>
      </c>
      <c r="H52" s="32" t="n">
        <v>1037.47</v>
      </c>
      <c r="I52" s="32" t="n">
        <v>208.29</v>
      </c>
      <c r="J52" s="32" t="n">
        <v>-1.93</v>
      </c>
      <c r="K52" s="32" t="n">
        <v>275432</v>
      </c>
      <c r="L52" s="31" t="n">
        <v>22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62.96</v>
      </c>
      <c r="P52" s="32" t="n">
        <v>22.62</v>
      </c>
      <c r="Q52" s="32" t="n">
        <v>160.41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-12.08</v>
      </c>
      <c r="U52" s="32" t="n">
        <v>11.11</v>
      </c>
      <c r="V52" s="32" t="n">
        <v>26.37</v>
      </c>
      <c r="W52" s="32" t="n">
        <v>9.82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IF(B53=0,"",RANK(B53,$B$2:$B$128,0))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BHAGERIA</t>
        </is>
      </c>
      <c r="D53" s="31" t="inlineStr">
        <is>
          <t>Bhageria Industries Limited</t>
        </is>
      </c>
      <c r="E53" s="31" t="inlineStr">
        <is>
          <t>chemicals</t>
        </is>
      </c>
      <c r="F53" s="31" t="inlineStr">
        <is>
          <t>dyes and pigments</t>
        </is>
      </c>
      <c r="G53" s="31" t="inlineStr">
        <is>
          <t>smallcap</t>
        </is>
      </c>
      <c r="H53" s="32" t="n">
        <v>1647.79</v>
      </c>
      <c r="I53" s="32" t="n">
        <v>367</v>
      </c>
      <c r="J53" s="32" t="n">
        <v>-2.79</v>
      </c>
      <c r="K53" s="32" t="n">
        <v>160878</v>
      </c>
      <c r="L53" s="31" t="n">
        <v>78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74.59999999999999</v>
      </c>
      <c r="P53" s="32" t="n">
        <v>46.3</v>
      </c>
      <c r="Q53" s="32" t="n">
        <v>298.25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-12.08</v>
      </c>
      <c r="U53" s="32" t="n">
        <v>99.98999999999999</v>
      </c>
      <c r="V53" s="32" t="n">
        <v>127.46</v>
      </c>
      <c r="W53" s="32" t="n">
        <v>33.56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IF(B54=0,"",RANK(B54,$B$2:$B$128,0))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SOMANYCERA</t>
        </is>
      </c>
      <c r="D54" s="31" t="inlineStr">
        <is>
          <t>Somany Ceramics Limited</t>
        </is>
      </c>
      <c r="E54" s="31" t="inlineStr">
        <is>
          <t>building materials</t>
        </is>
      </c>
      <c r="F54" s="31" t="inlineStr">
        <is>
          <t>ceramics - tiles / sanitaryware</t>
        </is>
      </c>
      <c r="G54" s="31" t="inlineStr">
        <is>
          <t>smallcap</t>
        </is>
      </c>
      <c r="H54" s="32" t="n">
        <v>2547.51</v>
      </c>
      <c r="I54" s="32" t="n">
        <v>600.6</v>
      </c>
      <c r="J54" s="32" t="n">
        <v>-3.31</v>
      </c>
      <c r="K54" s="32" t="n">
        <v>76485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67.59999999999999</v>
      </c>
      <c r="P54" s="32" t="n">
        <v>33.75</v>
      </c>
      <c r="Q54" s="32" t="n">
        <v>499.28</v>
      </c>
      <c r="R54" s="31" t="inlineStr">
        <is>
          <t>Near 52W High Breakout</t>
        </is>
      </c>
      <c r="S54" s="31" t="inlineStr">
        <is>
          <t>Nifty Infra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IF(B55=0,"",RANK(B55,$B$2:$B$128,0))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DMCC</t>
        </is>
      </c>
      <c r="D55" s="31" t="inlineStr">
        <is>
          <t>DMCC Speciality Chemicals Ltd</t>
        </is>
      </c>
      <c r="E55" s="31" t="inlineStr">
        <is>
          <t>chemicals</t>
        </is>
      </c>
      <c r="F55" s="31" t="inlineStr">
        <is>
          <t>chemicals</t>
        </is>
      </c>
      <c r="G55" s="31" t="inlineStr">
        <is>
          <t>smallcap</t>
        </is>
      </c>
      <c r="H55" s="32" t="n">
        <v>887.99</v>
      </c>
      <c r="I55" s="32" t="n">
        <v>337.1</v>
      </c>
      <c r="J55" s="32" t="n">
        <v>-5.32</v>
      </c>
      <c r="K55" s="32" t="n">
        <v>251316</v>
      </c>
      <c r="L55" s="31" t="n">
        <v>21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67.53</v>
      </c>
      <c r="P55" s="32" t="n">
        <v>37.87</v>
      </c>
      <c r="Q55" s="32" t="n">
        <v>246.67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-12.08</v>
      </c>
      <c r="U55" s="32" t="n">
        <v>10.57</v>
      </c>
      <c r="V55" s="32" t="n">
        <v>25.76</v>
      </c>
      <c r="W55" s="32" t="n">
        <v>9.41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IF(B56=0,"",RANK(B56,$B$2:$B$128,0))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UNIMECH</t>
        </is>
      </c>
      <c r="D56" s="31" t="inlineStr">
        <is>
          <t>Unimech Aerospace and Manufacturing Ltd</t>
        </is>
      </c>
      <c r="E56" s="31" t="inlineStr">
        <is>
          <t>aerospace &amp; defence</t>
        </is>
      </c>
      <c r="F56" s="31" t="inlineStr">
        <is>
          <t>engineering</t>
        </is>
      </c>
      <c r="G56" s="31" t="inlineStr">
        <is>
          <t>midcap</t>
        </is>
      </c>
      <c r="H56" s="32" t="n">
        <v>9431.41</v>
      </c>
      <c r="I56" s="32" t="n">
        <v>1751.9</v>
      </c>
      <c r="J56" s="32" t="n">
        <v>-5.53</v>
      </c>
      <c r="K56" s="32" t="n">
        <v>293889</v>
      </c>
      <c r="L56" s="31" t="n">
        <v>57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78.26000000000001</v>
      </c>
      <c r="P56" s="32" t="n">
        <v>50.18</v>
      </c>
      <c r="Q56" s="32" t="n">
        <v>1338.23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-12.08</v>
      </c>
      <c r="U56" s="32" t="n">
        <v>82.73999999999999</v>
      </c>
      <c r="V56" s="32" t="n">
        <v>107.84</v>
      </c>
      <c r="W56" s="32" t="n">
        <v>24.62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IF(B57=0,"",RANK(B57,$B$2:$B$128,0))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BAFNAPH</t>
        </is>
      </c>
      <c r="D57" s="31" t="inlineStr">
        <is>
          <t>Bafna Pharmaceuticals Ltd</t>
        </is>
      </c>
      <c r="E57" s="31" t="inlineStr">
        <is>
          <t>healthcare</t>
        </is>
      </c>
      <c r="F57" s="31" t="inlineStr">
        <is>
          <t>pharmaceuticals - indian - formulations</t>
        </is>
      </c>
      <c r="G57" s="31" t="inlineStr">
        <is>
          <t>smallcap</t>
        </is>
      </c>
      <c r="H57" s="32" t="n">
        <v>950.63</v>
      </c>
      <c r="I57" s="32" t="n">
        <v>409.85</v>
      </c>
      <c r="J57" s="32" t="n">
        <v>1.99</v>
      </c>
      <c r="K57" s="32" t="n">
        <v>1108</v>
      </c>
      <c r="L57" s="31" t="n">
        <v>94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82.62</v>
      </c>
      <c r="P57" s="32" t="n">
        <v>63.4</v>
      </c>
      <c r="Q57" s="32" t="n">
        <v>334.76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16.23</v>
      </c>
      <c r="U57" s="32" t="n">
        <v>157.41</v>
      </c>
      <c r="V57" s="32" t="n">
        <v>121.48</v>
      </c>
      <c r="W57" s="32" t="n">
        <v>46.92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IF(B58=0,"",RANK(B58,$B$2:$B$128,0))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ABDL</t>
        </is>
      </c>
      <c r="D58" s="31" t="inlineStr">
        <is>
          <t>Allied Blenders &amp; Distillers Ltd</t>
        </is>
      </c>
      <c r="E58" s="31" t="inlineStr">
        <is>
          <t>fmcg</t>
        </is>
      </c>
      <c r="F58" s="31" t="inlineStr">
        <is>
          <t>breweries &amp; distilleries</t>
        </is>
      </c>
      <c r="G58" s="31" t="inlineStr">
        <is>
          <t>midcap</t>
        </is>
      </c>
      <c r="H58" s="32" t="n">
        <v>19418.88</v>
      </c>
      <c r="I58" s="32" t="n">
        <v>693.45</v>
      </c>
      <c r="J58" s="32" t="n">
        <v>-0.12</v>
      </c>
      <c r="K58" s="32" t="n">
        <v>845151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64.16</v>
      </c>
      <c r="P58" s="32" t="n">
        <v>26.4</v>
      </c>
      <c r="Q58" s="32" t="n">
        <v>556.87</v>
      </c>
      <c r="R58" s="31" t="inlineStr">
        <is>
          <t>Near 52W High Breakout</t>
        </is>
      </c>
      <c r="S58" s="31" t="inlineStr">
        <is>
          <t>Nifty FMCG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IF(B59=0,"",RANK(B59,$B$2:$B$128,0))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NINSYS</t>
        </is>
      </c>
      <c r="D59" s="31" t="inlineStr">
        <is>
          <t>NINtec Systems Ltd</t>
        </is>
      </c>
      <c r="E59" s="31" t="inlineStr">
        <is>
          <t>i.t</t>
        </is>
      </c>
      <c r="F59" s="31" t="inlineStr">
        <is>
          <t>computers - software - medium / small</t>
        </is>
      </c>
      <c r="G59" s="31" t="inlineStr">
        <is>
          <t>smallcap</t>
        </is>
      </c>
      <c r="H59" s="32" t="n">
        <v>1541.34</v>
      </c>
      <c r="I59" s="32" t="n">
        <v>816.45</v>
      </c>
      <c r="J59" s="32" t="n">
        <v>-1.6</v>
      </c>
      <c r="K59" s="32" t="n">
        <v>12531</v>
      </c>
      <c r="L59" s="31" t="n">
        <v>43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67.98</v>
      </c>
      <c r="P59" s="32" t="n">
        <v>39.02</v>
      </c>
      <c r="Q59" s="32" t="n">
        <v>698.66</v>
      </c>
      <c r="R59" s="31" t="inlineStr">
        <is>
          <t>Volume Spike / Accumulation</t>
        </is>
      </c>
      <c r="S59" s="31" t="inlineStr">
        <is>
          <t>Nifty IT</t>
        </is>
      </c>
      <c r="T59" s="32" t="n">
        <v>-22.11</v>
      </c>
      <c r="U59" s="32" t="n">
        <v>84.28</v>
      </c>
      <c r="V59" s="32" t="n">
        <v>136.58</v>
      </c>
      <c r="W59" s="32" t="n">
        <v>18.35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IF(B60=0,"",RANK(B60,$B$2:$B$128,0))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LAURUSLABS</t>
        </is>
      </c>
      <c r="D60" s="31" t="inlineStr">
        <is>
          <t>Laurus Labs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largecap</t>
        </is>
      </c>
      <c r="H60" s="32" t="n">
        <v>110902.43</v>
      </c>
      <c r="I60" s="32" t="n">
        <v>1997.9</v>
      </c>
      <c r="J60" s="32" t="n">
        <v>-2.67</v>
      </c>
      <c r="K60" s="32" t="n">
        <v>1394208</v>
      </c>
      <c r="L60" s="31" t="n">
        <v>60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75.77</v>
      </c>
      <c r="P60" s="32" t="n">
        <v>77.5</v>
      </c>
      <c r="Q60" s="32" t="n">
        <v>1711.17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16.23</v>
      </c>
      <c r="U60" s="32" t="n">
        <v>128.29</v>
      </c>
      <c r="V60" s="32" t="n">
        <v>96.42</v>
      </c>
      <c r="W60" s="32" t="n">
        <v>25.01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IF(B61=0,"",RANK(B61,$B$2:$B$128,0))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PARAGMILK</t>
        </is>
      </c>
      <c r="D61" s="31" t="inlineStr">
        <is>
          <t>Parag Milk Foods Limited</t>
        </is>
      </c>
      <c r="E61" s="31" t="inlineStr">
        <is>
          <t>fmcg</t>
        </is>
      </c>
      <c r="F61" s="31" t="inlineStr">
        <is>
          <t>food - processing - indian</t>
        </is>
      </c>
      <c r="G61" s="31" t="inlineStr">
        <is>
          <t>smallcap</t>
        </is>
      </c>
      <c r="H61" s="32" t="n">
        <v>3916.51</v>
      </c>
      <c r="I61" s="32" t="n">
        <v>303.25</v>
      </c>
      <c r="J61" s="32" t="n">
        <v>-2.74</v>
      </c>
      <c r="K61" s="32" t="n">
        <v>2092973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72.40000000000001</v>
      </c>
      <c r="P61" s="32" t="n">
        <v>22.74</v>
      </c>
      <c r="Q61" s="32" t="n">
        <v>229.3</v>
      </c>
      <c r="R61" s="31" t="inlineStr">
        <is>
          <t>Volume Spike / Accumulation</t>
        </is>
      </c>
      <c r="S61" s="31" t="inlineStr">
        <is>
          <t>Nifty FMCG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IF(B62=0,"",RANK(B62,$B$2:$B$128,0))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SUNTV</t>
        </is>
      </c>
      <c r="D62" s="31" t="inlineStr">
        <is>
          <t>Sun Tv Network Limited</t>
        </is>
      </c>
      <c r="E62" s="31" t="inlineStr">
        <is>
          <t>media</t>
        </is>
      </c>
      <c r="F62" s="31" t="inlineStr">
        <is>
          <t>entertainment / electronic media software</t>
        </is>
      </c>
      <c r="G62" s="31" t="inlineStr">
        <is>
          <t>largecap</t>
        </is>
      </c>
      <c r="H62" s="32" t="n">
        <v>25083.49</v>
      </c>
      <c r="I62" s="32" t="n">
        <v>614.2</v>
      </c>
      <c r="J62" s="32" t="n">
        <v>-3.5</v>
      </c>
      <c r="K62" s="32" t="n">
        <v>1100802</v>
      </c>
      <c r="L62" s="31" t="n">
        <v>18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66.18000000000001</v>
      </c>
      <c r="P62" s="32" t="n">
        <v>20.71</v>
      </c>
      <c r="Q62" s="32" t="n">
        <v>478.11</v>
      </c>
      <c r="R62" s="31" t="inlineStr">
        <is>
          <t>Near 52W High Breakout</t>
        </is>
      </c>
      <c r="S62" s="31" t="inlineStr">
        <is>
          <t>Nifty IT</t>
        </is>
      </c>
      <c r="T62" s="32" t="n">
        <v>-22.11</v>
      </c>
      <c r="U62" s="32" t="n">
        <v>8.84</v>
      </c>
      <c r="V62" s="32" t="n">
        <v>39.73</v>
      </c>
      <c r="W62" s="32" t="n">
        <v>7.41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IF(B63=0,"",RANK(B63,$B$2:$B$128,0))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SHREEJISPG</t>
        </is>
      </c>
      <c r="D63" s="31" t="inlineStr">
        <is>
          <t>Shreeji Shipping Global Ltd</t>
        </is>
      </c>
      <c r="E63" s="31" t="inlineStr">
        <is>
          <t>transportation</t>
        </is>
      </c>
      <c r="F63" s="31" t="inlineStr">
        <is>
          <t>shipping</t>
        </is>
      </c>
      <c r="G63" s="31" t="inlineStr">
        <is>
          <t>midcap</t>
        </is>
      </c>
      <c r="H63" s="32" t="n">
        <v>13067.67</v>
      </c>
      <c r="I63" s="32" t="n">
        <v>800.75</v>
      </c>
      <c r="J63" s="32" t="n">
        <v>-0.17</v>
      </c>
      <c r="K63" s="32" t="n">
        <v>1184742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84.73</v>
      </c>
      <c r="P63" s="32" t="n">
        <v>56.86</v>
      </c>
      <c r="Q63" s="32" t="n">
        <v>671.11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-12.08</v>
      </c>
      <c r="U63" s="32" t="n">
        <v>218.23</v>
      </c>
      <c r="V63" s="32" t="n">
        <v>261.93</v>
      </c>
      <c r="W63" s="32" t="n">
        <v>38.16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IF(B64=0,"",RANK(B64,$B$2:$B$128,0))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BOSCH-HCIL</t>
        </is>
      </c>
      <c r="D64" s="31" t="inlineStr">
        <is>
          <t>Bosch Home Comfort India Ltd</t>
        </is>
      </c>
      <c r="E64" s="31" t="inlineStr">
        <is>
          <t>consumer discretionary</t>
        </is>
      </c>
      <c r="F64" s="31" t="inlineStr">
        <is>
          <t>air-conditioners</t>
        </is>
      </c>
      <c r="G64" s="31" t="inlineStr">
        <is>
          <t>midcap</t>
        </is>
      </c>
      <c r="H64" s="32" t="n">
        <v>5297.06</v>
      </c>
      <c r="I64" s="32" t="n">
        <v>1943.8</v>
      </c>
      <c r="J64" s="32" t="n">
        <v>-0.22</v>
      </c>
      <c r="K64" s="32" t="n">
        <v>102060</v>
      </c>
      <c r="L64" s="31" t="n">
        <v>29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70.13</v>
      </c>
      <c r="P64" s="32" t="n">
        <v>39.88</v>
      </c>
      <c r="Q64" s="32" t="n">
        <v>1572.18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-12.08</v>
      </c>
      <c r="U64" s="32" t="n">
        <v>12.48</v>
      </c>
      <c r="V64" s="32" t="n">
        <v>27.92</v>
      </c>
      <c r="W64" s="32" t="n">
        <v>13.03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IF(B65=0,"",RANK(B65,$B$2:$B$128,0))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VINDHYATEL</t>
        </is>
      </c>
      <c r="D65" s="31" t="inlineStr">
        <is>
          <t>Vindhya Telelinks Limited</t>
        </is>
      </c>
      <c r="E65" s="31" t="inlineStr">
        <is>
          <t>realty</t>
        </is>
      </c>
      <c r="F65" s="31" t="inlineStr">
        <is>
          <t>construction</t>
        </is>
      </c>
      <c r="G65" s="31" t="inlineStr">
        <is>
          <t>smallcap</t>
        </is>
      </c>
      <c r="H65" s="32" t="n">
        <v>3330.21</v>
      </c>
      <c r="I65" s="32" t="n">
        <v>2776.7</v>
      </c>
      <c r="J65" s="32" t="n">
        <v>-1.19</v>
      </c>
      <c r="K65" s="32" t="n">
        <v>72244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67.16</v>
      </c>
      <c r="P65" s="32" t="n">
        <v>46.74</v>
      </c>
      <c r="Q65" s="32" t="n">
        <v>1997.13</v>
      </c>
      <c r="R65" s="31" t="inlineStr">
        <is>
          <t>Near 52W High Breakout</t>
        </is>
      </c>
      <c r="S65" s="31" t="inlineStr">
        <is>
          <t>Nifty Realty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IF(B66=0,"",RANK(B66,$B$2:$B$128,0))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GREENPLY</t>
        </is>
      </c>
      <c r="D66" s="31" t="inlineStr">
        <is>
          <t>Greenply Industries Limited</t>
        </is>
      </c>
      <c r="E66" s="31" t="inlineStr">
        <is>
          <t>building materials</t>
        </is>
      </c>
      <c r="F66" s="31" t="inlineStr">
        <is>
          <t>miscellaneous</t>
        </is>
      </c>
      <c r="G66" s="31" t="inlineStr">
        <is>
          <t>smallcap</t>
        </is>
      </c>
      <c r="H66" s="32" t="n">
        <v>3881.33</v>
      </c>
      <c r="I66" s="32" t="n">
        <v>305.7</v>
      </c>
      <c r="J66" s="32" t="n">
        <v>-1.63</v>
      </c>
      <c r="K66" s="32" t="n">
        <v>108920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58.71</v>
      </c>
      <c r="P66" s="32" t="n">
        <v>19.76</v>
      </c>
      <c r="Q66" s="32" t="n">
        <v>246.83</v>
      </c>
      <c r="R66" s="31" t="inlineStr">
        <is>
          <t>Near 52W High Breakout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IF(B67=0,"",RANK(B67,$B$2:$B$128,0))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SPECTRUM</t>
        </is>
      </c>
      <c r="D67" s="31" t="inlineStr">
        <is>
          <t>Spectrum Electrical Industries Ltd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midcap</t>
        </is>
      </c>
      <c r="H67" s="32" t="n">
        <v>6670.43</v>
      </c>
      <c r="I67" s="32" t="n">
        <v>3810.6</v>
      </c>
      <c r="J67" s="32" t="n">
        <v>-2.38</v>
      </c>
      <c r="K67" s="32" t="n">
        <v>5196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83.34999999999999</v>
      </c>
      <c r="P67" s="32" t="n">
        <v>66.03</v>
      </c>
      <c r="Q67" s="32" t="n">
        <v>2912.22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-12.08</v>
      </c>
      <c r="U67" s="32" t="n">
        <v>184.59</v>
      </c>
      <c r="V67" s="32" t="n">
        <v>223.67</v>
      </c>
      <c r="W67" s="32" t="n">
        <v>49.56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IF(B68=0,"",RANK(B68,$B$2:$B$128,0))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JAMNAAUTO</t>
        </is>
      </c>
      <c r="D68" s="31" t="inlineStr">
        <is>
          <t>Jamna Auto Industries Limited</t>
        </is>
      </c>
      <c r="E68" s="31" t="inlineStr">
        <is>
          <t>auto</t>
        </is>
      </c>
      <c r="F68" s="31" t="inlineStr">
        <is>
          <t>auto ancillaries</t>
        </is>
      </c>
      <c r="G68" s="31" t="inlineStr">
        <is>
          <t>midcap</t>
        </is>
      </c>
      <c r="H68" s="32" t="n">
        <v>6067.56</v>
      </c>
      <c r="I68" s="32" t="n">
        <v>147.95</v>
      </c>
      <c r="J68" s="32" t="n">
        <v>-2.52</v>
      </c>
      <c r="K68" s="32" t="n">
        <v>4686358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60.07</v>
      </c>
      <c r="P68" s="32" t="n">
        <v>34.31</v>
      </c>
      <c r="Q68" s="32" t="n">
        <v>110.01</v>
      </c>
      <c r="R68" s="31" t="inlineStr">
        <is>
          <t>Volume Spike &amp; Near 52W High Breakout</t>
        </is>
      </c>
      <c r="S68" s="31" t="inlineStr">
        <is>
          <t>Nifty Auto</t>
        </is>
      </c>
      <c r="T68" s="32" t="inlineStr"/>
      <c r="U68" s="32" t="inlineStr"/>
      <c r="V68" s="32" t="inlineStr"/>
      <c r="W68" s="32" t="inlineStr"/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IF(B69=0,"",RANK(B69,$B$2:$B$128,0))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KABRAEXTRU</t>
        </is>
      </c>
      <c r="D69" s="31" t="inlineStr">
        <is>
          <t>Kabra Extrusion Technik Limited</t>
        </is>
      </c>
      <c r="E69" s="31" t="inlineStr">
        <is>
          <t>industrials</t>
        </is>
      </c>
      <c r="F69" s="31" t="inlineStr">
        <is>
          <t>engineering</t>
        </is>
      </c>
      <c r="G69" s="31" t="inlineStr">
        <is>
          <t>smallcap</t>
        </is>
      </c>
      <c r="H69" s="32" t="n">
        <v>2818.46</v>
      </c>
      <c r="I69" s="32" t="n">
        <v>771.05</v>
      </c>
      <c r="J69" s="32" t="n">
        <v>-4.32</v>
      </c>
      <c r="K69" s="32" t="n">
        <v>70015</v>
      </c>
      <c r="L69" s="31" t="n">
        <v>97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75.65000000000001</v>
      </c>
      <c r="P69" s="32" t="n">
        <v>74.59</v>
      </c>
      <c r="Q69" s="32" t="n">
        <v>620.35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-12.08</v>
      </c>
      <c r="U69" s="32" t="n">
        <v>204.58</v>
      </c>
      <c r="V69" s="32" t="n">
        <v>246.42</v>
      </c>
      <c r="W69" s="32" t="n">
        <v>68.98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IF(B70=0,"",RANK(B70,$B$2:$B$128,0))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ALICON</t>
        </is>
      </c>
      <c r="D70" s="31" t="inlineStr">
        <is>
          <t>Alicon Castalloy Limited</t>
        </is>
      </c>
      <c r="E70" s="31" t="inlineStr">
        <is>
          <t>castings, forgings &amp; fasteners</t>
        </is>
      </c>
      <c r="F70" s="31" t="inlineStr">
        <is>
          <t>castings &amp; forgings</t>
        </is>
      </c>
      <c r="G70" s="31" t="inlineStr">
        <is>
          <t>smallcap</t>
        </is>
      </c>
      <c r="H70" s="32" t="n">
        <v>1479.36</v>
      </c>
      <c r="I70" s="32" t="n">
        <v>859</v>
      </c>
      <c r="J70" s="32" t="n">
        <v>-4.7</v>
      </c>
      <c r="K70" s="32" t="n">
        <v>55487</v>
      </c>
      <c r="L70" s="31" t="n">
        <v>20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67.13</v>
      </c>
      <c r="P70" s="32" t="n">
        <v>22.47</v>
      </c>
      <c r="Q70" s="32" t="n">
        <v>661.9400000000001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-12.08</v>
      </c>
      <c r="U70" s="32" t="n">
        <v>1.41</v>
      </c>
      <c r="V70" s="32" t="n">
        <v>15.34</v>
      </c>
      <c r="W70" s="32" t="n">
        <v>9.050000000000001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IF(B71=0,"",RANK(B71,$B$2:$B$128,0))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SIGMAADV</t>
        </is>
      </c>
      <c r="D71" s="31" t="inlineStr">
        <is>
          <t>Sigma Advanced System Ltd</t>
        </is>
      </c>
      <c r="E71" s="31" t="inlineStr">
        <is>
          <t>aerospace &amp; defence</t>
        </is>
      </c>
      <c r="F71" s="31" t="inlineStr">
        <is>
          <t>electronics - components</t>
        </is>
      </c>
      <c r="G71" s="31" t="inlineStr">
        <is>
          <t>largecap</t>
        </is>
      </c>
      <c r="H71" s="32" t="n">
        <v>20685.4</v>
      </c>
      <c r="I71" s="32" t="n">
        <v>1037.1</v>
      </c>
      <c r="J71" s="32" t="n">
        <v>-4.99</v>
      </c>
      <c r="K71" s="32" t="n">
        <v>164537</v>
      </c>
      <c r="L71" s="31" t="n">
        <v>97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80.81999999999999</v>
      </c>
      <c r="P71" s="32" t="n">
        <v>63.12</v>
      </c>
      <c r="Q71" s="32" t="n">
        <v>808.83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-12.08</v>
      </c>
      <c r="U71" s="32" t="n">
        <v>556.0599999999999</v>
      </c>
      <c r="V71" s="32" t="n">
        <v>646.17</v>
      </c>
      <c r="W71" s="32" t="n">
        <v>79.18000000000001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IF(B72=0,"",RANK(B72,$B$2:$B$128,0))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OPTIEMUS</t>
        </is>
      </c>
      <c r="D72" s="31" t="inlineStr">
        <is>
          <t>Optiemus Infracom Ltd</t>
        </is>
      </c>
      <c r="E72" s="31" t="inlineStr">
        <is>
          <t>telecom</t>
        </is>
      </c>
      <c r="F72" s="31" t="inlineStr">
        <is>
          <t>trading</t>
        </is>
      </c>
      <c r="G72" s="31" t="inlineStr">
        <is>
          <t>midcap</t>
        </is>
      </c>
      <c r="H72" s="32" t="n">
        <v>7771.45</v>
      </c>
      <c r="I72" s="32" t="n">
        <v>816.85</v>
      </c>
      <c r="J72" s="32" t="n">
        <v>-5.23</v>
      </c>
      <c r="K72" s="32" t="n">
        <v>783987</v>
      </c>
      <c r="L72" s="31" t="n">
        <v>45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76.83</v>
      </c>
      <c r="P72" s="32" t="n">
        <v>45.72</v>
      </c>
      <c r="Q72" s="32" t="n">
        <v>598.73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-12.08</v>
      </c>
      <c r="U72" s="32" t="n">
        <v>19.84</v>
      </c>
      <c r="V72" s="32" t="n">
        <v>36.3</v>
      </c>
      <c r="W72" s="32" t="n">
        <v>18.92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IF(B73=0,"",RANK(B73,$B$2:$B$128,0))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PANAMAPET</t>
        </is>
      </c>
      <c r="D73" s="31" t="inlineStr">
        <is>
          <t>Panama Petrochem Limited</t>
        </is>
      </c>
      <c r="E73" s="31" t="inlineStr">
        <is>
          <t>energy</t>
        </is>
      </c>
      <c r="F73" s="31" t="inlineStr">
        <is>
          <t>petrochemicals</t>
        </is>
      </c>
      <c r="G73" s="31" t="inlineStr">
        <is>
          <t>smallcap</t>
        </is>
      </c>
      <c r="H73" s="32" t="n">
        <v>3248.51</v>
      </c>
      <c r="I73" s="32" t="n">
        <v>501.3</v>
      </c>
      <c r="J73" s="32" t="n">
        <v>-6.65</v>
      </c>
      <c r="K73" s="32" t="n">
        <v>562620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63.55</v>
      </c>
      <c r="P73" s="32" t="n">
        <v>64.13</v>
      </c>
      <c r="Q73" s="32" t="n">
        <v>354.84</v>
      </c>
      <c r="R73" s="31" t="inlineStr">
        <is>
          <t>Near 52W High Breakout</t>
        </is>
      </c>
      <c r="S73" s="31" t="inlineStr">
        <is>
          <t>Nifty Energy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IF(B74=0,"",RANK(B74,$B$2:$B$128,0))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AVADHSUGAR</t>
        </is>
      </c>
      <c r="D74" s="31" t="inlineStr">
        <is>
          <t>Avadh Sugar &amp; Energy</t>
        </is>
      </c>
      <c r="E74" s="31" t="inlineStr">
        <is>
          <t>fmcg</t>
        </is>
      </c>
      <c r="F74" s="31" t="inlineStr">
        <is>
          <t>sugar</t>
        </is>
      </c>
      <c r="G74" s="31" t="inlineStr">
        <is>
          <t>smallcap</t>
        </is>
      </c>
      <c r="H74" s="32" t="n">
        <v>1876.83</v>
      </c>
      <c r="I74" s="32" t="n">
        <v>939.55</v>
      </c>
      <c r="J74" s="32" t="n">
        <v>0.21</v>
      </c>
      <c r="K74" s="32" t="n">
        <v>519526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76.31</v>
      </c>
      <c r="P74" s="32" t="n">
        <v>58.26</v>
      </c>
      <c r="Q74" s="32" t="n">
        <v>700.8</v>
      </c>
      <c r="R74" s="31" t="inlineStr">
        <is>
          <t>Near 52W High Breakout</t>
        </is>
      </c>
      <c r="S74" s="31" t="inlineStr">
        <is>
          <t>Nifty FMCG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IF(B75=0,"",RANK(B75,$B$2:$B$128,0))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KILITCH</t>
        </is>
      </c>
      <c r="D75" s="31" t="inlineStr">
        <is>
          <t>Kilitch Drugs (india) Limited</t>
        </is>
      </c>
      <c r="E75" s="31" t="inlineStr">
        <is>
          <t>healthcare</t>
        </is>
      </c>
      <c r="F75" s="31" t="inlineStr">
        <is>
          <t>pharmaceuticals - indian - formulations</t>
        </is>
      </c>
      <c r="G75" s="31" t="inlineStr">
        <is>
          <t>smallcap</t>
        </is>
      </c>
      <c r="H75" s="32" t="n">
        <v>895.89</v>
      </c>
      <c r="I75" s="32" t="n">
        <v>244.3</v>
      </c>
      <c r="J75" s="32" t="n">
        <v>-4.66</v>
      </c>
      <c r="K75" s="32" t="n">
        <v>87295</v>
      </c>
      <c r="L75" s="31" t="n">
        <v>35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71.13</v>
      </c>
      <c r="P75" s="32" t="n">
        <v>28.84</v>
      </c>
      <c r="Q75" s="32" t="n">
        <v>180.71</v>
      </c>
      <c r="R75" s="31" t="inlineStr">
        <is>
          <t>Volume Spike &amp; Near 52W High Breakout</t>
        </is>
      </c>
      <c r="S75" s="31" t="inlineStr">
        <is>
          <t>Nifty Pharma</t>
        </is>
      </c>
      <c r="T75" s="32" t="n">
        <v>16.23</v>
      </c>
      <c r="U75" s="32" t="n">
        <v>35.25</v>
      </c>
      <c r="V75" s="32" t="n">
        <v>16.37</v>
      </c>
      <c r="W75" s="32" t="n">
        <v>15.81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IF(B76=0,"",RANK(B76,$B$2:$B$128,0))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MGEL</t>
        </is>
      </c>
      <c r="D76" s="31" t="inlineStr">
        <is>
          <t>Mangalam Global Enterprise Ltd</t>
        </is>
      </c>
      <c r="E76" s="31" t="inlineStr">
        <is>
          <t>services</t>
        </is>
      </c>
      <c r="F76" s="31" t="inlineStr">
        <is>
          <t>trading</t>
        </is>
      </c>
      <c r="G76" s="31" t="inlineStr">
        <is>
          <t>smallcap</t>
        </is>
      </c>
      <c r="H76" s="32" t="n">
        <v>517.73</v>
      </c>
      <c r="I76" s="32" t="n">
        <v>15.9</v>
      </c>
      <c r="J76" s="32" t="n">
        <v>1.21</v>
      </c>
      <c r="K76" s="32" t="n">
        <v>336436</v>
      </c>
      <c r="L76" s="31" t="n">
        <v>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56.57</v>
      </c>
      <c r="P76" s="32" t="n">
        <v>30.32</v>
      </c>
      <c r="Q76" s="32" t="n">
        <v>12.34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-12.08</v>
      </c>
      <c r="U76" s="32" t="n">
        <v>-5.75</v>
      </c>
      <c r="V76" s="32" t="n">
        <v>7.2</v>
      </c>
      <c r="W76" s="32" t="n">
        <v>-0.3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IF(B77=0,"",RANK(B77,$B$2:$B$128,0))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SKYGOLD</t>
        </is>
      </c>
      <c r="D77" s="31" t="inlineStr">
        <is>
          <t>Sky Gold Ltd</t>
        </is>
      </c>
      <c r="E77" s="31" t="inlineStr">
        <is>
          <t>consumer discretionary</t>
        </is>
      </c>
      <c r="F77" s="31" t="inlineStr">
        <is>
          <t>diamond cutting / jewellery</t>
        </is>
      </c>
      <c r="G77" s="31" t="inlineStr">
        <is>
          <t>midcap</t>
        </is>
      </c>
      <c r="H77" s="32" t="n">
        <v>13581.67</v>
      </c>
      <c r="I77" s="32" t="n">
        <v>884.5</v>
      </c>
      <c r="J77" s="32" t="n">
        <v>0.86</v>
      </c>
      <c r="K77" s="32" t="n">
        <v>2677878</v>
      </c>
      <c r="L77" s="31" t="n">
        <v>75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77.16</v>
      </c>
      <c r="P77" s="32" t="n">
        <v>68.5</v>
      </c>
      <c r="Q77" s="32" t="n">
        <v>678.0700000000001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-12.08</v>
      </c>
      <c r="U77" s="32" t="n">
        <v>158.14</v>
      </c>
      <c r="V77" s="32" t="n">
        <v>193.59</v>
      </c>
      <c r="W77" s="32" t="n">
        <v>31.53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IF(B78=0,"",RANK(B78,$B$2:$B$128,0))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GANDHAR</t>
        </is>
      </c>
      <c r="D78" s="31" t="inlineStr">
        <is>
          <t>Gandhar Oil Refinery (India) Ltd</t>
        </is>
      </c>
      <c r="E78" s="31" t="inlineStr">
        <is>
          <t>energy</t>
        </is>
      </c>
      <c r="F78" s="31" t="inlineStr">
        <is>
          <t>refineries</t>
        </is>
      </c>
      <c r="G78" s="31" t="inlineStr">
        <is>
          <t>smallcap</t>
        </is>
      </c>
      <c r="H78" s="32" t="n">
        <v>2928.56</v>
      </c>
      <c r="I78" s="32" t="n">
        <v>296.45</v>
      </c>
      <c r="J78" s="32" t="n">
        <v>-0.92</v>
      </c>
      <c r="K78" s="32" t="n">
        <v>1098034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71.73999999999999</v>
      </c>
      <c r="P78" s="32" t="n">
        <v>78.25</v>
      </c>
      <c r="Q78" s="32" t="n">
        <v>228.21</v>
      </c>
      <c r="R78" s="31" t="inlineStr">
        <is>
          <t>Near 52W High Breakout</t>
        </is>
      </c>
      <c r="S78" s="31" t="inlineStr">
        <is>
          <t>Nifty Energy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IF(B79=0,"",RANK(B79,$B$2:$B$128,0))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RRKABEL</t>
        </is>
      </c>
      <c r="D79" s="31" t="inlineStr">
        <is>
          <t>R R Kabel Ltd</t>
        </is>
      </c>
      <c r="E79" s="31" t="inlineStr">
        <is>
          <t>industrials</t>
        </is>
      </c>
      <c r="F79" s="31" t="inlineStr">
        <is>
          <t>cables - power</t>
        </is>
      </c>
      <c r="G79" s="31" t="inlineStr">
        <is>
          <t>largecap</t>
        </is>
      </c>
      <c r="H79" s="32" t="n">
        <v>30792.97</v>
      </c>
      <c r="I79" s="32" t="n">
        <v>2696.4</v>
      </c>
      <c r="J79" s="32" t="n">
        <v>-0.96</v>
      </c>
      <c r="K79" s="32" t="n">
        <v>281306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64.3</v>
      </c>
      <c r="P79" s="32" t="n">
        <v>49.66</v>
      </c>
      <c r="Q79" s="32" t="n">
        <v>2306.06</v>
      </c>
      <c r="R79" s="31" t="inlineStr">
        <is>
          <t>Earnings / Momentum Support</t>
        </is>
      </c>
      <c r="S79" s="31" t="inlineStr">
        <is>
          <t>Nifty Energy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IF(B80=0,"",RANK(B80,$B$2:$B$128,0))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PANACHE</t>
        </is>
      </c>
      <c r="D80" s="31" t="inlineStr">
        <is>
          <t>Panache Digilife Ltd</t>
        </is>
      </c>
      <c r="E80" s="31" t="inlineStr">
        <is>
          <t>i.t</t>
        </is>
      </c>
      <c r="F80" s="31" t="inlineStr">
        <is>
          <t>computers - hardware</t>
        </is>
      </c>
      <c r="G80" s="31" t="inlineStr">
        <is>
          <t>smallcap</t>
        </is>
      </c>
      <c r="H80" s="32" t="n">
        <v>956.76</v>
      </c>
      <c r="I80" s="32" t="n">
        <v>589.25</v>
      </c>
      <c r="J80" s="32" t="n">
        <v>-1.37</v>
      </c>
      <c r="K80" s="32" t="n">
        <v>225061</v>
      </c>
      <c r="L80" s="31" t="n">
        <v>36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75.78</v>
      </c>
      <c r="P80" s="32" t="n">
        <v>39.79</v>
      </c>
      <c r="Q80" s="32" t="n">
        <v>465.43</v>
      </c>
      <c r="R80" s="31" t="inlineStr">
        <is>
          <t>Volume Spike &amp; Near 52W High Breakout</t>
        </is>
      </c>
      <c r="S80" s="31" t="inlineStr">
        <is>
          <t>Nifty IT</t>
        </is>
      </c>
      <c r="T80" s="32" t="n">
        <v>-22.11</v>
      </c>
      <c r="U80" s="32" t="n">
        <v>32.12</v>
      </c>
      <c r="V80" s="32" t="n">
        <v>69.62</v>
      </c>
      <c r="W80" s="32" t="n">
        <v>15.9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IF(B81=0,"",RANK(B81,$B$2:$B$128,0))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DYNAMATECH</t>
        </is>
      </c>
      <c r="D81" s="31" t="inlineStr">
        <is>
          <t>Dynamatic Technologies Limited</t>
        </is>
      </c>
      <c r="E81" s="31" t="inlineStr">
        <is>
          <t>aerospace &amp; defence</t>
        </is>
      </c>
      <c r="F81" s="31" t="inlineStr">
        <is>
          <t>engineering</t>
        </is>
      </c>
      <c r="G81" s="31" t="inlineStr">
        <is>
          <t>midcap</t>
        </is>
      </c>
      <c r="H81" s="32" t="n">
        <v>9319.9</v>
      </c>
      <c r="I81" s="32" t="n">
        <v>13391</v>
      </c>
      <c r="J81" s="32" t="n">
        <v>-2.42</v>
      </c>
      <c r="K81" s="32" t="n">
        <v>21879</v>
      </c>
      <c r="L81" s="31" t="n">
        <v>41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66.94</v>
      </c>
      <c r="P81" s="32" t="n">
        <v>32.59</v>
      </c>
      <c r="Q81" s="32" t="n">
        <v>10531.16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-12.08</v>
      </c>
      <c r="U81" s="32" t="n">
        <v>71.95999999999999</v>
      </c>
      <c r="V81" s="32" t="n">
        <v>95.56999999999999</v>
      </c>
      <c r="W81" s="32" t="n">
        <v>16.91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IF(B82=0,"",RANK(B82,$B$2:$B$128,0))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GESHIP</t>
        </is>
      </c>
      <c r="D82" s="31" t="inlineStr">
        <is>
          <t>The Great Eastern Shipping Company Limited</t>
        </is>
      </c>
      <c r="E82" s="31" t="inlineStr">
        <is>
          <t>transportation</t>
        </is>
      </c>
      <c r="F82" s="31" t="inlineStr">
        <is>
          <t>shipping</t>
        </is>
      </c>
      <c r="G82" s="31" t="inlineStr">
        <is>
          <t>largecap</t>
        </is>
      </c>
      <c r="H82" s="32" t="n">
        <v>22384.46</v>
      </c>
      <c r="I82" s="32" t="n">
        <v>1529.7</v>
      </c>
      <c r="J82" s="32" t="n">
        <v>-2.44</v>
      </c>
      <c r="K82" s="32" t="n">
        <v>808062</v>
      </c>
      <c r="L82" s="31" t="n">
        <v>23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61.23</v>
      </c>
      <c r="P82" s="32" t="n">
        <v>25.84</v>
      </c>
      <c r="Q82" s="32" t="n">
        <v>1218.17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-12.08</v>
      </c>
      <c r="U82" s="32" t="n">
        <v>50.33</v>
      </c>
      <c r="V82" s="32" t="n">
        <v>70.98</v>
      </c>
      <c r="W82" s="32" t="n">
        <v>10.65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IF(B83=0,"",RANK(B83,$B$2:$B$128,0))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RAYMONDREL</t>
        </is>
      </c>
      <c r="D83" s="31" t="inlineStr">
        <is>
          <t>Raymond Realty Ltd</t>
        </is>
      </c>
      <c r="E83" s="31" t="inlineStr">
        <is>
          <t>realty</t>
        </is>
      </c>
      <c r="F83" s="31" t="inlineStr">
        <is>
          <t>construction</t>
        </is>
      </c>
      <c r="G83" s="31" t="inlineStr">
        <is>
          <t>smallcap</t>
        </is>
      </c>
      <c r="H83" s="32" t="n">
        <v>4672.14</v>
      </c>
      <c r="I83" s="32" t="n">
        <v>679.9</v>
      </c>
      <c r="J83" s="32" t="n">
        <v>-3.12</v>
      </c>
      <c r="K83" s="32" t="n">
        <v>688642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57.07</v>
      </c>
      <c r="P83" s="32" t="n">
        <v>29.89</v>
      </c>
      <c r="Q83" s="32" t="n">
        <v>490.87</v>
      </c>
      <c r="R83" s="31" t="inlineStr">
        <is>
          <t>Near 52W High Breakout</t>
        </is>
      </c>
      <c r="S83" s="31" t="inlineStr">
        <is>
          <t>Nifty Realty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IF(B84=0,"",RANK(B84,$B$2:$B$128,0))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MMP</t>
        </is>
      </c>
      <c r="D84" s="31" t="inlineStr">
        <is>
          <t>MMP Industries Ltd</t>
        </is>
      </c>
      <c r="E84" s="31" t="inlineStr">
        <is>
          <t>metals &amp; mining</t>
        </is>
      </c>
      <c r="F84" s="31" t="inlineStr">
        <is>
          <t>aluminium and aluminium products</t>
        </is>
      </c>
      <c r="G84" s="31" t="inlineStr">
        <is>
          <t>smallcap</t>
        </is>
      </c>
      <c r="H84" s="32" t="n">
        <v>1267.08</v>
      </c>
      <c r="I84" s="32" t="n">
        <v>483.25</v>
      </c>
      <c r="J84" s="32" t="n">
        <v>-3.12</v>
      </c>
      <c r="K84" s="32" t="n">
        <v>213115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80.61</v>
      </c>
      <c r="P84" s="32" t="n">
        <v>62.05</v>
      </c>
      <c r="Q84" s="32" t="n">
        <v>356.06</v>
      </c>
      <c r="R84" s="31" t="inlineStr">
        <is>
          <t>Near 52W High Breakout</t>
        </is>
      </c>
      <c r="S84" s="31" t="inlineStr">
        <is>
          <t>Nifty Metal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IF(B85=0,"",RANK(B85,$B$2:$B$128,0))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RAYMOND</t>
        </is>
      </c>
      <c r="D85" s="31" t="inlineStr">
        <is>
          <t>Raymond Limited</t>
        </is>
      </c>
      <c r="E85" s="31" t="inlineStr">
        <is>
          <t>transportation</t>
        </is>
      </c>
      <c r="F85" s="31" t="inlineStr">
        <is>
          <t>transport - airlines</t>
        </is>
      </c>
      <c r="G85" s="31" t="inlineStr">
        <is>
          <t>midcap</t>
        </is>
      </c>
      <c r="H85" s="32" t="n">
        <v>8033.45</v>
      </c>
      <c r="I85" s="32" t="n">
        <v>1167.1</v>
      </c>
      <c r="J85" s="32" t="n">
        <v>-3.28</v>
      </c>
      <c r="K85" s="32" t="n">
        <v>1649827</v>
      </c>
      <c r="L85" s="31" t="n">
        <v>87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81.68000000000001</v>
      </c>
      <c r="P85" s="32" t="n">
        <v>59.07</v>
      </c>
      <c r="Q85" s="32" t="n">
        <v>895.7</v>
      </c>
      <c r="R85" s="31" t="inlineStr">
        <is>
          <t>Near 52W High Breakout</t>
        </is>
      </c>
      <c r="S85" s="31" t="inlineStr">
        <is>
          <t>Nifty 50</t>
        </is>
      </c>
      <c r="T85" s="32" t="n">
        <v>-12.08</v>
      </c>
      <c r="U85" s="32" t="n">
        <v>101.38</v>
      </c>
      <c r="V85" s="32" t="n">
        <v>129.04</v>
      </c>
      <c r="W85" s="32" t="n">
        <v>39.63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IF(B86=0,"",RANK(B86,$B$2:$B$128,0))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MUKANDLTD</t>
        </is>
      </c>
      <c r="D86" s="31" t="inlineStr">
        <is>
          <t>Mukand Limited</t>
        </is>
      </c>
      <c r="E86" s="31" t="inlineStr">
        <is>
          <t>metals &amp; mining</t>
        </is>
      </c>
      <c r="F86" s="31" t="inlineStr">
        <is>
          <t>steel - medium / small</t>
        </is>
      </c>
      <c r="G86" s="31" t="inlineStr">
        <is>
          <t>smallcap</t>
        </is>
      </c>
      <c r="H86" s="32" t="n">
        <v>2686.46</v>
      </c>
      <c r="I86" s="32" t="n">
        <v>174.29</v>
      </c>
      <c r="J86" s="32" t="n">
        <v>-6.26</v>
      </c>
      <c r="K86" s="32" t="n">
        <v>528265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72.08</v>
      </c>
      <c r="P86" s="32" t="n">
        <v>42.96</v>
      </c>
      <c r="Q86" s="32" t="n">
        <v>136.45</v>
      </c>
      <c r="R86" s="31" t="inlineStr">
        <is>
          <t>Volume Spike &amp; Near 52W High Breakout</t>
        </is>
      </c>
      <c r="S86" s="31" t="inlineStr">
        <is>
          <t>Nifty Metal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IF(B87=0,"",RANK(B87,$B$2:$B$128,0))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YUKEN</t>
        </is>
      </c>
      <c r="D87" s="31" t="inlineStr">
        <is>
          <t>Yuken India Ltd</t>
        </is>
      </c>
      <c r="E87" s="31" t="inlineStr">
        <is>
          <t>industrials</t>
        </is>
      </c>
      <c r="F87" s="31" t="inlineStr">
        <is>
          <t>engineering</t>
        </is>
      </c>
      <c r="G87" s="31" t="inlineStr">
        <is>
          <t>smallcap</t>
        </is>
      </c>
      <c r="H87" s="32" t="n">
        <v>1652.49</v>
      </c>
      <c r="I87" s="32" t="n">
        <v>1135.3</v>
      </c>
      <c r="J87" s="32" t="n">
        <v>-6.67</v>
      </c>
      <c r="K87" s="32" t="n">
        <v>35706</v>
      </c>
      <c r="L87" s="31" t="n">
        <v>34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75.84</v>
      </c>
      <c r="P87" s="32" t="n">
        <v>40.03</v>
      </c>
      <c r="Q87" s="32" t="n">
        <v>864.2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-12.08</v>
      </c>
      <c r="U87" s="32" t="n">
        <v>21.27</v>
      </c>
      <c r="V87" s="32" t="n">
        <v>37.93</v>
      </c>
      <c r="W87" s="32" t="n">
        <v>15.33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IF(B88=0,"",RANK(B88,$B$2:$B$128,0))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MANORAMA</t>
        </is>
      </c>
      <c r="D88" s="31" t="inlineStr">
        <is>
          <t>Manorama Industries Ltd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midcap</t>
        </is>
      </c>
      <c r="H88" s="32" t="n">
        <v>11917.82</v>
      </c>
      <c r="I88" s="32" t="n">
        <v>1998.5</v>
      </c>
      <c r="J88" s="32" t="n">
        <v>0.13</v>
      </c>
      <c r="K88" s="32" t="n">
        <v>195866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67.31999999999999</v>
      </c>
      <c r="P88" s="32" t="n">
        <v>31.63</v>
      </c>
      <c r="Q88" s="32" t="n">
        <v>1620.83</v>
      </c>
      <c r="R88" s="31" t="inlineStr">
        <is>
          <t>Near 52W High Breakout</t>
        </is>
      </c>
      <c r="S88" s="31" t="inlineStr">
        <is>
          <t>Nifty FMCG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IF(B89=0,"",RANK(B89,$B$2:$B$128,0))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ONEPOINT</t>
        </is>
      </c>
      <c r="D89" s="31" t="inlineStr">
        <is>
          <t>One Point One Solutions Ltd</t>
        </is>
      </c>
      <c r="E89" s="31" t="inlineStr">
        <is>
          <t>i.t</t>
        </is>
      </c>
      <c r="F89" s="31" t="inlineStr">
        <is>
          <t>computers - software - medium / small</t>
        </is>
      </c>
      <c r="G89" s="31" t="inlineStr">
        <is>
          <t>smallcap</t>
        </is>
      </c>
      <c r="H89" s="32" t="n">
        <v>2071.15</v>
      </c>
      <c r="I89" s="32" t="n">
        <v>78.45</v>
      </c>
      <c r="J89" s="32" t="n">
        <v>-0.41</v>
      </c>
      <c r="K89" s="32" t="n">
        <v>3031082</v>
      </c>
      <c r="L89" s="31" t="n">
        <v>47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75.38</v>
      </c>
      <c r="P89" s="32" t="n">
        <v>19.2</v>
      </c>
      <c r="Q89" s="32" t="n">
        <v>61.84</v>
      </c>
      <c r="R89" s="31" t="inlineStr">
        <is>
          <t>Near 52W High Breakout</t>
        </is>
      </c>
      <c r="S89" s="31" t="inlineStr">
        <is>
          <t>Nifty IT</t>
        </is>
      </c>
      <c r="T89" s="32" t="n">
        <v>-22.11</v>
      </c>
      <c r="U89" s="32" t="n">
        <v>57.82</v>
      </c>
      <c r="V89" s="32" t="n">
        <v>102.61</v>
      </c>
      <c r="W89" s="32" t="n">
        <v>20.01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IF(B90=0,"",RANK(B90,$B$2:$B$128,0))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PVRINOX</t>
        </is>
      </c>
      <c r="D90" s="31" t="inlineStr">
        <is>
          <t>PVR Inox Ltd</t>
        </is>
      </c>
      <c r="E90" s="31" t="inlineStr">
        <is>
          <t>media</t>
        </is>
      </c>
      <c r="F90" s="31" t="inlineStr">
        <is>
          <t>entertainment / electronic media software</t>
        </is>
      </c>
      <c r="G90" s="31" t="inlineStr">
        <is>
          <t>midcap</t>
        </is>
      </c>
      <c r="H90" s="32" t="n">
        <v>13196.11</v>
      </c>
      <c r="I90" s="32" t="n">
        <v>1309.2</v>
      </c>
      <c r="J90" s="32" t="n">
        <v>-2.57</v>
      </c>
      <c r="K90" s="32" t="n">
        <v>661907</v>
      </c>
      <c r="L90" s="31" t="n">
        <v>24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68.06</v>
      </c>
      <c r="P90" s="32" t="n">
        <v>34.51</v>
      </c>
      <c r="Q90" s="32" t="n">
        <v>1072.64</v>
      </c>
      <c r="R90" s="31" t="inlineStr">
        <is>
          <t>Volume Spike &amp; Near 52W High Breakout</t>
        </is>
      </c>
      <c r="S90" s="31" t="inlineStr">
        <is>
          <t>Nifty IT</t>
        </is>
      </c>
      <c r="T90" s="32" t="n">
        <v>-22.11</v>
      </c>
      <c r="U90" s="32" t="n">
        <v>20.11</v>
      </c>
      <c r="V90" s="32" t="n">
        <v>54.2</v>
      </c>
      <c r="W90" s="32" t="n">
        <v>10.71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IF(B91=0,"",RANK(B91,$B$2:$B$128,0))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DHAMPURSUG</t>
        </is>
      </c>
      <c r="D91" s="31" t="inlineStr">
        <is>
          <t>Dhampur Sugar Mills Limited</t>
        </is>
      </c>
      <c r="E91" s="31" t="inlineStr">
        <is>
          <t>fmcg</t>
        </is>
      </c>
      <c r="F91" s="31" t="inlineStr">
        <is>
          <t>sugar</t>
        </is>
      </c>
      <c r="G91" s="31" t="inlineStr">
        <is>
          <t>smallcap</t>
        </is>
      </c>
      <c r="H91" s="32" t="n">
        <v>1214.88</v>
      </c>
      <c r="I91" s="32" t="n">
        <v>182.91</v>
      </c>
      <c r="J91" s="32" t="n">
        <v>-3.18</v>
      </c>
      <c r="K91" s="32" t="n">
        <v>886547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64.87</v>
      </c>
      <c r="P91" s="32" t="n">
        <v>25.76</v>
      </c>
      <c r="Q91" s="32" t="n">
        <v>137.13</v>
      </c>
      <c r="R91" s="31" t="inlineStr">
        <is>
          <t>Near 52W High Breakout</t>
        </is>
      </c>
      <c r="S91" s="31" t="inlineStr">
        <is>
          <t>Nifty FMCG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IF(B92=0,"",RANK(B92,$B$2:$B$128,0))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VMART</t>
        </is>
      </c>
      <c r="D92" s="31" t="inlineStr">
        <is>
          <t>V-mart Retail Limited</t>
        </is>
      </c>
      <c r="E92" s="31" t="inlineStr">
        <is>
          <t>consumer discretionary</t>
        </is>
      </c>
      <c r="F92" s="31" t="inlineStr">
        <is>
          <t>trading</t>
        </is>
      </c>
      <c r="G92" s="31" t="inlineStr">
        <is>
          <t>midcap</t>
        </is>
      </c>
      <c r="H92" s="32" t="n">
        <v>6413.16</v>
      </c>
      <c r="I92" s="32" t="n">
        <v>811.15</v>
      </c>
      <c r="J92" s="32" t="n">
        <v>0.61</v>
      </c>
      <c r="K92" s="32" t="n">
        <v>85252</v>
      </c>
      <c r="L92" s="31" t="n">
        <v>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58.42</v>
      </c>
      <c r="P92" s="32" t="n">
        <v>23.18</v>
      </c>
      <c r="Q92" s="32" t="n">
        <v>656.1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-12.08</v>
      </c>
      <c r="U92" s="32" t="n">
        <v>-4.81</v>
      </c>
      <c r="V92" s="32" t="n">
        <v>8.27</v>
      </c>
      <c r="W92" s="32" t="n">
        <v>1.16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IF(B93=0,"",RANK(B93,$B$2:$B$128,0))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STLTECH</t>
        </is>
      </c>
      <c r="D93" s="31" t="inlineStr">
        <is>
          <t>Sterlite Technologies Limited</t>
        </is>
      </c>
      <c r="E93" s="31" t="inlineStr">
        <is>
          <t>industrials</t>
        </is>
      </c>
      <c r="F93" s="31" t="inlineStr">
        <is>
          <t>cables - telephone</t>
        </is>
      </c>
      <c r="G93" s="31" t="inlineStr">
        <is>
          <t>largecap</t>
        </is>
      </c>
      <c r="H93" s="32" t="n">
        <v>52252.96</v>
      </c>
      <c r="I93" s="32" t="n">
        <v>1011.55</v>
      </c>
      <c r="J93" s="32" t="n">
        <v>-0.52</v>
      </c>
      <c r="K93" s="32" t="n">
        <v>1604237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79.91</v>
      </c>
      <c r="P93" s="32" t="n">
        <v>71.38</v>
      </c>
      <c r="Q93" s="32" t="n">
        <v>745.26</v>
      </c>
      <c r="R93" s="31" t="inlineStr">
        <is>
          <t>Near 52W High Breakout</t>
        </is>
      </c>
      <c r="S93" s="31" t="inlineStr">
        <is>
          <t>Nifty Infra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IF(B94=0,"",RANK(B94,$B$2:$B$128,0))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SATIA</t>
        </is>
      </c>
      <c r="D94" s="31" t="inlineStr">
        <is>
          <t>Satia Industries Ltd</t>
        </is>
      </c>
      <c r="E94" s="31" t="inlineStr">
        <is>
          <t>building materials</t>
        </is>
      </c>
      <c r="F94" s="31" t="inlineStr">
        <is>
          <t>paper</t>
        </is>
      </c>
      <c r="G94" s="31" t="inlineStr">
        <is>
          <t>smallcap</t>
        </is>
      </c>
      <c r="H94" s="32" t="n">
        <v>690</v>
      </c>
      <c r="I94" s="32" t="n">
        <v>67.64</v>
      </c>
      <c r="J94" s="32" t="n">
        <v>-1.97</v>
      </c>
      <c r="K94" s="32" t="n">
        <v>173194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58</v>
      </c>
      <c r="P94" s="32" t="n">
        <v>12.56</v>
      </c>
      <c r="Q94" s="32" t="n">
        <v>53.08</v>
      </c>
      <c r="R94" s="31" t="inlineStr">
        <is>
          <t>Earnings / Momentum Support</t>
        </is>
      </c>
      <c r="S94" s="31" t="inlineStr">
        <is>
          <t>Nifty Infra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IF(B95=0,"",RANK(B95,$B$2:$B$128,0))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DEEPINDS</t>
        </is>
      </c>
      <c r="D95" s="31" t="inlineStr">
        <is>
          <t>Deep Industries Ltd</t>
        </is>
      </c>
      <c r="E95" s="31" t="inlineStr">
        <is>
          <t>energy</t>
        </is>
      </c>
      <c r="F95" s="31" t="inlineStr">
        <is>
          <t>oil drilling / allied services</t>
        </is>
      </c>
      <c r="G95" s="31" t="inlineStr">
        <is>
          <t>midcap</t>
        </is>
      </c>
      <c r="H95" s="32" t="n">
        <v>5091.84</v>
      </c>
      <c r="I95" s="32" t="n">
        <v>777.6</v>
      </c>
      <c r="J95" s="32" t="n">
        <v>-2.26</v>
      </c>
      <c r="K95" s="32" t="n">
        <v>347535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71.3</v>
      </c>
      <c r="P95" s="32" t="n">
        <v>39.83</v>
      </c>
      <c r="Q95" s="32" t="n">
        <v>593.84</v>
      </c>
      <c r="R95" s="31" t="inlineStr">
        <is>
          <t>Near 52W High Breakout</t>
        </is>
      </c>
      <c r="S95" s="31" t="inlineStr">
        <is>
          <t>Nifty Energy</t>
        </is>
      </c>
      <c r="T95" s="32" t="inlineStr"/>
      <c r="U95" s="32" t="inlineStr"/>
      <c r="V95" s="32" t="inlineStr"/>
      <c r="W95" s="32" t="inlineStr"/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IF(B96=0,"",RANK(B96,$B$2:$B$128,0))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STLNETWORK</t>
        </is>
      </c>
      <c r="D96" s="31" t="inlineStr">
        <is>
          <t>STL Networks Ltd</t>
        </is>
      </c>
      <c r="E96" s="31" t="inlineStr">
        <is>
          <t>telecom-service</t>
        </is>
      </c>
      <c r="F96" s="31" t="inlineStr">
        <is>
          <t>telecommunications - service provider</t>
        </is>
      </c>
      <c r="G96" s="31" t="inlineStr">
        <is>
          <t>smallcap</t>
        </is>
      </c>
      <c r="H96" s="32" t="n">
        <v>2412.56</v>
      </c>
      <c r="I96" s="32" t="n">
        <v>48.07</v>
      </c>
      <c r="J96" s="32" t="n">
        <v>-2.75</v>
      </c>
      <c r="K96" s="32" t="n">
        <v>9238203</v>
      </c>
      <c r="L96" s="31" t="n">
        <v>79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71.64</v>
      </c>
      <c r="P96" s="32" t="n">
        <v>37.67</v>
      </c>
      <c r="Q96" s="32" t="n">
        <v>41.34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-12.08</v>
      </c>
      <c r="U96" s="32" t="n">
        <v>67.55</v>
      </c>
      <c r="V96" s="32" t="n">
        <v>90.56</v>
      </c>
      <c r="W96" s="32" t="n">
        <v>33.88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IF(B97=0,"",RANK(B97,$B$2:$B$128,0))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WHEELS</t>
        </is>
      </c>
      <c r="D97" s="31" t="inlineStr">
        <is>
          <t>Wheels India Limited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midcap</t>
        </is>
      </c>
      <c r="H97" s="32" t="n">
        <v>5580.26</v>
      </c>
      <c r="I97" s="32" t="n">
        <v>2208.2</v>
      </c>
      <c r="J97" s="32" t="n">
        <v>-3.31</v>
      </c>
      <c r="K97" s="32" t="n">
        <v>246531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73.23</v>
      </c>
      <c r="P97" s="32" t="n">
        <v>60.26</v>
      </c>
      <c r="Q97" s="32" t="n">
        <v>1695.01</v>
      </c>
      <c r="R97" s="31" t="inlineStr">
        <is>
          <t>Near 52W High Breakout</t>
        </is>
      </c>
      <c r="S97" s="31" t="inlineStr">
        <is>
          <t>Nifty Auto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IF(B98=0,"",RANK(B98,$B$2:$B$128,0))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LOKESHMACH</t>
        </is>
      </c>
      <c r="D98" s="31" t="inlineStr">
        <is>
          <t>Lokesh Machines Limited</t>
        </is>
      </c>
      <c r="E98" s="31" t="inlineStr">
        <is>
          <t>industrials</t>
        </is>
      </c>
      <c r="F98" s="31" t="inlineStr">
        <is>
          <t>engineering</t>
        </is>
      </c>
      <c r="G98" s="31" t="inlineStr">
        <is>
          <t>smallcap</t>
        </is>
      </c>
      <c r="H98" s="32" t="n">
        <v>1014.53</v>
      </c>
      <c r="I98" s="32" t="n">
        <v>447.85</v>
      </c>
      <c r="J98" s="32" t="n">
        <v>-3.78</v>
      </c>
      <c r="K98" s="32" t="n">
        <v>424361</v>
      </c>
      <c r="L98" s="31" t="n">
        <v>64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77.31</v>
      </c>
      <c r="P98" s="32" t="n">
        <v>40.44</v>
      </c>
      <c r="Q98" s="32" t="n">
        <v>330.39</v>
      </c>
      <c r="R98" s="31" t="inlineStr">
        <is>
          <t>Volume Spike &amp; Near 52W High Breakout</t>
        </is>
      </c>
      <c r="S98" s="31" t="inlineStr">
        <is>
          <t>Nifty 50</t>
        </is>
      </c>
      <c r="T98" s="32" t="n">
        <v>-12.08</v>
      </c>
      <c r="U98" s="32" t="n">
        <v>134.17</v>
      </c>
      <c r="V98" s="32" t="n">
        <v>166.33</v>
      </c>
      <c r="W98" s="32" t="n">
        <v>27.07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IF(B99=0,"",RANK(B99,$B$2:$B$128,0))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FINEORG</t>
        </is>
      </c>
      <c r="D99" s="31" t="inlineStr">
        <is>
          <t>Fine Organic Industries Ltd</t>
        </is>
      </c>
      <c r="E99" s="31" t="inlineStr">
        <is>
          <t>chemicals</t>
        </is>
      </c>
      <c r="F99" s="31" t="inlineStr">
        <is>
          <t>chemicals</t>
        </is>
      </c>
      <c r="G99" s="31" t="inlineStr">
        <is>
          <t>midcap</t>
        </is>
      </c>
      <c r="H99" s="32" t="n">
        <v>17247.77</v>
      </c>
      <c r="I99" s="32" t="n">
        <v>5380.5</v>
      </c>
      <c r="J99" s="32" t="n">
        <v>-4.36</v>
      </c>
      <c r="K99" s="32" t="n">
        <v>38476</v>
      </c>
      <c r="L99" s="31" t="n">
        <v>13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63.05</v>
      </c>
      <c r="P99" s="32" t="n">
        <v>15.15</v>
      </c>
      <c r="Q99" s="32" t="n">
        <v>4429.13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-12.08</v>
      </c>
      <c r="U99" s="32" t="n">
        <v>15.77</v>
      </c>
      <c r="V99" s="32" t="n">
        <v>31.67</v>
      </c>
      <c r="W99" s="32" t="n">
        <v>4.81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0 to 20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IF(B100=0,"",RANK(B100,$B$2:$B$128,0))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MOBIKWIK</t>
        </is>
      </c>
      <c r="D100" s="31" t="inlineStr">
        <is>
          <t>One Mobikwik Systems Ltd</t>
        </is>
      </c>
      <c r="E100" s="31" t="inlineStr">
        <is>
          <t>i.t</t>
        </is>
      </c>
      <c r="F100" s="31" t="inlineStr">
        <is>
          <t>miscellaneous</t>
        </is>
      </c>
      <c r="G100" s="31" t="inlineStr">
        <is>
          <t>smallcap</t>
        </is>
      </c>
      <c r="H100" s="32" t="n">
        <v>2016.55</v>
      </c>
      <c r="I100" s="32" t="n">
        <v>244.52</v>
      </c>
      <c r="J100" s="32" t="n">
        <v>-4.51</v>
      </c>
      <c r="K100" s="32" t="n">
        <v>18727942</v>
      </c>
      <c r="L100" s="31" t="n">
        <v>3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64.51000000000001</v>
      </c>
      <c r="P100" s="32" t="n">
        <v>19.12</v>
      </c>
      <c r="Q100" s="32" t="n">
        <v>176.82</v>
      </c>
      <c r="R100" s="31" t="inlineStr">
        <is>
          <t>Volume Spike / Accumulation</t>
        </is>
      </c>
      <c r="S100" s="31" t="inlineStr">
        <is>
          <t>Nifty IT</t>
        </is>
      </c>
      <c r="T100" s="32" t="n">
        <v>-22.11</v>
      </c>
      <c r="U100" s="32" t="n">
        <v>-13.37</v>
      </c>
      <c r="V100" s="32" t="n">
        <v>11.22</v>
      </c>
      <c r="W100" s="32" t="n">
        <v>0.46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0 to 20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IF(B101=0,"",RANK(B101,$B$2:$B$128,0))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SOTL</t>
        </is>
      </c>
      <c r="D101" s="31" t="inlineStr">
        <is>
          <t>Savita Oil Technologies Limited</t>
        </is>
      </c>
      <c r="E101" s="31" t="inlineStr">
        <is>
          <t>energy</t>
        </is>
      </c>
      <c r="F101" s="31" t="inlineStr">
        <is>
          <t>petrochemicals</t>
        </is>
      </c>
      <c r="G101" s="31" t="inlineStr">
        <is>
          <t>midcap</t>
        </is>
      </c>
      <c r="H101" s="32" t="n">
        <v>5510.89</v>
      </c>
      <c r="I101" s="32" t="n">
        <v>764.2</v>
      </c>
      <c r="J101" s="32" t="n">
        <v>-4.93</v>
      </c>
      <c r="K101" s="32" t="n">
        <v>281955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68.41</v>
      </c>
      <c r="P101" s="32" t="n">
        <v>65.31999999999999</v>
      </c>
      <c r="Q101" s="32" t="n">
        <v>519.74</v>
      </c>
      <c r="R101" s="31" t="inlineStr">
        <is>
          <t>Near 52W High Breakout</t>
        </is>
      </c>
      <c r="S101" s="31" t="inlineStr">
        <is>
          <t>Nifty Energy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Oligopoly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Cyclical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Volatile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IF(B102=0,"",RANK(B102,$B$2:$B$128,0))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INDOAMIN</t>
        </is>
      </c>
      <c r="D102" s="31" t="inlineStr">
        <is>
          <t>Indo Amines Ltd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smallcap</t>
        </is>
      </c>
      <c r="H102" s="32" t="n">
        <v>1146.67</v>
      </c>
      <c r="I102" s="32" t="n">
        <v>151.7</v>
      </c>
      <c r="J102" s="32" t="n">
        <v>-3.97</v>
      </c>
      <c r="K102" s="32" t="n">
        <v>511210</v>
      </c>
      <c r="L102" s="31" t="n">
        <v>17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68.06999999999999</v>
      </c>
      <c r="P102" s="32" t="n">
        <v>24.44</v>
      </c>
      <c r="Q102" s="32" t="n">
        <v>112.45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-12.08</v>
      </c>
      <c r="U102" s="32" t="n">
        <v>11.68</v>
      </c>
      <c r="V102" s="32" t="n">
        <v>27.02</v>
      </c>
      <c r="W102" s="32" t="n">
        <v>7.12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IF(B103=0,"",RANK(B103,$B$2:$B$128,0))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FAIRCHEMOR</t>
        </is>
      </c>
      <c r="D103" s="31" t="inlineStr">
        <is>
          <t>Fairchem Organics Ltd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smallcap</t>
        </is>
      </c>
      <c r="H103" s="32" t="n">
        <v>886.5599999999999</v>
      </c>
      <c r="I103" s="32" t="n">
        <v>720.9</v>
      </c>
      <c r="J103" s="32" t="n">
        <v>2.42</v>
      </c>
      <c r="K103" s="32" t="n">
        <v>104670</v>
      </c>
      <c r="L103" s="31" t="n">
        <v>6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56.9</v>
      </c>
      <c r="P103" s="32" t="n">
        <v>24.14</v>
      </c>
      <c r="Q103" s="32" t="n">
        <v>607.85</v>
      </c>
      <c r="R103" s="31" t="inlineStr">
        <is>
          <t>Volume Spike / Accumulation</t>
        </is>
      </c>
      <c r="S103" s="31" t="inlineStr">
        <is>
          <t>Nifty 50</t>
        </is>
      </c>
      <c r="T103" s="32" t="n">
        <v>-12.08</v>
      </c>
      <c r="U103" s="32" t="n">
        <v>-7.25</v>
      </c>
      <c r="V103" s="32" t="n">
        <v>5.49</v>
      </c>
      <c r="W103" s="32" t="n">
        <v>1.14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1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IF(B104=0,"",RANK(B104,$B$2:$B$128,0))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PREMEXPLN</t>
        </is>
      </c>
      <c r="D104" s="31" t="inlineStr">
        <is>
          <t>Premier Explosives Limited</t>
        </is>
      </c>
      <c r="E104" s="31" t="inlineStr">
        <is>
          <t>aerospace &amp; defence</t>
        </is>
      </c>
      <c r="F104" s="31" t="inlineStr">
        <is>
          <t>chemicals</t>
        </is>
      </c>
      <c r="G104" s="31" t="inlineStr">
        <is>
          <t>smallcap</t>
        </is>
      </c>
      <c r="H104" s="32" t="n">
        <v>3693.66</v>
      </c>
      <c r="I104" s="32" t="n">
        <v>689.05</v>
      </c>
      <c r="J104" s="32" t="n">
        <v>0.29</v>
      </c>
      <c r="K104" s="32" t="n">
        <v>283990</v>
      </c>
      <c r="L104" s="31" t="n">
        <v>10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59.39</v>
      </c>
      <c r="P104" s="32" t="n">
        <v>30.8</v>
      </c>
      <c r="Q104" s="32" t="n">
        <v>561.62</v>
      </c>
      <c r="R104" s="31" t="inlineStr">
        <is>
          <t>Earnings / Momentum Support</t>
        </is>
      </c>
      <c r="S104" s="31" t="inlineStr">
        <is>
          <t>Nifty 50</t>
        </is>
      </c>
      <c r="T104" s="32" t="n">
        <v>-12.08</v>
      </c>
      <c r="U104" s="32" t="n">
        <v>4.84</v>
      </c>
      <c r="V104" s="32" t="n">
        <v>19.24</v>
      </c>
      <c r="W104" s="32" t="n">
        <v>3.52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IF(B105=0,"",RANK(B105,$B$2:$B$128,0))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MTARTECH</t>
        </is>
      </c>
      <c r="D105" s="31" t="inlineStr">
        <is>
          <t>MTAR Technologies Ltd</t>
        </is>
      </c>
      <c r="E105" s="31" t="inlineStr">
        <is>
          <t>aerospace &amp; defence</t>
        </is>
      </c>
      <c r="F105" s="31" t="inlineStr">
        <is>
          <t>engineering</t>
        </is>
      </c>
      <c r="G105" s="31" t="inlineStr">
        <is>
          <t>largecap</t>
        </is>
      </c>
      <c r="H105" s="32" t="n">
        <v>24190.88</v>
      </c>
      <c r="I105" s="32" t="n">
        <v>7849.5</v>
      </c>
      <c r="J105" s="32" t="n">
        <v>-0.19</v>
      </c>
      <c r="K105" s="32" t="n">
        <v>110779</v>
      </c>
      <c r="L105" s="31" t="n">
        <v>84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64.48</v>
      </c>
      <c r="P105" s="32" t="n">
        <v>18.24</v>
      </c>
      <c r="Q105" s="32" t="n">
        <v>5521.1</v>
      </c>
      <c r="R105" s="31" t="inlineStr">
        <is>
          <t>Earnings / Momentum Support</t>
        </is>
      </c>
      <c r="S105" s="31" t="inlineStr">
        <is>
          <t>Nifty 50</t>
        </is>
      </c>
      <c r="T105" s="32" t="n">
        <v>-12.08</v>
      </c>
      <c r="U105" s="32" t="n">
        <v>317.37</v>
      </c>
      <c r="V105" s="32" t="n">
        <v>374.7</v>
      </c>
      <c r="W105" s="32" t="n">
        <v>37.88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IF(B106=0,"",RANK(B106,$B$2:$B$128,0))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GLOBAL</t>
        </is>
      </c>
      <c r="D106" s="31" t="inlineStr">
        <is>
          <t>Global Education Ltd</t>
        </is>
      </c>
      <c r="E106" s="31" t="inlineStr">
        <is>
          <t>services</t>
        </is>
      </c>
      <c r="F106" s="31" t="inlineStr">
        <is>
          <t>miscellaneous</t>
        </is>
      </c>
      <c r="G106" s="31" t="inlineStr">
        <is>
          <t>smallcap</t>
        </is>
      </c>
      <c r="H106" s="32" t="n">
        <v>737</v>
      </c>
      <c r="I106" s="32" t="n">
        <v>141.41</v>
      </c>
      <c r="J106" s="32" t="n">
        <v>-2.33</v>
      </c>
      <c r="K106" s="32" t="n">
        <v>147670</v>
      </c>
      <c r="L106" s="31" t="n">
        <v>64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77.91</v>
      </c>
      <c r="P106" s="32" t="n">
        <v>33.35</v>
      </c>
      <c r="Q106" s="32" t="n">
        <v>109.55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-12.08</v>
      </c>
      <c r="U106" s="32" t="n">
        <v>130.93</v>
      </c>
      <c r="V106" s="32" t="n">
        <v>162.65</v>
      </c>
      <c r="W106" s="32" t="n">
        <v>27.04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IF(B107=0,"",RANK(B107,$B$2:$B$128,0))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RAMRAT</t>
        </is>
      </c>
      <c r="D107" s="31" t="inlineStr">
        <is>
          <t>Ram Ratna Wires Ltd</t>
        </is>
      </c>
      <c r="E107" s="31" t="inlineStr">
        <is>
          <t>metals &amp; mining</t>
        </is>
      </c>
      <c r="F107" s="31" t="inlineStr">
        <is>
          <t>mining / minerals / metals</t>
        </is>
      </c>
      <c r="G107" s="31" t="inlineStr">
        <is>
          <t>midcap</t>
        </is>
      </c>
      <c r="H107" s="32" t="n">
        <v>5950.07</v>
      </c>
      <c r="I107" s="32" t="n">
        <v>611.15</v>
      </c>
      <c r="J107" s="32" t="n">
        <v>-4.12</v>
      </c>
      <c r="K107" s="32" t="n">
        <v>201976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73.27</v>
      </c>
      <c r="P107" s="32" t="n">
        <v>51.26</v>
      </c>
      <c r="Q107" s="32" t="n">
        <v>465.78</v>
      </c>
      <c r="R107" s="31" t="inlineStr">
        <is>
          <t>Near 52W High Breakout</t>
        </is>
      </c>
      <c r="S107" s="31" t="inlineStr">
        <is>
          <t>Nifty Metal</t>
        </is>
      </c>
      <c r="T107" s="32" t="inlineStr"/>
      <c r="U107" s="32" t="inlineStr"/>
      <c r="V107" s="32" t="inlineStr"/>
      <c r="W107" s="32" t="inlineStr"/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Cyclical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Volatile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IF(B108=0,"",RANK(B108,$B$2:$B$128,0))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GPTINFRA</t>
        </is>
      </c>
      <c r="D108" s="31" t="inlineStr">
        <is>
          <t>Gpt Infraprojects Limited</t>
        </is>
      </c>
      <c r="E108" s="31" t="inlineStr">
        <is>
          <t>realty</t>
        </is>
      </c>
      <c r="F108" s="31" t="inlineStr">
        <is>
          <t>construction</t>
        </is>
      </c>
      <c r="G108" s="31" t="inlineStr">
        <is>
          <t>smallcap</t>
        </is>
      </c>
      <c r="H108" s="32" t="n">
        <v>1643.5</v>
      </c>
      <c r="I108" s="32" t="n">
        <v>121.19</v>
      </c>
      <c r="J108" s="32" t="n">
        <v>-6.82</v>
      </c>
      <c r="K108" s="32" t="n">
        <v>474533</v>
      </c>
      <c r="L108" s="31" t="inlineStr"/>
      <c r="M108" s="31" t="inlineStr"/>
      <c r="N108" s="32">
        <f>IF(M108="Underperforming",-5,IF(L108&gt;=95,15,IF(L108&gt;=90,10,IF(L108&gt;=80,5,0))))</f>
        <v/>
      </c>
      <c r="O108" s="32" t="n">
        <v>56.44</v>
      </c>
      <c r="P108" s="32" t="n">
        <v>16.46</v>
      </c>
      <c r="Q108" s="32" t="n">
        <v>94.33</v>
      </c>
      <c r="R108" s="31" t="inlineStr">
        <is>
          <t>Volume Spike / Accumulation</t>
        </is>
      </c>
      <c r="S108" s="31" t="inlineStr">
        <is>
          <t>Nifty Realty</t>
        </is>
      </c>
      <c r="T108" s="32" t="inlineStr"/>
      <c r="U108" s="32" t="inlineStr"/>
      <c r="V108" s="32" t="inlineStr"/>
      <c r="W108" s="32" t="inlineStr"/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0 to 20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IF(B109=0,"",RANK(B109,$B$2:$B$128,0))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INDIAGLYCO</t>
        </is>
      </c>
      <c r="D109" s="31" t="inlineStr">
        <is>
          <t>India Glycols Limited</t>
        </is>
      </c>
      <c r="E109" s="31" t="inlineStr">
        <is>
          <t>fmcg</t>
        </is>
      </c>
      <c r="F109" s="31" t="inlineStr">
        <is>
          <t>breweries &amp; distilleries</t>
        </is>
      </c>
      <c r="G109" s="31" t="inlineStr">
        <is>
          <t>smallcap</t>
        </is>
      </c>
      <c r="H109" s="32" t="n">
        <v>2565.11</v>
      </c>
      <c r="I109" s="32" t="n">
        <v>356.9</v>
      </c>
      <c r="J109" s="32" t="n">
        <v>-6.74</v>
      </c>
      <c r="K109" s="32" t="n">
        <v>2966275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30.66</v>
      </c>
      <c r="P109" s="32" t="n">
        <v>40.84</v>
      </c>
      <c r="Q109" s="32" t="n">
        <v>812.66</v>
      </c>
      <c r="R109" s="31" t="inlineStr">
        <is>
          <t>Volume Spike / Accumulation</t>
        </is>
      </c>
      <c r="S109" s="31" t="inlineStr">
        <is>
          <t>Nifty FMCG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Below 45</t>
        </is>
      </c>
      <c r="BA109" s="31">
        <f>IF(AZ109="Between 50 to 75",10,IF(AZ109="Above 75",0,0))</f>
        <v/>
      </c>
      <c r="BB109" s="31" t="inlineStr">
        <is>
          <t>Stage 4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No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IF(B110=0,"",RANK(B110,$B$2:$B$128,0))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AXISCADES</t>
        </is>
      </c>
      <c r="D110" s="31" t="inlineStr">
        <is>
          <t>AXISCADES Technologies Ltd</t>
        </is>
      </c>
      <c r="E110" s="31" t="inlineStr">
        <is>
          <t>aerospace &amp; defence</t>
        </is>
      </c>
      <c r="F110" s="31" t="inlineStr">
        <is>
          <t>computers - software - medium / small</t>
        </is>
      </c>
      <c r="G110" s="31" t="inlineStr">
        <is>
          <t>midcap</t>
        </is>
      </c>
      <c r="H110" s="32" t="n">
        <v>9550.76</v>
      </c>
      <c r="I110" s="32" t="n">
        <v>2077.6</v>
      </c>
      <c r="J110" s="32" t="n">
        <v>-7.48</v>
      </c>
      <c r="K110" s="32" t="n">
        <v>333272</v>
      </c>
      <c r="L110" s="31" t="n">
        <v>27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61.04</v>
      </c>
      <c r="P110" s="32" t="n">
        <v>15.25</v>
      </c>
      <c r="Q110" s="32" t="n">
        <v>1682.08</v>
      </c>
      <c r="R110" s="31" t="inlineStr">
        <is>
          <t>Earnings / Momentum Support</t>
        </is>
      </c>
      <c r="S110" s="31" t="inlineStr">
        <is>
          <t>Nifty IT</t>
        </is>
      </c>
      <c r="T110" s="32" t="n">
        <v>-22.11</v>
      </c>
      <c r="U110" s="32" t="n">
        <v>24.5</v>
      </c>
      <c r="V110" s="32" t="n">
        <v>59.83</v>
      </c>
      <c r="W110" s="32" t="n">
        <v>11.72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IF(B111=0,"",RANK(B111,$B$2:$B$128,0))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SBC</t>
        </is>
      </c>
      <c r="D111" s="31" t="inlineStr">
        <is>
          <t>SBC Exports Ltd</t>
        </is>
      </c>
      <c r="E111" s="31" t="inlineStr">
        <is>
          <t>textiles</t>
        </is>
      </c>
      <c r="F111" s="31" t="inlineStr">
        <is>
          <t>textiles - products</t>
        </is>
      </c>
      <c r="G111" s="31" t="inlineStr">
        <is>
          <t>smallcap</t>
        </is>
      </c>
      <c r="H111" s="32" t="n">
        <v>2941.43</v>
      </c>
      <c r="I111" s="32" t="n">
        <v>63.21</v>
      </c>
      <c r="J111" s="32" t="n">
        <v>2.33</v>
      </c>
      <c r="K111" s="32" t="n">
        <v>17429844</v>
      </c>
      <c r="L111" s="31" t="n">
        <v>78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87</v>
      </c>
      <c r="P111" s="32" t="n">
        <v>32.35</v>
      </c>
      <c r="Q111" s="32" t="n">
        <v>52.08</v>
      </c>
      <c r="R111" s="31" t="inlineStr">
        <is>
          <t>Volume Spike &amp; Near 52W High Breakout</t>
        </is>
      </c>
      <c r="S111" s="31" t="inlineStr">
        <is>
          <t>Nifty 50</t>
        </is>
      </c>
      <c r="T111" s="32" t="n">
        <v>-12.08</v>
      </c>
      <c r="U111" s="32" t="n">
        <v>177.85</v>
      </c>
      <c r="V111" s="32" t="n">
        <v>216.01</v>
      </c>
      <c r="W111" s="32" t="n">
        <v>33.55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More than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IF(B112=0,"",RANK(B112,$B$2:$B$128,0))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RATNAVEER</t>
        </is>
      </c>
      <c r="D112" s="31" t="inlineStr">
        <is>
          <t>Ratnaveer Precision Engineering Ltd</t>
        </is>
      </c>
      <c r="E112" s="31" t="inlineStr">
        <is>
          <t>metals &amp; mining</t>
        </is>
      </c>
      <c r="F112" s="31" t="inlineStr">
        <is>
          <t>steel - medium / small</t>
        </is>
      </c>
      <c r="G112" s="31" t="inlineStr">
        <is>
          <t>smallcap</t>
        </is>
      </c>
      <c r="H112" s="32" t="n">
        <v>2823.7</v>
      </c>
      <c r="I112" s="32" t="n">
        <v>331.35</v>
      </c>
      <c r="J112" s="32" t="n">
        <v>-1.52</v>
      </c>
      <c r="K112" s="32" t="n">
        <v>3247691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76.23</v>
      </c>
      <c r="P112" s="32" t="n">
        <v>68.73999999999999</v>
      </c>
      <c r="Q112" s="32" t="n">
        <v>254.81</v>
      </c>
      <c r="R112" s="31" t="inlineStr">
        <is>
          <t>Near 52W High Breakout</t>
        </is>
      </c>
      <c r="S112" s="31" t="inlineStr">
        <is>
          <t>Nifty Metal</t>
        </is>
      </c>
      <c r="T112" s="32" t="inlineStr"/>
      <c r="U112" s="32" t="inlineStr"/>
      <c r="V112" s="32" t="inlineStr"/>
      <c r="W112" s="32" t="inlineStr"/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IF(B113=0,"",RANK(B113,$B$2:$B$128,0))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ROSSTECH</t>
        </is>
      </c>
      <c r="D113" s="31" t="inlineStr">
        <is>
          <t>Rossell Techsys Ltd</t>
        </is>
      </c>
      <c r="E113" s="31" t="inlineStr">
        <is>
          <t>aerospace &amp; defence</t>
        </is>
      </c>
      <c r="F113" s="31" t="inlineStr">
        <is>
          <t>engineering</t>
        </is>
      </c>
      <c r="G113" s="31" t="inlineStr">
        <is>
          <t>midcap</t>
        </is>
      </c>
      <c r="H113" s="32" t="n">
        <v>6115.88</v>
      </c>
      <c r="I113" s="32" t="n">
        <v>1570.1</v>
      </c>
      <c r="J113" s="32" t="n">
        <v>-3.22</v>
      </c>
      <c r="K113" s="32" t="n">
        <v>227875</v>
      </c>
      <c r="L113" s="31" t="n">
        <v>76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81.87</v>
      </c>
      <c r="P113" s="32" t="n">
        <v>35.2</v>
      </c>
      <c r="Q113" s="32" t="n">
        <v>1167.95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-12.08</v>
      </c>
      <c r="U113" s="32" t="n">
        <v>125.28</v>
      </c>
      <c r="V113" s="32" t="n">
        <v>156.23</v>
      </c>
      <c r="W113" s="32" t="n">
        <v>32.58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More than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IF(B114=0,"",RANK(B114,$B$2:$B$128,0))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MIDHANI</t>
        </is>
      </c>
      <c r="D114" s="31" t="inlineStr">
        <is>
          <t>Mishra Dhatu Nigam Ltd</t>
        </is>
      </c>
      <c r="E114" s="31" t="inlineStr">
        <is>
          <t>aerospace &amp; defence</t>
        </is>
      </c>
      <c r="F114" s="31" t="inlineStr">
        <is>
          <t>steel - medium / small</t>
        </is>
      </c>
      <c r="G114" s="31" t="inlineStr">
        <is>
          <t>midcap</t>
        </is>
      </c>
      <c r="H114" s="32" t="n">
        <v>8593.290000000001</v>
      </c>
      <c r="I114" s="32" t="n">
        <v>442.55</v>
      </c>
      <c r="J114" s="32" t="n">
        <v>-3.52</v>
      </c>
      <c r="K114" s="32" t="n">
        <v>655965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58.65</v>
      </c>
      <c r="P114" s="32" t="n">
        <v>29.01</v>
      </c>
      <c r="Q114" s="32" t="n">
        <v>334.47</v>
      </c>
      <c r="R114" s="31" t="inlineStr">
        <is>
          <t>Near 52W High Breakout</t>
        </is>
      </c>
      <c r="S114" s="31" t="inlineStr">
        <is>
          <t>Nifty Metal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IF(B115=0,"",RANK(B115,$B$2:$B$128,0))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SUNFLAG</t>
        </is>
      </c>
      <c r="D115" s="31" t="inlineStr">
        <is>
          <t>Sunflag Iron And Steel Company Limited</t>
        </is>
      </c>
      <c r="E115" s="31" t="inlineStr">
        <is>
          <t>metals &amp; mining</t>
        </is>
      </c>
      <c r="F115" s="31" t="inlineStr">
        <is>
          <t>steel - medium / small</t>
        </is>
      </c>
      <c r="G115" s="31" t="inlineStr">
        <is>
          <t>midcap</t>
        </is>
      </c>
      <c r="H115" s="32" t="n">
        <v>8549.610000000001</v>
      </c>
      <c r="I115" s="32" t="n">
        <v>450.7</v>
      </c>
      <c r="J115" s="32" t="n">
        <v>-5</v>
      </c>
      <c r="K115" s="32" t="n">
        <v>423244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72.56</v>
      </c>
      <c r="P115" s="32" t="n">
        <v>35.1</v>
      </c>
      <c r="Q115" s="32" t="n">
        <v>340.82</v>
      </c>
      <c r="R115" s="31" t="inlineStr">
        <is>
          <t>Near 52W High Breakout</t>
        </is>
      </c>
      <c r="S115" s="31" t="inlineStr">
        <is>
          <t>Nifty Metal</t>
        </is>
      </c>
      <c r="T115" s="32" t="inlineStr"/>
      <c r="U115" s="32" t="inlineStr"/>
      <c r="V115" s="32" t="inlineStr"/>
      <c r="W115" s="32" t="inlineStr"/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Cyclical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Volatile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IF(B116=0,"",RANK(B116,$B$2:$B$128,0))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ONWARDTEC</t>
        </is>
      </c>
      <c r="D116" s="31" t="inlineStr">
        <is>
          <t>Onward Technologies Limited</t>
        </is>
      </c>
      <c r="E116" s="31" t="inlineStr">
        <is>
          <t>i.t</t>
        </is>
      </c>
      <c r="F116" s="31" t="inlineStr">
        <is>
          <t>computers - software - medium / small</t>
        </is>
      </c>
      <c r="G116" s="31" t="inlineStr">
        <is>
          <t>smallcap</t>
        </is>
      </c>
      <c r="H116" s="32" t="n">
        <v>661.5</v>
      </c>
      <c r="I116" s="32" t="n">
        <v>294.6</v>
      </c>
      <c r="J116" s="32" t="n">
        <v>-0.9399999999999999</v>
      </c>
      <c r="K116" s="32" t="n">
        <v>55959</v>
      </c>
      <c r="L116" s="31" t="n">
        <v>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59.77</v>
      </c>
      <c r="P116" s="32" t="n">
        <v>19.71</v>
      </c>
      <c r="Q116" s="32" t="n">
        <v>229.36</v>
      </c>
      <c r="R116" s="31" t="inlineStr">
        <is>
          <t>Earnings / Momentum Support</t>
        </is>
      </c>
      <c r="S116" s="31" t="inlineStr">
        <is>
          <t>Nifty IT</t>
        </is>
      </c>
      <c r="T116" s="32" t="n">
        <v>-22.11</v>
      </c>
      <c r="U116" s="32" t="n">
        <v>-3.72</v>
      </c>
      <c r="V116" s="32" t="n">
        <v>23.61</v>
      </c>
      <c r="W116" s="32" t="n">
        <v>0.52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IF(B117=0,"",RANK(B117,$B$2:$B$128,0))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ARFIN</t>
        </is>
      </c>
      <c r="D117" s="31" t="inlineStr">
        <is>
          <t>Arfin India Ltd</t>
        </is>
      </c>
      <c r="E117" s="31" t="inlineStr">
        <is>
          <t>metals &amp; mining</t>
        </is>
      </c>
      <c r="F117" s="31" t="inlineStr">
        <is>
          <t>aluminium and aluminium products</t>
        </is>
      </c>
      <c r="G117" s="31" t="inlineStr">
        <is>
          <t>smallcap</t>
        </is>
      </c>
      <c r="H117" s="32" t="n">
        <v>1738.85</v>
      </c>
      <c r="I117" s="32" t="n">
        <v>107.52</v>
      </c>
      <c r="J117" s="32" t="n">
        <v>4.33</v>
      </c>
      <c r="K117" s="32" t="n">
        <v>18357661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68.8</v>
      </c>
      <c r="P117" s="32" t="n">
        <v>24.32</v>
      </c>
      <c r="Q117" s="32" t="n">
        <v>79.36</v>
      </c>
      <c r="R117" s="31" t="inlineStr">
        <is>
          <t>Volume Spike &amp; Near 52W High Breakout</t>
        </is>
      </c>
      <c r="S117" s="31" t="inlineStr">
        <is>
          <t>Nifty Metal</t>
        </is>
      </c>
      <c r="T117" s="32" t="inlineStr"/>
      <c r="U117" s="32" t="inlineStr"/>
      <c r="V117" s="32" t="inlineStr"/>
      <c r="W117" s="32" t="inlineStr"/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Cyclical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Volatile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IF(B118=0,"",RANK(B118,$B$2:$B$128,0))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CHENNPETRO</t>
        </is>
      </c>
      <c r="D118" s="31" t="inlineStr">
        <is>
          <t>Chennai Petroleum Corporation Limited</t>
        </is>
      </c>
      <c r="E118" s="31" t="inlineStr">
        <is>
          <t>energy</t>
        </is>
      </c>
      <c r="F118" s="31" t="inlineStr">
        <is>
          <t>refineries</t>
        </is>
      </c>
      <c r="G118" s="31" t="inlineStr">
        <is>
          <t>largecap</t>
        </is>
      </c>
      <c r="H118" s="32" t="n">
        <v>24008.99</v>
      </c>
      <c r="I118" s="32" t="n">
        <v>1531</v>
      </c>
      <c r="J118" s="32" t="n">
        <v>-5.04</v>
      </c>
      <c r="K118" s="32" t="n">
        <v>6075729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67.09</v>
      </c>
      <c r="P118" s="32" t="n">
        <v>63.76</v>
      </c>
      <c r="Q118" s="32" t="n">
        <v>1128.89</v>
      </c>
      <c r="R118" s="31" t="inlineStr">
        <is>
          <t>Volume Spike &amp; Near 52W High Breakout</t>
        </is>
      </c>
      <c r="S118" s="31" t="inlineStr">
        <is>
          <t>Nifty Energy</t>
        </is>
      </c>
      <c r="T118" s="32" t="inlineStr"/>
      <c r="U118" s="32" t="inlineStr"/>
      <c r="V118" s="32" t="inlineStr"/>
      <c r="W118" s="32" t="inlineStr"/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Cyclical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Volatile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IF(B119=0,"",RANK(B119,$B$2:$B$128,0))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BIL</t>
        </is>
      </c>
      <c r="D119" s="31" t="inlineStr">
        <is>
          <t>Bhartiya International Limited</t>
        </is>
      </c>
      <c r="E119" s="31" t="inlineStr">
        <is>
          <t>consumer discretionary</t>
        </is>
      </c>
      <c r="F119" s="31" t="inlineStr">
        <is>
          <t>leather / leather products</t>
        </is>
      </c>
      <c r="G119" s="31" t="inlineStr">
        <is>
          <t>smallcap</t>
        </is>
      </c>
      <c r="H119" s="32" t="n">
        <v>1438.8</v>
      </c>
      <c r="I119" s="32" t="n">
        <v>1048.55</v>
      </c>
      <c r="J119" s="32" t="n">
        <v>-2.27</v>
      </c>
      <c r="K119" s="32" t="n">
        <v>7802</v>
      </c>
      <c r="L119" s="31" t="n">
        <v>37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68.06</v>
      </c>
      <c r="P119" s="32" t="n">
        <v>31.89</v>
      </c>
      <c r="Q119" s="32" t="n">
        <v>791.55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-12.08</v>
      </c>
      <c r="U119" s="32" t="n">
        <v>31.5</v>
      </c>
      <c r="V119" s="32" t="n">
        <v>49.56</v>
      </c>
      <c r="W119" s="32" t="n">
        <v>16.12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IF(B120=0,"",RANK(B120,$B$2:$B$128,0))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TDPOWERSYS</t>
        </is>
      </c>
      <c r="D120" s="31" t="inlineStr">
        <is>
          <t>Td Power Systems Limited</t>
        </is>
      </c>
      <c r="E120" s="31" t="inlineStr">
        <is>
          <t>industrials</t>
        </is>
      </c>
      <c r="F120" s="31" t="inlineStr">
        <is>
          <t>electric equipment</t>
        </is>
      </c>
      <c r="G120" s="31" t="inlineStr">
        <is>
          <t>midcap</t>
        </is>
      </c>
      <c r="H120" s="32" t="n">
        <v>12827.92</v>
      </c>
      <c r="I120" s="32" t="n">
        <v>793.5</v>
      </c>
      <c r="J120" s="32" t="n">
        <v>-3.36</v>
      </c>
      <c r="K120" s="32" t="n">
        <v>2548022</v>
      </c>
      <c r="L120" s="31" t="n">
        <v>71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68.27</v>
      </c>
      <c r="P120" s="32" t="n">
        <v>19.23</v>
      </c>
      <c r="Q120" s="32" t="n">
        <v>580.14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-12.08</v>
      </c>
      <c r="U120" s="32" t="n">
        <v>164.9</v>
      </c>
      <c r="V120" s="32" t="n">
        <v>201.29</v>
      </c>
      <c r="W120" s="32" t="n">
        <v>30.06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IF(B121=0,"",RANK(B121,$B$2:$B$128,0))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VENUSPIPES</t>
        </is>
      </c>
      <c r="D121" s="31" t="inlineStr">
        <is>
          <t>Venus Pipes &amp; Tubes Ltd</t>
        </is>
      </c>
      <c r="E121" s="31" t="inlineStr">
        <is>
          <t>metals &amp; mining</t>
        </is>
      </c>
      <c r="F121" s="31" t="inlineStr">
        <is>
          <t>steel - medium / small</t>
        </is>
      </c>
      <c r="G121" s="31" t="inlineStr">
        <is>
          <t>smallcap</t>
        </is>
      </c>
      <c r="H121" s="32" t="n">
        <v>4637.3</v>
      </c>
      <c r="I121" s="32" t="n">
        <v>2119.8</v>
      </c>
      <c r="J121" s="32" t="n">
        <v>-5.3</v>
      </c>
      <c r="K121" s="32" t="n">
        <v>525166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67.98999999999999</v>
      </c>
      <c r="P121" s="32" t="n">
        <v>41.06</v>
      </c>
      <c r="Q121" s="32" t="n">
        <v>1742.08</v>
      </c>
      <c r="R121" s="31" t="inlineStr">
        <is>
          <t>Earnings / Momentum Support</t>
        </is>
      </c>
      <c r="S121" s="31" t="inlineStr">
        <is>
          <t>Nifty Metal</t>
        </is>
      </c>
      <c r="T121" s="32" t="inlineStr"/>
      <c r="U121" s="32" t="inlineStr"/>
      <c r="V121" s="32" t="inlineStr"/>
      <c r="W121" s="32" t="inlineStr"/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Cyclical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Volatile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IF(B122=0,"",RANK(B122,$B$2:$B$128,0))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NELCAST</t>
        </is>
      </c>
      <c r="D122" s="31" t="inlineStr">
        <is>
          <t>Nelcast Limited</t>
        </is>
      </c>
      <c r="E122" s="31" t="inlineStr">
        <is>
          <t>castings, forgings &amp; fasteners</t>
        </is>
      </c>
      <c r="F122" s="31" t="inlineStr">
        <is>
          <t>castings &amp; forgings</t>
        </is>
      </c>
      <c r="G122" s="31" t="inlineStr">
        <is>
          <t>smallcap</t>
        </is>
      </c>
      <c r="H122" s="32" t="n">
        <v>1272.74</v>
      </c>
      <c r="I122" s="32" t="n">
        <v>141.52</v>
      </c>
      <c r="J122" s="32" t="n">
        <v>-3.26</v>
      </c>
      <c r="K122" s="32" t="n">
        <v>1946820</v>
      </c>
      <c r="L122" s="31" t="n">
        <v>15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59.42</v>
      </c>
      <c r="P122" s="32" t="n">
        <v>18.57</v>
      </c>
      <c r="Q122" s="32" t="n">
        <v>98.81</v>
      </c>
      <c r="R122" s="31" t="inlineStr">
        <is>
          <t>Volume Spike / Accumulation</t>
        </is>
      </c>
      <c r="S122" s="31" t="inlineStr">
        <is>
          <t>Nifty 50</t>
        </is>
      </c>
      <c r="T122" s="32" t="n">
        <v>-12.08</v>
      </c>
      <c r="U122" s="32" t="n">
        <v>25.32</v>
      </c>
      <c r="V122" s="32" t="n">
        <v>42.53</v>
      </c>
      <c r="W122" s="32" t="n">
        <v>5.89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1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IF(B123=0,"",RANK(B123,$B$2:$B$128,0))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AMANTA</t>
        </is>
      </c>
      <c r="D123" s="31" t="inlineStr">
        <is>
          <t>Amanta Healthcare Ltd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smallcap</t>
        </is>
      </c>
      <c r="H123" s="32" t="n">
        <v>804.08</v>
      </c>
      <c r="I123" s="32" t="n">
        <v>196.76</v>
      </c>
      <c r="J123" s="32" t="n">
        <v>-4.98</v>
      </c>
      <c r="K123" s="32" t="n">
        <v>67009</v>
      </c>
      <c r="L123" s="31" t="n">
        <v>28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66.16</v>
      </c>
      <c r="P123" s="32" t="n">
        <v>37.17</v>
      </c>
      <c r="Q123" s="32" t="n">
        <v>151.61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16.23</v>
      </c>
      <c r="U123" s="32" t="n">
        <v>46.77</v>
      </c>
      <c r="V123" s="32" t="n">
        <v>26.28</v>
      </c>
      <c r="W123" s="32" t="n">
        <v>12.72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IF(B124=0,"",RANK(B124,$B$2:$B$128,0))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PATELRMART</t>
        </is>
      </c>
      <c r="D124" s="31" t="inlineStr">
        <is>
          <t>Patel Retail Ltd</t>
        </is>
      </c>
      <c r="E124" s="31" t="inlineStr">
        <is>
          <t>consumer discretionary</t>
        </is>
      </c>
      <c r="F124" s="31" t="inlineStr">
        <is>
          <t>trading</t>
        </is>
      </c>
      <c r="G124" s="31" t="inlineStr">
        <is>
          <t>smallcap</t>
        </is>
      </c>
      <c r="H124" s="32" t="n">
        <v>761.0599999999999</v>
      </c>
      <c r="I124" s="32" t="n">
        <v>229.61</v>
      </c>
      <c r="J124" s="32" t="n">
        <v>0.77</v>
      </c>
      <c r="K124" s="32" t="n">
        <v>157882</v>
      </c>
      <c r="L124" s="31" t="n">
        <v>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56.91</v>
      </c>
      <c r="P124" s="32" t="n">
        <v>15.2</v>
      </c>
      <c r="Q124" s="32" t="n">
        <v>177.55</v>
      </c>
      <c r="R124" s="31" t="inlineStr">
        <is>
          <t>Earnings / Momentum Support</t>
        </is>
      </c>
      <c r="S124" s="31" t="inlineStr">
        <is>
          <t>Nifty 50</t>
        </is>
      </c>
      <c r="T124" s="32" t="n">
        <v>-12.08</v>
      </c>
      <c r="U124" s="32" t="n">
        <v>1.34</v>
      </c>
      <c r="V124" s="32" t="n">
        <v>15.26</v>
      </c>
      <c r="W124" s="32" t="n">
        <v>1.56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1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IF(B125=0,"",RANK(B125,$B$2:$B$128,0))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VHLTD</t>
        </is>
      </c>
      <c r="D125" s="31" t="inlineStr">
        <is>
          <t>Viceroy Hotels Ltd</t>
        </is>
      </c>
      <c r="E125" s="31" t="inlineStr">
        <is>
          <t>services</t>
        </is>
      </c>
      <c r="F125" s="31" t="inlineStr">
        <is>
          <t>hotels</t>
        </is>
      </c>
      <c r="G125" s="31" t="inlineStr">
        <is>
          <t>smallcap</t>
        </is>
      </c>
      <c r="H125" s="32" t="n">
        <v>995.25</v>
      </c>
      <c r="I125" s="32" t="n">
        <v>136.1</v>
      </c>
      <c r="J125" s="32" t="n">
        <v>5</v>
      </c>
      <c r="K125" s="32" t="n">
        <v>159535</v>
      </c>
      <c r="L125" s="31" t="n">
        <v>8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56.84</v>
      </c>
      <c r="P125" s="32" t="n">
        <v>15.78</v>
      </c>
      <c r="Q125" s="32" t="n">
        <v>104.61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-12.08</v>
      </c>
      <c r="U125" s="32" t="n">
        <v>7.42</v>
      </c>
      <c r="V125" s="32" t="n">
        <v>22.17</v>
      </c>
      <c r="W125" s="32" t="n">
        <v>2.85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1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IF(B126=0,"",RANK(B126,$B$2:$B$128,0))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SALSTEEL</t>
        </is>
      </c>
      <c r="D126" s="31" t="inlineStr">
        <is>
          <t>SAL Steel</t>
        </is>
      </c>
      <c r="E126" s="31" t="inlineStr">
        <is>
          <t>metals &amp; mining</t>
        </is>
      </c>
      <c r="F126" s="31" t="inlineStr">
        <is>
          <t>steel - sponge iron</t>
        </is>
      </c>
      <c r="G126" s="31" t="inlineStr">
        <is>
          <t>smallcap</t>
        </is>
      </c>
      <c r="H126" s="32" t="n">
        <v>1251.36</v>
      </c>
      <c r="I126" s="32" t="n">
        <v>88.93000000000001</v>
      </c>
      <c r="J126" s="32" t="n">
        <v>2.88</v>
      </c>
      <c r="K126" s="32" t="n">
        <v>1424858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66.40000000000001</v>
      </c>
      <c r="P126" s="32" t="n">
        <v>34.46</v>
      </c>
      <c r="Q126" s="32" t="n">
        <v>69.18000000000001</v>
      </c>
      <c r="R126" s="31" t="inlineStr">
        <is>
          <t>Earnings / Momentum Support</t>
        </is>
      </c>
      <c r="S126" s="31" t="inlineStr">
        <is>
          <t>Nifty Metal</t>
        </is>
      </c>
      <c r="T126" s="32" t="inlineStr"/>
      <c r="U126" s="32" t="inlineStr"/>
      <c r="V126" s="32" t="inlineStr"/>
      <c r="W126" s="32" t="inlineStr"/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Cyclical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Volatile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IF(B127=0,"",RANK(B127,$B$2:$B$128,0))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ISGEC</t>
        </is>
      </c>
      <c r="D127" s="31" t="inlineStr">
        <is>
          <t>ISGEC Heavy Engineering  Ltd</t>
        </is>
      </c>
      <c r="E127" s="31" t="inlineStr">
        <is>
          <t>realty</t>
        </is>
      </c>
      <c r="F127" s="31" t="inlineStr">
        <is>
          <t>engineering - turnkey services</t>
        </is>
      </c>
      <c r="G127" s="31" t="inlineStr">
        <is>
          <t>midcap</t>
        </is>
      </c>
      <c r="H127" s="32" t="n">
        <v>6630.52</v>
      </c>
      <c r="I127" s="32" t="n">
        <v>918.4</v>
      </c>
      <c r="J127" s="32" t="n">
        <v>1.85</v>
      </c>
      <c r="K127" s="32" t="n">
        <v>231042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56.45</v>
      </c>
      <c r="P127" s="32" t="n">
        <v>18.89</v>
      </c>
      <c r="Q127" s="32" t="n">
        <v>721.39</v>
      </c>
      <c r="R127" s="31" t="inlineStr">
        <is>
          <t>Earnings / Momentum Support</t>
        </is>
      </c>
      <c r="S127" s="31" t="inlineStr">
        <is>
          <t>Nifty Realty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1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IF(B128=0,"",RANK(B128,$B$2:$B$128,0))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UNITEDPOLY</t>
        </is>
      </c>
      <c r="D128" s="31" t="inlineStr">
        <is>
          <t>United Polyfab Gujarat Ltd</t>
        </is>
      </c>
      <c r="E128" s="31" t="inlineStr">
        <is>
          <t>textiles</t>
        </is>
      </c>
      <c r="F128" s="31" t="inlineStr">
        <is>
          <t>textiles - products</t>
        </is>
      </c>
      <c r="G128" s="31" t="inlineStr">
        <is>
          <t>smallcap</t>
        </is>
      </c>
      <c r="H128" s="32" t="n">
        <v>1103.97</v>
      </c>
      <c r="I128" s="32" t="n">
        <v>47.56</v>
      </c>
      <c r="J128" s="32" t="n">
        <v>-1.12</v>
      </c>
      <c r="K128" s="32" t="n">
        <v>215130</v>
      </c>
      <c r="L128" s="31" t="n">
        <v>41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75.8</v>
      </c>
      <c r="P128" s="32" t="n">
        <v>28.84</v>
      </c>
      <c r="Q128" s="32" t="n">
        <v>34.77</v>
      </c>
      <c r="R128" s="31" t="inlineStr">
        <is>
          <t>Volume Spike &amp; Near 52W High Breakout</t>
        </is>
      </c>
      <c r="S128" s="31" t="inlineStr">
        <is>
          <t>Nifty 50</t>
        </is>
      </c>
      <c r="T128" s="32" t="n">
        <v>-12.08</v>
      </c>
      <c r="U128" s="32" t="n">
        <v>7.26</v>
      </c>
      <c r="V128" s="32" t="n">
        <v>21.99</v>
      </c>
      <c r="W128" s="32" t="n">
        <v>17.43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Oligopoly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Shallow Cyclical (2 to 3 Years Growth)</t>
        </is>
      </c>
      <c r="AG128" s="31">
        <f>IF(AF128="Structural (10 Years Consistency)",10,IF(AF128="Shallow Cyclical (2 to 3 years growth)",5,0))</f>
        <v/>
      </c>
      <c r="AH128" s="31" t="inlineStr">
        <is>
          <t>Yes due to Product Mix change or Operating Leverage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Volatile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Allocated capital in Non-core Areas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Sideways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Overhead supply in last 2 years in last 2 years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More than 15%</t>
        </is>
      </c>
      <c r="CC128" s="31">
        <f>IF(CB128="More than 15%",-10,IF(CB128="Less than 15%",10,0))</f>
        <v/>
      </c>
      <c r="CD128" s="31" t="inlineStr">
        <is>
          <t>Yes Upto 10%</t>
        </is>
      </c>
      <c r="CE128" s="31">
        <f>IF(CD128="Yes, more than 10%",-10,IF(CD128="No",10,0))</f>
        <v/>
      </c>
    </row>
  </sheetData>
  <autoFilter ref="A1:CE128"/>
  <conditionalFormatting sqref="B2:B12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2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2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2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2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2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2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2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2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2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2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2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2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2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2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2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2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28">
    <cfRule type="cellIs" priority="36" operator="equal" dxfId="3" stopIfTrue="1">
      <formula>"Underperforming"</formula>
    </cfRule>
  </conditionalFormatting>
  <conditionalFormatting sqref="N2:N128">
    <cfRule type="cellIs" priority="37" operator="equal" dxfId="3" stopIfTrue="1">
      <formula>-5</formula>
    </cfRule>
  </conditionalFormatting>
  <conditionalFormatting sqref="Q2:Q12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28" showDropDown="0" showInputMessage="0" showErrorMessage="0" allowBlank="1" type="list">
      <formula1>"Growing Industry,Stagnant Industry,Cyclical in an Upturn"</formula1>
    </dataValidation>
    <dataValidation sqref="Z2:Z12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28" showDropDown="0" showInputMessage="0" showErrorMessage="0" allowBlank="1" type="list">
      <formula1>"Yes,No"</formula1>
    </dataValidation>
    <dataValidation sqref="AD2:AD128" showDropDown="0" showInputMessage="0" showErrorMessage="0" allowBlank="1" type="list">
      <formula1>"Tailwind,Headwind"</formula1>
    </dataValidation>
    <dataValidation sqref="AF2:AF128" showDropDown="0" showInputMessage="0" showErrorMessage="0" allowBlank="1" type="list">
      <formula1>"Structural (10 Years Consistency),Shallow Cyclical (2 to 3 Years Growth),Cyclical"</formula1>
    </dataValidation>
    <dataValidation sqref="AH2:AH128" showDropDown="0" showInputMessage="0" showErrorMessage="0" allowBlank="1" type="list">
      <formula1>"Yes due to Product Mix change or Operating Leverage,Yes, these are peak margins,No"</formula1>
    </dataValidation>
    <dataValidation sqref="AJ2:AJ128" showDropDown="0" showInputMessage="0" showErrorMessage="0" allowBlank="1" type="list">
      <formula1>"Stable,Volatile"</formula1>
    </dataValidation>
    <dataValidation sqref="AL2:AL128" showDropDown="0" showInputMessage="0" showErrorMessage="0" allowBlank="1" type="list">
      <formula1>"Yes,No"</formula1>
    </dataValidation>
    <dataValidation sqref="AN2:AN128" showDropDown="0" showInputMessage="0" showErrorMessage="0" allowBlank="1" type="list">
      <formula1>"B2C,B2B,B2G"</formula1>
    </dataValidation>
    <dataValidation sqref="AP2:AP128" showDropDown="0" showInputMessage="0" showErrorMessage="0" allowBlank="1" type="list">
      <formula1>"Yes,No"</formula1>
    </dataValidation>
    <dataValidation sqref="AR2:AR128" showDropDown="0" showInputMessage="0" showErrorMessage="0" allowBlank="1" type="list">
      <formula1>"Fully Annuity,Higher Annuity, Lower One time,Higher One Time, Lower Annuity,Fully One Time"</formula1>
    </dataValidation>
    <dataValidation sqref="AT2:AT128" showDropDown="0" showInputMessage="0" showErrorMessage="0" allowBlank="1" type="list">
      <formula1>"Good,Allocated capital in Non-core Areas"</formula1>
    </dataValidation>
    <dataValidation sqref="AV2:AV128" showDropDown="0" showInputMessage="0" showErrorMessage="0" allowBlank="1" type="list">
      <formula1>"Yes for more than 2 years,Yes only for next 1 to 2 years,No"</formula1>
    </dataValidation>
    <dataValidation sqref="AX2:AX128" showDropDown="0" showInputMessage="0" showErrorMessage="0" allowBlank="1" type="list">
      <formula1>"Above 40,20 to 40,0 to 20"</formula1>
    </dataValidation>
    <dataValidation sqref="AZ2:AZ128" showDropDown="0" showInputMessage="0" showErrorMessage="0" allowBlank="1" type="list">
      <formula1>"Between 50 to 75,Above 75,Below 45"</formula1>
    </dataValidation>
    <dataValidation sqref="BB2:BB128" showDropDown="0" showInputMessage="0" showErrorMessage="0" allowBlank="1" type="list">
      <formula1>"Stage 1,Stage 2,Stage 3,Stage 4"</formula1>
    </dataValidation>
    <dataValidation sqref="BD2:BD128" showDropDown="0" showInputMessage="0" showErrorMessage="0" allowBlank="1" type="list">
      <formula1>"Positive Trend,Negative Trend"</formula1>
    </dataValidation>
    <dataValidation sqref="BF2:BF128" showDropDown="0" showInputMessage="0" showErrorMessage="0" allowBlank="1" type="list">
      <formula1>"Uptrend,Sideways,Downtrend"</formula1>
    </dataValidation>
    <dataValidation sqref="BH2:BH128" showDropDown="0" showInputMessage="0" showErrorMessage="0" allowBlank="1" type="list">
      <formula1>"Uptrend,Sideways,Downtrend"</formula1>
    </dataValidation>
    <dataValidation sqref="BJ2:BJ12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28" showDropDown="0" showInputMessage="0" showErrorMessage="0" allowBlank="1" type="list">
      <formula1>"Yes,No"</formula1>
    </dataValidation>
    <dataValidation sqref="BN2:BN128" showDropDown="0" showInputMessage="0" showErrorMessage="0" allowBlank="1" type="list">
      <formula1>"More than 20%,Between 12 to 20%,Less than 12%"</formula1>
    </dataValidation>
    <dataValidation sqref="BP2:BP128" showDropDown="0" showInputMessage="0" showErrorMessage="0" allowBlank="1" type="list">
      <formula1>"Yes,No"</formula1>
    </dataValidation>
    <dataValidation sqref="BR2:BR128" showDropDown="0" showInputMessage="0" showErrorMessage="0" allowBlank="1" type="list">
      <formula1>"Yes,No"</formula1>
    </dataValidation>
    <dataValidation sqref="BT2:BT128" showDropDown="0" showInputMessage="0" showErrorMessage="0" allowBlank="1" type="list">
      <formula1>"Above 2,Between 1.5 to 2,Less than 1.5"</formula1>
    </dataValidation>
    <dataValidation sqref="BV2:BV128" showDropDown="0" showInputMessage="0" showErrorMessage="0" allowBlank="1" type="list">
      <formula1>"Above 70%,Between 50% to 70%,Less than 50%,Less than 50% and Borrowings are increasing,Negative"</formula1>
    </dataValidation>
    <dataValidation sqref="BX2:BX128" showDropDown="0" showInputMessage="0" showErrorMessage="0" allowBlank="1" type="list">
      <formula1>"More than 1.2,Between 0.7 to 1.2,Less than 0.7"</formula1>
    </dataValidation>
    <dataValidation sqref="BZ2:BZ128" showDropDown="0" showInputMessage="0" showErrorMessage="0" allowBlank="1" type="list">
      <formula1>"Yes,No"</formula1>
    </dataValidation>
    <dataValidation sqref="CB2:CB128" showDropDown="0" showInputMessage="0" showErrorMessage="0" allowBlank="1" type="list">
      <formula1>"More than 15%,Less than 15%"</formula1>
    </dataValidation>
    <dataValidation sqref="CD2:CD12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IF(B2=0,"",RANK(B2,$B$2:$B$9,0))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2308.43</v>
      </c>
      <c r="I2" s="32" t="n">
        <v>107.83</v>
      </c>
      <c r="J2" s="32" t="n">
        <v>-2.19</v>
      </c>
      <c r="K2" s="32" t="n">
        <v>3775916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74.14</v>
      </c>
      <c r="P2" s="32" t="n">
        <v>38.48</v>
      </c>
      <c r="Q2" s="32" t="n">
        <v>80.20999999999999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-3.7</v>
      </c>
      <c r="U2" s="32" t="n">
        <v>57.11</v>
      </c>
      <c r="V2" s="32" t="n">
        <v>63.14</v>
      </c>
      <c r="W2" s="32" t="n">
        <v>21.06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IF(B3=0,"",RANK(B3,$B$2:$B$9,0))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MANBA</t>
        </is>
      </c>
      <c r="D3" s="31" t="inlineStr">
        <is>
          <t>Manba Finance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712.09</v>
      </c>
      <c r="I3" s="32" t="n">
        <v>146.82</v>
      </c>
      <c r="J3" s="32" t="n">
        <v>3.58</v>
      </c>
      <c r="K3" s="32" t="n">
        <v>525646</v>
      </c>
      <c r="L3" s="31" t="n">
        <v>12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68.73999999999999</v>
      </c>
      <c r="P3" s="32" t="n">
        <v>39.53</v>
      </c>
      <c r="Q3" s="32" t="n">
        <v>117.82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-3.7</v>
      </c>
      <c r="U3" s="32" t="n">
        <v>10.49</v>
      </c>
      <c r="V3" s="32" t="n">
        <v>14.74</v>
      </c>
      <c r="W3" s="32" t="n">
        <v>4.4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IF(B4=0,"",RANK(B4,$B$2:$B$9,0))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KOTAKBANK</t>
        </is>
      </c>
      <c r="D4" s="31" t="inlineStr">
        <is>
          <t>Kotak Mahindra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437655.2</v>
      </c>
      <c r="I4" s="32" t="n">
        <v>435</v>
      </c>
      <c r="J4" s="32" t="n">
        <v>-1.14</v>
      </c>
      <c r="K4" s="32" t="n">
        <v>22068818</v>
      </c>
      <c r="L4" s="31" t="n">
        <v>11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62.95</v>
      </c>
      <c r="P4" s="32" t="n">
        <v>14.08</v>
      </c>
      <c r="Q4" s="32" t="n">
        <v>376.58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-3.7</v>
      </c>
      <c r="U4" s="32" t="n">
        <v>1.33</v>
      </c>
      <c r="V4" s="32" t="n">
        <v>5.23</v>
      </c>
      <c r="W4" s="32" t="n">
        <v>3.72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0 to 20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IF(B5=0,"",RANK(B5,$B$2:$B$9,0))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TFCILTD</t>
        </is>
      </c>
      <c r="D5" s="31" t="inlineStr">
        <is>
          <t>Tourism Finance Corporation Of India Limited</t>
        </is>
      </c>
      <c r="E5" s="31" t="inlineStr">
        <is>
          <t>financials</t>
        </is>
      </c>
      <c r="F5" s="31" t="inlineStr">
        <is>
          <t>finance - term-lending institutions</t>
        </is>
      </c>
      <c r="G5" s="31" t="inlineStr">
        <is>
          <t>midcap</t>
        </is>
      </c>
      <c r="H5" s="32" t="n">
        <v>7048.37</v>
      </c>
      <c r="I5" s="32" t="n">
        <v>146.65</v>
      </c>
      <c r="J5" s="32" t="n">
        <v>-3.67</v>
      </c>
      <c r="K5" s="32" t="n">
        <v>8707702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82.58</v>
      </c>
      <c r="P5" s="32" t="n">
        <v>74.28</v>
      </c>
      <c r="Q5" s="32" t="n">
        <v>116.36</v>
      </c>
      <c r="R5" s="31" t="inlineStr">
        <is>
          <t>Near 52W High Breakout</t>
        </is>
      </c>
      <c r="S5" s="31" t="inlineStr">
        <is>
          <t>Nifty Bank</t>
        </is>
      </c>
      <c r="T5" s="32" t="n">
        <v>-3.7</v>
      </c>
      <c r="U5" s="32" t="n">
        <v>99.62</v>
      </c>
      <c r="V5" s="32" t="n">
        <v>107.29</v>
      </c>
      <c r="W5" s="32" t="n">
        <v>39.08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IF(B6=0,"",RANK(B6,$B$2:$B$9,0))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DHANBANK</t>
        </is>
      </c>
      <c r="D6" s="31" t="inlineStr">
        <is>
          <t>Dhanlaxmi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1295.8</v>
      </c>
      <c r="I6" s="32" t="n">
        <v>32.65</v>
      </c>
      <c r="J6" s="32" t="n">
        <v>-0.55</v>
      </c>
      <c r="K6" s="32" t="n">
        <v>6525785</v>
      </c>
      <c r="L6" s="31" t="n">
        <v>12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55.32</v>
      </c>
      <c r="P6" s="32" t="n">
        <v>24.76</v>
      </c>
      <c r="Q6" s="32" t="n">
        <v>25.73</v>
      </c>
      <c r="R6" s="31" t="inlineStr">
        <is>
          <t>Volume Spike / Accumulation</t>
        </is>
      </c>
      <c r="S6" s="31" t="inlineStr">
        <is>
          <t>Nifty Bank</t>
        </is>
      </c>
      <c r="T6" s="32" t="n">
        <v>-3.7</v>
      </c>
      <c r="U6" s="32" t="n">
        <v>25.38</v>
      </c>
      <c r="V6" s="32" t="n">
        <v>30.2</v>
      </c>
      <c r="W6" s="32" t="n">
        <v>4.22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1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IF(B7=0,"",RANK(B7,$B$2:$B$9,0))</f>
        <v/>
      </c>
      <c r="B7" s="32">
        <f>SUM(N7,Y7,AA7,AC7,AE7,AG7,AI7,AK7,AM7,AO7,AQ7,AS7,AU7,AW7,AY7,BA7,BC7,BE7,BG7,BI7,BK7,BM7,BO7,BQ7,BS7,BU7,BW7,BY7,CA7)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1724.62</v>
      </c>
      <c r="I7" s="32" t="n">
        <v>697.75</v>
      </c>
      <c r="J7" s="32" t="n">
        <v>1.17</v>
      </c>
      <c r="K7" s="32" t="n">
        <v>479957</v>
      </c>
      <c r="L7" s="31" t="n">
        <v>81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81.63</v>
      </c>
      <c r="P7" s="32" t="n">
        <v>34.77</v>
      </c>
      <c r="Q7" s="32" t="n">
        <v>568.59</v>
      </c>
      <c r="R7" s="31" t="inlineStr">
        <is>
          <t>Near 52W High Breakout</t>
        </is>
      </c>
      <c r="S7" s="31" t="inlineStr">
        <is>
          <t>Nifty Bank</t>
        </is>
      </c>
      <c r="T7" s="32" t="n">
        <v>-3.7</v>
      </c>
      <c r="U7" s="32" t="n">
        <v>202.67</v>
      </c>
      <c r="V7" s="32" t="n">
        <v>214.3</v>
      </c>
      <c r="W7" s="32" t="n">
        <v>35.31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IF(B8=0,"",RANK(B8,$B$2:$B$9,0))</f>
        <v/>
      </c>
      <c r="B8" s="32">
        <f>SUM(N8,Y8,AA8,AC8,AE8,AG8,AI8,AK8,AM8,AO8,AQ8,AS8,AU8,AW8,AY8,BA8,BC8,BE8,BG8,BI8,BK8,BM8,BO8,BQ8,BS8,BU8,BW8,BY8,CA8)</f>
        <v/>
      </c>
      <c r="C8" s="31" t="inlineStr">
        <is>
          <t>PNBHOUSING</t>
        </is>
      </c>
      <c r="D8" s="31" t="inlineStr">
        <is>
          <t>Pnb Housing Finance Limited</t>
        </is>
      </c>
      <c r="E8" s="31" t="inlineStr">
        <is>
          <t>financials</t>
        </is>
      </c>
      <c r="F8" s="31" t="inlineStr">
        <is>
          <t>finance - housing</t>
        </is>
      </c>
      <c r="G8" s="31" t="inlineStr">
        <is>
          <t>largecap</t>
        </is>
      </c>
      <c r="H8" s="32" t="n">
        <v>29472.72</v>
      </c>
      <c r="I8" s="32" t="n">
        <v>1150</v>
      </c>
      <c r="J8" s="32" t="n">
        <v>1.68</v>
      </c>
      <c r="K8" s="32" t="n">
        <v>1912599</v>
      </c>
      <c r="L8" s="31" t="n">
        <v>19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61.31</v>
      </c>
      <c r="P8" s="32" t="n">
        <v>32.6</v>
      </c>
      <c r="Q8" s="32" t="n">
        <v>972.17</v>
      </c>
      <c r="R8" s="31" t="inlineStr">
        <is>
          <t>Near 52W High Breakout</t>
        </is>
      </c>
      <c r="S8" s="31" t="inlineStr">
        <is>
          <t>Nifty Bank</t>
        </is>
      </c>
      <c r="T8" s="32" t="n">
        <v>-3.7</v>
      </c>
      <c r="U8" s="32" t="n">
        <v>35.77</v>
      </c>
      <c r="V8" s="32" t="n">
        <v>40.99</v>
      </c>
      <c r="W8" s="32" t="n">
        <v>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IF(B9=0,"",RANK(B9,$B$2:$B$9,0))</f>
        <v/>
      </c>
      <c r="B9" s="32">
        <f>SUM(N9,Y9,AA9,AC9,AE9,AG9,AI9,AK9,AM9,AO9,AQ9,AS9,AU9,AW9,AY9,BA9,BC9,BE9,BG9,BI9,BK9,BM9,BO9,BQ9,BS9,BU9,BW9,BY9,CA9)</f>
        <v/>
      </c>
      <c r="C9" s="33" t="inlineStr">
        <is>
          <t>VHL</t>
        </is>
      </c>
      <c r="D9" s="33" t="inlineStr">
        <is>
          <t>Vardhman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1148.57</v>
      </c>
      <c r="I9" s="32" t="n">
        <v>3578.8</v>
      </c>
      <c r="J9" s="32" t="n">
        <v>-0.5600000000000001</v>
      </c>
      <c r="K9" s="32" t="n">
        <v>2435</v>
      </c>
      <c r="L9" s="31" t="n">
        <v>2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54.78</v>
      </c>
      <c r="P9" s="32" t="n">
        <v>6.58</v>
      </c>
      <c r="Q9" s="32" t="n">
        <v>3005.54</v>
      </c>
      <c r="R9" s="31" t="inlineStr">
        <is>
          <t>Earnings / Momentum Support</t>
        </is>
      </c>
      <c r="S9" s="31" t="inlineStr">
        <is>
          <t>Nifty Bank</t>
        </is>
      </c>
      <c r="T9" s="32" t="n">
        <v>-3.7</v>
      </c>
      <c r="U9" s="32" t="n">
        <v>-7.98</v>
      </c>
      <c r="V9" s="32" t="n">
        <v>-4.44</v>
      </c>
      <c r="W9" s="32" t="n">
        <v>-1.25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0 to 20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1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</sheetData>
  <autoFilter ref="A1:CA9"/>
  <conditionalFormatting sqref="B2:B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9">
    <cfRule type="cellIs" priority="34" operator="equal" dxfId="3" stopIfTrue="1">
      <formula>"Underperforming"</formula>
    </cfRule>
  </conditionalFormatting>
  <conditionalFormatting sqref="N2:N9">
    <cfRule type="cellIs" priority="35" operator="equal" dxfId="3" stopIfTrue="1">
      <formula>-5</formula>
    </cfRule>
  </conditionalFormatting>
  <conditionalFormatting sqref="Q2:Q9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9" showDropDown="0" showInputMessage="0" showErrorMessage="0" allowBlank="1" type="list">
      <formula1>"Growing Industry,Stagnant Industry,Cyclical in an Upturn"</formula1>
    </dataValidation>
    <dataValidation sqref="Z2:Z9" showDropDown="0" showInputMessage="0" showErrorMessage="0" allowBlank="1" type="list">
      <formula1>"Fragmented with Low ROE,Fragmented with High ROE,Highly Cyclical"</formula1>
    </dataValidation>
    <dataValidation sqref="AB2:AB9" showDropDown="0" showInputMessage="0" showErrorMessage="0" allowBlank="1" type="list">
      <formula1>"Yes,No"</formula1>
    </dataValidation>
    <dataValidation sqref="AD2:AD9" showDropDown="0" showInputMessage="0" showErrorMessage="0" allowBlank="1" type="list">
      <formula1>"Tailwind,Headwind"</formula1>
    </dataValidation>
    <dataValidation sqref="AF2:AF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9" showDropDown="0" showInputMessage="0" showErrorMessage="0" allowBlank="1" type="list">
      <formula1>"Yes,No"</formula1>
    </dataValidation>
    <dataValidation sqref="AJ2:AJ9" showDropDown="0" showInputMessage="0" showErrorMessage="0" allowBlank="1" type="list">
      <formula1>"Yes,No,Not Applicable"</formula1>
    </dataValidation>
    <dataValidation sqref="AL2:AL9" showDropDown="0" showInputMessage="0" showErrorMessage="0" allowBlank="1" type="list">
      <formula1>"Yes,No"</formula1>
    </dataValidation>
    <dataValidation sqref="AN2:AN9" showDropDown="0" showInputMessage="0" showErrorMessage="0" allowBlank="1" type="list">
      <formula1>"Yes,No"</formula1>
    </dataValidation>
    <dataValidation sqref="AP2:AP9" showDropDown="0" showInputMessage="0" showErrorMessage="0" allowBlank="1" type="list">
      <formula1>"Yes,No"</formula1>
    </dataValidation>
    <dataValidation sqref="AR2:AR9" showDropDown="0" showInputMessage="0" showErrorMessage="0" allowBlank="1" type="list">
      <formula1>"Yes,No"</formula1>
    </dataValidation>
    <dataValidation sqref="AT2:AT9" showDropDown="0" showInputMessage="0" showErrorMessage="0" allowBlank="1" type="list">
      <formula1>"No,Yes"</formula1>
    </dataValidation>
    <dataValidation sqref="AV2:AV9" showDropDown="0" showInputMessage="0" showErrorMessage="0" allowBlank="1" type="list">
      <formula1>"No,Yes"</formula1>
    </dataValidation>
    <dataValidation sqref="AX2:AX9" showDropDown="0" showInputMessage="0" showErrorMessage="0" allowBlank="1" type="list">
      <formula1>"No,Yes CEO Resignation,Yes CEO Retirement"</formula1>
    </dataValidation>
    <dataValidation sqref="AZ2:AZ9" showDropDown="0" showInputMessage="0" showErrorMessage="0" allowBlank="1" type="list">
      <formula1>"No,Yes"</formula1>
    </dataValidation>
    <dataValidation sqref="BB2:BB9" showDropDown="0" showInputMessage="0" showErrorMessage="0" allowBlank="1" type="list">
      <formula1>"No,Yes"</formula1>
    </dataValidation>
    <dataValidation sqref="BD2:BD9" showDropDown="0" showInputMessage="0" showErrorMessage="0" allowBlank="1" type="list">
      <formula1>"Yes,No"</formula1>
    </dataValidation>
    <dataValidation sqref="BF2:BF9" showDropDown="0" showInputMessage="0" showErrorMessage="0" allowBlank="1" type="list">
      <formula1>"Yes,No"</formula1>
    </dataValidation>
    <dataValidation sqref="BH2:BH9" showDropDown="0" showInputMessage="0" showErrorMessage="0" allowBlank="1" type="list">
      <formula1>"Yes,No"</formula1>
    </dataValidation>
    <dataValidation sqref="BJ2:BJ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9" showDropDown="0" showInputMessage="0" showErrorMessage="0" allowBlank="1" type="list">
      <formula1>"Above 40,20 to 40,0 to 20"</formula1>
    </dataValidation>
    <dataValidation sqref="BN2:BN9" showDropDown="0" showInputMessage="0" showErrorMessage="0" allowBlank="1" type="list">
      <formula1>"Between 50 to 75,Above 75,Below 45"</formula1>
    </dataValidation>
    <dataValidation sqref="BP2:BP9" showDropDown="0" showInputMessage="0" showErrorMessage="0" allowBlank="1" type="list">
      <formula1>"Stage 1,Stage 2,Stage 3,Stage 4"</formula1>
    </dataValidation>
    <dataValidation sqref="BR2:BR9" showDropDown="0" showInputMessage="0" showErrorMessage="0" allowBlank="1" type="list">
      <formula1>"Positive Trend,Negative Trend"</formula1>
    </dataValidation>
    <dataValidation sqref="BT2:BT9" showDropDown="0" showInputMessage="0" showErrorMessage="0" allowBlank="1" type="list">
      <formula1>"Uptrend,Sideways,Downtrend"</formula1>
    </dataValidation>
    <dataValidation sqref="BV2:BV9" showDropDown="0" showInputMessage="0" showErrorMessage="0" allowBlank="1" type="list">
      <formula1>"Uptrend,Sideways,Downtrend"</formula1>
    </dataValidation>
    <dataValidation sqref="BX2:BX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137</v>
      </c>
      <c r="E2" s="32" t="inlineStr">
        <is>
          <t>5%</t>
        </is>
      </c>
      <c r="F2" s="32" t="n">
        <v>50000</v>
      </c>
      <c r="G2" s="32" t="n">
        <v>142</v>
      </c>
      <c r="H2" s="31" t="inlineStr">
        <is>
          <t>SHANTIGOLD</t>
        </is>
      </c>
      <c r="I2" s="31" t="inlineStr">
        <is>
          <t>Shanti Gold International Ltd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2617.2</v>
      </c>
      <c r="N2" s="32" t="n">
        <v>350.65</v>
      </c>
      <c r="O2" s="32" t="n">
        <v>2.81</v>
      </c>
      <c r="P2" s="32" t="n">
        <v>5937219</v>
      </c>
      <c r="Q2" s="31" t="n">
        <v>61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72.98</v>
      </c>
      <c r="U2" s="32" t="n">
        <v>43.95</v>
      </c>
      <c r="V2" s="32" t="n">
        <v>258.82</v>
      </c>
      <c r="W2" s="31" t="inlineStr">
        <is>
          <t>Near 52W High Breakout</t>
        </is>
      </c>
      <c r="X2" s="31" t="inlineStr">
        <is>
          <t>Nifty 50</t>
        </is>
      </c>
      <c r="Y2" s="32" t="n">
        <v>-12.08</v>
      </c>
      <c r="Z2" s="32" t="n">
        <v>63.76</v>
      </c>
      <c r="AA2" s="32" t="n">
        <v>86.25</v>
      </c>
      <c r="AB2" s="32" t="n">
        <v>26.34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ATH Momentum</t>
        </is>
      </c>
      <c r="D3" s="32" t="n">
        <v>72.2</v>
      </c>
      <c r="E3" s="32" t="inlineStr">
        <is>
          <t>4%</t>
        </is>
      </c>
      <c r="F3" s="32" t="n">
        <v>40000</v>
      </c>
      <c r="G3" s="32" t="n">
        <v>5</v>
      </c>
      <c r="H3" s="31" t="inlineStr">
        <is>
          <t>KINGFA</t>
        </is>
      </c>
      <c r="I3" s="31" t="inlineStr">
        <is>
          <t>Kingfa Science &amp; Technology (india) Limited</t>
        </is>
      </c>
      <c r="J3" s="31" t="inlineStr">
        <is>
          <t>plastic products</t>
        </is>
      </c>
      <c r="K3" s="31" t="inlineStr">
        <is>
          <t>plastics products</t>
        </is>
      </c>
      <c r="L3" s="31" t="inlineStr">
        <is>
          <t>midcap</t>
        </is>
      </c>
      <c r="M3" s="32" t="n">
        <v>9394.49</v>
      </c>
      <c r="N3" s="32" t="n">
        <v>6804</v>
      </c>
      <c r="O3" s="32" t="n">
        <v>-1.85</v>
      </c>
      <c r="P3" s="32" t="n">
        <v>8335</v>
      </c>
      <c r="Q3" s="31" t="n">
        <v>35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73.95</v>
      </c>
      <c r="U3" s="32" t="n">
        <v>45.04</v>
      </c>
      <c r="V3" s="32" t="n">
        <v>5492.56</v>
      </c>
      <c r="W3" s="31" t="inlineStr">
        <is>
          <t>Near 52W High Breakout</t>
        </is>
      </c>
      <c r="X3" s="31" t="inlineStr">
        <is>
          <t>Nifty 50</t>
        </is>
      </c>
      <c r="Y3" s="32" t="n">
        <v>-12.08</v>
      </c>
      <c r="Z3" s="32" t="n">
        <v>46.31</v>
      </c>
      <c r="AA3" s="32" t="n">
        <v>66.40000000000001</v>
      </c>
      <c r="AB3" s="32" t="n">
        <v>15.35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129.7</v>
      </c>
      <c r="E4" s="32" t="inlineStr">
        <is>
          <t>5%</t>
        </is>
      </c>
      <c r="F4" s="32" t="n">
        <v>50000</v>
      </c>
      <c r="G4" s="32" t="n">
        <v>1433</v>
      </c>
      <c r="H4" s="31" t="inlineStr">
        <is>
          <t>IBULLSLTD</t>
        </is>
      </c>
      <c r="I4" s="31" t="inlineStr">
        <is>
          <t>Indiabulls Limited</t>
        </is>
      </c>
      <c r="J4" s="31" t="inlineStr">
        <is>
          <t>miscellaneous</t>
        </is>
      </c>
      <c r="K4" s="31" t="inlineStr">
        <is>
          <t>diversified - medium / small</t>
        </is>
      </c>
      <c r="L4" s="31" t="inlineStr">
        <is>
          <t>midcap</t>
        </is>
      </c>
      <c r="M4" s="32" t="n">
        <v>7568.69</v>
      </c>
      <c r="N4" s="32" t="n">
        <v>34.88</v>
      </c>
      <c r="O4" s="32" t="n">
        <v>7.36</v>
      </c>
      <c r="P4" s="32" t="n">
        <v>80328946</v>
      </c>
      <c r="Q4" s="31" t="n">
        <v>70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71.51000000000001</v>
      </c>
      <c r="U4" s="32" t="n">
        <v>39.98</v>
      </c>
      <c r="V4" s="32" t="n">
        <v>24.09</v>
      </c>
      <c r="W4" s="31" t="inlineStr">
        <is>
          <t>Volume Spike &amp; Near 52W High Breakout</t>
        </is>
      </c>
      <c r="X4" s="31" t="inlineStr">
        <is>
          <t>Nifty 50</t>
        </is>
      </c>
      <c r="Y4" s="32" t="n">
        <v>-12.08</v>
      </c>
      <c r="Z4" s="32" t="n">
        <v>102.2</v>
      </c>
      <c r="AA4" s="32" t="n">
        <v>129.98</v>
      </c>
      <c r="AB4" s="32" t="n">
        <v>29.7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ATH Momentum</t>
        </is>
      </c>
      <c r="D5" s="32" t="n">
        <v>71.7</v>
      </c>
      <c r="E5" s="32" t="inlineStr">
        <is>
          <t>4%</t>
        </is>
      </c>
      <c r="F5" s="32" t="n">
        <v>40000</v>
      </c>
      <c r="G5" s="32" t="n">
        <v>68</v>
      </c>
      <c r="H5" s="31" t="inlineStr">
        <is>
          <t>THELEELA</t>
        </is>
      </c>
      <c r="I5" s="31" t="inlineStr">
        <is>
          <t>Leela Palaces Hotels &amp; Resorts Ltd</t>
        </is>
      </c>
      <c r="J5" s="31" t="inlineStr">
        <is>
          <t>services</t>
        </is>
      </c>
      <c r="K5" s="31" t="inlineStr">
        <is>
          <t>hotels</t>
        </is>
      </c>
      <c r="L5" s="31" t="inlineStr">
        <is>
          <t>largecap</t>
        </is>
      </c>
      <c r="M5" s="32" t="n">
        <v>20119.29</v>
      </c>
      <c r="N5" s="32" t="n">
        <v>586.95</v>
      </c>
      <c r="O5" s="32" t="n">
        <v>-2.57</v>
      </c>
      <c r="P5" s="32" t="n">
        <v>253791</v>
      </c>
      <c r="Q5" s="31" t="n">
        <v>21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71.92</v>
      </c>
      <c r="U5" s="32" t="n">
        <v>42.29</v>
      </c>
      <c r="V5" s="32" t="n">
        <v>476.74</v>
      </c>
      <c r="W5" s="31" t="inlineStr">
        <is>
          <t>Near 52W High Breakout</t>
        </is>
      </c>
      <c r="X5" s="31" t="inlineStr">
        <is>
          <t>Nifty 50</t>
        </is>
      </c>
      <c r="Y5" s="32" t="n">
        <v>-12.08</v>
      </c>
      <c r="Z5" s="32" t="n">
        <v>29.61</v>
      </c>
      <c r="AA5" s="32" t="n">
        <v>47.41</v>
      </c>
      <c r="AB5" s="32" t="n">
        <v>9.16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142</v>
      </c>
      <c r="H6" s="31" t="inlineStr">
        <is>
          <t>HITECHCORP</t>
        </is>
      </c>
      <c r="I6" s="31" t="inlineStr">
        <is>
          <t>Hitech Corporation</t>
        </is>
      </c>
      <c r="J6" s="31" t="inlineStr">
        <is>
          <t>industrials</t>
        </is>
      </c>
      <c r="K6" s="31" t="inlineStr">
        <is>
          <t>packaging</t>
        </is>
      </c>
      <c r="L6" s="31" t="inlineStr">
        <is>
          <t>smallcap</t>
        </is>
      </c>
      <c r="M6" s="32" t="n">
        <v>599.6</v>
      </c>
      <c r="N6" s="32" t="n">
        <v>350.55</v>
      </c>
      <c r="O6" s="32" t="n">
        <v>0.42</v>
      </c>
      <c r="P6" s="32" t="n">
        <v>60899</v>
      </c>
      <c r="Q6" s="31" t="n">
        <v>54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80.59999999999999</v>
      </c>
      <c r="U6" s="32" t="n">
        <v>65.58</v>
      </c>
      <c r="V6" s="32" t="n">
        <v>296.72</v>
      </c>
      <c r="W6" s="31" t="inlineStr">
        <is>
          <t>Volume Spike &amp; Near 52W High Breakout</t>
        </is>
      </c>
      <c r="X6" s="31" t="inlineStr">
        <is>
          <t>Nifty 50</t>
        </is>
      </c>
      <c r="Y6" s="32" t="n">
        <v>-12.08</v>
      </c>
      <c r="Z6" s="32" t="n">
        <v>78.86</v>
      </c>
      <c r="AA6" s="32" t="n">
        <v>103.43</v>
      </c>
      <c r="AB6" s="32" t="n">
        <v>22.66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ATH Momentum</t>
        </is>
      </c>
      <c r="D7" s="32" t="n">
        <v>73.7</v>
      </c>
      <c r="E7" s="32" t="inlineStr">
        <is>
          <t>4%</t>
        </is>
      </c>
      <c r="F7" s="32" t="n">
        <v>40000</v>
      </c>
      <c r="G7" s="32" t="n">
        <v>1</v>
      </c>
      <c r="H7" s="31" t="inlineStr">
        <is>
          <t>PTCIL</t>
        </is>
      </c>
      <c r="I7" s="31" t="inlineStr">
        <is>
          <t>PTC Industries Ltd</t>
        </is>
      </c>
      <c r="J7" s="31" t="inlineStr">
        <is>
          <t>castings, forgings &amp; fasteners</t>
        </is>
      </c>
      <c r="K7" s="31" t="inlineStr">
        <is>
          <t>castings &amp; forgings</t>
        </is>
      </c>
      <c r="L7" s="31" t="inlineStr">
        <is>
          <t>largecap</t>
        </is>
      </c>
      <c r="M7" s="32" t="n">
        <v>37009.11</v>
      </c>
      <c r="N7" s="32" t="n">
        <v>24470</v>
      </c>
      <c r="O7" s="32" t="n">
        <v>-0.87</v>
      </c>
      <c r="P7" s="32" t="n">
        <v>31950</v>
      </c>
      <c r="Q7" s="31" t="n">
        <v>42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71.89</v>
      </c>
      <c r="U7" s="32" t="n">
        <v>43.33</v>
      </c>
      <c r="V7" s="32" t="n">
        <v>19673.51</v>
      </c>
      <c r="W7" s="31" t="inlineStr">
        <is>
          <t>Near 52W High Breakout</t>
        </is>
      </c>
      <c r="X7" s="31" t="inlineStr">
        <is>
          <t>Nifty 50</t>
        </is>
      </c>
      <c r="Y7" s="32" t="n">
        <v>-12.08</v>
      </c>
      <c r="Z7" s="32" t="n">
        <v>50.61</v>
      </c>
      <c r="AA7" s="32" t="n">
        <v>71.3</v>
      </c>
      <c r="AB7" s="32" t="n">
        <v>17.67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ATH Momentum</t>
        </is>
      </c>
      <c r="D8" s="32" t="n">
        <v>71.09999999999999</v>
      </c>
      <c r="E8" s="32" t="inlineStr">
        <is>
          <t>4%</t>
        </is>
      </c>
      <c r="F8" s="32" t="n">
        <v>40000</v>
      </c>
      <c r="G8" s="32" t="n">
        <v>22</v>
      </c>
      <c r="H8" s="31" t="inlineStr">
        <is>
          <t>AETHER</t>
        </is>
      </c>
      <c r="I8" s="31" t="inlineStr">
        <is>
          <t>Aether Industries Ltd</t>
        </is>
      </c>
      <c r="J8" s="31" t="inlineStr">
        <is>
          <t>chemicals</t>
        </is>
      </c>
      <c r="K8" s="31" t="inlineStr">
        <is>
          <t>chemicals</t>
        </is>
      </c>
      <c r="L8" s="31" t="inlineStr">
        <is>
          <t>largecap</t>
        </is>
      </c>
      <c r="M8" s="32" t="n">
        <v>23723.7</v>
      </c>
      <c r="N8" s="32" t="n">
        <v>1744.1</v>
      </c>
      <c r="O8" s="32" t="n">
        <v>-2.43</v>
      </c>
      <c r="P8" s="32" t="n">
        <v>198493</v>
      </c>
      <c r="Q8" s="31" t="n">
        <v>52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68.3</v>
      </c>
      <c r="U8" s="32" t="n">
        <v>61.31</v>
      </c>
      <c r="V8" s="32" t="n">
        <v>1402.95</v>
      </c>
      <c r="W8" s="31" t="inlineStr">
        <is>
          <t>Near 52W High Breakout</t>
        </is>
      </c>
      <c r="X8" s="31" t="inlineStr">
        <is>
          <t>Nifty 50</t>
        </is>
      </c>
      <c r="Y8" s="32" t="n">
        <v>-12.08</v>
      </c>
      <c r="Z8" s="32" t="n">
        <v>132.48</v>
      </c>
      <c r="AA8" s="32" t="n">
        <v>164.42</v>
      </c>
      <c r="AB8" s="32" t="n">
        <v>22.12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139.9</v>
      </c>
      <c r="E9" s="32" t="inlineStr">
        <is>
          <t>5%</t>
        </is>
      </c>
      <c r="F9" s="32" t="n">
        <v>50000</v>
      </c>
      <c r="G9" s="32" t="n">
        <v>140</v>
      </c>
      <c r="H9" s="31" t="inlineStr">
        <is>
          <t>CUPID</t>
        </is>
      </c>
      <c r="I9" s="31" t="inlineStr">
        <is>
          <t>Cupid Limited</t>
        </is>
      </c>
      <c r="J9" s="31" t="inlineStr">
        <is>
          <t>fmcg</t>
        </is>
      </c>
      <c r="K9" s="31" t="inlineStr">
        <is>
          <t>personal care - indian</t>
        </is>
      </c>
      <c r="L9" s="31" t="inlineStr">
        <is>
          <t>largecap</t>
        </is>
      </c>
      <c r="M9" s="32" t="n">
        <v>46249.6</v>
      </c>
      <c r="N9" s="32" t="n">
        <v>356.65</v>
      </c>
      <c r="O9" s="32" t="n">
        <v>3.69</v>
      </c>
      <c r="P9" s="32" t="n">
        <v>29558194</v>
      </c>
      <c r="Q9" s="31" t="inlineStr"/>
      <c r="R9" s="31" t="inlineStr"/>
      <c r="S9" s="32">
        <f>IF(R9="Underperforming",-5,IF(Q9&gt;=95,15,IF(Q9&gt;=90,10,IF(Q9&gt;=80,5,0))))</f>
        <v/>
      </c>
      <c r="T9" s="32" t="n">
        <v>86.39</v>
      </c>
      <c r="U9" s="32" t="n">
        <v>66.28</v>
      </c>
      <c r="V9" s="32" t="n">
        <v>273.56</v>
      </c>
      <c r="W9" s="31" t="inlineStr">
        <is>
          <t>Near 52W High Breakout</t>
        </is>
      </c>
      <c r="X9" s="31" t="inlineStr">
        <is>
          <t>Nifty FMCG</t>
        </is>
      </c>
      <c r="Y9" s="32" t="inlineStr"/>
      <c r="Z9" s="32" t="inlineStr"/>
      <c r="AA9" s="32" t="inlineStr"/>
      <c r="AB9" s="32" t="inlineStr"/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B2C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ATH Momentum</t>
        </is>
      </c>
      <c r="D10" s="32" t="n">
        <v>71.3</v>
      </c>
      <c r="E10" s="32" t="inlineStr">
        <is>
          <t>4%</t>
        </is>
      </c>
      <c r="F10" s="32" t="n">
        <v>40000</v>
      </c>
      <c r="G10" s="32" t="n">
        <v>17</v>
      </c>
      <c r="H10" s="31" t="inlineStr">
        <is>
          <t>DPABHUSHAN</t>
        </is>
      </c>
      <c r="I10" s="31" t="inlineStr">
        <is>
          <t>D.P. Abhushan Ltd</t>
        </is>
      </c>
      <c r="J10" s="31" t="inlineStr">
        <is>
          <t>consumer discretionary</t>
        </is>
      </c>
      <c r="K10" s="31" t="inlineStr">
        <is>
          <t>trading</t>
        </is>
      </c>
      <c r="L10" s="31" t="inlineStr">
        <is>
          <t>midcap</t>
        </is>
      </c>
      <c r="M10" s="32" t="n">
        <v>5165.27</v>
      </c>
      <c r="N10" s="32" t="n">
        <v>2258.9</v>
      </c>
      <c r="O10" s="32" t="n">
        <v>-0.17</v>
      </c>
      <c r="P10" s="32" t="n">
        <v>157486</v>
      </c>
      <c r="Q10" s="31" t="n">
        <v>77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80.86</v>
      </c>
      <c r="U10" s="32" t="n">
        <v>39.09</v>
      </c>
      <c r="V10" s="32" t="n">
        <v>1689.61</v>
      </c>
      <c r="W10" s="31" t="inlineStr">
        <is>
          <t>Volume Spike &amp; Near 52W High Breakout</t>
        </is>
      </c>
      <c r="X10" s="31" t="inlineStr">
        <is>
          <t>Nifty 50</t>
        </is>
      </c>
      <c r="Y10" s="32" t="n">
        <v>-12.08</v>
      </c>
      <c r="Z10" s="32" t="n">
        <v>58.3</v>
      </c>
      <c r="AA10" s="32" t="n">
        <v>80.04000000000001</v>
      </c>
      <c r="AB10" s="32" t="n">
        <v>32.62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133.9</v>
      </c>
      <c r="E11" s="32" t="inlineStr">
        <is>
          <t>5%</t>
        </is>
      </c>
      <c r="F11" s="32" t="n">
        <v>50000</v>
      </c>
      <c r="G11" s="32" t="n">
        <v>356</v>
      </c>
      <c r="H11" s="31" t="inlineStr">
        <is>
          <t>DBOL</t>
        </is>
      </c>
      <c r="I11" s="31" t="inlineStr">
        <is>
          <t>Dhampur Bio Organics Ltd</t>
        </is>
      </c>
      <c r="J11" s="31" t="inlineStr">
        <is>
          <t>fmcg</t>
        </is>
      </c>
      <c r="K11" s="31" t="inlineStr">
        <is>
          <t>sugar</t>
        </is>
      </c>
      <c r="L11" s="31" t="inlineStr">
        <is>
          <t>smallcap</t>
        </is>
      </c>
      <c r="M11" s="32" t="n">
        <v>931.09</v>
      </c>
      <c r="N11" s="32" t="n">
        <v>140.43</v>
      </c>
      <c r="O11" s="32" t="n">
        <v>0.13</v>
      </c>
      <c r="P11" s="32" t="n">
        <v>472789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66.90000000000001</v>
      </c>
      <c r="U11" s="32" t="n">
        <v>35.17</v>
      </c>
      <c r="V11" s="32" t="n">
        <v>103.15</v>
      </c>
      <c r="W11" s="31" t="inlineStr">
        <is>
          <t>Volume Spike &amp; Near 52W High Breakout</t>
        </is>
      </c>
      <c r="X11" s="31" t="inlineStr">
        <is>
          <t>Nifty FMCG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B2C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138.5</v>
      </c>
      <c r="E12" s="32" t="inlineStr">
        <is>
          <t>5%</t>
        </is>
      </c>
      <c r="F12" s="32" t="n">
        <v>50000</v>
      </c>
      <c r="G12" s="32" t="n">
        <v>15</v>
      </c>
      <c r="H12" s="31" t="inlineStr">
        <is>
          <t>KMEW</t>
        </is>
      </c>
      <c r="I12" s="31" t="inlineStr">
        <is>
          <t>Knowledge Marine &amp; Engineering Works Ltd</t>
        </is>
      </c>
      <c r="J12" s="31" t="inlineStr">
        <is>
          <t>transportation</t>
        </is>
      </c>
      <c r="K12" s="31" t="inlineStr">
        <is>
          <t>miscellaneous</t>
        </is>
      </c>
      <c r="L12" s="31" t="inlineStr">
        <is>
          <t>midcap</t>
        </is>
      </c>
      <c r="M12" s="32" t="n">
        <v>7856.34</v>
      </c>
      <c r="N12" s="32" t="n">
        <v>3256.7</v>
      </c>
      <c r="O12" s="32" t="n">
        <v>1.33</v>
      </c>
      <c r="P12" s="32" t="n">
        <v>177999</v>
      </c>
      <c r="Q12" s="31" t="n">
        <v>73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78.45999999999999</v>
      </c>
      <c r="U12" s="32" t="n">
        <v>58.57</v>
      </c>
      <c r="V12" s="32" t="n">
        <v>2391.78</v>
      </c>
      <c r="W12" s="31" t="inlineStr">
        <is>
          <t>Near 52W High Breakout</t>
        </is>
      </c>
      <c r="X12" s="31" t="inlineStr">
        <is>
          <t>Nifty 50</t>
        </is>
      </c>
      <c r="Y12" s="32" t="n">
        <v>-12.08</v>
      </c>
      <c r="Z12" s="32" t="n">
        <v>174.32</v>
      </c>
      <c r="AA12" s="32" t="n">
        <v>212</v>
      </c>
      <c r="AB12" s="32" t="n">
        <v>30.59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ATH Momentum</t>
        </is>
      </c>
      <c r="D13" s="32" t="n">
        <v>73.90000000000001</v>
      </c>
      <c r="E13" s="32" t="inlineStr">
        <is>
          <t>4%</t>
        </is>
      </c>
      <c r="F13" s="32" t="n">
        <v>40000</v>
      </c>
      <c r="G13" s="32" t="n">
        <v>49</v>
      </c>
      <c r="H13" s="31" t="inlineStr">
        <is>
          <t>SHREEJISPG</t>
        </is>
      </c>
      <c r="I13" s="31" t="inlineStr">
        <is>
          <t>Shreeji Shipping Global Ltd</t>
        </is>
      </c>
      <c r="J13" s="31" t="inlineStr">
        <is>
          <t>transportation</t>
        </is>
      </c>
      <c r="K13" s="31" t="inlineStr">
        <is>
          <t>shipping</t>
        </is>
      </c>
      <c r="L13" s="31" t="inlineStr">
        <is>
          <t>midcap</t>
        </is>
      </c>
      <c r="M13" s="32" t="n">
        <v>13067.67</v>
      </c>
      <c r="N13" s="32" t="n">
        <v>800.75</v>
      </c>
      <c r="O13" s="32" t="n">
        <v>-0.17</v>
      </c>
      <c r="P13" s="32" t="n">
        <v>1184742</v>
      </c>
      <c r="Q13" s="31" t="n">
        <v>84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84.73</v>
      </c>
      <c r="U13" s="32" t="n">
        <v>56.86</v>
      </c>
      <c r="V13" s="32" t="n">
        <v>671.11</v>
      </c>
      <c r="W13" s="31" t="inlineStr">
        <is>
          <t>Near 52W High Breakout</t>
        </is>
      </c>
      <c r="X13" s="31" t="inlineStr">
        <is>
          <t>Nifty 50</t>
        </is>
      </c>
      <c r="Y13" s="32" t="n">
        <v>-12.08</v>
      </c>
      <c r="Z13" s="32" t="n">
        <v>218.23</v>
      </c>
      <c r="AA13" s="32" t="n">
        <v>261.93</v>
      </c>
      <c r="AB13" s="32" t="n">
        <v>38.16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ATH Momentum</t>
        </is>
      </c>
      <c r="D14" s="32" t="n">
        <v>71.09999999999999</v>
      </c>
      <c r="E14" s="32" t="inlineStr">
        <is>
          <t>4%</t>
        </is>
      </c>
      <c r="F14" s="32" t="n">
        <v>40000</v>
      </c>
      <c r="G14" s="32" t="n">
        <v>270</v>
      </c>
      <c r="H14" s="31" t="inlineStr">
        <is>
          <t>JAMNAAUTO</t>
        </is>
      </c>
      <c r="I14" s="31" t="inlineStr">
        <is>
          <t>Jamna Auto Industries Limited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midcap</t>
        </is>
      </c>
      <c r="M14" s="32" t="n">
        <v>6067.56</v>
      </c>
      <c r="N14" s="32" t="n">
        <v>147.95</v>
      </c>
      <c r="O14" s="32" t="n">
        <v>-2.52</v>
      </c>
      <c r="P14" s="32" t="n">
        <v>4686358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60.07</v>
      </c>
      <c r="U14" s="32" t="n">
        <v>34.31</v>
      </c>
      <c r="V14" s="32" t="n">
        <v>110.01</v>
      </c>
      <c r="W14" s="31" t="inlineStr">
        <is>
          <t>Volume Spike &amp; Near 52W High Breakout</t>
        </is>
      </c>
      <c r="X14" s="31" t="inlineStr">
        <is>
          <t>Nifty Auto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136</v>
      </c>
      <c r="E15" s="32" t="inlineStr">
        <is>
          <t>5%</t>
        </is>
      </c>
      <c r="F15" s="32" t="n">
        <v>50000</v>
      </c>
      <c r="G15" s="32" t="n">
        <v>53</v>
      </c>
      <c r="H15" s="31" t="inlineStr">
        <is>
          <t>AVADHSUGAR</t>
        </is>
      </c>
      <c r="I15" s="31" t="inlineStr">
        <is>
          <t>Avadh Sugar &amp; Energy</t>
        </is>
      </c>
      <c r="J15" s="31" t="inlineStr">
        <is>
          <t>fmcg</t>
        </is>
      </c>
      <c r="K15" s="31" t="inlineStr">
        <is>
          <t>sugar</t>
        </is>
      </c>
      <c r="L15" s="31" t="inlineStr">
        <is>
          <t>smallcap</t>
        </is>
      </c>
      <c r="M15" s="32" t="n">
        <v>1876.83</v>
      </c>
      <c r="N15" s="32" t="n">
        <v>939.55</v>
      </c>
      <c r="O15" s="32" t="n">
        <v>0.21</v>
      </c>
      <c r="P15" s="32" t="n">
        <v>519526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76.31</v>
      </c>
      <c r="U15" s="32" t="n">
        <v>58.26</v>
      </c>
      <c r="V15" s="32" t="n">
        <v>700.8</v>
      </c>
      <c r="W15" s="31" t="inlineStr">
        <is>
          <t>Near 52W High Breakout</t>
        </is>
      </c>
      <c r="X15" s="31" t="inlineStr">
        <is>
          <t>Nifty FMCG</t>
        </is>
      </c>
      <c r="Y15" s="32" t="inlineStr"/>
      <c r="Z15" s="32" t="inlineStr"/>
      <c r="AA15" s="32" t="inlineStr"/>
      <c r="AB15" s="32" t="inlineStr"/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B2C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138.1</v>
      </c>
      <c r="E16" s="32" t="inlineStr">
        <is>
          <t>5%</t>
        </is>
      </c>
      <c r="F16" s="32" t="n">
        <v>50000</v>
      </c>
      <c r="G16" s="32" t="n">
        <v>56</v>
      </c>
      <c r="H16" s="31" t="inlineStr">
        <is>
          <t>SKYGOLD</t>
        </is>
      </c>
      <c r="I16" s="31" t="inlineStr">
        <is>
          <t>Sky Gold Ltd</t>
        </is>
      </c>
      <c r="J16" s="31" t="inlineStr">
        <is>
          <t>consumer discretionary</t>
        </is>
      </c>
      <c r="K16" s="31" t="inlineStr">
        <is>
          <t>diamond cutting / jewellery</t>
        </is>
      </c>
      <c r="L16" s="31" t="inlineStr">
        <is>
          <t>midcap</t>
        </is>
      </c>
      <c r="M16" s="32" t="n">
        <v>13581.67</v>
      </c>
      <c r="N16" s="32" t="n">
        <v>884.5</v>
      </c>
      <c r="O16" s="32" t="n">
        <v>0.86</v>
      </c>
      <c r="P16" s="32" t="n">
        <v>2677878</v>
      </c>
      <c r="Q16" s="31" t="n">
        <v>75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77.16</v>
      </c>
      <c r="U16" s="32" t="n">
        <v>68.5</v>
      </c>
      <c r="V16" s="32" t="n">
        <v>678.0700000000001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-12.08</v>
      </c>
      <c r="Z16" s="32" t="n">
        <v>158.14</v>
      </c>
      <c r="AA16" s="32" t="n">
        <v>193.59</v>
      </c>
      <c r="AB16" s="32" t="n">
        <v>31.53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ATH Momentum</t>
        </is>
      </c>
      <c r="D17" s="32" t="n">
        <v>72.8</v>
      </c>
      <c r="E17" s="32" t="inlineStr">
        <is>
          <t>4%</t>
        </is>
      </c>
      <c r="F17" s="32" t="n">
        <v>40000</v>
      </c>
      <c r="G17" s="32" t="n">
        <v>134</v>
      </c>
      <c r="H17" s="31" t="inlineStr">
        <is>
          <t>GANDHAR</t>
        </is>
      </c>
      <c r="I17" s="31" t="inlineStr">
        <is>
          <t>Gandhar Oil Refinery (India) Ltd</t>
        </is>
      </c>
      <c r="J17" s="31" t="inlineStr">
        <is>
          <t>energy</t>
        </is>
      </c>
      <c r="K17" s="31" t="inlineStr">
        <is>
          <t>refineries</t>
        </is>
      </c>
      <c r="L17" s="31" t="inlineStr">
        <is>
          <t>smallcap</t>
        </is>
      </c>
      <c r="M17" s="32" t="n">
        <v>2928.56</v>
      </c>
      <c r="N17" s="32" t="n">
        <v>296.45</v>
      </c>
      <c r="O17" s="32" t="n">
        <v>-0.92</v>
      </c>
      <c r="P17" s="32" t="n">
        <v>1098034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71.73999999999999</v>
      </c>
      <c r="U17" s="32" t="n">
        <v>78.25</v>
      </c>
      <c r="V17" s="32" t="n">
        <v>228.21</v>
      </c>
      <c r="W17" s="31" t="inlineStr">
        <is>
          <t>Near 52W High Breakout</t>
        </is>
      </c>
      <c r="X17" s="31" t="inlineStr">
        <is>
          <t>Nifty Energy</t>
        </is>
      </c>
      <c r="Y17" s="32" t="inlineStr"/>
      <c r="Z17" s="32" t="inlineStr"/>
      <c r="AA17" s="32" t="inlineStr"/>
      <c r="AB17" s="32" t="inlineStr"/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Oligopoly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Between 1.5 to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ATH Momentum</t>
        </is>
      </c>
      <c r="D18" s="32" t="n">
        <v>71.90000000000001</v>
      </c>
      <c r="E18" s="32" t="inlineStr">
        <is>
          <t>4%</t>
        </is>
      </c>
      <c r="F18" s="32" t="n">
        <v>40000</v>
      </c>
      <c r="G18" s="32" t="n">
        <v>509</v>
      </c>
      <c r="H18" s="31" t="inlineStr">
        <is>
          <t>ONEPOINT</t>
        </is>
      </c>
      <c r="I18" s="31" t="inlineStr">
        <is>
          <t>One Point One Solutions Ltd</t>
        </is>
      </c>
      <c r="J18" s="31" t="inlineStr">
        <is>
          <t>i.t</t>
        </is>
      </c>
      <c r="K18" s="31" t="inlineStr">
        <is>
          <t>computers - software - medium / small</t>
        </is>
      </c>
      <c r="L18" s="31" t="inlineStr">
        <is>
          <t>smallcap</t>
        </is>
      </c>
      <c r="M18" s="32" t="n">
        <v>2071.15</v>
      </c>
      <c r="N18" s="32" t="n">
        <v>78.45</v>
      </c>
      <c r="O18" s="32" t="n">
        <v>-0.41</v>
      </c>
      <c r="P18" s="32" t="n">
        <v>3031082</v>
      </c>
      <c r="Q18" s="31" t="n">
        <v>47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75.38</v>
      </c>
      <c r="U18" s="32" t="n">
        <v>19.2</v>
      </c>
      <c r="V18" s="32" t="n">
        <v>61.84</v>
      </c>
      <c r="W18" s="31" t="inlineStr">
        <is>
          <t>Near 52W High Breakout</t>
        </is>
      </c>
      <c r="X18" s="31" t="inlineStr">
        <is>
          <t>Nifty IT</t>
        </is>
      </c>
      <c r="Y18" s="32" t="n">
        <v>-22.11</v>
      </c>
      <c r="Z18" s="32" t="n">
        <v>57.82</v>
      </c>
      <c r="AA18" s="32" t="n">
        <v>102.61</v>
      </c>
      <c r="AB18" s="32" t="n">
        <v>20.01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Less than 1.5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ATH Momentum</t>
        </is>
      </c>
      <c r="D19" s="32" t="n">
        <v>71.2</v>
      </c>
      <c r="E19" s="32" t="inlineStr">
        <is>
          <t>4%</t>
        </is>
      </c>
      <c r="F19" s="32" t="n">
        <v>40000</v>
      </c>
      <c r="G19" s="32" t="n">
        <v>39</v>
      </c>
      <c r="H19" s="31" t="inlineStr">
        <is>
          <t>STLTECH</t>
        </is>
      </c>
      <c r="I19" s="31" t="inlineStr">
        <is>
          <t>Sterlite Technologies Limited</t>
        </is>
      </c>
      <c r="J19" s="31" t="inlineStr">
        <is>
          <t>industrials</t>
        </is>
      </c>
      <c r="K19" s="31" t="inlineStr">
        <is>
          <t>cables - telephone</t>
        </is>
      </c>
      <c r="L19" s="31" t="inlineStr">
        <is>
          <t>largecap</t>
        </is>
      </c>
      <c r="M19" s="32" t="n">
        <v>52252.96</v>
      </c>
      <c r="N19" s="32" t="n">
        <v>1011.55</v>
      </c>
      <c r="O19" s="32" t="n">
        <v>-0.52</v>
      </c>
      <c r="P19" s="32" t="n">
        <v>1604237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79.91</v>
      </c>
      <c r="U19" s="32" t="n">
        <v>71.38</v>
      </c>
      <c r="V19" s="32" t="n">
        <v>745.26</v>
      </c>
      <c r="W19" s="31" t="inlineStr">
        <is>
          <t>Near 52W High Breakout</t>
        </is>
      </c>
      <c r="X19" s="31" t="inlineStr">
        <is>
          <t>Nifty Infra</t>
        </is>
      </c>
      <c r="Y19" s="32" t="inlineStr"/>
      <c r="Z19" s="32" t="inlineStr"/>
      <c r="AA19" s="32" t="inlineStr"/>
      <c r="AB19" s="32" t="inlineStr"/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ATH Momentum</t>
        </is>
      </c>
      <c r="D20" s="32" t="n">
        <v>72</v>
      </c>
      <c r="E20" s="32" t="inlineStr">
        <is>
          <t>4%</t>
        </is>
      </c>
      <c r="F20" s="32" t="n">
        <v>40000</v>
      </c>
      <c r="G20" s="32" t="n">
        <v>282</v>
      </c>
      <c r="H20" s="31" t="inlineStr">
        <is>
          <t>GLOBAL</t>
        </is>
      </c>
      <c r="I20" s="31" t="inlineStr">
        <is>
          <t>Global Education Ltd</t>
        </is>
      </c>
      <c r="J20" s="31" t="inlineStr">
        <is>
          <t>services</t>
        </is>
      </c>
      <c r="K20" s="31" t="inlineStr">
        <is>
          <t>miscellaneous</t>
        </is>
      </c>
      <c r="L20" s="31" t="inlineStr">
        <is>
          <t>smallcap</t>
        </is>
      </c>
      <c r="M20" s="32" t="n">
        <v>737</v>
      </c>
      <c r="N20" s="32" t="n">
        <v>141.41</v>
      </c>
      <c r="O20" s="32" t="n">
        <v>-2.33</v>
      </c>
      <c r="P20" s="32" t="n">
        <v>147670</v>
      </c>
      <c r="Q20" s="31" t="n">
        <v>64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77.91</v>
      </c>
      <c r="U20" s="32" t="n">
        <v>33.35</v>
      </c>
      <c r="V20" s="32" t="n">
        <v>109.55</v>
      </c>
      <c r="W20" s="31" t="inlineStr">
        <is>
          <t>Near 52W High Breakout</t>
        </is>
      </c>
      <c r="X20" s="31" t="inlineStr">
        <is>
          <t>Nifty 50</t>
        </is>
      </c>
      <c r="Y20" s="32" t="n">
        <v>-12.08</v>
      </c>
      <c r="Z20" s="32" t="n">
        <v>130.93</v>
      </c>
      <c r="AA20" s="32" t="n">
        <v>162.65</v>
      </c>
      <c r="AB20" s="32" t="n">
        <v>27.04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138.1</v>
      </c>
      <c r="E21" s="32" t="inlineStr">
        <is>
          <t>5%</t>
        </is>
      </c>
      <c r="F21" s="32" t="n">
        <v>50000</v>
      </c>
      <c r="G21" s="32" t="n">
        <v>791</v>
      </c>
      <c r="H21" s="31" t="inlineStr">
        <is>
          <t>SBC</t>
        </is>
      </c>
      <c r="I21" s="31" t="inlineStr">
        <is>
          <t>SBC Exports Ltd</t>
        </is>
      </c>
      <c r="J21" s="31" t="inlineStr">
        <is>
          <t>textiles</t>
        </is>
      </c>
      <c r="K21" s="31" t="inlineStr">
        <is>
          <t>textiles - products</t>
        </is>
      </c>
      <c r="L21" s="31" t="inlineStr">
        <is>
          <t>smallcap</t>
        </is>
      </c>
      <c r="M21" s="32" t="n">
        <v>2941.43</v>
      </c>
      <c r="N21" s="32" t="n">
        <v>63.21</v>
      </c>
      <c r="O21" s="32" t="n">
        <v>2.33</v>
      </c>
      <c r="P21" s="32" t="n">
        <v>17429844</v>
      </c>
      <c r="Q21" s="31" t="n">
        <v>78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87</v>
      </c>
      <c r="U21" s="32" t="n">
        <v>32.35</v>
      </c>
      <c r="V21" s="32" t="n">
        <v>52.08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-12.08</v>
      </c>
      <c r="Z21" s="32" t="n">
        <v>177.85</v>
      </c>
      <c r="AA21" s="32" t="n">
        <v>216.01</v>
      </c>
      <c r="AB21" s="32" t="n">
        <v>33.55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135.4</v>
      </c>
      <c r="E22" s="32" t="inlineStr">
        <is>
          <t>5%</t>
        </is>
      </c>
      <c r="F22" s="32" t="n">
        <v>50000</v>
      </c>
      <c r="G22" s="32" t="n">
        <v>465</v>
      </c>
      <c r="H22" s="31" t="inlineStr">
        <is>
          <t>ARFIN</t>
        </is>
      </c>
      <c r="I22" s="31" t="inlineStr">
        <is>
          <t>Arfin India Ltd</t>
        </is>
      </c>
      <c r="J22" s="31" t="inlineStr">
        <is>
          <t>metals &amp; mining</t>
        </is>
      </c>
      <c r="K22" s="31" t="inlineStr">
        <is>
          <t>aluminium and aluminium products</t>
        </is>
      </c>
      <c r="L22" s="31" t="inlineStr">
        <is>
          <t>smallcap</t>
        </is>
      </c>
      <c r="M22" s="32" t="n">
        <v>1738.85</v>
      </c>
      <c r="N22" s="32" t="n">
        <v>107.52</v>
      </c>
      <c r="O22" s="32" t="n">
        <v>4.33</v>
      </c>
      <c r="P22" s="32" t="n">
        <v>18357661</v>
      </c>
      <c r="Q22" s="31" t="inlineStr"/>
      <c r="R22" s="31" t="inlineStr"/>
      <c r="S22" s="32">
        <f>IF(R22="Underperforming",-5,IF(Q22&gt;=95,15,IF(Q22&gt;=90,10,IF(Q22&gt;=80,5,0))))</f>
        <v/>
      </c>
      <c r="T22" s="32" t="n">
        <v>68.8</v>
      </c>
      <c r="U22" s="32" t="n">
        <v>24.32</v>
      </c>
      <c r="V22" s="32" t="n">
        <v>79.36</v>
      </c>
      <c r="W22" s="31" t="inlineStr">
        <is>
          <t>Volume Spike &amp; Near 52W High Breakout</t>
        </is>
      </c>
      <c r="X22" s="31" t="inlineStr">
        <is>
          <t>Nifty Metal</t>
        </is>
      </c>
      <c r="Y22" s="32" t="inlineStr"/>
      <c r="Z22" s="32" t="inlineStr"/>
      <c r="AA22" s="32" t="inlineStr"/>
      <c r="AB22" s="32" t="inlineStr"/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Between 0.7 to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71</v>
      </c>
      <c r="H2" s="31" t="inlineStr">
        <is>
          <t>GCSL</t>
        </is>
      </c>
      <c r="I2" s="31" t="inlineStr">
        <is>
          <t>Gretex Corporate Services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1724.62</v>
      </c>
      <c r="N2" s="32" t="n">
        <v>697.75</v>
      </c>
      <c r="O2" s="32" t="n">
        <v>1.17</v>
      </c>
      <c r="P2" s="32" t="n">
        <v>479957</v>
      </c>
      <c r="Q2" s="31" t="n">
        <v>81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81.63</v>
      </c>
      <c r="U2" s="32" t="n">
        <v>34.77</v>
      </c>
      <c r="V2" s="32" t="n">
        <v>568.59</v>
      </c>
      <c r="W2" s="31" t="inlineStr">
        <is>
          <t>Near 52W High Breakout</t>
        </is>
      </c>
      <c r="X2" s="31" t="inlineStr">
        <is>
          <t>Nifty Bank</t>
        </is>
      </c>
      <c r="Y2" s="32" t="n">
        <v>-3.7</v>
      </c>
      <c r="Z2" s="32" t="n">
        <v>202.67</v>
      </c>
      <c r="AA2" s="32" t="n">
        <v>214.3</v>
      </c>
      <c r="AB2" s="32" t="n">
        <v>35.31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SHANTIGOLD</t>
        </is>
      </c>
      <c r="D2" s="31" t="inlineStr">
        <is>
          <t>Shanti Gold International Ltd</t>
        </is>
      </c>
      <c r="E2" s="31" t="inlineStr">
        <is>
          <t>consumer discretionary</t>
        </is>
      </c>
      <c r="F2" s="31" t="inlineStr">
        <is>
          <t>Diamond Gems and Jewellery</t>
        </is>
      </c>
      <c r="G2" s="31" t="inlineStr">
        <is>
          <t>smallcap</t>
        </is>
      </c>
      <c r="H2" s="32" t="n">
        <v>2691.64</v>
      </c>
      <c r="I2" s="32" t="n">
        <v>350.75</v>
      </c>
      <c r="J2" s="32" t="n">
        <v>2.84</v>
      </c>
      <c r="K2" s="32" t="n">
        <v>0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72.98</v>
      </c>
      <c r="P2" s="32" t="n">
        <v>43.95</v>
      </c>
      <c r="Q2" s="32" t="n">
        <v>258.82</v>
      </c>
      <c r="R2" s="31" t="inlineStr">
        <is>
          <t>Near 52W High Breakout</t>
        </is>
      </c>
      <c r="S2" s="31" t="inlineStr">
        <is>
          <t>Nifty 50</t>
        </is>
      </c>
      <c r="T2" s="32" t="n">
        <v>-12.08</v>
      </c>
      <c r="U2" s="32" t="n">
        <v>63.76</v>
      </c>
      <c r="V2" s="32" t="n">
        <v>86.25</v>
      </c>
      <c r="W2" s="32" t="n">
        <v>26.34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PGIL</t>
        </is>
      </c>
      <c r="D3" s="31" t="inlineStr">
        <is>
          <t>Pearl Global Industries Ltd</t>
        </is>
      </c>
      <c r="E3" s="31" t="inlineStr">
        <is>
          <t>readymade garments/apparels</t>
        </is>
      </c>
      <c r="F3" s="31" t="inlineStr">
        <is>
          <t>Textiles Readymade Apparel</t>
        </is>
      </c>
      <c r="G3" s="31" t="inlineStr">
        <is>
          <t>midcap</t>
        </is>
      </c>
      <c r="H3" s="32" t="n">
        <v>11733.32</v>
      </c>
      <c r="I3" s="32" t="n">
        <v>1270.1</v>
      </c>
      <c r="J3" s="32" t="n">
        <v>-0.24</v>
      </c>
      <c r="K3" s="32" t="n">
        <v>0</v>
      </c>
      <c r="L3" s="31" t="n">
        <v>48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66.31</v>
      </c>
      <c r="P3" s="32" t="n">
        <v>59.01</v>
      </c>
      <c r="Q3" s="32" t="n">
        <v>1018.71</v>
      </c>
      <c r="R3" s="31" t="inlineStr">
        <is>
          <t>Near 52W High Breakout</t>
        </is>
      </c>
      <c r="S3" s="31" t="inlineStr">
        <is>
          <t>Nifty 50</t>
        </is>
      </c>
      <c r="T3" s="32" t="n">
        <v>-12.08</v>
      </c>
      <c r="U3" s="32" t="n">
        <v>97.19</v>
      </c>
      <c r="V3" s="32" t="n">
        <v>124.27</v>
      </c>
      <c r="W3" s="32" t="n">
        <v>20.72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PREMIERPOL</t>
        </is>
      </c>
      <c r="D4" s="31" t="inlineStr">
        <is>
          <t>Premier Polyfilm Ltd</t>
        </is>
      </c>
      <c r="E4" s="31" t="inlineStr">
        <is>
          <t>plastic products</t>
        </is>
      </c>
      <c r="F4" s="31" t="inlineStr">
        <is>
          <t>Plastics Sheets and Films</t>
        </is>
      </c>
      <c r="G4" s="31" t="inlineStr">
        <is>
          <t>smallcap</t>
        </is>
      </c>
      <c r="H4" s="32" t="n">
        <v>1044.28</v>
      </c>
      <c r="I4" s="32" t="n">
        <v>99.7</v>
      </c>
      <c r="J4" s="32" t="n">
        <v>-1.51</v>
      </c>
      <c r="K4" s="32" t="n">
        <v>0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66.38</v>
      </c>
      <c r="P4" s="32" t="n">
        <v>58.98</v>
      </c>
      <c r="Q4" s="32" t="n">
        <v>64.65000000000001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-12.08</v>
      </c>
      <c r="U4" s="32" t="n">
        <v>120</v>
      </c>
      <c r="V4" s="32" t="n">
        <v>150.22</v>
      </c>
      <c r="W4" s="32" t="n">
        <v>30.48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TIMEX</t>
        </is>
      </c>
      <c r="D5" s="31" t="inlineStr">
        <is>
          <t>Timex Group India Ltd</t>
        </is>
      </c>
      <c r="E5" s="31" t="inlineStr">
        <is>
          <t>Consumer Cyclical</t>
        </is>
      </c>
      <c r="F5" s="31" t="inlineStr">
        <is>
          <t>Watches</t>
        </is>
      </c>
      <c r="G5" s="31" t="inlineStr">
        <is>
          <t>midcap</t>
        </is>
      </c>
      <c r="H5" s="32" t="n">
        <v>7202.78</v>
      </c>
      <c r="I5" s="32" t="n">
        <v>713.5</v>
      </c>
      <c r="J5" s="32" t="n">
        <v>-1.47</v>
      </c>
      <c r="K5" s="32" t="n">
        <v>0</v>
      </c>
      <c r="L5" s="31" t="n">
        <v>60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69.73999999999999</v>
      </c>
      <c r="P5" s="32" t="n">
        <v>60.3</v>
      </c>
      <c r="Q5" s="32" t="n">
        <v>553.86</v>
      </c>
      <c r="R5" s="31" t="inlineStr">
        <is>
          <t>Near 52W High Breakout</t>
        </is>
      </c>
      <c r="S5" s="31" t="inlineStr">
        <is>
          <t>Nifty 50</t>
        </is>
      </c>
      <c r="T5" s="32" t="n">
        <v>-12.08</v>
      </c>
      <c r="U5" s="32" t="n">
        <v>75.89</v>
      </c>
      <c r="V5" s="32" t="n">
        <v>100.05</v>
      </c>
      <c r="W5" s="32" t="n">
        <v>25.01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17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AIMTRON</t>
        </is>
      </c>
      <c r="D6" s="31" t="inlineStr">
        <is>
          <t>Aimtron Electronics Ltd</t>
        </is>
      </c>
      <c r="E6" s="31" t="inlineStr">
        <is>
          <t>unknown</t>
        </is>
      </c>
      <c r="F6" s="31" t="inlineStr">
        <is>
          <t>EMS</t>
        </is>
      </c>
      <c r="G6" s="31" t="inlineStr">
        <is>
          <t>smallcap</t>
        </is>
      </c>
      <c r="H6" s="32" t="n">
        <v>3795.58</v>
      </c>
      <c r="I6" s="32" t="n">
        <v>1784.1</v>
      </c>
      <c r="J6" s="32" t="n">
        <v>-2.82</v>
      </c>
      <c r="K6" s="32" t="n">
        <v>0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68.86</v>
      </c>
      <c r="P6" s="32" t="n">
        <v>65.09</v>
      </c>
      <c r="Q6" s="32" t="n">
        <v>1412.63</v>
      </c>
      <c r="R6" s="31" t="inlineStr">
        <is>
          <t>Near 52W High Breakout</t>
        </is>
      </c>
      <c r="S6" s="31" t="inlineStr">
        <is>
          <t>Nifty 50</t>
        </is>
      </c>
      <c r="T6" s="32" t="n">
        <v>-12.08</v>
      </c>
      <c r="U6" s="32" t="n">
        <v>169.95</v>
      </c>
      <c r="V6" s="32" t="n">
        <v>207.02</v>
      </c>
      <c r="W6" s="32" t="n">
        <v>29.92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17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ELPROINTL</t>
        </is>
      </c>
      <c r="D7" s="34" t="inlineStr">
        <is>
          <t>Elpro International Ltd</t>
        </is>
      </c>
      <c r="E7" s="31" t="inlineStr">
        <is>
          <t>Real Estate</t>
        </is>
      </c>
      <c r="F7" s="31" t="inlineStr">
        <is>
          <t>Electronics Equipment and Components</t>
        </is>
      </c>
      <c r="G7" s="31" t="inlineStr">
        <is>
          <t>smallcap</t>
        </is>
      </c>
      <c r="H7" s="32" t="n">
        <v>2971.82</v>
      </c>
      <c r="I7" s="32" t="n">
        <v>175.35</v>
      </c>
      <c r="J7" s="32" t="n">
        <v>0.46</v>
      </c>
      <c r="K7" s="32" t="n">
        <v>0</v>
      </c>
      <c r="L7" s="31" t="inlineStr"/>
      <c r="M7" s="31" t="inlineStr"/>
      <c r="N7" s="32">
        <f>IF(M7="Underperforming",-5,IF(L7&gt;=95,15,IF(L7&gt;=90,10,IF(L7&gt;=80,5,0))))</f>
        <v/>
      </c>
      <c r="O7" s="32" t="n">
        <v>74.87</v>
      </c>
      <c r="P7" s="32" t="n">
        <v>58.18</v>
      </c>
      <c r="Q7" s="32" t="n">
        <v>157.58</v>
      </c>
      <c r="R7" s="31" t="inlineStr">
        <is>
          <t>Near 52W High Breakout</t>
        </is>
      </c>
      <c r="S7" s="31" t="inlineStr">
        <is>
          <t>Nifty Realty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15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KINGFA</t>
        </is>
      </c>
      <c r="D8" s="31" t="inlineStr">
        <is>
          <t>Kingfa Science &amp; Technology (India) Ltd</t>
        </is>
      </c>
      <c r="E8" s="31" t="inlineStr">
        <is>
          <t>plastic products</t>
        </is>
      </c>
      <c r="F8" s="31" t="inlineStr">
        <is>
          <t>Plastics Plastic and Plastic Products</t>
        </is>
      </c>
      <c r="G8" s="31" t="inlineStr">
        <is>
          <t>midcap</t>
        </is>
      </c>
      <c r="H8" s="32" t="n">
        <v>9205.450000000001</v>
      </c>
      <c r="I8" s="32" t="n">
        <v>6793</v>
      </c>
      <c r="J8" s="32" t="n">
        <v>-2.01</v>
      </c>
      <c r="K8" s="32" t="n">
        <v>0</v>
      </c>
      <c r="L8" s="31" t="n">
        <v>35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73.95</v>
      </c>
      <c r="P8" s="32" t="n">
        <v>45.04</v>
      </c>
      <c r="Q8" s="32" t="n">
        <v>5492.56</v>
      </c>
      <c r="R8" s="31" t="inlineStr">
        <is>
          <t>Near 52W High Breakout</t>
        </is>
      </c>
      <c r="S8" s="31" t="inlineStr">
        <is>
          <t>Nifty 50</t>
        </is>
      </c>
      <c r="T8" s="32" t="n">
        <v>-12.08</v>
      </c>
      <c r="U8" s="32" t="n">
        <v>46.31</v>
      </c>
      <c r="V8" s="32" t="n">
        <v>66.40000000000001</v>
      </c>
      <c r="W8" s="32" t="n">
        <v>15.35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AXISOL</t>
        </is>
      </c>
      <c r="D9" s="34" t="inlineStr">
        <is>
          <t>Axis Solutions Ltd</t>
        </is>
      </c>
      <c r="E9" s="31" t="inlineStr">
        <is>
          <t>Industrials</t>
        </is>
      </c>
      <c r="F9" s="31" t="inlineStr">
        <is>
          <t>Engineering Light General</t>
        </is>
      </c>
      <c r="G9" s="31" t="inlineStr">
        <is>
          <t>smallcap</t>
        </is>
      </c>
      <c r="H9" s="32" t="n">
        <v>3022.77</v>
      </c>
      <c r="I9" s="32" t="n">
        <v>639.6</v>
      </c>
      <c r="J9" s="32" t="n">
        <v>-2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76.81</v>
      </c>
      <c r="P9" s="32" t="n">
        <v>64.22</v>
      </c>
      <c r="Q9" s="32" t="n">
        <v>513.1799999999999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-12.08</v>
      </c>
      <c r="U9" s="32" t="n">
        <v>1364.74</v>
      </c>
      <c r="V9" s="32" t="n">
        <v>1565.92</v>
      </c>
      <c r="W9" s="32" t="n">
        <v>106.16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17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GLAND</t>
        </is>
      </c>
      <c r="D10" s="34" t="inlineStr">
        <is>
          <t>Gland Pharma Ltd</t>
        </is>
      </c>
      <c r="E10" s="31" t="inlineStr">
        <is>
          <t>healthcare</t>
        </is>
      </c>
      <c r="F10" s="31" t="inlineStr">
        <is>
          <t>Pharma Formulations</t>
        </is>
      </c>
      <c r="G10" s="31" t="inlineStr">
        <is>
          <t>largecap</t>
        </is>
      </c>
      <c r="H10" s="32" t="n">
        <v>50524.67</v>
      </c>
      <c r="I10" s="32" t="n">
        <v>3061.9</v>
      </c>
      <c r="J10" s="32" t="n">
        <v>-2.82</v>
      </c>
      <c r="K10" s="32" t="n">
        <v>0</v>
      </c>
      <c r="L10" s="31" t="n">
        <v>40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73.76000000000001</v>
      </c>
      <c r="P10" s="32" t="n">
        <v>62.96</v>
      </c>
      <c r="Q10" s="32" t="n">
        <v>2525.29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16.23</v>
      </c>
      <c r="U10" s="32" t="n">
        <v>61.3</v>
      </c>
      <c r="V10" s="32" t="n">
        <v>38.78</v>
      </c>
      <c r="W10" s="32" t="n">
        <v>16.72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16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IBULLSLTD</t>
        </is>
      </c>
      <c r="D11" s="34" t="inlineStr">
        <is>
          <t>Indiabulls Limited</t>
        </is>
      </c>
      <c r="E11" s="31" t="inlineStr">
        <is>
          <t>miscellaneous</t>
        </is>
      </c>
      <c r="F11" s="31" t="inlineStr">
        <is>
          <t>Diversified</t>
        </is>
      </c>
      <c r="G11" s="31" t="inlineStr">
        <is>
          <t>midcap</t>
        </is>
      </c>
      <c r="H11" s="32" t="n">
        <v>8162.72</v>
      </c>
      <c r="I11" s="32" t="n">
        <v>35</v>
      </c>
      <c r="J11" s="32" t="n">
        <v>7.73</v>
      </c>
      <c r="K11" s="32" t="n">
        <v>0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71.51000000000001</v>
      </c>
      <c r="P11" s="32" t="n">
        <v>39.98</v>
      </c>
      <c r="Q11" s="32" t="n">
        <v>24.09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-12.08</v>
      </c>
      <c r="U11" s="32" t="n">
        <v>102.2</v>
      </c>
      <c r="V11" s="32" t="n">
        <v>129.98</v>
      </c>
      <c r="W11" s="32" t="n">
        <v>29.7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22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THELEELA</t>
        </is>
      </c>
      <c r="D12" s="31" t="inlineStr">
        <is>
          <t>Leela Palaces Hotels &amp; Resorts Ltd</t>
        </is>
      </c>
      <c r="E12" s="31" t="inlineStr">
        <is>
          <t>services</t>
        </is>
      </c>
      <c r="F12" s="31" t="inlineStr">
        <is>
          <t>Hotels</t>
        </is>
      </c>
      <c r="G12" s="31" t="inlineStr">
        <is>
          <t>midcap</t>
        </is>
      </c>
      <c r="H12" s="32" t="n">
        <v>19568.26</v>
      </c>
      <c r="I12" s="32" t="n">
        <v>585.95</v>
      </c>
      <c r="J12" s="32" t="n">
        <v>-2.74</v>
      </c>
      <c r="K12" s="32" t="n">
        <v>0</v>
      </c>
      <c r="L12" s="31" t="n">
        <v>21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71.92</v>
      </c>
      <c r="P12" s="32" t="n">
        <v>42.29</v>
      </c>
      <c r="Q12" s="32" t="n">
        <v>476.74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-12.08</v>
      </c>
      <c r="U12" s="32" t="n">
        <v>29.61</v>
      </c>
      <c r="V12" s="32" t="n">
        <v>47.41</v>
      </c>
      <c r="W12" s="32" t="n">
        <v>9.16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OCCLLTD</t>
        </is>
      </c>
      <c r="D13" s="34" t="inlineStr">
        <is>
          <t>OCCL Ltd</t>
        </is>
      </c>
      <c r="E13" s="31" t="inlineStr">
        <is>
          <t>chemicals</t>
        </is>
      </c>
      <c r="F13" s="31" t="inlineStr">
        <is>
          <t>Chemicals Organic</t>
        </is>
      </c>
      <c r="G13" s="31" t="inlineStr">
        <is>
          <t>smallcap</t>
        </is>
      </c>
      <c r="H13" s="32" t="n">
        <v>1058.95</v>
      </c>
      <c r="I13" s="32" t="n">
        <v>212</v>
      </c>
      <c r="J13" s="32" t="n">
        <v>-2.44</v>
      </c>
      <c r="K13" s="32" t="n">
        <v>0</v>
      </c>
      <c r="L13" s="31" t="n">
        <v>68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79.83</v>
      </c>
      <c r="P13" s="32" t="n">
        <v>50</v>
      </c>
      <c r="Q13" s="32" t="n">
        <v>157.23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-12.08</v>
      </c>
      <c r="U13" s="32" t="n">
        <v>66.41</v>
      </c>
      <c r="V13" s="32" t="n">
        <v>89.26000000000001</v>
      </c>
      <c r="W13" s="32" t="n">
        <v>29.09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MBECL</t>
        </is>
      </c>
      <c r="D14" s="31" t="inlineStr">
        <is>
          <t>McNally Bharat Engineering Company Ltd</t>
        </is>
      </c>
      <c r="E14" s="31" t="inlineStr">
        <is>
          <t>realty</t>
        </is>
      </c>
      <c r="F14" s="31" t="inlineStr">
        <is>
          <t>Engineering Turnkey Services</t>
        </is>
      </c>
      <c r="G14" s="31" t="inlineStr">
        <is>
          <t>smallcap</t>
        </is>
      </c>
      <c r="H14" s="32" t="n">
        <v>1581</v>
      </c>
      <c r="I14" s="32" t="n">
        <v>474.3</v>
      </c>
      <c r="J14" s="32" t="n">
        <v>-1.99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94.27</v>
      </c>
      <c r="P14" s="32" t="n">
        <v>74.89</v>
      </c>
      <c r="Q14" s="32" t="n">
        <v>415.49</v>
      </c>
      <c r="R14" s="31" t="inlineStr">
        <is>
          <t>Volume Spike &amp; Near 52W High Breakout</t>
        </is>
      </c>
      <c r="S14" s="31" t="inlineStr">
        <is>
          <t>Nifty Realty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GNA</t>
        </is>
      </c>
      <c r="D15" s="31" t="inlineStr">
        <is>
          <t>GNA Axles Ltd</t>
        </is>
      </c>
      <c r="E15" s="31" t="inlineStr">
        <is>
          <t>Consumer Cyclical</t>
        </is>
      </c>
      <c r="F15" s="31" t="inlineStr">
        <is>
          <t>Auto Axles</t>
        </is>
      </c>
      <c r="G15" s="31" t="inlineStr">
        <is>
          <t>smallcap</t>
        </is>
      </c>
      <c r="H15" s="32" t="n">
        <v>2391.46</v>
      </c>
      <c r="I15" s="32" t="n">
        <v>557.05</v>
      </c>
      <c r="J15" s="32" t="n">
        <v>-4.56</v>
      </c>
      <c r="K15" s="32" t="n">
        <v>0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60.07</v>
      </c>
      <c r="P15" s="32" t="n">
        <v>50.99</v>
      </c>
      <c r="Q15" s="32" t="n">
        <v>454.55</v>
      </c>
      <c r="R15" s="31" t="inlineStr">
        <is>
          <t>Earnings / Momentum Support</t>
        </is>
      </c>
      <c r="S15" s="31" t="inlineStr">
        <is>
          <t>Nifty Auto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15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NRL</t>
        </is>
      </c>
      <c r="D16" s="34" t="inlineStr">
        <is>
          <t>Nupur Recyclers Ltd</t>
        </is>
      </c>
      <c r="E16" s="31" t="inlineStr">
        <is>
          <t>services</t>
        </is>
      </c>
      <c r="F16" s="31" t="inlineStr">
        <is>
          <t>Trading</t>
        </is>
      </c>
      <c r="G16" s="31" t="inlineStr">
        <is>
          <t>smallcap</t>
        </is>
      </c>
      <c r="H16" s="32" t="n">
        <v>1097.51</v>
      </c>
      <c r="I16" s="32" t="n">
        <v>158.9</v>
      </c>
      <c r="J16" s="32" t="n">
        <v>-0.77</v>
      </c>
      <c r="K16" s="32" t="n">
        <v>0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87.11</v>
      </c>
      <c r="P16" s="32" t="n">
        <v>77.98999999999999</v>
      </c>
      <c r="Q16" s="32" t="n">
        <v>134.3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-12.08</v>
      </c>
      <c r="U16" s="32" t="n">
        <v>124.24</v>
      </c>
      <c r="V16" s="32" t="n">
        <v>155.05</v>
      </c>
      <c r="W16" s="32" t="n">
        <v>36.57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15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RPTECH</t>
        </is>
      </c>
      <c r="D17" s="31" t="inlineStr">
        <is>
          <t>Rashi Peripherals Ltd</t>
        </is>
      </c>
      <c r="E17" s="31" t="inlineStr">
        <is>
          <t>Technology</t>
        </is>
      </c>
      <c r="F17" s="31" t="inlineStr">
        <is>
          <t>Trading</t>
        </is>
      </c>
      <c r="G17" s="31" t="inlineStr">
        <is>
          <t>midcap</t>
        </is>
      </c>
      <c r="H17" s="32" t="n">
        <v>5989.8</v>
      </c>
      <c r="I17" s="32" t="n">
        <v>902</v>
      </c>
      <c r="J17" s="32" t="n">
        <v>-4.01</v>
      </c>
      <c r="K17" s="32" t="n">
        <v>0</v>
      </c>
      <c r="L17" s="31" t="n">
        <v>65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66.86</v>
      </c>
      <c r="P17" s="32" t="n">
        <v>68.18000000000001</v>
      </c>
      <c r="Q17" s="32" t="n">
        <v>703.67</v>
      </c>
      <c r="R17" s="31" t="inlineStr">
        <is>
          <t>Earnings / Momentum Support</t>
        </is>
      </c>
      <c r="S17" s="31" t="inlineStr">
        <is>
          <t>Nifty 50</t>
        </is>
      </c>
      <c r="T17" s="32" t="n">
        <v>-12.08</v>
      </c>
      <c r="U17" s="32" t="n">
        <v>158.09</v>
      </c>
      <c r="V17" s="32" t="n">
        <v>193.54</v>
      </c>
      <c r="W17" s="32" t="n">
        <v>27.79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AKUMS</t>
        </is>
      </c>
      <c r="D18" s="31" t="inlineStr">
        <is>
          <t>Akums Drugs &amp; Pharmaceuticals Ltd</t>
        </is>
      </c>
      <c r="E18" s="31" t="inlineStr">
        <is>
          <t>Healthcare</t>
        </is>
      </c>
      <c r="F18" s="31" t="inlineStr">
        <is>
          <t>Pharma Formulations</t>
        </is>
      </c>
      <c r="G18" s="31" t="inlineStr">
        <is>
          <t>midcap</t>
        </is>
      </c>
      <c r="H18" s="32" t="n">
        <v>12353.85</v>
      </c>
      <c r="I18" s="32" t="n">
        <v>784.9</v>
      </c>
      <c r="J18" s="32" t="n">
        <v>-4.58</v>
      </c>
      <c r="K18" s="32" t="n">
        <v>0</v>
      </c>
      <c r="L18" s="31" t="n">
        <v>33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69.40000000000001</v>
      </c>
      <c r="P18" s="32" t="n">
        <v>65.01000000000001</v>
      </c>
      <c r="Q18" s="32" t="n">
        <v>672.53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16.23</v>
      </c>
      <c r="U18" s="32" t="n">
        <v>77.16</v>
      </c>
      <c r="V18" s="32" t="n">
        <v>52.43</v>
      </c>
      <c r="W18" s="32" t="n">
        <v>15.31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16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HIIL</t>
        </is>
      </c>
      <c r="D19" s="31" t="inlineStr">
        <is>
          <t>Hindusthan Insulators &amp; Industries Ltd</t>
        </is>
      </c>
      <c r="E19" s="31" t="inlineStr">
        <is>
          <t>Industrials</t>
        </is>
      </c>
      <c r="F19" s="31" t="inlineStr">
        <is>
          <t>Electric Equipment General</t>
        </is>
      </c>
      <c r="G19" s="31" t="inlineStr">
        <is>
          <t>smallcap</t>
        </is>
      </c>
      <c r="H19" s="32" t="n">
        <v>1209.21</v>
      </c>
      <c r="I19" s="32" t="n">
        <v>558.7</v>
      </c>
      <c r="J19" s="32" t="n">
        <v>2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96.28</v>
      </c>
      <c r="P19" s="32" t="n">
        <v>84.73999999999999</v>
      </c>
      <c r="Q19" s="32" t="n">
        <v>515.39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-12.08</v>
      </c>
      <c r="U19" s="32" t="n">
        <v>282.56</v>
      </c>
      <c r="V19" s="32" t="n">
        <v>335.11</v>
      </c>
      <c r="W19" s="32" t="n">
        <v>41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25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AETHER</t>
        </is>
      </c>
      <c r="D20" s="34" t="inlineStr">
        <is>
          <t>Aether Industries Ltd</t>
        </is>
      </c>
      <c r="E20" s="31" t="inlineStr">
        <is>
          <t>chemicals</t>
        </is>
      </c>
      <c r="F20" s="31" t="inlineStr">
        <is>
          <t>Specialty Chemicals</t>
        </is>
      </c>
      <c r="G20" s="31" t="inlineStr">
        <is>
          <t>largecap</t>
        </is>
      </c>
      <c r="H20" s="32" t="n">
        <v>23084.11</v>
      </c>
      <c r="I20" s="32" t="n">
        <v>1739.2</v>
      </c>
      <c r="J20" s="32" t="n">
        <v>-2.71</v>
      </c>
      <c r="K20" s="32" t="n">
        <v>0</v>
      </c>
      <c r="L20" s="31" t="n">
        <v>52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68.3</v>
      </c>
      <c r="P20" s="32" t="n">
        <v>61.31</v>
      </c>
      <c r="Q20" s="32" t="n">
        <v>1402.95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-12.08</v>
      </c>
      <c r="U20" s="32" t="n">
        <v>132.48</v>
      </c>
      <c r="V20" s="32" t="n">
        <v>164.42</v>
      </c>
      <c r="W20" s="32" t="n">
        <v>22.12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MARINE</t>
        </is>
      </c>
      <c r="D21" s="31" t="inlineStr">
        <is>
          <t>Marine Electricals (India) Ltd</t>
        </is>
      </c>
      <c r="E21" s="31" t="inlineStr">
        <is>
          <t>industrials</t>
        </is>
      </c>
      <c r="F21" s="31" t="inlineStr">
        <is>
          <t>Shipping Proxy</t>
        </is>
      </c>
      <c r="G21" s="31" t="inlineStr">
        <is>
          <t>midcap</t>
        </is>
      </c>
      <c r="H21" s="32" t="n">
        <v>6352.08</v>
      </c>
      <c r="I21" s="32" t="n">
        <v>453.9</v>
      </c>
      <c r="J21" s="32" t="n">
        <v>-4.72</v>
      </c>
      <c r="K21" s="32" t="n">
        <v>0</v>
      </c>
      <c r="L21" s="31" t="n">
        <v>81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73.8</v>
      </c>
      <c r="P21" s="32" t="n">
        <v>49.9</v>
      </c>
      <c r="Q21" s="32" t="n">
        <v>326.24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-12.08</v>
      </c>
      <c r="U21" s="32" t="n">
        <v>114.89</v>
      </c>
      <c r="V21" s="32" t="n">
        <v>144.41</v>
      </c>
      <c r="W21" s="32" t="n">
        <v>35.18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LOTUSDEV</t>
        </is>
      </c>
      <c r="D22" s="31" t="inlineStr">
        <is>
          <t>Sri Lotus Developers &amp; Realty Ltd</t>
        </is>
      </c>
      <c r="E22" s="31" t="inlineStr">
        <is>
          <t>realty</t>
        </is>
      </c>
      <c r="F22" s="31" t="inlineStr">
        <is>
          <t>Construction Factories and Offices and Commercial</t>
        </is>
      </c>
      <c r="G22" s="31" t="inlineStr">
        <is>
          <t>midcap</t>
        </is>
      </c>
      <c r="H22" s="32" t="n">
        <v>11318.84</v>
      </c>
      <c r="I22" s="32" t="n">
        <v>231.6</v>
      </c>
      <c r="J22" s="32" t="n">
        <v>-4.66</v>
      </c>
      <c r="K22" s="32" t="n">
        <v>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71.40000000000001</v>
      </c>
      <c r="P22" s="32" t="n">
        <v>33.1</v>
      </c>
      <c r="Q22" s="32" t="n">
        <v>177.97</v>
      </c>
      <c r="R22" s="31" t="inlineStr">
        <is>
          <t>Near 52W High Breakout</t>
        </is>
      </c>
      <c r="S22" s="31" t="inlineStr">
        <is>
          <t>Nifty Realty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DELTACORP</t>
        </is>
      </c>
      <c r="D23" s="31" t="inlineStr">
        <is>
          <t>Delta Corp Ltd</t>
        </is>
      </c>
      <c r="E23" s="31" t="inlineStr">
        <is>
          <t>miscellaneous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2088.61</v>
      </c>
      <c r="I23" s="32" t="n">
        <v>78</v>
      </c>
      <c r="J23" s="32" t="n">
        <v>-5.31</v>
      </c>
      <c r="K23" s="32" t="n">
        <v>0</v>
      </c>
      <c r="L23" s="31" t="n">
        <v>14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63.4</v>
      </c>
      <c r="P23" s="32" t="n">
        <v>24.89</v>
      </c>
      <c r="Q23" s="32" t="n">
        <v>54.11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-12.08</v>
      </c>
      <c r="U23" s="32" t="n">
        <v>-0.45</v>
      </c>
      <c r="V23" s="32" t="n">
        <v>13.22</v>
      </c>
      <c r="W23" s="32" t="n">
        <v>5.19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16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TATVA</t>
        </is>
      </c>
      <c r="D24" s="31" t="inlineStr">
        <is>
          <t>Tatva Chintan Pharma Chem Ltd</t>
        </is>
      </c>
      <c r="E24" s="31" t="inlineStr">
        <is>
          <t>chemicals</t>
        </is>
      </c>
      <c r="F24" s="31" t="inlineStr">
        <is>
          <t>Specialty Chemicals</t>
        </is>
      </c>
      <c r="G24" s="31" t="inlineStr">
        <is>
          <t>smallcap</t>
        </is>
      </c>
      <c r="H24" s="32" t="n">
        <v>4387.88</v>
      </c>
      <c r="I24" s="32" t="n">
        <v>1875.8</v>
      </c>
      <c r="J24" s="32" t="n">
        <v>-5.8</v>
      </c>
      <c r="K24" s="32" t="n">
        <v>0</v>
      </c>
      <c r="L24" s="31" t="n">
        <v>49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68.26000000000001</v>
      </c>
      <c r="P24" s="32" t="n">
        <v>42.31</v>
      </c>
      <c r="Q24" s="32" t="n">
        <v>1373.35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-12.08</v>
      </c>
      <c r="U24" s="32" t="n">
        <v>73.76000000000001</v>
      </c>
      <c r="V24" s="32" t="n">
        <v>97.63</v>
      </c>
      <c r="W24" s="32" t="n">
        <v>20.78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16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CPPLUS</t>
        </is>
      </c>
      <c r="D25" s="34" t="inlineStr">
        <is>
          <t>Aditya Infotech Ltd</t>
        </is>
      </c>
      <c r="E25" s="31" t="inlineStr">
        <is>
          <t>consumer discretionary</t>
        </is>
      </c>
      <c r="F25" s="31" t="inlineStr">
        <is>
          <t>CCTV Camera</t>
        </is>
      </c>
      <c r="G25" s="31" t="inlineStr">
        <is>
          <t>largecap</t>
        </is>
      </c>
      <c r="H25" s="32" t="n">
        <v>48915.89</v>
      </c>
      <c r="I25" s="32" t="n">
        <v>3989</v>
      </c>
      <c r="J25" s="32" t="n">
        <v>-1.87</v>
      </c>
      <c r="K25" s="32" t="n">
        <v>0</v>
      </c>
      <c r="L25" s="31" t="n">
        <v>69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67.36</v>
      </c>
      <c r="P25" s="32" t="n">
        <v>43.87</v>
      </c>
      <c r="Q25" s="32" t="n">
        <v>2940.91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-12.08</v>
      </c>
      <c r="U25" s="32" t="n">
        <v>185.65</v>
      </c>
      <c r="V25" s="32" t="n">
        <v>224.89</v>
      </c>
      <c r="W25" s="32" t="n">
        <v>29.23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15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VALIANTORG</t>
        </is>
      </c>
      <c r="D26" s="31" t="inlineStr">
        <is>
          <t>Valiant Organics Ltd</t>
        </is>
      </c>
      <c r="E26" s="31" t="inlineStr">
        <is>
          <t>chemicals</t>
        </is>
      </c>
      <c r="F26" s="31" t="inlineStr">
        <is>
          <t>Chemicals Organic</t>
        </is>
      </c>
      <c r="G26" s="31" t="inlineStr">
        <is>
          <t>smallcap</t>
        </is>
      </c>
      <c r="H26" s="32" t="n">
        <v>1248.94</v>
      </c>
      <c r="I26" s="32" t="n">
        <v>445.5</v>
      </c>
      <c r="J26" s="32" t="n">
        <v>-7.16</v>
      </c>
      <c r="K26" s="32" t="n">
        <v>0</v>
      </c>
      <c r="L26" s="31" t="n">
        <v>53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69.31999999999999</v>
      </c>
      <c r="P26" s="32" t="n">
        <v>47.79</v>
      </c>
      <c r="Q26" s="32" t="n">
        <v>347.48</v>
      </c>
      <c r="R26" s="31" t="inlineStr">
        <is>
          <t>Volume Spike / Accumulation</t>
        </is>
      </c>
      <c r="S26" s="31" t="inlineStr">
        <is>
          <t>Nifty 50</t>
        </is>
      </c>
      <c r="T26" s="32" t="n">
        <v>-12.08</v>
      </c>
      <c r="U26" s="32" t="n">
        <v>42.37</v>
      </c>
      <c r="V26" s="32" t="n">
        <v>61.92</v>
      </c>
      <c r="W26" s="32" t="n">
        <v>22.49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15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CUPID</t>
        </is>
      </c>
      <c r="D27" s="31" t="inlineStr">
        <is>
          <t>Cupid Ltd</t>
        </is>
      </c>
      <c r="E27" s="31" t="inlineStr">
        <is>
          <t>fmcg</t>
        </is>
      </c>
      <c r="F27" s="31" t="inlineStr">
        <is>
          <t>Contraceptives and Protectives</t>
        </is>
      </c>
      <c r="G27" s="31" t="inlineStr">
        <is>
          <t>largecap</t>
        </is>
      </c>
      <c r="H27" s="32" t="n">
        <v>47970.77</v>
      </c>
      <c r="I27" s="32" t="n">
        <v>356.75</v>
      </c>
      <c r="J27" s="32" t="n">
        <v>3.72</v>
      </c>
      <c r="K27" s="32" t="n">
        <v>0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86.39</v>
      </c>
      <c r="P27" s="32" t="n">
        <v>66.28</v>
      </c>
      <c r="Q27" s="32" t="n">
        <v>273.56</v>
      </c>
      <c r="R27" s="31" t="inlineStr">
        <is>
          <t>Near 52W High Breakout</t>
        </is>
      </c>
      <c r="S27" s="31" t="inlineStr">
        <is>
          <t>Nifty FMCG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MODINSU</t>
        </is>
      </c>
      <c r="D28" s="34" t="inlineStr">
        <is>
          <t>Modern Insulators Ltd</t>
        </is>
      </c>
      <c r="E28" s="31" t="inlineStr">
        <is>
          <t>Technology</t>
        </is>
      </c>
      <c r="F28" s="31" t="inlineStr">
        <is>
          <t>Capital Goods Electric General</t>
        </is>
      </c>
      <c r="G28" s="31" t="inlineStr">
        <is>
          <t>smallcap</t>
        </is>
      </c>
      <c r="H28" s="32" t="n">
        <v>2425.79</v>
      </c>
      <c r="I28" s="32" t="n">
        <v>514.55</v>
      </c>
      <c r="J28" s="32" t="n">
        <v>5</v>
      </c>
      <c r="K28" s="32" t="n">
        <v>0</v>
      </c>
      <c r="L28" s="31" t="n">
        <v>83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62.23</v>
      </c>
      <c r="P28" s="32" t="n">
        <v>27.12</v>
      </c>
      <c r="Q28" s="32" t="n">
        <v>369.9</v>
      </c>
      <c r="R28" s="31" t="inlineStr">
        <is>
          <t>Earnings / Momentum Support</t>
        </is>
      </c>
      <c r="S28" s="31" t="inlineStr">
        <is>
          <t>Nifty 50</t>
        </is>
      </c>
      <c r="T28" s="32" t="n">
        <v>-12.08</v>
      </c>
      <c r="U28" s="32" t="n">
        <v>308.37</v>
      </c>
      <c r="V28" s="32" t="n">
        <v>364.46</v>
      </c>
      <c r="W28" s="32" t="n">
        <v>36.92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DIVISLAB</t>
        </is>
      </c>
      <c r="D29" s="34" t="inlineStr">
        <is>
          <t>Divis Laboratories Ltd</t>
        </is>
      </c>
      <c r="E29" s="31" t="inlineStr">
        <is>
          <t>Healthcare</t>
        </is>
      </c>
      <c r="F29" s="31" t="inlineStr">
        <is>
          <t>Pharma CRAMS</t>
        </is>
      </c>
      <c r="G29" s="31" t="inlineStr">
        <is>
          <t>largecap</t>
        </is>
      </c>
      <c r="H29" s="32" t="n">
        <v>248505.14</v>
      </c>
      <c r="I29" s="32" t="n">
        <v>9361</v>
      </c>
      <c r="J29" s="32" t="n">
        <v>-2.37</v>
      </c>
      <c r="K29" s="32" t="n">
        <v>0</v>
      </c>
      <c r="L29" s="31" t="n">
        <v>38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76.47</v>
      </c>
      <c r="P29" s="32" t="n">
        <v>57.36</v>
      </c>
      <c r="Q29" s="32" t="n">
        <v>8330.940000000001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16.23</v>
      </c>
      <c r="U29" s="32" t="n">
        <v>45.18</v>
      </c>
      <c r="V29" s="32" t="n">
        <v>24.91</v>
      </c>
      <c r="W29" s="32" t="n">
        <v>16.28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15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EBGNG</t>
        </is>
      </c>
      <c r="D30" s="31" t="inlineStr">
        <is>
          <t>GNG Electronics Ltd</t>
        </is>
      </c>
      <c r="E30" s="31" t="inlineStr">
        <is>
          <t>Technology</t>
        </is>
      </c>
      <c r="F30" s="31" t="inlineStr">
        <is>
          <t>New age Platform E Retail</t>
        </is>
      </c>
      <c r="G30" s="31" t="inlineStr">
        <is>
          <t>midcap</t>
        </is>
      </c>
      <c r="H30" s="32" t="n">
        <v>7866.79</v>
      </c>
      <c r="I30" s="32" t="n">
        <v>690</v>
      </c>
      <c r="J30" s="32" t="n">
        <v>-5.65</v>
      </c>
      <c r="K30" s="32" t="n">
        <v>0</v>
      </c>
      <c r="L30" s="31" t="n">
        <v>48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65.83</v>
      </c>
      <c r="P30" s="32" t="n">
        <v>38.14</v>
      </c>
      <c r="Q30" s="32" t="n">
        <v>495.66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-12.08</v>
      </c>
      <c r="U30" s="32" t="n">
        <v>106.49</v>
      </c>
      <c r="V30" s="32" t="n">
        <v>134.85</v>
      </c>
      <c r="W30" s="32" t="n">
        <v>20.29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15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DPABHUSHAN</t>
        </is>
      </c>
      <c r="D31" s="31" t="inlineStr">
        <is>
          <t>DP Abhushan Ltd</t>
        </is>
      </c>
      <c r="E31" s="31" t="inlineStr">
        <is>
          <t>consumer discretionary</t>
        </is>
      </c>
      <c r="F31" s="31" t="inlineStr">
        <is>
          <t>Diamond Gems and Jewellery</t>
        </is>
      </c>
      <c r="G31" s="31" t="inlineStr">
        <is>
          <t>midcap</t>
        </is>
      </c>
      <c r="H31" s="32" t="n">
        <v>5193.35</v>
      </c>
      <c r="I31" s="32" t="n">
        <v>2275</v>
      </c>
      <c r="J31" s="32" t="n">
        <v>0.54</v>
      </c>
      <c r="K31" s="32" t="n">
        <v>0</v>
      </c>
      <c r="L31" s="31" t="n">
        <v>77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80.86</v>
      </c>
      <c r="P31" s="32" t="n">
        <v>39.09</v>
      </c>
      <c r="Q31" s="32" t="n">
        <v>1689.61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-12.08</v>
      </c>
      <c r="U31" s="32" t="n">
        <v>58.3</v>
      </c>
      <c r="V31" s="32" t="n">
        <v>80.04000000000001</v>
      </c>
      <c r="W31" s="32" t="n">
        <v>32.62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29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AZAD</t>
        </is>
      </c>
      <c r="D32" s="31" t="inlineStr">
        <is>
          <t>Azad Engineering Ltd</t>
        </is>
      </c>
      <c r="E32" s="31" t="inlineStr">
        <is>
          <t>Industrials</t>
        </is>
      </c>
      <c r="F32" s="31" t="inlineStr">
        <is>
          <t>Aerospace and Defence Equipment</t>
        </is>
      </c>
      <c r="G32" s="31" t="inlineStr">
        <is>
          <t>midcap</t>
        </is>
      </c>
      <c r="H32" s="32" t="n">
        <v>18598.9</v>
      </c>
      <c r="I32" s="32" t="n">
        <v>2879.9</v>
      </c>
      <c r="J32" s="32" t="n">
        <v>-5.52</v>
      </c>
      <c r="K32" s="32" t="n">
        <v>0</v>
      </c>
      <c r="L32" s="31" t="n">
        <v>38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67.45</v>
      </c>
      <c r="P32" s="32" t="n">
        <v>44.67</v>
      </c>
      <c r="Q32" s="32" t="n">
        <v>2170.23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-12.08</v>
      </c>
      <c r="U32" s="32" t="n">
        <v>74.12</v>
      </c>
      <c r="V32" s="32" t="n">
        <v>98.03</v>
      </c>
      <c r="W32" s="32" t="n">
        <v>16.3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CYIENTDLM</t>
        </is>
      </c>
      <c r="D33" s="34" t="inlineStr">
        <is>
          <t>Cyient DLM Ltd</t>
        </is>
      </c>
      <c r="E33" s="31" t="inlineStr">
        <is>
          <t>aerospace &amp; defence</t>
        </is>
      </c>
      <c r="F33" s="31" t="inlineStr">
        <is>
          <t>EMS</t>
        </is>
      </c>
      <c r="G33" s="31" t="inlineStr">
        <is>
          <t>midcap</t>
        </is>
      </c>
      <c r="H33" s="32" t="n">
        <v>7733.92</v>
      </c>
      <c r="I33" s="32" t="n">
        <v>974.25</v>
      </c>
      <c r="J33" s="32" t="n">
        <v>-1.42</v>
      </c>
      <c r="K33" s="32" t="n">
        <v>0</v>
      </c>
      <c r="L33" s="31" t="n">
        <v>86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85.13</v>
      </c>
      <c r="P33" s="32" t="n">
        <v>78.94</v>
      </c>
      <c r="Q33" s="32" t="n">
        <v>755.28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-12.08</v>
      </c>
      <c r="U33" s="32" t="n">
        <v>108.19</v>
      </c>
      <c r="V33" s="32" t="n">
        <v>136.78</v>
      </c>
      <c r="W33" s="32" t="n">
        <v>39.36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15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HFCL</t>
        </is>
      </c>
      <c r="D34" s="31" t="inlineStr">
        <is>
          <t>HFCL Ltd</t>
        </is>
      </c>
      <c r="E34" s="31" t="inlineStr">
        <is>
          <t>telecom</t>
        </is>
      </c>
      <c r="F34" s="31" t="inlineStr">
        <is>
          <t>Telecommunications Equipment</t>
        </is>
      </c>
      <c r="G34" s="31" t="inlineStr">
        <is>
          <t>largecap</t>
        </is>
      </c>
      <c r="H34" s="32" t="n">
        <v>39536.99</v>
      </c>
      <c r="I34" s="32" t="n">
        <v>258.31</v>
      </c>
      <c r="J34" s="32" t="n">
        <v>-5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71.05</v>
      </c>
      <c r="P34" s="32" t="n">
        <v>49.87</v>
      </c>
      <c r="Q34" s="32" t="n">
        <v>183.92</v>
      </c>
      <c r="R34" s="31" t="inlineStr">
        <is>
          <t>Near 52W High Breakout</t>
        </is>
      </c>
      <c r="S34" s="31" t="inlineStr">
        <is>
          <t>Nifty Infra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Oligopoly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15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WELSPUNLIV</t>
        </is>
      </c>
      <c r="D35" s="34" t="inlineStr">
        <is>
          <t>Welspun Living Ltd</t>
        </is>
      </c>
      <c r="E35" s="31" t="inlineStr">
        <is>
          <t>textiles</t>
        </is>
      </c>
      <c r="F35" s="31" t="inlineStr">
        <is>
          <t>Textiles Home Textile</t>
        </is>
      </c>
      <c r="G35" s="31" t="inlineStr">
        <is>
          <t>largecap</t>
        </is>
      </c>
      <c r="H35" s="32" t="n">
        <v>21162.46</v>
      </c>
      <c r="I35" s="32" t="n">
        <v>224</v>
      </c>
      <c r="J35" s="32" t="n">
        <v>-5.03</v>
      </c>
      <c r="K35" s="32" t="n">
        <v>0</v>
      </c>
      <c r="L35" s="31" t="n">
        <v>51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73.58</v>
      </c>
      <c r="P35" s="32" t="n">
        <v>46.64</v>
      </c>
      <c r="Q35" s="32" t="n">
        <v>191.75</v>
      </c>
      <c r="R35" s="31" t="inlineStr">
        <is>
          <t>Earnings / Momentum Support</t>
        </is>
      </c>
      <c r="S35" s="31" t="inlineStr">
        <is>
          <t>Nifty 50</t>
        </is>
      </c>
      <c r="T35" s="32" t="n">
        <v>-12.08</v>
      </c>
      <c r="U35" s="32" t="n">
        <v>83.44</v>
      </c>
      <c r="V35" s="32" t="n">
        <v>108.63</v>
      </c>
      <c r="W35" s="32" t="n">
        <v>21.25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15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PRECWIRE</t>
        </is>
      </c>
      <c r="D36" s="31" t="inlineStr">
        <is>
          <t>Precision Wires India Ltd</t>
        </is>
      </c>
      <c r="E36" s="31" t="inlineStr">
        <is>
          <t>Industrials</t>
        </is>
      </c>
      <c r="F36" s="31" t="inlineStr">
        <is>
          <t>Copper Wires</t>
        </is>
      </c>
      <c r="G36" s="31" t="inlineStr">
        <is>
          <t>midcap</t>
        </is>
      </c>
      <c r="H36" s="32" t="n">
        <v>9030.709999999999</v>
      </c>
      <c r="I36" s="32" t="n">
        <v>494</v>
      </c>
      <c r="J36" s="32" t="n">
        <v>-4.37</v>
      </c>
      <c r="K36" s="32" t="n">
        <v>0</v>
      </c>
      <c r="L36" s="31" t="n">
        <v>58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64.12</v>
      </c>
      <c r="P36" s="32" t="n">
        <v>37.33</v>
      </c>
      <c r="Q36" s="32" t="n">
        <v>371.37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-12.08</v>
      </c>
      <c r="U36" s="32" t="n">
        <v>128.68</v>
      </c>
      <c r="V36" s="32" t="n">
        <v>160.09</v>
      </c>
      <c r="W36" s="32" t="n">
        <v>24.89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14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DIACABS</t>
        </is>
      </c>
      <c r="D37" s="31" t="inlineStr">
        <is>
          <t>Diamond Power Infrastructure Ltd</t>
        </is>
      </c>
      <c r="E37" s="31" t="inlineStr">
        <is>
          <t>industrials</t>
        </is>
      </c>
      <c r="F37" s="31" t="inlineStr">
        <is>
          <t>Cables Power</t>
        </is>
      </c>
      <c r="G37" s="31" t="inlineStr">
        <is>
          <t>largecap</t>
        </is>
      </c>
      <c r="H37" s="32" t="n">
        <v>22367.86</v>
      </c>
      <c r="I37" s="32" t="n">
        <v>374</v>
      </c>
      <c r="J37" s="32" t="n">
        <v>1.31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73.09</v>
      </c>
      <c r="P37" s="32" t="n">
        <v>67.25</v>
      </c>
      <c r="Q37" s="32" t="n">
        <v>277.63</v>
      </c>
      <c r="R37" s="31" t="inlineStr">
        <is>
          <t>Near 52W High Breakout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14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SHUKRAPHAR</t>
        </is>
      </c>
      <c r="D38" s="31" t="inlineStr">
        <is>
          <t>Shukra Pharmaceuticals Ltd</t>
        </is>
      </c>
      <c r="E38" s="31" t="inlineStr">
        <is>
          <t>Healthcare</t>
        </is>
      </c>
      <c r="F38" s="31" t="inlineStr">
        <is>
          <t>Pharma Others</t>
        </is>
      </c>
      <c r="G38" s="31" t="inlineStr">
        <is>
          <t>smallcap</t>
        </is>
      </c>
      <c r="H38" s="32" t="n">
        <v>2964.9</v>
      </c>
      <c r="I38" s="32" t="n">
        <v>67</v>
      </c>
      <c r="J38" s="32" t="n">
        <v>-2.15</v>
      </c>
      <c r="K38" s="32" t="n">
        <v>0</v>
      </c>
      <c r="L38" s="31" t="n">
        <v>89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79.95999999999999</v>
      </c>
      <c r="P38" s="32" t="n">
        <v>42.08</v>
      </c>
      <c r="Q38" s="32" t="n">
        <v>47.77</v>
      </c>
      <c r="R38" s="31" t="inlineStr">
        <is>
          <t>Volume Spike &amp; Near 52W High Breakout</t>
        </is>
      </c>
      <c r="S38" s="31" t="inlineStr">
        <is>
          <t>Nifty Pharma</t>
        </is>
      </c>
      <c r="T38" s="32" t="n">
        <v>16.23</v>
      </c>
      <c r="U38" s="32" t="n">
        <v>98.43000000000001</v>
      </c>
      <c r="V38" s="32" t="n">
        <v>70.73</v>
      </c>
      <c r="W38" s="32" t="n">
        <v>40.45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SYNCOMF</t>
        </is>
      </c>
      <c r="D39" s="31" t="inlineStr">
        <is>
          <t>Syncom Formulations (India) Ltd</t>
        </is>
      </c>
      <c r="E39" s="31" t="inlineStr">
        <is>
          <t>healthcare</t>
        </is>
      </c>
      <c r="F39" s="31" t="inlineStr">
        <is>
          <t>Pharma Others</t>
        </is>
      </c>
      <c r="G39" s="31" t="inlineStr">
        <is>
          <t>smallcap</t>
        </is>
      </c>
      <c r="H39" s="32" t="n">
        <v>2217.46</v>
      </c>
      <c r="I39" s="32" t="n">
        <v>23.59</v>
      </c>
      <c r="J39" s="32" t="n">
        <v>-5.41</v>
      </c>
      <c r="K39" s="32" t="n">
        <v>0</v>
      </c>
      <c r="L39" s="31" t="n">
        <v>56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77.03</v>
      </c>
      <c r="P39" s="32" t="n">
        <v>37.45</v>
      </c>
      <c r="Q39" s="32" t="n">
        <v>17.04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16.23</v>
      </c>
      <c r="U39" s="32" t="n">
        <v>39.41</v>
      </c>
      <c r="V39" s="32" t="n">
        <v>19.95</v>
      </c>
      <c r="W39" s="32" t="n">
        <v>23.84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SHILPAMED</t>
        </is>
      </c>
      <c r="D40" s="34" t="inlineStr">
        <is>
          <t>Shilpa Medicare Ltd</t>
        </is>
      </c>
      <c r="E40" s="31" t="inlineStr">
        <is>
          <t>healthcare</t>
        </is>
      </c>
      <c r="F40" s="31" t="inlineStr">
        <is>
          <t>Pharma API</t>
        </is>
      </c>
      <c r="G40" s="31" t="inlineStr">
        <is>
          <t>largecap</t>
        </is>
      </c>
      <c r="H40" s="32" t="n">
        <v>20105.81</v>
      </c>
      <c r="I40" s="32" t="n">
        <v>1028</v>
      </c>
      <c r="J40" s="32" t="n">
        <v>-4.03</v>
      </c>
      <c r="K40" s="32" t="n">
        <v>0</v>
      </c>
      <c r="L40" s="31" t="n">
        <v>87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83.86</v>
      </c>
      <c r="P40" s="32" t="n">
        <v>83.67</v>
      </c>
      <c r="Q40" s="32" t="n">
        <v>854.22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16.23</v>
      </c>
      <c r="U40" s="32" t="n">
        <v>179.7</v>
      </c>
      <c r="V40" s="32" t="n">
        <v>140.65</v>
      </c>
      <c r="W40" s="32" t="n">
        <v>39.59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15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SAMBHV</t>
        </is>
      </c>
      <c r="D41" s="31" t="inlineStr">
        <is>
          <t>Sambhv Steel Tubes Ltd</t>
        </is>
      </c>
      <c r="E41" s="31" t="inlineStr">
        <is>
          <t>metals &amp; mining</t>
        </is>
      </c>
      <c r="F41" s="31" t="inlineStr">
        <is>
          <t>Steel Tubes and Pipes</t>
        </is>
      </c>
      <c r="G41" s="31" t="inlineStr">
        <is>
          <t>smallcap</t>
        </is>
      </c>
      <c r="H41" s="32" t="n">
        <v>4632.23</v>
      </c>
      <c r="I41" s="32" t="n">
        <v>157.2</v>
      </c>
      <c r="J41" s="32" t="n">
        <v>-0.71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74.48</v>
      </c>
      <c r="P41" s="32" t="n">
        <v>49.27</v>
      </c>
      <c r="Q41" s="32" t="n">
        <v>124.65</v>
      </c>
      <c r="R41" s="31" t="inlineStr">
        <is>
          <t>Near 52W High Breakout</t>
        </is>
      </c>
      <c r="S41" s="31" t="inlineStr">
        <is>
          <t>Nifty Metal</t>
        </is>
      </c>
      <c r="T41" s="32" t="inlineStr"/>
      <c r="U41" s="32" t="inlineStr"/>
      <c r="V41" s="32" t="inlineStr"/>
      <c r="W41" s="32" t="inlineStr"/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Cyclical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Volatile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KMEW</t>
        </is>
      </c>
      <c r="D42" s="31" t="inlineStr">
        <is>
          <t>Knowledge Marine &amp; Engineering Works Ltd</t>
        </is>
      </c>
      <c r="E42" s="31" t="inlineStr">
        <is>
          <t>transportation</t>
        </is>
      </c>
      <c r="F42" s="31" t="inlineStr">
        <is>
          <t>Shipping</t>
        </is>
      </c>
      <c r="G42" s="31" t="inlineStr">
        <is>
          <t>midcap</t>
        </is>
      </c>
      <c r="H42" s="32" t="n">
        <v>8280.049999999999</v>
      </c>
      <c r="I42" s="32" t="n">
        <v>3264.45</v>
      </c>
      <c r="J42" s="32" t="n">
        <v>1.69</v>
      </c>
      <c r="K42" s="32" t="n">
        <v>0</v>
      </c>
      <c r="L42" s="31" t="n">
        <v>73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78.45999999999999</v>
      </c>
      <c r="P42" s="32" t="n">
        <v>58.57</v>
      </c>
      <c r="Q42" s="32" t="n">
        <v>2391.78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-12.08</v>
      </c>
      <c r="U42" s="32" t="n">
        <v>174.32</v>
      </c>
      <c r="V42" s="32" t="n">
        <v>212</v>
      </c>
      <c r="W42" s="32" t="n">
        <v>30.59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BHAGERIA</t>
        </is>
      </c>
      <c r="D43" s="31" t="inlineStr">
        <is>
          <t>Bhageria Industries Ltd</t>
        </is>
      </c>
      <c r="E43" s="31" t="inlineStr">
        <is>
          <t>chemicals</t>
        </is>
      </c>
      <c r="F43" s="31" t="inlineStr">
        <is>
          <t>Dyes and Pigments</t>
        </is>
      </c>
      <c r="G43" s="31" t="inlineStr">
        <is>
          <t>smallcap</t>
        </is>
      </c>
      <c r="H43" s="32" t="n">
        <v>1597.38</v>
      </c>
      <c r="I43" s="32" t="n">
        <v>366</v>
      </c>
      <c r="J43" s="32" t="n">
        <v>-3.06</v>
      </c>
      <c r="K43" s="32" t="n">
        <v>0</v>
      </c>
      <c r="L43" s="31" t="n">
        <v>78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74.59999999999999</v>
      </c>
      <c r="P43" s="32" t="n">
        <v>46.3</v>
      </c>
      <c r="Q43" s="32" t="n">
        <v>298.25</v>
      </c>
      <c r="R43" s="31" t="inlineStr">
        <is>
          <t>Earnings / Momentum Support</t>
        </is>
      </c>
      <c r="S43" s="31" t="inlineStr">
        <is>
          <t>Nifty 50</t>
        </is>
      </c>
      <c r="T43" s="32" t="n">
        <v>-12.08</v>
      </c>
      <c r="U43" s="32" t="n">
        <v>99.98999999999999</v>
      </c>
      <c r="V43" s="32" t="n">
        <v>127.46</v>
      </c>
      <c r="W43" s="32" t="n">
        <v>33.56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JGCHEM</t>
        </is>
      </c>
      <c r="D44" s="34" t="inlineStr">
        <is>
          <t>JGChemicals Ltd</t>
        </is>
      </c>
      <c r="E44" s="31" t="inlineStr">
        <is>
          <t>Basic Materials</t>
        </is>
      </c>
      <c r="F44" s="31" t="inlineStr">
        <is>
          <t>Chemicals Inorganic</t>
        </is>
      </c>
      <c r="G44" s="31" t="inlineStr">
        <is>
          <t>smallcap</t>
        </is>
      </c>
      <c r="H44" s="32" t="n">
        <v>2506.73</v>
      </c>
      <c r="I44" s="32" t="n">
        <v>639.7</v>
      </c>
      <c r="J44" s="32" t="n">
        <v>-2.33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70.86</v>
      </c>
      <c r="P44" s="32" t="n">
        <v>48.51</v>
      </c>
      <c r="Q44" s="32" t="n">
        <v>476.53</v>
      </c>
      <c r="R44" s="31" t="inlineStr">
        <is>
          <t>Near 52W High Breakout</t>
        </is>
      </c>
      <c r="S44" s="31" t="inlineStr">
        <is>
          <t>Nifty Metal</t>
        </is>
      </c>
      <c r="T44" s="32" t="inlineStr"/>
      <c r="U44" s="32" t="inlineStr"/>
      <c r="V44" s="32" t="inlineStr"/>
      <c r="W44" s="32" t="inlineStr"/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Cyclical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Volatile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18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PNGSREVA</t>
        </is>
      </c>
      <c r="D45" s="34" t="inlineStr">
        <is>
          <t>PNGS Reva Diamond Jewellery Limited</t>
        </is>
      </c>
      <c r="E45" s="31" t="inlineStr">
        <is>
          <t>Consumer Cyclical</t>
        </is>
      </c>
      <c r="F45" s="31" t="inlineStr">
        <is>
          <t>Diamond Gems and Jewellery</t>
        </is>
      </c>
      <c r="G45" s="31" t="inlineStr">
        <is>
          <t>smallcap</t>
        </is>
      </c>
      <c r="H45" s="32" t="n">
        <v>2145.82</v>
      </c>
      <c r="I45" s="32" t="n">
        <v>676.95</v>
      </c>
      <c r="J45" s="32" t="n">
        <v>7.28</v>
      </c>
      <c r="K45" s="32" t="n">
        <v>0</v>
      </c>
      <c r="L45" s="31" t="n">
        <v>45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73.25</v>
      </c>
      <c r="P45" s="32" t="n">
        <v>52.4</v>
      </c>
      <c r="Q45" s="32" t="n">
        <v>486.25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-9.07</v>
      </c>
      <c r="U45" s="32" t="n">
        <v>78.11</v>
      </c>
      <c r="V45" s="32" t="n">
        <v>95.89</v>
      </c>
      <c r="W45" s="32" t="n">
        <v>18.96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1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QPOWER</t>
        </is>
      </c>
      <c r="D46" s="31" t="inlineStr">
        <is>
          <t>Quality Power Electrical Equipments Ltd</t>
        </is>
      </c>
      <c r="E46" s="31" t="inlineStr">
        <is>
          <t>Industrials</t>
        </is>
      </c>
      <c r="F46" s="31" t="inlineStr">
        <is>
          <t>Electrical Equipment and HVDC</t>
        </is>
      </c>
      <c r="G46" s="31" t="inlineStr">
        <is>
          <t>midcap</t>
        </is>
      </c>
      <c r="H46" s="32" t="n">
        <v>12080.51</v>
      </c>
      <c r="I46" s="32" t="n">
        <v>1559.9</v>
      </c>
      <c r="J46" s="32" t="n">
        <v>-3.41</v>
      </c>
      <c r="K46" s="32" t="n">
        <v>0</v>
      </c>
      <c r="L46" s="31" t="n">
        <v>39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65.19</v>
      </c>
      <c r="P46" s="32" t="n">
        <v>21.16</v>
      </c>
      <c r="Q46" s="32" t="n">
        <v>1134.15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-12.08</v>
      </c>
      <c r="U46" s="32" t="n">
        <v>53.75</v>
      </c>
      <c r="V46" s="32" t="n">
        <v>74.87</v>
      </c>
      <c r="W46" s="32" t="n">
        <v>16.7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VALIANT</t>
        </is>
      </c>
      <c r="D47" s="31" t="inlineStr">
        <is>
          <t>Valiant Communications Ltd</t>
        </is>
      </c>
      <c r="E47" s="31" t="inlineStr">
        <is>
          <t>Technology</t>
        </is>
      </c>
      <c r="F47" s="31" t="inlineStr">
        <is>
          <t>Telecommunications Equipment</t>
        </is>
      </c>
      <c r="G47" s="31" t="inlineStr">
        <is>
          <t>smallcap</t>
        </is>
      </c>
      <c r="H47" s="32" t="n">
        <v>2018.58</v>
      </c>
      <c r="I47" s="32" t="n">
        <v>1726.45</v>
      </c>
      <c r="J47" s="32" t="n">
        <v>-3.37</v>
      </c>
      <c r="K47" s="32" t="n">
        <v>0</v>
      </c>
      <c r="L47" s="31" t="n">
        <v>74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78.04000000000001</v>
      </c>
      <c r="P47" s="32" t="n">
        <v>32.35</v>
      </c>
      <c r="Q47" s="32" t="n">
        <v>1189.77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-12.08</v>
      </c>
      <c r="U47" s="32" t="n">
        <v>130.9</v>
      </c>
      <c r="V47" s="32" t="n">
        <v>162.62</v>
      </c>
      <c r="W47" s="32" t="n">
        <v>31.35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LAURUSLABS</t>
        </is>
      </c>
      <c r="D48" s="31" t="inlineStr">
        <is>
          <t>Laurus Labs Ltd</t>
        </is>
      </c>
      <c r="E48" s="31" t="inlineStr">
        <is>
          <t>healthcare</t>
        </is>
      </c>
      <c r="F48" s="31" t="inlineStr">
        <is>
          <t>Pharma API</t>
        </is>
      </c>
      <c r="G48" s="31" t="inlineStr">
        <is>
          <t>largecap</t>
        </is>
      </c>
      <c r="H48" s="32" t="n">
        <v>107948.98</v>
      </c>
      <c r="I48" s="32" t="n">
        <v>1997.9</v>
      </c>
      <c r="J48" s="32" t="n">
        <v>-2.67</v>
      </c>
      <c r="K48" s="32" t="n">
        <v>0</v>
      </c>
      <c r="L48" s="31" t="n">
        <v>60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75.77</v>
      </c>
      <c r="P48" s="32" t="n">
        <v>77.5</v>
      </c>
      <c r="Q48" s="32" t="n">
        <v>1711.17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16.23</v>
      </c>
      <c r="U48" s="32" t="n">
        <v>128.29</v>
      </c>
      <c r="V48" s="32" t="n">
        <v>96.42</v>
      </c>
      <c r="W48" s="32" t="n">
        <v>25.01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KMCSHIL</t>
        </is>
      </c>
      <c r="D49" s="31" t="inlineStr">
        <is>
          <t>KMC Speciality Hospitals (India) Ltd</t>
        </is>
      </c>
      <c r="E49" s="31" t="inlineStr">
        <is>
          <t>Healthcare</t>
        </is>
      </c>
      <c r="F49" s="31" t="inlineStr">
        <is>
          <t>Hospitals</t>
        </is>
      </c>
      <c r="G49" s="31" t="inlineStr">
        <is>
          <t>smallcap</t>
        </is>
      </c>
      <c r="H49" s="32" t="n">
        <v>2894.76</v>
      </c>
      <c r="I49" s="32" t="n">
        <v>177.5</v>
      </c>
      <c r="J49" s="32" t="n">
        <v>-3.16</v>
      </c>
      <c r="K49" s="32" t="n">
        <v>0</v>
      </c>
      <c r="L49" s="31" t="n">
        <v>66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83.19</v>
      </c>
      <c r="P49" s="32" t="n">
        <v>51.72</v>
      </c>
      <c r="Q49" s="32" t="n">
        <v>136.16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16.23</v>
      </c>
      <c r="U49" s="32" t="n">
        <v>149.05</v>
      </c>
      <c r="V49" s="32" t="n">
        <v>114.28</v>
      </c>
      <c r="W49" s="32" t="n">
        <v>27.97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18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AVALON</t>
        </is>
      </c>
      <c r="D50" s="34" t="inlineStr">
        <is>
          <t>Avalon Technologies Ltd</t>
        </is>
      </c>
      <c r="E50" s="31" t="inlineStr">
        <is>
          <t>Technology</t>
        </is>
      </c>
      <c r="F50" s="31" t="inlineStr">
        <is>
          <t>EMS</t>
        </is>
      </c>
      <c r="G50" s="31" t="inlineStr">
        <is>
          <t>midcap</t>
        </is>
      </c>
      <c r="H50" s="32" t="n">
        <v>15369.55</v>
      </c>
      <c r="I50" s="32" t="n">
        <v>2298</v>
      </c>
      <c r="J50" s="32" t="n">
        <v>-5.42</v>
      </c>
      <c r="K50" s="32" t="n">
        <v>0</v>
      </c>
      <c r="L50" s="31" t="n">
        <v>55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70.20999999999999</v>
      </c>
      <c r="P50" s="32" t="n">
        <v>49.69</v>
      </c>
      <c r="Q50" s="32" t="n">
        <v>1874.27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-12.08</v>
      </c>
      <c r="U50" s="32" t="n">
        <v>87.09</v>
      </c>
      <c r="V50" s="32" t="n">
        <v>112.79</v>
      </c>
      <c r="W50" s="32" t="n">
        <v>23.62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16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4" t="inlineStr">
        <is>
          <t>ABDL</t>
        </is>
      </c>
      <c r="D51" s="34" t="inlineStr">
        <is>
          <t>Allied Blenders &amp; Distillers Ltd</t>
        </is>
      </c>
      <c r="E51" s="31" t="inlineStr">
        <is>
          <t>fmcg</t>
        </is>
      </c>
      <c r="F51" s="31" t="inlineStr">
        <is>
          <t>Alcoholic Beverages</t>
        </is>
      </c>
      <c r="G51" s="31" t="inlineStr">
        <is>
          <t>midcap</t>
        </is>
      </c>
      <c r="H51" s="32" t="n">
        <v>19396.5</v>
      </c>
      <c r="I51" s="32" t="n">
        <v>693.45</v>
      </c>
      <c r="J51" s="32" t="n">
        <v>-0.12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64.16</v>
      </c>
      <c r="P51" s="32" t="n">
        <v>26.4</v>
      </c>
      <c r="Q51" s="32" t="n">
        <v>556.87</v>
      </c>
      <c r="R51" s="31" t="inlineStr">
        <is>
          <t>Near 52W High Breakout</t>
        </is>
      </c>
      <c r="S51" s="31" t="inlineStr">
        <is>
          <t>Nifty FMCG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15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JAMNAAUTO</t>
        </is>
      </c>
      <c r="D52" s="34" t="inlineStr">
        <is>
          <t>Jamna Auto Industries Ltd</t>
        </is>
      </c>
      <c r="E52" s="31" t="inlineStr">
        <is>
          <t>auto</t>
        </is>
      </c>
      <c r="F52" s="31" t="inlineStr">
        <is>
          <t>Auto Springs</t>
        </is>
      </c>
      <c r="G52" s="31" t="inlineStr">
        <is>
          <t>midcap</t>
        </is>
      </c>
      <c r="H52" s="32" t="n">
        <v>5862.18</v>
      </c>
      <c r="I52" s="32" t="n">
        <v>146.56</v>
      </c>
      <c r="J52" s="32" t="n">
        <v>-3.43</v>
      </c>
      <c r="K52" s="32" t="n">
        <v>0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60.07</v>
      </c>
      <c r="P52" s="32" t="n">
        <v>34.31</v>
      </c>
      <c r="Q52" s="32" t="n">
        <v>110.01</v>
      </c>
      <c r="R52" s="31" t="inlineStr">
        <is>
          <t>Volume Spike &amp; Near 52W High Breakout</t>
        </is>
      </c>
      <c r="S52" s="31" t="inlineStr">
        <is>
          <t>Nifty Auto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UNIVCABLES</t>
        </is>
      </c>
      <c r="D53" s="31" t="inlineStr">
        <is>
          <t>Universal Cables Ltd</t>
        </is>
      </c>
      <c r="E53" s="31" t="inlineStr">
        <is>
          <t>Industrials</t>
        </is>
      </c>
      <c r="F53" s="31" t="inlineStr">
        <is>
          <t>Cables Power</t>
        </is>
      </c>
      <c r="G53" s="31" t="inlineStr">
        <is>
          <t>midcap</t>
        </is>
      </c>
      <c r="H53" s="32" t="n">
        <v>5398.6</v>
      </c>
      <c r="I53" s="32" t="n">
        <v>1556</v>
      </c>
      <c r="J53" s="32" t="n">
        <v>-4.72</v>
      </c>
      <c r="K53" s="32" t="n">
        <v>0</v>
      </c>
      <c r="L53" s="31" t="n">
        <v>62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63.84</v>
      </c>
      <c r="P53" s="32" t="n">
        <v>53.01</v>
      </c>
      <c r="Q53" s="32" t="n">
        <v>1223.71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-12.08</v>
      </c>
      <c r="U53" s="32" t="n">
        <v>121.59</v>
      </c>
      <c r="V53" s="32" t="n">
        <v>152.03</v>
      </c>
      <c r="W53" s="32" t="n">
        <v>26.71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16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MENONBE</t>
        </is>
      </c>
      <c r="D54" s="34" t="inlineStr">
        <is>
          <t>Menon Bearings Ltd</t>
        </is>
      </c>
      <c r="E54" s="31" t="inlineStr">
        <is>
          <t>Consumer Cyclical</t>
        </is>
      </c>
      <c r="F54" s="31" t="inlineStr">
        <is>
          <t>Bearings</t>
        </is>
      </c>
      <c r="G54" s="31" t="inlineStr">
        <is>
          <t>smallcap</t>
        </is>
      </c>
      <c r="H54" s="32" t="n">
        <v>1611.15</v>
      </c>
      <c r="I54" s="32" t="n">
        <v>287.5</v>
      </c>
      <c r="J54" s="32" t="n">
        <v>-4.63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67.68000000000001</v>
      </c>
      <c r="P54" s="32" t="n">
        <v>70.31999999999999</v>
      </c>
      <c r="Q54" s="32" t="n">
        <v>229.48</v>
      </c>
      <c r="R54" s="31" t="inlineStr">
        <is>
          <t>Volume Spike / Accumulation</t>
        </is>
      </c>
      <c r="S54" s="31" t="inlineStr">
        <is>
          <t>Nifty Auto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15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SPECTRUM</t>
        </is>
      </c>
      <c r="D55" s="34" t="inlineStr">
        <is>
          <t>Spectrum Electrical Industries Ltd</t>
        </is>
      </c>
      <c r="E55" s="31" t="inlineStr">
        <is>
          <t>industrials</t>
        </is>
      </c>
      <c r="F55" s="31" t="inlineStr">
        <is>
          <t>Capital Goods Electric General</t>
        </is>
      </c>
      <c r="G55" s="31" t="inlineStr">
        <is>
          <t>midcap</t>
        </is>
      </c>
      <c r="H55" s="32" t="n">
        <v>6578.67</v>
      </c>
      <c r="I55" s="32" t="n">
        <v>3850</v>
      </c>
      <c r="J55" s="32" t="n">
        <v>-1.38</v>
      </c>
      <c r="K55" s="32" t="n">
        <v>0</v>
      </c>
      <c r="L55" s="31" t="n">
        <v>94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83.34999999999999</v>
      </c>
      <c r="P55" s="32" t="n">
        <v>66.03</v>
      </c>
      <c r="Q55" s="32" t="n">
        <v>2912.22</v>
      </c>
      <c r="R55" s="31" t="inlineStr">
        <is>
          <t>Near 52W High Breakout</t>
        </is>
      </c>
      <c r="S55" s="31" t="inlineStr">
        <is>
          <t>Nifty 50</t>
        </is>
      </c>
      <c r="T55" s="32" t="n">
        <v>-12.08</v>
      </c>
      <c r="U55" s="32" t="n">
        <v>184.59</v>
      </c>
      <c r="V55" s="32" t="n">
        <v>223.67</v>
      </c>
      <c r="W55" s="32" t="n">
        <v>49.56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15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SKYGOLD</t>
        </is>
      </c>
      <c r="D56" s="31" t="inlineStr">
        <is>
          <t>Sky Gold &amp; Diamonds Ltd</t>
        </is>
      </c>
      <c r="E56" s="31" t="inlineStr">
        <is>
          <t>consumer discretionary</t>
        </is>
      </c>
      <c r="F56" s="31" t="inlineStr">
        <is>
          <t>Diamond Gems and Jewellery</t>
        </is>
      </c>
      <c r="G56" s="31" t="inlineStr">
        <is>
          <t>midcap</t>
        </is>
      </c>
      <c r="H56" s="32" t="n">
        <v>13783.78</v>
      </c>
      <c r="I56" s="32" t="n">
        <v>890</v>
      </c>
      <c r="J56" s="32" t="n">
        <v>1.49</v>
      </c>
      <c r="K56" s="32" t="n">
        <v>0</v>
      </c>
      <c r="L56" s="31" t="n">
        <v>75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77.16</v>
      </c>
      <c r="P56" s="32" t="n">
        <v>68.5</v>
      </c>
      <c r="Q56" s="32" t="n">
        <v>678.0700000000001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-12.08</v>
      </c>
      <c r="U56" s="32" t="n">
        <v>158.14</v>
      </c>
      <c r="V56" s="32" t="n">
        <v>193.59</v>
      </c>
      <c r="W56" s="32" t="n">
        <v>31.53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29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GANDHAR</t>
        </is>
      </c>
      <c r="D57" s="31" t="inlineStr">
        <is>
          <t>Gandhar Oil Refinery (India) Ltd</t>
        </is>
      </c>
      <c r="E57" s="31" t="inlineStr">
        <is>
          <t>energy</t>
        </is>
      </c>
      <c r="F57" s="31" t="inlineStr">
        <is>
          <t>Refineries</t>
        </is>
      </c>
      <c r="G57" s="31" t="inlineStr">
        <is>
          <t>smallcap</t>
        </is>
      </c>
      <c r="H57" s="32" t="n">
        <v>2936.66</v>
      </c>
      <c r="I57" s="32" t="n">
        <v>300</v>
      </c>
      <c r="J57" s="32" t="n">
        <v>0.27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71.73999999999999</v>
      </c>
      <c r="P57" s="32" t="n">
        <v>78.25</v>
      </c>
      <c r="Q57" s="32" t="n">
        <v>228.21</v>
      </c>
      <c r="R57" s="31" t="inlineStr">
        <is>
          <t>Near 52W High Breakout</t>
        </is>
      </c>
      <c r="S57" s="31" t="inlineStr">
        <is>
          <t>Nifty Energy</t>
        </is>
      </c>
      <c r="T57" s="32" t="inlineStr"/>
      <c r="U57" s="32" t="inlineStr"/>
      <c r="V57" s="32" t="inlineStr"/>
      <c r="W57" s="32" t="inlineStr"/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Oligopoly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Volatile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MUKANDLTD</t>
        </is>
      </c>
      <c r="D58" s="31" t="inlineStr">
        <is>
          <t>Mukand Ltd</t>
        </is>
      </c>
      <c r="E58" s="31" t="inlineStr">
        <is>
          <t>metals &amp; mining</t>
        </is>
      </c>
      <c r="F58" s="31" t="inlineStr">
        <is>
          <t>Steel</t>
        </is>
      </c>
      <c r="G58" s="31" t="inlineStr">
        <is>
          <t>smallcap</t>
        </is>
      </c>
      <c r="H58" s="32" t="n">
        <v>2514.22</v>
      </c>
      <c r="I58" s="32" t="n">
        <v>174</v>
      </c>
      <c r="J58" s="32" t="n">
        <v>-6.41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72.08</v>
      </c>
      <c r="P58" s="32" t="n">
        <v>42.96</v>
      </c>
      <c r="Q58" s="32" t="n">
        <v>136.45</v>
      </c>
      <c r="R58" s="31" t="inlineStr">
        <is>
          <t>Volume Spike &amp; Near 52W High Breakout</t>
        </is>
      </c>
      <c r="S58" s="31" t="inlineStr">
        <is>
          <t>Nifty Metal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MMP</t>
        </is>
      </c>
      <c r="D59" s="34" t="inlineStr">
        <is>
          <t>MMP Industries Ltd</t>
        </is>
      </c>
      <c r="E59" s="31" t="inlineStr">
        <is>
          <t>metals &amp; mining</t>
        </is>
      </c>
      <c r="F59" s="31" t="inlineStr">
        <is>
          <t>Aluminium Products</t>
        </is>
      </c>
      <c r="G59" s="31" t="inlineStr">
        <is>
          <t>smallcap</t>
        </is>
      </c>
      <c r="H59" s="32" t="n">
        <v>1230.76</v>
      </c>
      <c r="I59" s="32" t="n">
        <v>484.5</v>
      </c>
      <c r="J59" s="32" t="n">
        <v>-2.87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80.61</v>
      </c>
      <c r="P59" s="32" t="n">
        <v>62.05</v>
      </c>
      <c r="Q59" s="32" t="n">
        <v>356.06</v>
      </c>
      <c r="R59" s="31" t="inlineStr">
        <is>
          <t>Near 52W High Breakout</t>
        </is>
      </c>
      <c r="S59" s="31" t="inlineStr">
        <is>
          <t>Nifty Metal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15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DYNAMATECH</t>
        </is>
      </c>
      <c r="D60" s="31" t="inlineStr">
        <is>
          <t>Dynamatic Technologies Ltd</t>
        </is>
      </c>
      <c r="E60" s="31" t="inlineStr">
        <is>
          <t>aerospace &amp; defence</t>
        </is>
      </c>
      <c r="F60" s="31" t="inlineStr">
        <is>
          <t>Aerospace and Defence Equipment</t>
        </is>
      </c>
      <c r="G60" s="31" t="inlineStr">
        <is>
          <t>midcap</t>
        </is>
      </c>
      <c r="H60" s="32" t="n">
        <v>9114.120000000001</v>
      </c>
      <c r="I60" s="32" t="n">
        <v>13420</v>
      </c>
      <c r="J60" s="32" t="n">
        <v>-2.21</v>
      </c>
      <c r="K60" s="32" t="n">
        <v>0</v>
      </c>
      <c r="L60" s="31" t="n">
        <v>41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66.94</v>
      </c>
      <c r="P60" s="32" t="n">
        <v>32.59</v>
      </c>
      <c r="Q60" s="32" t="n">
        <v>10531.16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-12.08</v>
      </c>
      <c r="U60" s="32" t="n">
        <v>71.95999999999999</v>
      </c>
      <c r="V60" s="32" t="n">
        <v>95.56999999999999</v>
      </c>
      <c r="W60" s="32" t="n">
        <v>16.91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15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BIRLACABLE</t>
        </is>
      </c>
      <c r="D61" s="31" t="inlineStr">
        <is>
          <t>Birla Cable Ltd</t>
        </is>
      </c>
      <c r="E61" s="31" t="inlineStr">
        <is>
          <t>Technology</t>
        </is>
      </c>
      <c r="F61" s="31" t="inlineStr">
        <is>
          <t>Cables Telecom</t>
        </is>
      </c>
      <c r="G61" s="31" t="inlineStr">
        <is>
          <t>smallcap</t>
        </is>
      </c>
      <c r="H61" s="32" t="n">
        <v>1108.5</v>
      </c>
      <c r="I61" s="32" t="n">
        <v>369.5</v>
      </c>
      <c r="J61" s="32" t="n">
        <v>-4.04</v>
      </c>
      <c r="K61" s="32" t="n">
        <v>0</v>
      </c>
      <c r="L61" s="31" t="n">
        <v>93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67.81</v>
      </c>
      <c r="P61" s="32" t="n">
        <v>54.8</v>
      </c>
      <c r="Q61" s="32" t="n">
        <v>290.16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-12.08</v>
      </c>
      <c r="U61" s="32" t="n">
        <v>134.18</v>
      </c>
      <c r="V61" s="32" t="n">
        <v>166.35</v>
      </c>
      <c r="W61" s="32" t="n">
        <v>43.5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KPL</t>
        </is>
      </c>
      <c r="D62" s="31" t="inlineStr">
        <is>
          <t>Kwality Pharmaceuticals Ltd</t>
        </is>
      </c>
      <c r="E62" s="31" t="inlineStr">
        <is>
          <t>Healthcare</t>
        </is>
      </c>
      <c r="F62" s="31" t="inlineStr">
        <is>
          <t>Pharma Formulations</t>
        </is>
      </c>
      <c r="G62" s="31" t="inlineStr">
        <is>
          <t>smallcap</t>
        </is>
      </c>
      <c r="H62" s="32" t="n">
        <v>3638</v>
      </c>
      <c r="I62" s="32" t="n">
        <v>3506.1</v>
      </c>
      <c r="J62" s="32" t="n">
        <v>-4.78</v>
      </c>
      <c r="K62" s="32" t="n">
        <v>0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70.23</v>
      </c>
      <c r="P62" s="32" t="n">
        <v>68.42</v>
      </c>
      <c r="Q62" s="32" t="n">
        <v>2681.34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16.23</v>
      </c>
      <c r="U62" s="32" t="n">
        <v>304.98</v>
      </c>
      <c r="V62" s="32" t="n">
        <v>248.44</v>
      </c>
      <c r="W62" s="32" t="n">
        <v>41.22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MMWL</t>
        </is>
      </c>
      <c r="D63" s="34" t="inlineStr">
        <is>
          <t>Media Matrix Worldwide Ltd</t>
        </is>
      </c>
      <c r="E63" s="31" t="inlineStr">
        <is>
          <t>Communication Services</t>
        </is>
      </c>
      <c r="F63" s="31" t="inlineStr">
        <is>
          <t>Technology Distribution</t>
        </is>
      </c>
      <c r="G63" s="31" t="inlineStr">
        <is>
          <t>smallcap</t>
        </is>
      </c>
      <c r="H63" s="32" t="n">
        <v>2259.82</v>
      </c>
      <c r="I63" s="32" t="n">
        <v>19.95</v>
      </c>
      <c r="J63" s="32" t="n">
        <v>9.98</v>
      </c>
      <c r="K63" s="32" t="n">
        <v>0</v>
      </c>
      <c r="L63" s="31" t="n">
        <v>61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73.19</v>
      </c>
      <c r="P63" s="32" t="n">
        <v>35.89</v>
      </c>
      <c r="Q63" s="32" t="n">
        <v>14.2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-12.08</v>
      </c>
      <c r="U63" s="32" t="n">
        <v>85.06</v>
      </c>
      <c r="V63" s="32" t="n">
        <v>110.48</v>
      </c>
      <c r="W63" s="32" t="n">
        <v>25.63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ONEPOINT</t>
        </is>
      </c>
      <c r="D64" s="31" t="inlineStr">
        <is>
          <t>One Point One Solutions Ltd</t>
        </is>
      </c>
      <c r="E64" s="31" t="inlineStr">
        <is>
          <t>i.t</t>
        </is>
      </c>
      <c r="F64" s="31" t="inlineStr">
        <is>
          <t>IT Enabled Services</t>
        </is>
      </c>
      <c r="G64" s="31" t="inlineStr">
        <is>
          <t>smallcap</t>
        </is>
      </c>
      <c r="H64" s="32" t="n">
        <v>2071.94</v>
      </c>
      <c r="I64" s="32" t="n">
        <v>78.8</v>
      </c>
      <c r="J64" s="32" t="n">
        <v>0.04</v>
      </c>
      <c r="K64" s="32" t="n">
        <v>0</v>
      </c>
      <c r="L64" s="31" t="n">
        <v>47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75.38</v>
      </c>
      <c r="P64" s="32" t="n">
        <v>19.2</v>
      </c>
      <c r="Q64" s="32" t="n">
        <v>61.84</v>
      </c>
      <c r="R64" s="31" t="inlineStr">
        <is>
          <t>Near 52W High Breakout</t>
        </is>
      </c>
      <c r="S64" s="31" t="inlineStr">
        <is>
          <t>Nifty IT</t>
        </is>
      </c>
      <c r="T64" s="32" t="n">
        <v>-22.11</v>
      </c>
      <c r="U64" s="32" t="n">
        <v>57.82</v>
      </c>
      <c r="V64" s="32" t="n">
        <v>102.61</v>
      </c>
      <c r="W64" s="32" t="n">
        <v>20.01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SOTL</t>
        </is>
      </c>
      <c r="D65" s="34" t="inlineStr">
        <is>
          <t>Savita Oil Technologies Ltd</t>
        </is>
      </c>
      <c r="E65" s="31" t="inlineStr">
        <is>
          <t>energy</t>
        </is>
      </c>
      <c r="F65" s="31" t="inlineStr">
        <is>
          <t>Petrochemicals Others</t>
        </is>
      </c>
      <c r="G65" s="31" t="inlineStr">
        <is>
          <t>midcap</t>
        </is>
      </c>
      <c r="H65" s="32" t="n">
        <v>5255.84</v>
      </c>
      <c r="I65" s="32" t="n">
        <v>766.6</v>
      </c>
      <c r="J65" s="32" t="n">
        <v>-4.63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68.41</v>
      </c>
      <c r="P65" s="32" t="n">
        <v>65.31999999999999</v>
      </c>
      <c r="Q65" s="32" t="n">
        <v>519.74</v>
      </c>
      <c r="R65" s="31" t="inlineStr">
        <is>
          <t>Near 52W High Breakout</t>
        </is>
      </c>
      <c r="S65" s="31" t="inlineStr">
        <is>
          <t>Nifty Energy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AEGISLOG</t>
        </is>
      </c>
      <c r="D66" s="31" t="inlineStr">
        <is>
          <t>Aegis Logistics Ltd</t>
        </is>
      </c>
      <c r="E66" s="31" t="inlineStr">
        <is>
          <t>Energy</t>
        </is>
      </c>
      <c r="F66" s="31" t="inlineStr">
        <is>
          <t>Logistics</t>
        </is>
      </c>
      <c r="G66" s="31" t="inlineStr">
        <is>
          <t>largecap</t>
        </is>
      </c>
      <c r="H66" s="32" t="n">
        <v>48578.4</v>
      </c>
      <c r="I66" s="32" t="n">
        <v>1384</v>
      </c>
      <c r="J66" s="32" t="n">
        <v>-5.22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63.86</v>
      </c>
      <c r="P66" s="32" t="n">
        <v>56.78</v>
      </c>
      <c r="Q66" s="32" t="n">
        <v>1015.88</v>
      </c>
      <c r="R66" s="31" t="inlineStr">
        <is>
          <t>Near 52W High Breakout</t>
        </is>
      </c>
      <c r="S66" s="31" t="inlineStr">
        <is>
          <t>Nifty Energy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WHEELS</t>
        </is>
      </c>
      <c r="D67" s="31" t="inlineStr">
        <is>
          <t>Wheels India Ltd</t>
        </is>
      </c>
      <c r="E67" s="31" t="inlineStr">
        <is>
          <t>auto</t>
        </is>
      </c>
      <c r="F67" s="31" t="inlineStr">
        <is>
          <t>Auto Wheels</t>
        </is>
      </c>
      <c r="G67" s="31" t="inlineStr">
        <is>
          <t>midcap</t>
        </is>
      </c>
      <c r="H67" s="32" t="n">
        <v>5868.89</v>
      </c>
      <c r="I67" s="32" t="n">
        <v>2184.8</v>
      </c>
      <c r="J67" s="32" t="n">
        <v>-4.34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73.23</v>
      </c>
      <c r="P67" s="32" t="n">
        <v>60.26</v>
      </c>
      <c r="Q67" s="32" t="n">
        <v>1695.01</v>
      </c>
      <c r="R67" s="31" t="inlineStr">
        <is>
          <t>Near 52W High Breakout</t>
        </is>
      </c>
      <c r="S67" s="31" t="inlineStr">
        <is>
          <t>Nifty Auto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YASHHV</t>
        </is>
      </c>
      <c r="D68" s="31" t="inlineStr">
        <is>
          <t>Yash Highvoltage Ltd</t>
        </is>
      </c>
      <c r="E68" s="31" t="inlineStr">
        <is>
          <t>Industrials</t>
        </is>
      </c>
      <c r="F68" s="31" t="inlineStr">
        <is>
          <t>Electric Equipment General</t>
        </is>
      </c>
      <c r="G68" s="31" t="inlineStr">
        <is>
          <t>smallcap</t>
        </is>
      </c>
      <c r="H68" s="32" t="n">
        <v>3438.58</v>
      </c>
      <c r="I68" s="32" t="n">
        <v>1150.5</v>
      </c>
      <c r="J68" s="32" t="n">
        <v>-3.67</v>
      </c>
      <c r="K68" s="32" t="n">
        <v>0</v>
      </c>
      <c r="L68" s="31" t="n">
        <v>63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77.03</v>
      </c>
      <c r="P68" s="32" t="n">
        <v>63.57</v>
      </c>
      <c r="Q68" s="32" t="n">
        <v>865.61</v>
      </c>
      <c r="R68" s="31" t="inlineStr">
        <is>
          <t>Near 52W High Breakout</t>
        </is>
      </c>
      <c r="S68" s="31" t="inlineStr">
        <is>
          <t>Nifty 50</t>
        </is>
      </c>
      <c r="T68" s="32" t="n">
        <v>-12.08</v>
      </c>
      <c r="U68" s="32" t="n">
        <v>117.47</v>
      </c>
      <c r="V68" s="32" t="n">
        <v>147.34</v>
      </c>
      <c r="W68" s="32" t="n">
        <v>26.87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FINCABLES</t>
        </is>
      </c>
      <c r="D69" s="31" t="inlineStr">
        <is>
          <t>Finolex Cables Ltd</t>
        </is>
      </c>
      <c r="E69" s="31" t="inlineStr">
        <is>
          <t>Industrials</t>
        </is>
      </c>
      <c r="F69" s="31" t="inlineStr">
        <is>
          <t>Cables Telecom</t>
        </is>
      </c>
      <c r="G69" s="31" t="inlineStr">
        <is>
          <t>largecap</t>
        </is>
      </c>
      <c r="H69" s="32" t="n">
        <v>21442.1</v>
      </c>
      <c r="I69" s="32" t="n">
        <v>1402</v>
      </c>
      <c r="J69" s="32" t="n">
        <v>-5.49</v>
      </c>
      <c r="K69" s="32" t="n">
        <v>0</v>
      </c>
      <c r="L69" s="31" t="n">
        <v>46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66.02</v>
      </c>
      <c r="P69" s="32" t="n">
        <v>40.14</v>
      </c>
      <c r="Q69" s="32" t="n">
        <v>1119.79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-12.08</v>
      </c>
      <c r="U69" s="32" t="n">
        <v>75.81</v>
      </c>
      <c r="V69" s="32" t="n">
        <v>99.95999999999999</v>
      </c>
      <c r="W69" s="32" t="n">
        <v>19.63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15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DEEPINDS</t>
        </is>
      </c>
      <c r="D70" s="34" t="inlineStr">
        <is>
          <t>Deep Industries Ltd</t>
        </is>
      </c>
      <c r="E70" s="31" t="inlineStr">
        <is>
          <t>energy</t>
        </is>
      </c>
      <c r="F70" s="31" t="inlineStr">
        <is>
          <t>Oil Drilling and Exploration</t>
        </is>
      </c>
      <c r="G70" s="31" t="inlineStr">
        <is>
          <t>smallcap</t>
        </is>
      </c>
      <c r="H70" s="32" t="n">
        <v>4926.72</v>
      </c>
      <c r="I70" s="32" t="n">
        <v>769.8</v>
      </c>
      <c r="J70" s="32" t="n">
        <v>-3.24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71.3</v>
      </c>
      <c r="P70" s="32" t="n">
        <v>39.83</v>
      </c>
      <c r="Q70" s="32" t="n">
        <v>593.84</v>
      </c>
      <c r="R70" s="31" t="inlineStr">
        <is>
          <t>Near 52W High Breakout</t>
        </is>
      </c>
      <c r="S70" s="31" t="inlineStr">
        <is>
          <t>Nifty Energy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15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ENGINERSIN</t>
        </is>
      </c>
      <c r="D71" s="31" t="inlineStr">
        <is>
          <t>Engineers India Ltd</t>
        </is>
      </c>
      <c r="E71" s="31" t="inlineStr">
        <is>
          <t>Industrials</t>
        </is>
      </c>
      <c r="F71" s="31" t="inlineStr">
        <is>
          <t>Infra Engineering General</t>
        </is>
      </c>
      <c r="G71" s="31" t="inlineStr">
        <is>
          <t>midcap</t>
        </is>
      </c>
      <c r="H71" s="32" t="n">
        <v>16254.27</v>
      </c>
      <c r="I71" s="32" t="n">
        <v>289.2</v>
      </c>
      <c r="J71" s="32" t="n">
        <v>-6.2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62.04</v>
      </c>
      <c r="P71" s="32" t="n">
        <v>21.27</v>
      </c>
      <c r="Q71" s="32" t="n">
        <v>246.86</v>
      </c>
      <c r="R71" s="31" t="inlineStr">
        <is>
          <t>Earnings / Momentum Support</t>
        </is>
      </c>
      <c r="S71" s="31" t="inlineStr">
        <is>
          <t>Nifty Infra</t>
        </is>
      </c>
      <c r="T71" s="32" t="inlineStr"/>
      <c r="U71" s="32" t="inlineStr"/>
      <c r="V71" s="32" t="inlineStr"/>
      <c r="W71" s="32" t="inlineStr"/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PVRINOX</t>
        </is>
      </c>
      <c r="D72" s="34" t="inlineStr">
        <is>
          <t>PVR Inox Ltd</t>
        </is>
      </c>
      <c r="E72" s="31" t="inlineStr">
        <is>
          <t>media</t>
        </is>
      </c>
      <c r="F72" s="31" t="inlineStr">
        <is>
          <t>Entertainment and Media</t>
        </is>
      </c>
      <c r="G72" s="31" t="inlineStr">
        <is>
          <t>midcap</t>
        </is>
      </c>
      <c r="H72" s="32" t="n">
        <v>12842.59</v>
      </c>
      <c r="I72" s="32" t="n">
        <v>1307.8</v>
      </c>
      <c r="J72" s="32" t="n">
        <v>-2.68</v>
      </c>
      <c r="K72" s="32" t="n">
        <v>0</v>
      </c>
      <c r="L72" s="31" t="n">
        <v>24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68.06</v>
      </c>
      <c r="P72" s="32" t="n">
        <v>34.51</v>
      </c>
      <c r="Q72" s="32" t="n">
        <v>1072.64</v>
      </c>
      <c r="R72" s="31" t="inlineStr">
        <is>
          <t>Volume Spike &amp; Near 52W High Breakout</t>
        </is>
      </c>
      <c r="S72" s="31" t="inlineStr">
        <is>
          <t>Nifty IT</t>
        </is>
      </c>
      <c r="T72" s="32" t="n">
        <v>-22.11</v>
      </c>
      <c r="U72" s="32" t="n">
        <v>20.11</v>
      </c>
      <c r="V72" s="32" t="n">
        <v>54.2</v>
      </c>
      <c r="W72" s="32" t="n">
        <v>10.71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15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INOVSYNTH</t>
        </is>
      </c>
      <c r="D73" s="31" t="inlineStr">
        <is>
          <t>Innovassynth Technologies (India) Ltd</t>
        </is>
      </c>
      <c r="E73" s="31" t="inlineStr">
        <is>
          <t>Basic Materials</t>
        </is>
      </c>
      <c r="F73" s="31" t="inlineStr">
        <is>
          <t>Specialty Chemicals</t>
        </is>
      </c>
      <c r="G73" s="31" t="inlineStr">
        <is>
          <t>smallcap</t>
        </is>
      </c>
      <c r="H73" s="32" t="n">
        <v>1547.99</v>
      </c>
      <c r="I73" s="32" t="n">
        <v>166.7</v>
      </c>
      <c r="J73" s="32" t="n">
        <v>1.99</v>
      </c>
      <c r="K73" s="32" t="n">
        <v>0</v>
      </c>
      <c r="L73" s="31" t="n">
        <v>54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86.91</v>
      </c>
      <c r="P73" s="32" t="n">
        <v>58.65</v>
      </c>
      <c r="Q73" s="32" t="n">
        <v>146.94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-12.08</v>
      </c>
      <c r="U73" s="32" t="n">
        <v>85.43000000000001</v>
      </c>
      <c r="V73" s="32" t="n">
        <v>110.9</v>
      </c>
      <c r="W73" s="32" t="n">
        <v>22.85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STLTECH</t>
        </is>
      </c>
      <c r="D74" s="31" t="inlineStr">
        <is>
          <t>Sterlite Technologies Ltd</t>
        </is>
      </c>
      <c r="E74" s="31" t="inlineStr">
        <is>
          <t>industrials</t>
        </is>
      </c>
      <c r="F74" s="31" t="inlineStr">
        <is>
          <t>Cables Telecom</t>
        </is>
      </c>
      <c r="G74" s="31" t="inlineStr">
        <is>
          <t>largecap</t>
        </is>
      </c>
      <c r="H74" s="32" t="n">
        <v>51662.77</v>
      </c>
      <c r="I74" s="32" t="n">
        <v>1005</v>
      </c>
      <c r="J74" s="32" t="n">
        <v>-1.16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79.91</v>
      </c>
      <c r="P74" s="32" t="n">
        <v>71.38</v>
      </c>
      <c r="Q74" s="32" t="n">
        <v>745.26</v>
      </c>
      <c r="R74" s="31" t="inlineStr">
        <is>
          <t>Near 52W High Breakout</t>
        </is>
      </c>
      <c r="S74" s="31" t="inlineStr">
        <is>
          <t>Nifty Infra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HONASA</t>
        </is>
      </c>
      <c r="D75" s="34" t="inlineStr">
        <is>
          <t>Honasa Consumer Ltd</t>
        </is>
      </c>
      <c r="E75" s="31" t="inlineStr">
        <is>
          <t>Consumer Defensive</t>
        </is>
      </c>
      <c r="F75" s="31" t="inlineStr">
        <is>
          <t>New age Platform E Retail</t>
        </is>
      </c>
      <c r="G75" s="31" t="inlineStr">
        <is>
          <t>midcap</t>
        </is>
      </c>
      <c r="H75" s="32" t="n">
        <v>15272.6</v>
      </c>
      <c r="I75" s="32" t="n">
        <v>468.45</v>
      </c>
      <c r="J75" s="32" t="n">
        <v>-1.8</v>
      </c>
      <c r="K75" s="32" t="n">
        <v>0</v>
      </c>
      <c r="L75" s="31" t="n">
        <v>25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60.33</v>
      </c>
      <c r="P75" s="32" t="n">
        <v>53.42</v>
      </c>
      <c r="Q75" s="32" t="n">
        <v>394.26</v>
      </c>
      <c r="R75" s="31" t="inlineStr">
        <is>
          <t>Volume Spike / Accumulation</t>
        </is>
      </c>
      <c r="S75" s="31" t="inlineStr">
        <is>
          <t>Nifty 50</t>
        </is>
      </c>
      <c r="T75" s="32" t="n">
        <v>-12.08</v>
      </c>
      <c r="U75" s="32" t="n">
        <v>61.18</v>
      </c>
      <c r="V75" s="32" t="n">
        <v>83.31999999999999</v>
      </c>
      <c r="W75" s="32" t="n">
        <v>10.89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15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KRISHANA</t>
        </is>
      </c>
      <c r="D76" s="31" t="inlineStr">
        <is>
          <t>Krishana Phoschem Ltd</t>
        </is>
      </c>
      <c r="E76" s="31" t="inlineStr">
        <is>
          <t>Basic Materials</t>
        </is>
      </c>
      <c r="F76" s="31" t="inlineStr">
        <is>
          <t>Fertilisers</t>
        </is>
      </c>
      <c r="G76" s="31" t="inlineStr">
        <is>
          <t>midcap</t>
        </is>
      </c>
      <c r="H76" s="32" t="n">
        <v>5851.98</v>
      </c>
      <c r="I76" s="32" t="n">
        <v>189.3</v>
      </c>
      <c r="J76" s="32" t="n">
        <v>-1.09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67.92</v>
      </c>
      <c r="P76" s="32" t="n">
        <v>52.02</v>
      </c>
      <c r="Q76" s="32" t="n">
        <v>153.66</v>
      </c>
      <c r="R76" s="31" t="inlineStr">
        <is>
          <t>Near 52W High Breakout</t>
        </is>
      </c>
      <c r="S76" s="31" t="inlineStr">
        <is>
          <t>Nifty FMCG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More than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15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BODALCHEM</t>
        </is>
      </c>
      <c r="D77" s="31" t="inlineStr">
        <is>
          <t>Bodal Chemicals Ltd</t>
        </is>
      </c>
      <c r="E77" s="31" t="inlineStr">
        <is>
          <t>Basic Materials</t>
        </is>
      </c>
      <c r="F77" s="31" t="inlineStr">
        <is>
          <t>Dyes and Pigments</t>
        </is>
      </c>
      <c r="G77" s="31" t="inlineStr">
        <is>
          <t>smallcap</t>
        </is>
      </c>
      <c r="H77" s="32" t="n">
        <v>2203.27</v>
      </c>
      <c r="I77" s="32" t="n">
        <v>174.94</v>
      </c>
      <c r="J77" s="32" t="n">
        <v>-5</v>
      </c>
      <c r="K77" s="32" t="n">
        <v>0</v>
      </c>
      <c r="L77" s="31" t="n">
        <v>98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74.63</v>
      </c>
      <c r="P77" s="32" t="n">
        <v>51.6</v>
      </c>
      <c r="Q77" s="32" t="n">
        <v>155.48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-12.08</v>
      </c>
      <c r="U77" s="32" t="n">
        <v>188.74</v>
      </c>
      <c r="V77" s="32" t="n">
        <v>228.4</v>
      </c>
      <c r="W77" s="32" t="n">
        <v>80.83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ASMTEC</t>
        </is>
      </c>
      <c r="D78" s="31" t="inlineStr">
        <is>
          <t>ASM Technologies Ltd</t>
        </is>
      </c>
      <c r="E78" s="31" t="inlineStr">
        <is>
          <t>Technology</t>
        </is>
      </c>
      <c r="F78" s="31" t="inlineStr">
        <is>
          <t>IT Services</t>
        </is>
      </c>
      <c r="G78" s="31" t="inlineStr">
        <is>
          <t>midcap</t>
        </is>
      </c>
      <c r="H78" s="32" t="n">
        <v>9773.059999999999</v>
      </c>
      <c r="I78" s="32" t="n">
        <v>6700</v>
      </c>
      <c r="J78" s="32" t="n">
        <v>-2.88</v>
      </c>
      <c r="K78" s="32" t="n">
        <v>0</v>
      </c>
      <c r="L78" s="31" t="n">
        <v>68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75.84</v>
      </c>
      <c r="P78" s="32" t="n">
        <v>59.89</v>
      </c>
      <c r="Q78" s="32" t="n">
        <v>5193.32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-12.08</v>
      </c>
      <c r="U78" s="32" t="n">
        <v>79</v>
      </c>
      <c r="V78" s="32" t="n">
        <v>103.58</v>
      </c>
      <c r="W78" s="32" t="n">
        <v>28.62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ACCENTMIC</t>
        </is>
      </c>
      <c r="D79" s="31" t="inlineStr">
        <is>
          <t>Accent Microcell Ltd</t>
        </is>
      </c>
      <c r="E79" s="31" t="inlineStr">
        <is>
          <t>unknown</t>
        </is>
      </c>
      <c r="F79" s="31" t="inlineStr">
        <is>
          <t>Pharma Formulations</t>
        </is>
      </c>
      <c r="G79" s="31" t="inlineStr">
        <is>
          <t>smallcap</t>
        </is>
      </c>
      <c r="H79" s="32" t="n">
        <v>1552.45</v>
      </c>
      <c r="I79" s="32" t="n">
        <v>647.15</v>
      </c>
      <c r="J79" s="32" t="n">
        <v>-2.93</v>
      </c>
      <c r="K79" s="32" t="n">
        <v>0</v>
      </c>
      <c r="L79" s="31" t="n">
        <v>67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72.62</v>
      </c>
      <c r="P79" s="32" t="n">
        <v>68.20999999999999</v>
      </c>
      <c r="Q79" s="32" t="n">
        <v>592.61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-12.08</v>
      </c>
      <c r="U79" s="32" t="n">
        <v>162.98</v>
      </c>
      <c r="V79" s="32" t="n">
        <v>199.1</v>
      </c>
      <c r="W79" s="32" t="n">
        <v>28.08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MODISONLTD</t>
        </is>
      </c>
      <c r="D80" s="31" t="inlineStr">
        <is>
          <t>Modison Ltd</t>
        </is>
      </c>
      <c r="E80" s="31" t="inlineStr">
        <is>
          <t>Industrials</t>
        </is>
      </c>
      <c r="F80" s="31" t="inlineStr">
        <is>
          <t>Capital Goods Electric General</t>
        </is>
      </c>
      <c r="G80" s="31" t="inlineStr">
        <is>
          <t>smallcap</t>
        </is>
      </c>
      <c r="H80" s="32" t="n">
        <v>1506.98</v>
      </c>
      <c r="I80" s="32" t="n">
        <v>464.4</v>
      </c>
      <c r="J80" s="32" t="n">
        <v>-4.99</v>
      </c>
      <c r="K80" s="32" t="n">
        <v>0</v>
      </c>
      <c r="L80" s="31" t="n">
        <v>91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68.76000000000001</v>
      </c>
      <c r="P80" s="32" t="n">
        <v>56.72</v>
      </c>
      <c r="Q80" s="32" t="n">
        <v>358.15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-12.08</v>
      </c>
      <c r="U80" s="32" t="n">
        <v>193.09</v>
      </c>
      <c r="V80" s="32" t="n">
        <v>233.34</v>
      </c>
      <c r="W80" s="32" t="n">
        <v>43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RAMRAT</t>
        </is>
      </c>
      <c r="D81" s="31" t="inlineStr">
        <is>
          <t>Ram Ratna Wires Ltd</t>
        </is>
      </c>
      <c r="E81" s="31" t="inlineStr">
        <is>
          <t>metals &amp; mining</t>
        </is>
      </c>
      <c r="F81" s="31" t="inlineStr">
        <is>
          <t>Copper Wires</t>
        </is>
      </c>
      <c r="G81" s="31" t="inlineStr">
        <is>
          <t>midcap</t>
        </is>
      </c>
      <c r="H81" s="32" t="n">
        <v>5680.76</v>
      </c>
      <c r="I81" s="32" t="n">
        <v>608.55</v>
      </c>
      <c r="J81" s="32" t="n">
        <v>-4.53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73.27</v>
      </c>
      <c r="P81" s="32" t="n">
        <v>51.26</v>
      </c>
      <c r="Q81" s="32" t="n">
        <v>465.78</v>
      </c>
      <c r="R81" s="31" t="inlineStr">
        <is>
          <t>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JAYKAY</t>
        </is>
      </c>
      <c r="D82" s="31" t="inlineStr">
        <is>
          <t>Jaykay Enterprises Ltd</t>
        </is>
      </c>
      <c r="E82" s="31" t="inlineStr">
        <is>
          <t>Industrials</t>
        </is>
      </c>
      <c r="F82" s="31" t="inlineStr">
        <is>
          <t>Aerospace and Defence Equipment</t>
        </is>
      </c>
      <c r="G82" s="31" t="inlineStr">
        <is>
          <t>smallcap</t>
        </is>
      </c>
      <c r="H82" s="32" t="n">
        <v>3631.17</v>
      </c>
      <c r="I82" s="32" t="n">
        <v>240.7</v>
      </c>
      <c r="J82" s="32" t="n">
        <v>-8.27</v>
      </c>
      <c r="K82" s="32" t="n">
        <v>0</v>
      </c>
      <c r="L82" s="31" t="n">
        <v>31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71.84</v>
      </c>
      <c r="P82" s="32" t="n">
        <v>19.53</v>
      </c>
      <c r="Q82" s="32" t="n">
        <v>164.03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-15.1</v>
      </c>
      <c r="U82" s="32" t="n">
        <v>18.43</v>
      </c>
      <c r="V82" s="32" t="n">
        <v>39.49</v>
      </c>
      <c r="W82" s="32" t="n">
        <v>14.78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16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SVRL</t>
        </is>
      </c>
      <c r="D83" s="34" t="inlineStr">
        <is>
          <t>Shri Venkatesh Refineries Ltd</t>
        </is>
      </c>
      <c r="E83" s="31" t="inlineStr">
        <is>
          <t>Consumer Defensive</t>
        </is>
      </c>
      <c r="F83" s="31" t="inlineStr">
        <is>
          <t>Solvent Extraction</t>
        </is>
      </c>
      <c r="G83" s="31" t="inlineStr">
        <is>
          <t>smallcap</t>
        </is>
      </c>
      <c r="H83" s="32" t="n">
        <v>1543.71</v>
      </c>
      <c r="I83" s="32" t="n">
        <v>697.9</v>
      </c>
      <c r="J83" s="32" t="n">
        <v>1.02</v>
      </c>
      <c r="K83" s="32" t="n">
        <v>0</v>
      </c>
      <c r="L83" s="31" t="n">
        <v>92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82.73</v>
      </c>
      <c r="P83" s="32" t="n">
        <v>61.44</v>
      </c>
      <c r="Q83" s="32" t="n">
        <v>528.86</v>
      </c>
      <c r="R83" s="31" t="inlineStr">
        <is>
          <t>Near 52W High Breakout</t>
        </is>
      </c>
      <c r="S83" s="31" t="inlineStr">
        <is>
          <t>Nifty 50</t>
        </is>
      </c>
      <c r="T83" s="32" t="n">
        <v>-12.08</v>
      </c>
      <c r="U83" s="32" t="n">
        <v>153.96</v>
      </c>
      <c r="V83" s="32" t="n">
        <v>188.84</v>
      </c>
      <c r="W83" s="32" t="n">
        <v>43.05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MTARTECH</t>
        </is>
      </c>
      <c r="D84" s="34" t="inlineStr">
        <is>
          <t>MTAR Technologies Ltd</t>
        </is>
      </c>
      <c r="E84" s="31" t="inlineStr">
        <is>
          <t>aerospace &amp; defence</t>
        </is>
      </c>
      <c r="F84" s="31" t="inlineStr">
        <is>
          <t>Aerospace and Defence Equipment</t>
        </is>
      </c>
      <c r="G84" s="31" t="inlineStr">
        <is>
          <t>largecap</t>
        </is>
      </c>
      <c r="H84" s="32" t="n">
        <v>24146.28</v>
      </c>
      <c r="I84" s="32" t="n">
        <v>7850</v>
      </c>
      <c r="J84" s="32" t="n">
        <v>-0.18</v>
      </c>
      <c r="K84" s="32" t="n">
        <v>0</v>
      </c>
      <c r="L84" s="31" t="n">
        <v>84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64.48</v>
      </c>
      <c r="P84" s="32" t="n">
        <v>18.24</v>
      </c>
      <c r="Q84" s="32" t="n">
        <v>5521.1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-12.08</v>
      </c>
      <c r="U84" s="32" t="n">
        <v>317.37</v>
      </c>
      <c r="V84" s="32" t="n">
        <v>374.7</v>
      </c>
      <c r="W84" s="32" t="n">
        <v>37.88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SBC</t>
        </is>
      </c>
      <c r="D85" s="31" t="inlineStr">
        <is>
          <t>SBC Exports Ltd</t>
        </is>
      </c>
      <c r="E85" s="31" t="inlineStr">
        <is>
          <t>textiles</t>
        </is>
      </c>
      <c r="F85" s="31" t="inlineStr">
        <is>
          <t>Textiles Readymade Apparel</t>
        </is>
      </c>
      <c r="G85" s="31" t="inlineStr">
        <is>
          <t>smallcap</t>
        </is>
      </c>
      <c r="H85" s="32" t="n">
        <v>3014.28</v>
      </c>
      <c r="I85" s="32" t="n">
        <v>63.3</v>
      </c>
      <c r="J85" s="32" t="n">
        <v>2.48</v>
      </c>
      <c r="K85" s="32" t="n">
        <v>0</v>
      </c>
      <c r="L85" s="31" t="n">
        <v>78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87</v>
      </c>
      <c r="P85" s="32" t="n">
        <v>32.35</v>
      </c>
      <c r="Q85" s="32" t="n">
        <v>52.08</v>
      </c>
      <c r="R85" s="31" t="inlineStr">
        <is>
          <t>Volume Spike &amp; Near 52W High Breakout</t>
        </is>
      </c>
      <c r="S85" s="31" t="inlineStr">
        <is>
          <t>Nifty 50</t>
        </is>
      </c>
      <c r="T85" s="32" t="n">
        <v>-12.08</v>
      </c>
      <c r="U85" s="32" t="n">
        <v>177.85</v>
      </c>
      <c r="V85" s="32" t="n">
        <v>216.01</v>
      </c>
      <c r="W85" s="32" t="n">
        <v>33.55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22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BHEL</t>
        </is>
      </c>
      <c r="D86" s="31" t="inlineStr">
        <is>
          <t>Bharat Heavy Electricals Ltd</t>
        </is>
      </c>
      <c r="E86" s="31" t="inlineStr">
        <is>
          <t>Industrials</t>
        </is>
      </c>
      <c r="F86" s="31" t="inlineStr">
        <is>
          <t>Capital Goods Engineering Heavy</t>
        </is>
      </c>
      <c r="G86" s="31" t="inlineStr">
        <is>
          <t>largecap</t>
        </is>
      </c>
      <c r="H86" s="32" t="n">
        <v>149589.44</v>
      </c>
      <c r="I86" s="32" t="n">
        <v>429.6</v>
      </c>
      <c r="J86" s="32" t="n">
        <v>-4.21</v>
      </c>
      <c r="K86" s="32" t="n">
        <v>0</v>
      </c>
      <c r="L86" s="31" t="n">
        <v>32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62.45</v>
      </c>
      <c r="P86" s="32" t="n">
        <v>35.85</v>
      </c>
      <c r="Q86" s="32" t="n">
        <v>355.28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-12.08</v>
      </c>
      <c r="U86" s="32" t="n">
        <v>79.84999999999999</v>
      </c>
      <c r="V86" s="32" t="n">
        <v>104.55</v>
      </c>
      <c r="W86" s="32" t="n">
        <v>15.03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SUNFLAG</t>
        </is>
      </c>
      <c r="D87" s="31" t="inlineStr">
        <is>
          <t>Sunflag Iron &amp; Steel Company Ltd</t>
        </is>
      </c>
      <c r="E87" s="31" t="inlineStr">
        <is>
          <t>metals &amp; mining</t>
        </is>
      </c>
      <c r="F87" s="31" t="inlineStr">
        <is>
          <t>Steel Products</t>
        </is>
      </c>
      <c r="G87" s="31" t="inlineStr">
        <is>
          <t>midcap</t>
        </is>
      </c>
      <c r="H87" s="32" t="n">
        <v>8122.49</v>
      </c>
      <c r="I87" s="32" t="n">
        <v>450.7</v>
      </c>
      <c r="J87" s="32" t="n">
        <v>-5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72.56</v>
      </c>
      <c r="P87" s="32" t="n">
        <v>35.1</v>
      </c>
      <c r="Q87" s="32" t="n">
        <v>340.82</v>
      </c>
      <c r="R87" s="31" t="inlineStr">
        <is>
          <t>Near 52W High Breakout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17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NRBBEARING</t>
        </is>
      </c>
      <c r="D88" s="31" t="inlineStr">
        <is>
          <t>NRB Bearings Ltd</t>
        </is>
      </c>
      <c r="E88" s="31" t="inlineStr">
        <is>
          <t>Consumer Cyclical</t>
        </is>
      </c>
      <c r="F88" s="31" t="inlineStr">
        <is>
          <t>Bearings</t>
        </is>
      </c>
      <c r="G88" s="31" t="inlineStr">
        <is>
          <t>smallcap</t>
        </is>
      </c>
      <c r="H88" s="32" t="n">
        <v>4943.05</v>
      </c>
      <c r="I88" s="32" t="n">
        <v>510</v>
      </c>
      <c r="J88" s="32" t="n">
        <v>-3.76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66.52</v>
      </c>
      <c r="P88" s="32" t="n">
        <v>50.3</v>
      </c>
      <c r="Q88" s="32" t="n">
        <v>415.64</v>
      </c>
      <c r="R88" s="31" t="inlineStr">
        <is>
          <t>Earnings / Momentum Support</t>
        </is>
      </c>
      <c r="S88" s="31" t="inlineStr">
        <is>
          <t>Nifty Auto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16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RATNAVEER</t>
        </is>
      </c>
      <c r="D89" s="31" t="inlineStr">
        <is>
          <t>Ratnaveer Precision Engineering Ltd</t>
        </is>
      </c>
      <c r="E89" s="31" t="inlineStr">
        <is>
          <t>metals &amp; mining</t>
        </is>
      </c>
      <c r="F89" s="31" t="inlineStr">
        <is>
          <t>Stainless Steel</t>
        </is>
      </c>
      <c r="G89" s="31" t="inlineStr">
        <is>
          <t>smallcap</t>
        </is>
      </c>
      <c r="H89" s="32" t="n">
        <v>2794.33</v>
      </c>
      <c r="I89" s="32" t="n">
        <v>332.95</v>
      </c>
      <c r="J89" s="32" t="n">
        <v>-1.04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76.23</v>
      </c>
      <c r="P89" s="32" t="n">
        <v>68.73999999999999</v>
      </c>
      <c r="Q89" s="32" t="n">
        <v>254.81</v>
      </c>
      <c r="R89" s="31" t="inlineStr">
        <is>
          <t>Near 52W High Breakout</t>
        </is>
      </c>
      <c r="S89" s="31" t="inlineStr">
        <is>
          <t>Nifty Metal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15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CHENNPETRO</t>
        </is>
      </c>
      <c r="D90" s="34" t="inlineStr">
        <is>
          <t>Chennai Petroleum Corporation Ltd</t>
        </is>
      </c>
      <c r="E90" s="31" t="inlineStr">
        <is>
          <t>energy</t>
        </is>
      </c>
      <c r="F90" s="31" t="inlineStr">
        <is>
          <t>Refineries</t>
        </is>
      </c>
      <c r="G90" s="31" t="inlineStr">
        <is>
          <t>largecap</t>
        </is>
      </c>
      <c r="H90" s="32" t="n">
        <v>22768.55</v>
      </c>
      <c r="I90" s="32" t="n">
        <v>1529</v>
      </c>
      <c r="J90" s="32" t="n">
        <v>-5.17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67.09</v>
      </c>
      <c r="P90" s="32" t="n">
        <v>63.76</v>
      </c>
      <c r="Q90" s="32" t="n">
        <v>1128.89</v>
      </c>
      <c r="R90" s="31" t="inlineStr">
        <is>
          <t>Volume Spike &amp; 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23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TDPOWERSYS</t>
        </is>
      </c>
      <c r="D91" s="31" t="inlineStr">
        <is>
          <t>TD Power Systems Ltd</t>
        </is>
      </c>
      <c r="E91" s="31" t="inlineStr">
        <is>
          <t>industrials</t>
        </is>
      </c>
      <c r="F91" s="31" t="inlineStr">
        <is>
          <t>Capital Goods Gensets and Turbines</t>
        </is>
      </c>
      <c r="G91" s="31" t="inlineStr">
        <is>
          <t>largecap</t>
        </is>
      </c>
      <c r="H91" s="32" t="n">
        <v>24980.48</v>
      </c>
      <c r="I91" s="32" t="n">
        <v>796.3</v>
      </c>
      <c r="J91" s="32" t="n">
        <v>-3.02</v>
      </c>
      <c r="K91" s="32" t="n">
        <v>0</v>
      </c>
      <c r="L91" s="31" t="n">
        <v>71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68.27</v>
      </c>
      <c r="P91" s="32" t="n">
        <v>19.23</v>
      </c>
      <c r="Q91" s="32" t="n">
        <v>580.14</v>
      </c>
      <c r="R91" s="31" t="inlineStr">
        <is>
          <t>Near 52W High Breakout</t>
        </is>
      </c>
      <c r="S91" s="31" t="inlineStr">
        <is>
          <t>Nifty 50</t>
        </is>
      </c>
      <c r="T91" s="32" t="n">
        <v>-12.08</v>
      </c>
      <c r="U91" s="32" t="n">
        <v>164.9</v>
      </c>
      <c r="V91" s="32" t="n">
        <v>201.29</v>
      </c>
      <c r="W91" s="32" t="n">
        <v>30.06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17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FCL</t>
        </is>
      </c>
      <c r="D92" s="31" t="inlineStr">
        <is>
          <t>Fineotex Chemical Ltd</t>
        </is>
      </c>
      <c r="E92" s="31" t="inlineStr">
        <is>
          <t>Basic Materials</t>
        </is>
      </c>
      <c r="F92" s="31" t="inlineStr">
        <is>
          <t>Specialty Chemicals</t>
        </is>
      </c>
      <c r="G92" s="31" t="inlineStr">
        <is>
          <t>midcap</t>
        </is>
      </c>
      <c r="H92" s="32" t="n">
        <v>6521.21</v>
      </c>
      <c r="I92" s="32" t="n">
        <v>56</v>
      </c>
      <c r="J92" s="32" t="n">
        <v>-3.11</v>
      </c>
      <c r="K92" s="32" t="n">
        <v>0</v>
      </c>
      <c r="L92" s="31" t="n">
        <v>74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70.81999999999999</v>
      </c>
      <c r="P92" s="32" t="n">
        <v>49.04</v>
      </c>
      <c r="Q92" s="32" t="n">
        <v>44.19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-12.08</v>
      </c>
      <c r="U92" s="32" t="n">
        <v>129.08</v>
      </c>
      <c r="V92" s="32" t="n">
        <v>160.54</v>
      </c>
      <c r="W92" s="32" t="n">
        <v>31.36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18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ANTELOPUS</t>
        </is>
      </c>
      <c r="D93" s="31" t="inlineStr">
        <is>
          <t>Antelopus Selan Energy Ltd</t>
        </is>
      </c>
      <c r="E93" s="31" t="inlineStr">
        <is>
          <t>Energy</t>
        </is>
      </c>
      <c r="F93" s="31" t="inlineStr">
        <is>
          <t>Oil Drilling and Exploration</t>
        </is>
      </c>
      <c r="G93" s="31" t="inlineStr">
        <is>
          <t>smallcap</t>
        </is>
      </c>
      <c r="H93" s="32" t="n">
        <v>3896.48</v>
      </c>
      <c r="I93" s="32" t="n">
        <v>1104.2</v>
      </c>
      <c r="J93" s="32" t="n">
        <v>-2.3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63.99</v>
      </c>
      <c r="P93" s="32" t="n">
        <v>51.28</v>
      </c>
      <c r="Q93" s="32" t="n">
        <v>877.34</v>
      </c>
      <c r="R93" s="31" t="inlineStr">
        <is>
          <t>Earnings / Momentum Support</t>
        </is>
      </c>
      <c r="S93" s="31" t="inlineStr">
        <is>
          <t>Nifty Energy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UTSSAV</t>
        </is>
      </c>
      <c r="D94" s="31" t="inlineStr">
        <is>
          <t>Utssav CZ Gold Jewels Ltd</t>
        </is>
      </c>
      <c r="E94" s="31" t="inlineStr">
        <is>
          <t>unknown</t>
        </is>
      </c>
      <c r="F94" s="31" t="inlineStr">
        <is>
          <t>Diamond Gems and Jewellery</t>
        </is>
      </c>
      <c r="G94" s="31" t="inlineStr">
        <is>
          <t>smallcap</t>
        </is>
      </c>
      <c r="H94" s="32" t="n">
        <v>2028.43</v>
      </c>
      <c r="I94" s="32" t="n">
        <v>840</v>
      </c>
      <c r="J94" s="32" t="n">
        <v>-1.75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SAHASRA</t>
        </is>
      </c>
      <c r="D95" s="31" t="inlineStr">
        <is>
          <t>Sahasra Electronic Solutions Ltd</t>
        </is>
      </c>
      <c r="E95" s="31" t="inlineStr">
        <is>
          <t>unknown</t>
        </is>
      </c>
      <c r="F95" s="31" t="inlineStr">
        <is>
          <t>Electronics Others</t>
        </is>
      </c>
      <c r="G95" s="31" t="inlineStr">
        <is>
          <t>smallcap</t>
        </is>
      </c>
      <c r="H95" s="32" t="n">
        <v>1175.41</v>
      </c>
      <c r="I95" s="32" t="n">
        <v>470.3</v>
      </c>
      <c r="J95" s="32" t="n">
        <v>4.01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WELCORP</t>
        </is>
      </c>
      <c r="D96" s="31" t="inlineStr">
        <is>
          <t>Welspun Corp Ltd</t>
        </is>
      </c>
      <c r="E96" s="31" t="inlineStr">
        <is>
          <t>unknown</t>
        </is>
      </c>
      <c r="F96" s="31" t="inlineStr">
        <is>
          <t>DI Pipes and Saw Pipes</t>
        </is>
      </c>
      <c r="G96" s="31" t="inlineStr">
        <is>
          <t>largecap</t>
        </is>
      </c>
      <c r="H96" s="32" t="n">
        <v>69888.69</v>
      </c>
      <c r="I96" s="32" t="n">
        <v>2649.4</v>
      </c>
      <c r="J96" s="32" t="n">
        <v>-2.04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AARTIPHARM</t>
        </is>
      </c>
      <c r="B102" s="37" t="inlineStr">
        <is>
          <t>AARTIPHARM</t>
        </is>
      </c>
      <c r="C102" s="37" t="inlineStr">
        <is>
          <t>unknown</t>
        </is>
      </c>
      <c r="D102" s="38" t="inlineStr">
        <is>
          <t>2026-10-08</t>
        </is>
      </c>
    </row>
    <row r="103">
      <c r="A103" s="36" t="inlineStr">
        <is>
          <t>ACE</t>
        </is>
      </c>
      <c r="B103" s="37" t="inlineStr">
        <is>
          <t>ACE</t>
        </is>
      </c>
      <c r="C103" s="37" t="inlineStr">
        <is>
          <t>unknown</t>
        </is>
      </c>
      <c r="D103" s="38" t="inlineStr">
        <is>
          <t>2026-10-08</t>
        </is>
      </c>
    </row>
    <row r="104">
      <c r="A104" s="36" t="inlineStr">
        <is>
          <t>ACMESOLAR</t>
        </is>
      </c>
      <c r="B104" s="37" t="inlineStr">
        <is>
          <t>ACMESOLAR</t>
        </is>
      </c>
      <c r="C104" s="37" t="inlineStr">
        <is>
          <t>unknown</t>
        </is>
      </c>
      <c r="D104" s="38" t="inlineStr">
        <is>
          <t>2026-10-07</t>
        </is>
      </c>
    </row>
    <row r="105">
      <c r="A105" s="36" t="inlineStr">
        <is>
          <t>AEROFLEX</t>
        </is>
      </c>
      <c r="B105" s="37" t="inlineStr">
        <is>
          <t>AEROFLEX</t>
        </is>
      </c>
      <c r="C105" s="37" t="inlineStr">
        <is>
          <t>unknown</t>
        </is>
      </c>
      <c r="D105" s="38" t="inlineStr">
        <is>
          <t>2026-10-08</t>
        </is>
      </c>
    </row>
    <row r="106">
      <c r="A106" s="36" t="inlineStr">
        <is>
          <t>ALICON</t>
        </is>
      </c>
      <c r="B106" s="37" t="inlineStr">
        <is>
          <t>Alicon Castalloy Limited</t>
        </is>
      </c>
      <c r="C106" s="37" t="inlineStr">
        <is>
          <t>Industrials</t>
        </is>
      </c>
      <c r="D106" s="38" t="inlineStr">
        <is>
          <t>2026-10-08</t>
        </is>
      </c>
    </row>
    <row r="107">
      <c r="A107" s="36" t="inlineStr">
        <is>
          <t>ARROWGREEN</t>
        </is>
      </c>
      <c r="B107" s="37" t="inlineStr">
        <is>
          <t>ARROWGREEN</t>
        </is>
      </c>
      <c r="C107" s="37" t="inlineStr">
        <is>
          <t>unknown</t>
        </is>
      </c>
      <c r="D107" s="38" t="inlineStr">
        <is>
          <t>2026-10-08</t>
        </is>
      </c>
    </row>
    <row r="108">
      <c r="A108" s="36" t="inlineStr">
        <is>
          <t>AVADHSUGAR</t>
        </is>
      </c>
      <c r="B108" s="37" t="inlineStr">
        <is>
          <t>Avadh Sugar &amp; Energy Limited</t>
        </is>
      </c>
      <c r="C108" s="37" t="inlineStr">
        <is>
          <t>Consumer Defensive</t>
        </is>
      </c>
      <c r="D108" s="38" t="inlineStr">
        <is>
          <t>2026-10-08</t>
        </is>
      </c>
    </row>
    <row r="109">
      <c r="A109" s="36" t="inlineStr">
        <is>
          <t>AVTNPL</t>
        </is>
      </c>
      <c r="B109" s="37" t="inlineStr">
        <is>
          <t>AVTNPL</t>
        </is>
      </c>
      <c r="C109" s="37" t="inlineStr">
        <is>
          <t>unknown</t>
        </is>
      </c>
      <c r="D109" s="38" t="inlineStr">
        <is>
          <t>2026-10-07</t>
        </is>
      </c>
    </row>
    <row r="110">
      <c r="A110" s="36" t="inlineStr">
        <is>
          <t>AXISCADES</t>
        </is>
      </c>
      <c r="B110" s="37" t="inlineStr">
        <is>
          <t>AXISCADES Technologies Limited</t>
        </is>
      </c>
      <c r="C110" s="37" t="inlineStr">
        <is>
          <t>Industrials</t>
        </is>
      </c>
      <c r="D110" s="38" t="inlineStr">
        <is>
          <t>2026-10-07</t>
        </is>
      </c>
    </row>
    <row r="111">
      <c r="A111" s="36" t="inlineStr">
        <is>
          <t>BHAGYANGR</t>
        </is>
      </c>
      <c r="B111" s="37" t="inlineStr">
        <is>
          <t>BHAGYANGR</t>
        </is>
      </c>
      <c r="C111" s="37" t="inlineStr">
        <is>
          <t>unknown</t>
        </is>
      </c>
      <c r="D111" s="38" t="inlineStr">
        <is>
          <t>2026-10-08</t>
        </is>
      </c>
    </row>
    <row r="112">
      <c r="A112" s="36" t="inlineStr">
        <is>
          <t>CASTROLIND</t>
        </is>
      </c>
      <c r="B112" s="37" t="inlineStr">
        <is>
          <t>CASTROLIND</t>
        </is>
      </c>
      <c r="C112" s="37" t="inlineStr">
        <is>
          <t>unknown</t>
        </is>
      </c>
      <c r="D112" s="38" t="inlineStr">
        <is>
          <t>2026-10-08</t>
        </is>
      </c>
    </row>
    <row r="113">
      <c r="A113" s="36" t="inlineStr">
        <is>
          <t>CFF</t>
        </is>
      </c>
      <c r="B113" s="37" t="inlineStr">
        <is>
          <t>CFF</t>
        </is>
      </c>
      <c r="C113" s="37" t="inlineStr">
        <is>
          <t>unknown</t>
        </is>
      </c>
      <c r="D113" s="38" t="inlineStr">
        <is>
          <t>2026-10-06</t>
        </is>
      </c>
    </row>
    <row r="114">
      <c r="A114" s="36" t="inlineStr">
        <is>
          <t>EMIL</t>
        </is>
      </c>
      <c r="B114" s="37" t="inlineStr">
        <is>
          <t>EMIL</t>
        </is>
      </c>
      <c r="C114" s="37" t="inlineStr">
        <is>
          <t>unknown</t>
        </is>
      </c>
      <c r="D114" s="38" t="inlineStr">
        <is>
          <t>2026-10-08</t>
        </is>
      </c>
    </row>
    <row r="115">
      <c r="A115" s="36" t="inlineStr">
        <is>
          <t>FERMENTA</t>
        </is>
      </c>
      <c r="B115" s="37" t="inlineStr">
        <is>
          <t>FERMENTA</t>
        </is>
      </c>
      <c r="C115" s="37" t="inlineStr">
        <is>
          <t>unknown</t>
        </is>
      </c>
      <c r="D115" s="38" t="inlineStr">
        <is>
          <t>2026-10-08</t>
        </is>
      </c>
    </row>
    <row r="116">
      <c r="A116" s="36" t="inlineStr">
        <is>
          <t>FILATEX</t>
        </is>
      </c>
      <c r="B116" s="37" t="inlineStr">
        <is>
          <t>Filatex India Limited</t>
        </is>
      </c>
      <c r="C116" s="37" t="inlineStr">
        <is>
          <t>Consumer Cyclical</t>
        </is>
      </c>
      <c r="D116" s="38" t="inlineStr">
        <is>
          <t>2026-10-07</t>
        </is>
      </c>
    </row>
    <row r="117">
      <c r="A117" s="36" t="inlineStr">
        <is>
          <t>GNFC</t>
        </is>
      </c>
      <c r="B117" s="37" t="inlineStr">
        <is>
          <t>GNFC</t>
        </is>
      </c>
      <c r="C117" s="37" t="inlineStr">
        <is>
          <t>unknown</t>
        </is>
      </c>
      <c r="D117" s="38" t="inlineStr">
        <is>
          <t>2026-10-08</t>
        </is>
      </c>
    </row>
    <row r="118">
      <c r="A118" s="36" t="inlineStr">
        <is>
          <t>IOLCP</t>
        </is>
      </c>
      <c r="B118" s="37" t="inlineStr">
        <is>
          <t>IOLCP</t>
        </is>
      </c>
      <c r="C118" s="37" t="inlineStr">
        <is>
          <t>unknown</t>
        </is>
      </c>
      <c r="D118" s="38" t="inlineStr">
        <is>
          <t>2026-10-07</t>
        </is>
      </c>
    </row>
    <row r="119">
      <c r="A119" s="36" t="inlineStr">
        <is>
          <t>JASH</t>
        </is>
      </c>
      <c r="B119" s="37" t="inlineStr">
        <is>
          <t>JASH</t>
        </is>
      </c>
      <c r="C119" s="37" t="inlineStr">
        <is>
          <t>unknown</t>
        </is>
      </c>
      <c r="D119" s="38" t="inlineStr">
        <is>
          <t>2026-10-07</t>
        </is>
      </c>
    </row>
    <row r="120">
      <c r="A120" s="36" t="inlineStr">
        <is>
          <t>KRISHNADEF</t>
        </is>
      </c>
      <c r="B120" s="37" t="inlineStr">
        <is>
          <t>KRISHNADEF</t>
        </is>
      </c>
      <c r="C120" s="37" t="inlineStr">
        <is>
          <t>unknown</t>
        </is>
      </c>
      <c r="D120" s="38" t="inlineStr">
        <is>
          <t>2026-10-07</t>
        </is>
      </c>
    </row>
    <row r="121">
      <c r="A121" s="36" t="inlineStr">
        <is>
          <t>LALPATHLAB</t>
        </is>
      </c>
      <c r="B121" s="37" t="inlineStr">
        <is>
          <t>LALPATHLAB</t>
        </is>
      </c>
      <c r="C121" s="37" t="inlineStr">
        <is>
          <t>unknown</t>
        </is>
      </c>
      <c r="D121" s="38" t="inlineStr">
        <is>
          <t>2026-10-06</t>
        </is>
      </c>
    </row>
    <row r="122">
      <c r="A122" s="36" t="inlineStr">
        <is>
          <t>LLOYDSENGG</t>
        </is>
      </c>
      <c r="B122" s="37" t="inlineStr">
        <is>
          <t>Lloyds Engineering Works Limited</t>
        </is>
      </c>
      <c r="C122" s="37" t="inlineStr">
        <is>
          <t>Industrials</t>
        </is>
      </c>
      <c r="D122" s="38" t="inlineStr">
        <is>
          <t>2026-10-08</t>
        </is>
      </c>
    </row>
    <row r="123">
      <c r="A123" s="36" t="inlineStr">
        <is>
          <t>MACPOWER</t>
        </is>
      </c>
      <c r="B123" s="37" t="inlineStr">
        <is>
          <t>MACPOWER</t>
        </is>
      </c>
      <c r="C123" s="37" t="inlineStr">
        <is>
          <t>unknown</t>
        </is>
      </c>
      <c r="D123" s="38" t="inlineStr">
        <is>
          <t>2026-10-07</t>
        </is>
      </c>
    </row>
    <row r="124">
      <c r="A124" s="36" t="inlineStr">
        <is>
          <t>MANINDS</t>
        </is>
      </c>
      <c r="B124" s="37" t="inlineStr">
        <is>
          <t>MANINDS</t>
        </is>
      </c>
      <c r="C124" s="37" t="inlineStr">
        <is>
          <t>unknown</t>
        </is>
      </c>
      <c r="D124" s="38" t="inlineStr">
        <is>
          <t>2026-10-08</t>
        </is>
      </c>
    </row>
    <row r="125">
      <c r="A125" s="36" t="inlineStr">
        <is>
          <t>MARKSANS</t>
        </is>
      </c>
      <c r="B125" s="37" t="inlineStr">
        <is>
          <t>MARKSANS</t>
        </is>
      </c>
      <c r="C125" s="37" t="inlineStr">
        <is>
          <t>unknown</t>
        </is>
      </c>
      <c r="D125" s="38" t="inlineStr">
        <is>
          <t>2026-10-08</t>
        </is>
      </c>
    </row>
    <row r="126">
      <c r="A126" s="36" t="inlineStr">
        <is>
          <t>NAVINFLUOR</t>
        </is>
      </c>
      <c r="B126" s="37" t="inlineStr">
        <is>
          <t>NAVINFLUOR</t>
        </is>
      </c>
      <c r="C126" s="37" t="inlineStr">
        <is>
          <t>unknown</t>
        </is>
      </c>
      <c r="D126" s="38" t="inlineStr">
        <is>
          <t>2026-10-07</t>
        </is>
      </c>
    </row>
    <row r="127">
      <c r="A127" s="36" t="inlineStr">
        <is>
          <t>NYKAA</t>
        </is>
      </c>
      <c r="B127" s="37" t="inlineStr">
        <is>
          <t>NYKAA</t>
        </is>
      </c>
      <c r="C127" s="37" t="inlineStr">
        <is>
          <t>unknown</t>
        </is>
      </c>
      <c r="D127" s="38" t="inlineStr">
        <is>
          <t>2026-10-06</t>
        </is>
      </c>
    </row>
    <row r="128">
      <c r="A128" s="36" t="inlineStr">
        <is>
          <t>OPTIEMUS</t>
        </is>
      </c>
      <c r="B128" s="37" t="inlineStr">
        <is>
          <t>Optiemus Infracom Limited</t>
        </is>
      </c>
      <c r="C128" s="37" t="inlineStr">
        <is>
          <t>Technology</t>
        </is>
      </c>
      <c r="D128" s="38" t="inlineStr">
        <is>
          <t>2026-10-08</t>
        </is>
      </c>
    </row>
    <row r="129">
      <c r="A129" s="36" t="inlineStr">
        <is>
          <t>PANAMAPET</t>
        </is>
      </c>
      <c r="B129" s="37" t="inlineStr">
        <is>
          <t>Panama Petrochem Limited</t>
        </is>
      </c>
      <c r="C129" s="37" t="inlineStr">
        <is>
          <t>Energy</t>
        </is>
      </c>
      <c r="D129" s="38" t="inlineStr">
        <is>
          <t>2026-10-08</t>
        </is>
      </c>
    </row>
    <row r="130">
      <c r="A130" s="36" t="inlineStr">
        <is>
          <t>PIXTRANS</t>
        </is>
      </c>
      <c r="B130" s="37" t="inlineStr">
        <is>
          <t>PIXTRANS</t>
        </is>
      </c>
      <c r="C130" s="37" t="inlineStr">
        <is>
          <t>unknown</t>
        </is>
      </c>
      <c r="D130" s="38" t="inlineStr">
        <is>
          <t>2026-10-06</t>
        </is>
      </c>
    </row>
    <row r="131">
      <c r="A131" s="36" t="inlineStr">
        <is>
          <t>PTCIL</t>
        </is>
      </c>
      <c r="B131" s="37" t="inlineStr">
        <is>
          <t>PTC Industries Limited</t>
        </is>
      </c>
      <c r="C131" s="37" t="inlineStr">
        <is>
          <t>Industrials</t>
        </is>
      </c>
      <c r="D131" s="38" t="inlineStr">
        <is>
          <t>2026-10-08</t>
        </is>
      </c>
    </row>
    <row r="132">
      <c r="A132" s="36" t="inlineStr">
        <is>
          <t>RAYMOND</t>
        </is>
      </c>
      <c r="B132" s="37" t="inlineStr">
        <is>
          <t>Raymond Limited</t>
        </is>
      </c>
      <c r="C132" s="37" t="inlineStr">
        <is>
          <t>Industrials</t>
        </is>
      </c>
      <c r="D132" s="38" t="inlineStr">
        <is>
          <t>2026-10-07</t>
        </is>
      </c>
    </row>
    <row r="133">
      <c r="A133" s="36" t="inlineStr">
        <is>
          <t>RML</t>
        </is>
      </c>
      <c r="B133" s="37" t="inlineStr">
        <is>
          <t>RML</t>
        </is>
      </c>
      <c r="C133" s="37" t="inlineStr">
        <is>
          <t>unknown</t>
        </is>
      </c>
      <c r="D133" s="38" t="inlineStr">
        <is>
          <t>2026-10-06</t>
        </is>
      </c>
    </row>
    <row r="134">
      <c r="A134" s="36" t="inlineStr">
        <is>
          <t>SACHEEROME</t>
        </is>
      </c>
      <c r="B134" s="37" t="inlineStr">
        <is>
          <t>SACHEEROME</t>
        </is>
      </c>
      <c r="C134" s="37" t="inlineStr">
        <is>
          <t>unknown</t>
        </is>
      </c>
      <c r="D134" s="38" t="inlineStr">
        <is>
          <t>2026-10-07</t>
        </is>
      </c>
    </row>
    <row r="135">
      <c r="A135" s="36" t="inlineStr">
        <is>
          <t>SANSERA</t>
        </is>
      </c>
      <c r="B135" s="37" t="inlineStr">
        <is>
          <t>SANSERA</t>
        </is>
      </c>
      <c r="C135" s="37" t="inlineStr">
        <is>
          <t>unknown</t>
        </is>
      </c>
      <c r="D135" s="38" t="inlineStr">
        <is>
          <t>2026-10-08</t>
        </is>
      </c>
    </row>
    <row r="136">
      <c r="A136" s="36" t="inlineStr">
        <is>
          <t>SAPL</t>
        </is>
      </c>
      <c r="B136" s="37" t="inlineStr">
        <is>
          <t>SAPL</t>
        </is>
      </c>
      <c r="C136" s="37" t="inlineStr">
        <is>
          <t>unknown</t>
        </is>
      </c>
      <c r="D136" s="38" t="inlineStr">
        <is>
          <t>2026-10-06</t>
        </is>
      </c>
    </row>
    <row r="137">
      <c r="A137" s="36" t="inlineStr">
        <is>
          <t>SHADOWFAX</t>
        </is>
      </c>
      <c r="B137" s="37" t="inlineStr">
        <is>
          <t>SHADOWFAX</t>
        </is>
      </c>
      <c r="C137" s="37" t="inlineStr">
        <is>
          <t>unknown</t>
        </is>
      </c>
      <c r="D137" s="38" t="inlineStr">
        <is>
          <t>2026-10-06</t>
        </is>
      </c>
    </row>
    <row r="138">
      <c r="A138" s="36" t="inlineStr">
        <is>
          <t>SIGMAADV</t>
        </is>
      </c>
      <c r="B138" s="37" t="inlineStr">
        <is>
          <t>Sigma Advanced Systems Limited</t>
        </is>
      </c>
      <c r="C138" s="37" t="inlineStr">
        <is>
          <t>Industrials</t>
        </is>
      </c>
      <c r="D138" s="38" t="inlineStr">
        <is>
          <t>2026-10-06</t>
        </is>
      </c>
    </row>
    <row r="139">
      <c r="A139" s="36" t="inlineStr">
        <is>
          <t>SSWL</t>
        </is>
      </c>
      <c r="B139" s="37" t="inlineStr">
        <is>
          <t>Steel Strips Wheels Limited</t>
        </is>
      </c>
      <c r="C139" s="37" t="inlineStr">
        <is>
          <t>Consumer Cyclical</t>
        </is>
      </c>
      <c r="D139" s="38" t="inlineStr">
        <is>
          <t>2026-10-06</t>
        </is>
      </c>
    </row>
    <row r="140">
      <c r="A140" s="36" t="inlineStr">
        <is>
          <t>SUNDROP</t>
        </is>
      </c>
      <c r="B140" s="37" t="inlineStr">
        <is>
          <t>Sundrop Brands Limited</t>
        </is>
      </c>
      <c r="C140" s="37" t="inlineStr">
        <is>
          <t>Consumer Defensive</t>
        </is>
      </c>
      <c r="D140" s="38" t="inlineStr">
        <is>
          <t>2026-10-06</t>
        </is>
      </c>
    </row>
    <row r="141">
      <c r="A141" s="36" t="inlineStr">
        <is>
          <t>SUNTV</t>
        </is>
      </c>
      <c r="B141" s="37" t="inlineStr">
        <is>
          <t>Sun TV Network Limited</t>
        </is>
      </c>
      <c r="C141" s="37" t="inlineStr">
        <is>
          <t>Communication Services</t>
        </is>
      </c>
      <c r="D141" s="38" t="inlineStr">
        <is>
          <t>2026-10-08</t>
        </is>
      </c>
    </row>
    <row r="142">
      <c r="A142" s="36" t="inlineStr">
        <is>
          <t>SYRMA</t>
        </is>
      </c>
      <c r="B142" s="37" t="inlineStr">
        <is>
          <t>SYRMA</t>
        </is>
      </c>
      <c r="C142" s="37" t="inlineStr">
        <is>
          <t>unknown</t>
        </is>
      </c>
      <c r="D142" s="38" t="inlineStr">
        <is>
          <t>2026-10-08</t>
        </is>
      </c>
    </row>
    <row r="143">
      <c r="A143" s="36" t="inlineStr">
        <is>
          <t>TBZ</t>
        </is>
      </c>
      <c r="B143" s="37" t="inlineStr">
        <is>
          <t>TBZ</t>
        </is>
      </c>
      <c r="C143" s="37" t="inlineStr">
        <is>
          <t>unknown</t>
        </is>
      </c>
      <c r="D143" s="38" t="inlineStr">
        <is>
          <t>2026-10-06</t>
        </is>
      </c>
    </row>
    <row r="144">
      <c r="A144" s="36" t="inlineStr">
        <is>
          <t>TEGA</t>
        </is>
      </c>
      <c r="B144" s="37" t="inlineStr">
        <is>
          <t>TEGA</t>
        </is>
      </c>
      <c r="C144" s="37" t="inlineStr">
        <is>
          <t>unknown</t>
        </is>
      </c>
      <c r="D144" s="38" t="inlineStr">
        <is>
          <t>2026-10-07</t>
        </is>
      </c>
    </row>
    <row r="145">
      <c r="A145" s="36" t="inlineStr">
        <is>
          <t>UNIFIED</t>
        </is>
      </c>
      <c r="B145" s="37" t="inlineStr">
        <is>
          <t>UNIFIED</t>
        </is>
      </c>
      <c r="C145" s="37" t="inlineStr">
        <is>
          <t>unknown</t>
        </is>
      </c>
      <c r="D145" s="38" t="inlineStr">
        <is>
          <t>2026-10-08</t>
        </is>
      </c>
    </row>
    <row r="146">
      <c r="A146" s="36" t="inlineStr">
        <is>
          <t>UNIMECH</t>
        </is>
      </c>
      <c r="B146" s="37" t="inlineStr">
        <is>
          <t>Unimech Aerospace and Manufacturing Limited</t>
        </is>
      </c>
      <c r="C146" s="37" t="inlineStr">
        <is>
          <t>Industrials</t>
        </is>
      </c>
      <c r="D146" s="38" t="inlineStr">
        <is>
          <t>2026-10-07</t>
        </is>
      </c>
    </row>
    <row r="147">
      <c r="A147" s="36" t="inlineStr">
        <is>
          <t>VENUSREM</t>
        </is>
      </c>
      <c r="B147" s="37" t="inlineStr">
        <is>
          <t>VENUSREM</t>
        </is>
      </c>
      <c r="C147" s="37" t="inlineStr">
        <is>
          <t>unknown</t>
        </is>
      </c>
      <c r="D147" s="38" t="inlineStr">
        <is>
          <t>2026-10-06</t>
        </is>
      </c>
    </row>
    <row r="148">
      <c r="A148" s="36" t="inlineStr">
        <is>
          <t>VIKRAMTH</t>
        </is>
      </c>
      <c r="B148" s="37" t="inlineStr">
        <is>
          <t>VIKRAMTH</t>
        </is>
      </c>
      <c r="C148" s="37" t="inlineStr">
        <is>
          <t>unknown</t>
        </is>
      </c>
      <c r="D148" s="38" t="inlineStr">
        <is>
          <t>2026-10-08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2246.86</v>
      </c>
      <c r="I2" s="32" t="n">
        <v>107.3</v>
      </c>
      <c r="J2" s="32" t="n">
        <v>-2.67</v>
      </c>
      <c r="K2" s="32" t="n">
        <v>0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74.14</v>
      </c>
      <c r="P2" s="32" t="n">
        <v>38.48</v>
      </c>
      <c r="Q2" s="32" t="n">
        <v>80.20999999999999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-3.7</v>
      </c>
      <c r="U2" s="32" t="n">
        <v>57.11</v>
      </c>
      <c r="V2" s="32" t="n">
        <v>63.14</v>
      </c>
      <c r="W2" s="32" t="n">
        <v>21.06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16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TFCILTD</t>
        </is>
      </c>
      <c r="D3" s="34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PSU Lending</t>
        </is>
      </c>
      <c r="G3" s="31" t="inlineStr">
        <is>
          <t>midcap</t>
        </is>
      </c>
      <c r="H3" s="32" t="n">
        <v>6805.77</v>
      </c>
      <c r="I3" s="32" t="n">
        <v>147</v>
      </c>
      <c r="J3" s="32" t="n">
        <v>-3.44</v>
      </c>
      <c r="K3" s="32" t="n">
        <v>0</v>
      </c>
      <c r="L3" s="31" t="n">
        <v>85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82.58</v>
      </c>
      <c r="P3" s="32" t="n">
        <v>74.28</v>
      </c>
      <c r="Q3" s="32" t="n">
        <v>116.36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-3.7</v>
      </c>
      <c r="U3" s="32" t="n">
        <v>99.62</v>
      </c>
      <c r="V3" s="32" t="n">
        <v>107.29</v>
      </c>
      <c r="W3" s="32" t="n">
        <v>39.08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GCSL</t>
        </is>
      </c>
      <c r="D4" s="31" t="inlineStr">
        <is>
          <t>Gretex Corporate Services Ltd</t>
        </is>
      </c>
      <c r="E4" s="31" t="inlineStr">
        <is>
          <t>financials</t>
        </is>
      </c>
      <c r="F4" s="31" t="inlineStr">
        <is>
          <t>Finance and Investments Others</t>
        </is>
      </c>
      <c r="G4" s="31" t="inlineStr">
        <is>
          <t>smallcap</t>
        </is>
      </c>
      <c r="H4" s="32" t="n">
        <v>1741.12</v>
      </c>
      <c r="I4" s="32" t="n">
        <v>696.3</v>
      </c>
      <c r="J4" s="32" t="n">
        <v>0.4</v>
      </c>
      <c r="K4" s="32" t="n">
        <v>0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81.63</v>
      </c>
      <c r="P4" s="32" t="n">
        <v>34.77</v>
      </c>
      <c r="Q4" s="32" t="n">
        <v>568.59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-3.7</v>
      </c>
      <c r="U4" s="32" t="n">
        <v>202.67</v>
      </c>
      <c r="V4" s="32" t="n">
        <v>214.3</v>
      </c>
      <c r="W4" s="32" t="n">
        <v>35.31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15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ALGOQUANT</t>
        </is>
      </c>
      <c r="D5" s="34" t="inlineStr">
        <is>
          <t>Algoquant Fintech Ltd</t>
        </is>
      </c>
      <c r="E5" s="31" t="inlineStr">
        <is>
          <t>Financial Services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1886.15</v>
      </c>
      <c r="I5" s="32" t="n">
        <v>67.09999999999999</v>
      </c>
      <c r="J5" s="32" t="n">
        <v>-4.55</v>
      </c>
      <c r="K5" s="32" t="n">
        <v>0</v>
      </c>
      <c r="L5" s="31" t="n">
        <v>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54.9</v>
      </c>
      <c r="P5" s="32" t="n">
        <v>33.14</v>
      </c>
      <c r="Q5" s="32" t="n">
        <v>53.38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-7.99</v>
      </c>
      <c r="U5" s="32" t="n">
        <v>0.52</v>
      </c>
      <c r="V5" s="32" t="n">
        <v>9.25</v>
      </c>
      <c r="W5" s="32" t="n">
        <v>0.92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15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SGFIN</t>
        </is>
      </c>
      <c r="D6" s="31" t="inlineStr">
        <is>
          <t>SG Finserve Ltd</t>
        </is>
      </c>
      <c r="E6" s="31" t="inlineStr">
        <is>
          <t>Financial Services</t>
        </is>
      </c>
      <c r="F6" s="31" t="inlineStr">
        <is>
          <t>Finance and Investments MSME Lending</t>
        </is>
      </c>
      <c r="G6" s="31" t="inlineStr">
        <is>
          <t>smallcap</t>
        </is>
      </c>
      <c r="H6" s="32" t="n">
        <v>4289.76</v>
      </c>
      <c r="I6" s="32" t="n">
        <v>651</v>
      </c>
      <c r="J6" s="32" t="n">
        <v>-1.88</v>
      </c>
      <c r="K6" s="32" t="n">
        <v>0</v>
      </c>
      <c r="L6" s="31" t="n">
        <v>28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57.16</v>
      </c>
      <c r="P6" s="32" t="n">
        <v>31.59</v>
      </c>
      <c r="Q6" s="32" t="n">
        <v>526.49</v>
      </c>
      <c r="R6" s="31" t="inlineStr">
        <is>
          <t>Volume Spike / Accumulation</t>
        </is>
      </c>
      <c r="S6" s="31" t="inlineStr">
        <is>
          <t>Nifty Bank</t>
        </is>
      </c>
      <c r="T6" s="32" t="n">
        <v>-3.7</v>
      </c>
      <c r="U6" s="32" t="n">
        <v>75.97</v>
      </c>
      <c r="V6" s="32" t="n">
        <v>82.73</v>
      </c>
      <c r="W6" s="32" t="n">
        <v>13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15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2026-10-08T17:26:57Z</dcterms:created>
  <dcterms:modified xmlns:dcterms="http://purl.org/dc/terms/" xmlns:xsi="http://www.w3.org/2001/XMLSchema-instance" xsi:type="dcterms:W3CDTF">2026-10-08T17:28:35Z</dcterms:modified>
</cp:coreProperties>
</file>