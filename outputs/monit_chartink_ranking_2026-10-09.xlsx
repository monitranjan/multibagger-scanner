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Universe'!$A$1:$J$151</definedName>
    <definedName name="_xlnm._FilterDatabase" localSheetId="3" hidden="1">'Confluence Overlap'!$A$1:$K$71</definedName>
    <definedName name="_xlnm._FilterDatabase" localSheetId="4" hidden="1">'Monit Non Financial'!$A$1:$CE$135</definedName>
    <definedName name="_xlnm._FilterDatabase" localSheetId="5" hidden="1">'Monit Banks NBFC'!$A$1:$CA$17</definedName>
    <definedName name="_xlnm._FilterDatabase" localSheetId="6" hidden="1">'Scanner Non Financial'!$A$1:$CJ$21</definedName>
    <definedName name="_xlnm._FilterDatabase" localSheetId="7" hidden="1">'Scanner Banks NBFC'!$A$1:$CF$3</definedName>
    <definedName name="_xlnm._FilterDatabase" localSheetId="8" hidden="1">'Scan Match Non Financial'!$A$1:$CG$97</definedName>
    <definedName name="_xlnm._FilterDatabase" localSheetId="9" hidden="1">'Scan Match Banks NBFC'!$A$1:$CC$5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09 October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33" customWidth="1" min="3" max="3"/>
    <col width="38" customWidth="1" min="4" max="4"/>
    <col width="22" customWidth="1" min="5" max="5"/>
    <col width="45" customWidth="1" min="6" max="6"/>
    <col width="25" customWidth="1" min="7" max="7"/>
    <col width="19" customWidth="1" min="8" max="8"/>
    <col width="11" customWidth="1" min="9" max="9"/>
    <col width="49" customWidth="1" min="10" max="10"/>
    <col width="30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456</v>
      </c>
      <c r="C6" s="17" t="inlineStr">
        <is>
          <t>KABRAEXTRU</t>
        </is>
      </c>
      <c r="D6" s="18" t="inlineStr">
        <is>
          <t>Kabra Extrusion Technik Limited</t>
        </is>
      </c>
      <c r="E6" s="18" t="inlineStr">
        <is>
          <t>industrials</t>
        </is>
      </c>
      <c r="F6" s="16" t="n">
        <v>61</v>
      </c>
      <c r="G6" s="19" t="n">
        <v>2696.58</v>
      </c>
      <c r="H6" s="18" t="inlineStr">
        <is>
          <t>Potential Leader</t>
        </is>
      </c>
      <c r="J6" s="18" t="inlineStr">
        <is>
          <t>power &amp; utilities</t>
        </is>
      </c>
      <c r="K6" s="16" t="n">
        <v>5</v>
      </c>
      <c r="L6" s="16" t="n">
        <v>2</v>
      </c>
      <c r="M6" s="20" t="inlineStr">
        <is>
          <t>150.0%</t>
        </is>
      </c>
    </row>
    <row r="7">
      <c r="A7" s="16" t="n">
        <v>2</v>
      </c>
      <c r="B7" s="17" t="n">
        <v>390</v>
      </c>
      <c r="C7" s="17" t="inlineStr">
        <is>
          <t>RATNAVEER</t>
        </is>
      </c>
      <c r="D7" s="18" t="inlineStr">
        <is>
          <t>Ratnaveer Precision Engineering Ltd</t>
        </is>
      </c>
      <c r="E7" s="18" t="inlineStr">
        <is>
          <t>metals &amp; mining</t>
        </is>
      </c>
      <c r="F7" s="16" t="n">
        <v>50</v>
      </c>
      <c r="G7" s="19" t="n">
        <v>2780.9</v>
      </c>
      <c r="H7" s="18" t="inlineStr">
        <is>
          <t>Potential Leader</t>
        </is>
      </c>
      <c r="J7" s="18" t="inlineStr">
        <is>
          <t>media</t>
        </is>
      </c>
      <c r="K7" s="16" t="n">
        <v>9</v>
      </c>
      <c r="L7" s="16" t="n">
        <v>4</v>
      </c>
      <c r="M7" s="20" t="inlineStr">
        <is>
          <t>125.0%</t>
        </is>
      </c>
    </row>
    <row r="8">
      <c r="A8" s="16" t="n">
        <v>3</v>
      </c>
      <c r="B8" s="17" t="n">
        <v>390</v>
      </c>
      <c r="C8" s="17" t="inlineStr">
        <is>
          <t>SHILPAMED</t>
        </is>
      </c>
      <c r="D8" s="18" t="inlineStr">
        <is>
          <t>Shilpa Medicare Limited</t>
        </is>
      </c>
      <c r="E8" s="18" t="inlineStr">
        <is>
          <t>healthcare</t>
        </is>
      </c>
      <c r="F8" s="16" t="n">
        <v>50</v>
      </c>
      <c r="G8" s="19" t="n">
        <v>20053</v>
      </c>
      <c r="H8" s="18" t="inlineStr">
        <is>
          <t>Potential Leader</t>
        </is>
      </c>
      <c r="J8" s="18" t="inlineStr">
        <is>
          <t>energy</t>
        </is>
      </c>
      <c r="K8" s="16" t="n">
        <v>25</v>
      </c>
      <c r="L8" s="16" t="n">
        <v>13</v>
      </c>
      <c r="M8" s="20" t="inlineStr">
        <is>
          <t>92.3%</t>
        </is>
      </c>
    </row>
    <row r="9">
      <c r="A9" s="16" t="n">
        <v>4</v>
      </c>
      <c r="B9" s="17" t="n">
        <v>390</v>
      </c>
      <c r="C9" s="17" t="inlineStr">
        <is>
          <t>STLTECH</t>
        </is>
      </c>
      <c r="D9" s="18" t="inlineStr">
        <is>
          <t>Sterlite Technologies Limited</t>
        </is>
      </c>
      <c r="E9" s="18" t="inlineStr">
        <is>
          <t>industrials</t>
        </is>
      </c>
      <c r="F9" s="16" t="n">
        <v>50</v>
      </c>
      <c r="G9" s="19" t="n">
        <v>51983.16</v>
      </c>
      <c r="H9" s="18" t="inlineStr">
        <is>
          <t>Potential Leader</t>
        </is>
      </c>
      <c r="J9" s="18" t="inlineStr">
        <is>
          <t>fmcg</t>
        </is>
      </c>
      <c r="K9" s="16" t="n">
        <v>70</v>
      </c>
      <c r="L9" s="16" t="n">
        <v>41</v>
      </c>
      <c r="M9" s="20" t="inlineStr">
        <is>
          <t>70.7%</t>
        </is>
      </c>
    </row>
    <row r="10">
      <c r="A10" s="16" t="n">
        <v>5</v>
      </c>
      <c r="B10" s="17" t="n">
        <v>384</v>
      </c>
      <c r="C10" s="17" t="inlineStr">
        <is>
          <t>MOREPENLAB</t>
        </is>
      </c>
      <c r="D10" s="18" t="inlineStr">
        <is>
          <t>Morepen Laboratories Limited</t>
        </is>
      </c>
      <c r="E10" s="18" t="inlineStr">
        <is>
          <t>healthcare</t>
        </is>
      </c>
      <c r="F10" s="16" t="n">
        <v>49</v>
      </c>
      <c r="G10" s="19" t="n">
        <v>7482.31</v>
      </c>
      <c r="H10" s="18" t="inlineStr">
        <is>
          <t>Potential Leader</t>
        </is>
      </c>
      <c r="J10" s="18" t="inlineStr">
        <is>
          <t>i.t</t>
        </is>
      </c>
      <c r="K10" s="16" t="n">
        <v>53</v>
      </c>
      <c r="L10" s="16" t="n">
        <v>37</v>
      </c>
      <c r="M10" s="20" t="inlineStr">
        <is>
          <t>43.2%</t>
        </is>
      </c>
    </row>
    <row r="11">
      <c r="A11" s="16" t="n">
        <v>6</v>
      </c>
      <c r="B11" s="17" t="n">
        <v>330</v>
      </c>
      <c r="C11" s="17" t="inlineStr">
        <is>
          <t>WELSPUNLIV</t>
        </is>
      </c>
      <c r="D11" s="18" t="inlineStr">
        <is>
          <t>Welspun Living Ltd</t>
        </is>
      </c>
      <c r="E11" s="18" t="inlineStr">
        <is>
          <t>textiles</t>
        </is>
      </c>
      <c r="F11" s="16" t="n">
        <v>40</v>
      </c>
      <c r="G11" s="19" t="n">
        <v>21263.54</v>
      </c>
      <c r="H11" s="18" t="inlineStr">
        <is>
          <t>Potential Leader</t>
        </is>
      </c>
      <c r="J11" s="18" t="inlineStr">
        <is>
          <t>telecom</t>
        </is>
      </c>
      <c r="K11" s="16" t="n">
        <v>10</v>
      </c>
      <c r="L11" s="16" t="n">
        <v>7</v>
      </c>
      <c r="M11" s="20" t="inlineStr">
        <is>
          <t>42.9%</t>
        </is>
      </c>
    </row>
    <row r="12">
      <c r="A12" s="16" t="n">
        <v>7</v>
      </c>
      <c r="B12" s="17" t="n">
        <v>306</v>
      </c>
      <c r="C12" s="17" t="inlineStr">
        <is>
          <t>BHAGERIA</t>
        </is>
      </c>
      <c r="D12" s="18" t="inlineStr">
        <is>
          <t>Bhageria Industries Limited</t>
        </is>
      </c>
      <c r="E12" s="18" t="inlineStr">
        <is>
          <t>chemicals</t>
        </is>
      </c>
      <c r="F12" s="16" t="n">
        <v>36</v>
      </c>
      <c r="G12" s="19" t="n">
        <v>1601.74</v>
      </c>
      <c r="H12" s="18" t="inlineStr">
        <is>
          <t>Potential Leader</t>
        </is>
      </c>
      <c r="J12" s="18" t="inlineStr">
        <is>
          <t>bank</t>
        </is>
      </c>
      <c r="K12" s="16" t="n">
        <v>18</v>
      </c>
      <c r="L12" s="16" t="n">
        <v>13</v>
      </c>
      <c r="M12" s="20" t="inlineStr">
        <is>
          <t>38.5%</t>
        </is>
      </c>
    </row>
    <row r="13">
      <c r="A13" s="16" t="n">
        <v>8</v>
      </c>
      <c r="B13" s="17" t="n">
        <v>294</v>
      </c>
      <c r="C13" s="17" t="inlineStr">
        <is>
          <t>BAFNAPH</t>
        </is>
      </c>
      <c r="D13" s="18" t="inlineStr">
        <is>
          <t>Bafna Pharmaceuticals Ltd</t>
        </is>
      </c>
      <c r="E13" s="18" t="inlineStr">
        <is>
          <t>healthcare</t>
        </is>
      </c>
      <c r="F13" s="16" t="n">
        <v>34</v>
      </c>
      <c r="G13" s="19" t="n">
        <v>969.55</v>
      </c>
      <c r="H13" s="18" t="inlineStr">
        <is>
          <t>Potential Leader</t>
        </is>
      </c>
      <c r="J13" s="18" t="inlineStr">
        <is>
          <t>financials</t>
        </is>
      </c>
      <c r="K13" s="16" t="n">
        <v>59</v>
      </c>
      <c r="L13" s="16" t="n">
        <v>46</v>
      </c>
      <c r="M13" s="20" t="inlineStr">
        <is>
          <t>28.3%</t>
        </is>
      </c>
    </row>
    <row r="14">
      <c r="A14" s="16" t="n">
        <v>9</v>
      </c>
      <c r="B14" s="17" t="n">
        <v>294</v>
      </c>
      <c r="C14" s="17" t="inlineStr">
        <is>
          <t>SIGMAADV</t>
        </is>
      </c>
      <c r="D14" s="18" t="inlineStr">
        <is>
          <t>Sigma Advanced System Ltd</t>
        </is>
      </c>
      <c r="E14" s="18" t="inlineStr">
        <is>
          <t>aerospace &amp; defence</t>
        </is>
      </c>
      <c r="F14" s="16" t="n">
        <v>34</v>
      </c>
      <c r="G14" s="19" t="n">
        <v>19652.65</v>
      </c>
      <c r="H14" s="18" t="inlineStr">
        <is>
          <t>Potential Leader</t>
        </is>
      </c>
      <c r="J14" s="18" t="inlineStr">
        <is>
          <t>miscellaneous</t>
        </is>
      </c>
      <c r="K14" s="16" t="n">
        <v>20</v>
      </c>
      <c r="L14" s="16" t="n">
        <v>18</v>
      </c>
      <c r="M14" s="20" t="inlineStr">
        <is>
          <t>11.1%</t>
        </is>
      </c>
    </row>
    <row r="15">
      <c r="A15" s="16" t="n">
        <v>10</v>
      </c>
      <c r="B15" s="17" t="n">
        <v>288</v>
      </c>
      <c r="C15" s="17" t="inlineStr">
        <is>
          <t>ROSSTECH</t>
        </is>
      </c>
      <c r="D15" s="18" t="inlineStr">
        <is>
          <t>Rossell Techsys Ltd</t>
        </is>
      </c>
      <c r="E15" s="18" t="inlineStr">
        <is>
          <t>aerospace &amp; defence</t>
        </is>
      </c>
      <c r="F15" s="16" t="n">
        <v>33</v>
      </c>
      <c r="G15" s="19" t="n">
        <v>5918.72</v>
      </c>
      <c r="H15" s="18" t="inlineStr">
        <is>
          <t>Potential Leader</t>
        </is>
      </c>
      <c r="J15" s="18" t="inlineStr">
        <is>
          <t>aerospace &amp; defence</t>
        </is>
      </c>
      <c r="K15" s="16" t="n">
        <v>52</v>
      </c>
      <c r="L15" s="16" t="n">
        <v>47</v>
      </c>
      <c r="M15" s="20" t="inlineStr">
        <is>
          <t>10.6%</t>
        </is>
      </c>
    </row>
    <row r="16">
      <c r="A16" s="16" t="n">
        <v>11</v>
      </c>
      <c r="B16" s="17" t="n">
        <v>282</v>
      </c>
      <c r="C16" s="17" t="inlineStr">
        <is>
          <t>NRL</t>
        </is>
      </c>
      <c r="D16" s="18" t="inlineStr">
        <is>
          <t>Nupur Recyclers Ltd</t>
        </is>
      </c>
      <c r="E16" s="18" t="inlineStr">
        <is>
          <t>services</t>
        </is>
      </c>
      <c r="F16" s="16" t="n">
        <v>32</v>
      </c>
      <c r="G16" s="19" t="n">
        <v>1097.51</v>
      </c>
      <c r="H16" s="18" t="inlineStr">
        <is>
          <t>Potential Leader</t>
        </is>
      </c>
      <c r="J16" s="18" t="inlineStr">
        <is>
          <t>consumer discretionary</t>
        </is>
      </c>
      <c r="K16" s="16" t="n">
        <v>78</v>
      </c>
      <c r="L16" s="16" t="n">
        <v>74</v>
      </c>
      <c r="M16" s="20" t="inlineStr">
        <is>
          <t>5.4%</t>
        </is>
      </c>
    </row>
    <row r="17">
      <c r="A17" s="16" t="n">
        <v>12</v>
      </c>
      <c r="B17" s="17" t="n">
        <v>282</v>
      </c>
      <c r="C17" s="17" t="inlineStr">
        <is>
          <t>SBC</t>
        </is>
      </c>
      <c r="D17" s="18" t="inlineStr">
        <is>
          <t>SBC Exports Ltd</t>
        </is>
      </c>
      <c r="E17" s="18" t="inlineStr">
        <is>
          <t>textiles</t>
        </is>
      </c>
      <c r="F17" s="16" t="n">
        <v>32</v>
      </c>
      <c r="G17" s="19" t="n">
        <v>3010</v>
      </c>
      <c r="H17" s="18" t="inlineStr">
        <is>
          <t>Potential Leader</t>
        </is>
      </c>
      <c r="J17" s="18" t="inlineStr">
        <is>
          <t>plastic products</t>
        </is>
      </c>
      <c r="K17" s="16" t="n">
        <v>13</v>
      </c>
      <c r="L17" s="16" t="n">
        <v>13</v>
      </c>
      <c r="M17" s="20" t="inlineStr">
        <is>
          <t>0.0%</t>
        </is>
      </c>
    </row>
    <row r="18">
      <c r="A18" s="16" t="n">
        <v>13</v>
      </c>
      <c r="B18" s="17" t="n">
        <v>282</v>
      </c>
      <c r="C18" s="17" t="inlineStr">
        <is>
          <t>WHEELS</t>
        </is>
      </c>
      <c r="D18" s="18" t="inlineStr">
        <is>
          <t>Wheels India Limited</t>
        </is>
      </c>
      <c r="E18" s="18" t="inlineStr">
        <is>
          <t>auto</t>
        </is>
      </c>
      <c r="F18" s="16" t="n">
        <v>32</v>
      </c>
      <c r="G18" s="19" t="n">
        <v>5931.75</v>
      </c>
      <c r="H18" s="18" t="inlineStr">
        <is>
          <t>Potential Leader</t>
        </is>
      </c>
      <c r="J18" s="18" t="inlineStr">
        <is>
          <t>realty</t>
        </is>
      </c>
      <c r="K18" s="16" t="n">
        <v>51</v>
      </c>
      <c r="L18" s="16" t="n">
        <v>56</v>
      </c>
      <c r="M18" s="21" t="inlineStr">
        <is>
          <t>-8.9%</t>
        </is>
      </c>
    </row>
    <row r="19">
      <c r="A19" s="16" t="n">
        <v>14</v>
      </c>
      <c r="B19" s="17" t="n">
        <v>261</v>
      </c>
      <c r="C19" s="17" t="inlineStr">
        <is>
          <t>GLOBAL</t>
        </is>
      </c>
      <c r="D19" s="18" t="inlineStr">
        <is>
          <t>Global Education Ltd</t>
        </is>
      </c>
      <c r="E19" s="18" t="inlineStr">
        <is>
          <t>services</t>
        </is>
      </c>
      <c r="F19" s="16" t="n">
        <v>29</v>
      </c>
      <c r="G19" s="19" t="n">
        <v>719.8</v>
      </c>
      <c r="H19" s="18" t="inlineStr">
        <is>
          <t>Potential Leader</t>
        </is>
      </c>
      <c r="J19" s="18" t="inlineStr">
        <is>
          <t>castings, forgings &amp; fasteners</t>
        </is>
      </c>
      <c r="K19" s="16" t="n">
        <v>20</v>
      </c>
      <c r="L19" s="16" t="n">
        <v>22</v>
      </c>
      <c r="M19" s="21" t="inlineStr">
        <is>
          <t>-9.1%</t>
        </is>
      </c>
    </row>
    <row r="20">
      <c r="A20" s="16" t="n">
        <v>15</v>
      </c>
      <c r="B20" s="17" t="n">
        <v>261</v>
      </c>
      <c r="C20" s="17" t="inlineStr">
        <is>
          <t>RAYMOND</t>
        </is>
      </c>
      <c r="D20" s="18" t="inlineStr">
        <is>
          <t>Raymond Limited</t>
        </is>
      </c>
      <c r="E20" s="18" t="inlineStr">
        <is>
          <t>transportation</t>
        </is>
      </c>
      <c r="F20" s="16" t="n">
        <v>29</v>
      </c>
      <c r="G20" s="19" t="n">
        <v>7769.82</v>
      </c>
      <c r="H20" s="18" t="inlineStr">
        <is>
          <t>Potential Leader</t>
        </is>
      </c>
      <c r="J20" s="18" t="inlineStr">
        <is>
          <t>services</t>
        </is>
      </c>
      <c r="K20" s="16" t="n">
        <v>37</v>
      </c>
      <c r="L20" s="16" t="n">
        <v>42</v>
      </c>
      <c r="M20" s="21" t="inlineStr">
        <is>
          <t>-11.9%</t>
        </is>
      </c>
    </row>
    <row r="21">
      <c r="A21" s="16" t="n">
        <v>16</v>
      </c>
      <c r="B21" s="17" t="n">
        <v>255</v>
      </c>
      <c r="C21" s="17" t="inlineStr">
        <is>
          <t>ZIMLAB</t>
        </is>
      </c>
      <c r="D21" s="18" t="inlineStr">
        <is>
          <t>Zim Laboratories Ltd</t>
        </is>
      </c>
      <c r="E21" s="18" t="inlineStr">
        <is>
          <t>healthcare</t>
        </is>
      </c>
      <c r="F21" s="16" t="n">
        <v>28</v>
      </c>
      <c r="G21" s="19" t="n">
        <v>752.52</v>
      </c>
      <c r="H21" s="18" t="inlineStr">
        <is>
          <t>Potential Leader</t>
        </is>
      </c>
    </row>
    <row r="22">
      <c r="A22" s="16" t="n">
        <v>17</v>
      </c>
      <c r="B22" s="17" t="n">
        <v>246</v>
      </c>
      <c r="C22" s="17" t="inlineStr">
        <is>
          <t>LOTUSDEV</t>
        </is>
      </c>
      <c r="D22" s="18" t="inlineStr">
        <is>
          <t>Sri Lotus Developers &amp; Realty Ltd</t>
        </is>
      </c>
      <c r="E22" s="18" t="inlineStr">
        <is>
          <t>realty</t>
        </is>
      </c>
      <c r="F22" s="16" t="n">
        <v>27</v>
      </c>
      <c r="G22" s="19" t="n">
        <v>11422.94</v>
      </c>
      <c r="H22" s="18" t="inlineStr">
        <is>
          <t>Potential Leader</t>
        </is>
      </c>
    </row>
    <row r="23">
      <c r="A23" s="16" t="n">
        <v>18</v>
      </c>
      <c r="B23" s="17" t="n">
        <v>243</v>
      </c>
      <c r="C23" s="17" t="inlineStr">
        <is>
          <t>SHREEJISPG</t>
        </is>
      </c>
      <c r="D23" s="18" t="inlineStr">
        <is>
          <t>Shreeji Shipping Global Ltd</t>
        </is>
      </c>
      <c r="E23" s="18" t="inlineStr">
        <is>
          <t>transportation</t>
        </is>
      </c>
      <c r="F23" s="16" t="n">
        <v>27</v>
      </c>
      <c r="G23" s="19" t="n">
        <v>13045.68</v>
      </c>
      <c r="H23" s="18" t="inlineStr">
        <is>
          <t>Potential Leader</t>
        </is>
      </c>
    </row>
    <row r="24">
      <c r="A24" s="16" t="n">
        <v>19</v>
      </c>
      <c r="B24" s="17" t="n">
        <v>237</v>
      </c>
      <c r="C24" s="17" t="inlineStr">
        <is>
          <t>LAURUSLABS</t>
        </is>
      </c>
      <c r="D24" s="18" t="inlineStr">
        <is>
          <t>Laurus Labs Limited</t>
        </is>
      </c>
      <c r="E24" s="18" t="inlineStr">
        <is>
          <t>healthcare</t>
        </is>
      </c>
      <c r="F24" s="16" t="n">
        <v>25</v>
      </c>
      <c r="G24" s="19" t="n">
        <v>107936.46</v>
      </c>
      <c r="H24" s="18" t="inlineStr">
        <is>
          <t>Potential Leader</t>
        </is>
      </c>
    </row>
    <row r="25">
      <c r="A25" s="16" t="n">
        <v>20</v>
      </c>
      <c r="B25" s="17" t="n">
        <v>234</v>
      </c>
      <c r="C25" s="17" t="inlineStr">
        <is>
          <t>KILITCH</t>
        </is>
      </c>
      <c r="D25" s="18" t="inlineStr">
        <is>
          <t>Kilitch Drugs (india) Limited</t>
        </is>
      </c>
      <c r="E25" s="18" t="inlineStr">
        <is>
          <t>healthcare</t>
        </is>
      </c>
      <c r="F25" s="16" t="n">
        <v>26</v>
      </c>
      <c r="G25" s="19" t="n">
        <v>854.11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SATIA</t>
        </is>
      </c>
      <c r="B30" s="18" t="inlineStr">
        <is>
          <t>Satia Industries Ltd</t>
        </is>
      </c>
      <c r="C30" s="18" t="inlineStr">
        <is>
          <t>building materials</t>
        </is>
      </c>
      <c r="D30" s="16" t="n">
        <v>10</v>
      </c>
      <c r="E30" s="16" t="n">
        <v>0</v>
      </c>
      <c r="F30" s="19" t="n">
        <v>676.4</v>
      </c>
      <c r="J30" s="17" t="inlineStr">
        <is>
          <t>CUB</t>
        </is>
      </c>
      <c r="K30" s="18" t="inlineStr">
        <is>
          <t>bank</t>
        </is>
      </c>
      <c r="L30" s="19" t="n">
        <v>295</v>
      </c>
      <c r="M30" s="19" t="n">
        <v>21804.25</v>
      </c>
      <c r="N30" s="16" t="n">
        <v>12</v>
      </c>
    </row>
    <row r="31">
      <c r="A31" s="17" t="inlineStr">
        <is>
          <t>DELTACORP</t>
        </is>
      </c>
      <c r="B31" s="18" t="inlineStr">
        <is>
          <t>Delta Corp Limited</t>
        </is>
      </c>
      <c r="C31" s="18" t="inlineStr">
        <is>
          <t>miscellaneous</t>
        </is>
      </c>
      <c r="D31" s="16" t="n">
        <v>10</v>
      </c>
      <c r="E31" s="16" t="n">
        <v>2</v>
      </c>
      <c r="F31" s="19" t="n">
        <v>2097.18</v>
      </c>
      <c r="J31" s="17" t="inlineStr">
        <is>
          <t>KINGFA</t>
        </is>
      </c>
      <c r="K31" s="18" t="inlineStr">
        <is>
          <t>plastic products</t>
        </is>
      </c>
      <c r="L31" s="19" t="n">
        <v>290</v>
      </c>
      <c r="M31" s="19" t="n">
        <v>9220.360000000001</v>
      </c>
      <c r="N31" s="16" t="n">
        <v>26</v>
      </c>
    </row>
    <row r="32">
      <c r="A32" s="17" t="inlineStr">
        <is>
          <t>SUNTV</t>
        </is>
      </c>
      <c r="B32" s="18" t="inlineStr">
        <is>
          <t>Sun Tv Network Limited</t>
        </is>
      </c>
      <c r="C32" s="18" t="inlineStr">
        <is>
          <t>media</t>
        </is>
      </c>
      <c r="D32" s="16" t="n">
        <v>9</v>
      </c>
      <c r="E32" s="16" t="n">
        <v>0</v>
      </c>
      <c r="F32" s="19" t="n">
        <v>24204.68</v>
      </c>
      <c r="J32" s="17" t="inlineStr">
        <is>
          <t>PGIL</t>
        </is>
      </c>
      <c r="K32" s="18" t="inlineStr">
        <is>
          <t>readymade garments/apparels</t>
        </is>
      </c>
      <c r="L32" s="19" t="n">
        <v>290</v>
      </c>
      <c r="M32" s="19" t="n">
        <v>11753.65</v>
      </c>
      <c r="N32" s="16" t="n">
        <v>19</v>
      </c>
    </row>
    <row r="33">
      <c r="A33" s="17" t="inlineStr">
        <is>
          <t>ALICON</t>
        </is>
      </c>
      <c r="B33" s="18" t="inlineStr">
        <is>
          <t>Alicon Castalloy Limited</t>
        </is>
      </c>
      <c r="C33" s="18" t="inlineStr">
        <is>
          <t>castings, forgings &amp; fasteners</t>
        </is>
      </c>
      <c r="D33" s="16" t="n">
        <v>8</v>
      </c>
      <c r="E33" s="16" t="n">
        <v>0</v>
      </c>
      <c r="F33" s="19" t="n">
        <v>1409.78</v>
      </c>
      <c r="J33" s="17" t="inlineStr">
        <is>
          <t>PREMIERPOL</t>
        </is>
      </c>
      <c r="K33" s="18" t="inlineStr">
        <is>
          <t>plastic products</t>
        </is>
      </c>
      <c r="L33" s="19" t="n">
        <v>290</v>
      </c>
      <c r="M33" s="19" t="n">
        <v>1029.09</v>
      </c>
      <c r="N33" s="16" t="n">
        <v>19</v>
      </c>
    </row>
    <row r="34">
      <c r="A34" s="17" t="inlineStr">
        <is>
          <t>ISGEC</t>
        </is>
      </c>
      <c r="B34" s="18" t="inlineStr">
        <is>
          <t>ISGEC Heavy Engineering  Ltd</t>
        </is>
      </c>
      <c r="C34" s="18" t="inlineStr">
        <is>
          <t>realty</t>
        </is>
      </c>
      <c r="D34" s="16" t="n">
        <v>7</v>
      </c>
      <c r="E34" s="16" t="n">
        <v>0</v>
      </c>
      <c r="F34" s="19" t="n">
        <v>6752.95</v>
      </c>
      <c r="J34" s="17" t="inlineStr">
        <is>
          <t>FCL</t>
        </is>
      </c>
      <c r="K34" s="18" t="inlineStr">
        <is>
          <t>chemicals</t>
        </is>
      </c>
      <c r="L34" s="19" t="n">
        <v>290</v>
      </c>
      <c r="M34" s="19" t="n">
        <v>6520.04</v>
      </c>
      <c r="N34" s="16" t="n">
        <v>26</v>
      </c>
    </row>
    <row r="35">
      <c r="A35" s="17" t="inlineStr">
        <is>
          <t>ADFFOODS</t>
        </is>
      </c>
      <c r="B35" s="18" t="inlineStr">
        <is>
          <t>Adf Foods Limited</t>
        </is>
      </c>
      <c r="C35" s="18" t="inlineStr">
        <is>
          <t>fmcg</t>
        </is>
      </c>
      <c r="D35" s="16" t="n">
        <v>7</v>
      </c>
      <c r="E35" s="16" t="n">
        <v>2</v>
      </c>
      <c r="F35" s="19" t="n">
        <v>3167.37</v>
      </c>
      <c r="J35" s="17" t="inlineStr">
        <is>
          <t>VINDHYATEL</t>
        </is>
      </c>
      <c r="K35" s="18" t="inlineStr">
        <is>
          <t>realty</t>
        </is>
      </c>
      <c r="L35" s="19" t="n">
        <v>288</v>
      </c>
      <c r="M35" s="19" t="n">
        <v>3290.63</v>
      </c>
      <c r="N35" s="16" t="n">
        <v>20</v>
      </c>
    </row>
    <row r="36">
      <c r="A36" s="17" t="inlineStr">
        <is>
          <t>PATELRMART</t>
        </is>
      </c>
      <c r="B36" s="18" t="inlineStr">
        <is>
          <t>Patel Retail Ltd</t>
        </is>
      </c>
      <c r="C36" s="18" t="inlineStr">
        <is>
          <t>consumer discretionary</t>
        </is>
      </c>
      <c r="D36" s="16" t="n">
        <v>5</v>
      </c>
      <c r="E36" s="16" t="n">
        <v>0</v>
      </c>
      <c r="F36" s="19" t="n">
        <v>766.91</v>
      </c>
      <c r="J36" s="17" t="inlineStr">
        <is>
          <t>PASUPTAC</t>
        </is>
      </c>
      <c r="K36" s="18" t="inlineStr">
        <is>
          <t>textiles</t>
        </is>
      </c>
      <c r="L36" s="19" t="n">
        <v>288</v>
      </c>
      <c r="M36" s="19" t="n">
        <v>626.87</v>
      </c>
      <c r="N36" s="16" t="n">
        <v>22</v>
      </c>
    </row>
    <row r="37">
      <c r="A37" s="17" t="inlineStr">
        <is>
          <t>GPTINFRA</t>
        </is>
      </c>
      <c r="B37" s="18" t="inlineStr">
        <is>
          <t>Gpt Infraprojects Limited</t>
        </is>
      </c>
      <c r="C37" s="18" t="inlineStr">
        <is>
          <t>realty</t>
        </is>
      </c>
      <c r="D37" s="16" t="n">
        <v>5</v>
      </c>
      <c r="E37" s="16" t="n">
        <v>1</v>
      </c>
      <c r="F37" s="19" t="n">
        <v>1531.41</v>
      </c>
      <c r="J37" s="17" t="inlineStr">
        <is>
          <t>AVTNPL</t>
        </is>
      </c>
      <c r="K37" s="18" t="inlineStr">
        <is>
          <t>fmcg</t>
        </is>
      </c>
      <c r="L37" s="19" t="n">
        <v>287</v>
      </c>
      <c r="M37" s="19" t="n">
        <v>1301.27</v>
      </c>
      <c r="N37" s="16" t="n">
        <v>18</v>
      </c>
    </row>
    <row r="38">
      <c r="A38" s="17" t="inlineStr">
        <is>
          <t>MOBIKWIK</t>
        </is>
      </c>
      <c r="B38" s="18" t="inlineStr">
        <is>
          <t>One Mobikwik Systems Ltd</t>
        </is>
      </c>
      <c r="C38" s="18" t="inlineStr">
        <is>
          <t>i.t</t>
        </is>
      </c>
      <c r="D38" s="16" t="n">
        <v>4</v>
      </c>
      <c r="E38" s="16" t="n">
        <v>0</v>
      </c>
      <c r="F38" s="19" t="n">
        <v>1925.52</v>
      </c>
      <c r="J38" s="17" t="inlineStr">
        <is>
          <t>AURUM</t>
        </is>
      </c>
      <c r="K38" s="18" t="inlineStr">
        <is>
          <t>i.t</t>
        </is>
      </c>
      <c r="L38" s="19" t="n">
        <v>285</v>
      </c>
      <c r="M38" s="19" t="n">
        <v>2195.64</v>
      </c>
      <c r="N38" s="16" t="n">
        <v>4</v>
      </c>
    </row>
    <row r="39">
      <c r="A39" s="17" t="inlineStr">
        <is>
          <t>PARAGMILK</t>
        </is>
      </c>
      <c r="B39" s="18" t="inlineStr">
        <is>
          <t>Parag Milk Foods Limited</t>
        </is>
      </c>
      <c r="C39" s="18" t="inlineStr">
        <is>
          <t>fmcg</t>
        </is>
      </c>
      <c r="D39" s="16" t="n">
        <v>4</v>
      </c>
      <c r="E39" s="16" t="n">
        <v>0</v>
      </c>
      <c r="F39" s="19" t="n">
        <v>3809.11</v>
      </c>
      <c r="J39" s="17" t="inlineStr">
        <is>
          <t>SWANDEF</t>
        </is>
      </c>
      <c r="K39" s="18" t="inlineStr">
        <is>
          <t>transportation</t>
        </is>
      </c>
      <c r="L39" s="19" t="n">
        <v>283</v>
      </c>
      <c r="M39" s="19" t="n">
        <v>14672.51</v>
      </c>
      <c r="N39" s="16" t="n">
        <v>26</v>
      </c>
    </row>
    <row r="40">
      <c r="A40" s="17" t="inlineStr">
        <is>
          <t>SHRINGARMS</t>
        </is>
      </c>
      <c r="B40" s="18" t="inlineStr">
        <is>
          <t>Shringar House of Mangalsutra Limited</t>
        </is>
      </c>
      <c r="C40" s="18" t="inlineStr">
        <is>
          <t>Consumer Cyclical</t>
        </is>
      </c>
      <c r="D40" s="16" t="n">
        <v>4</v>
      </c>
      <c r="E40" s="16" t="n">
        <v>0</v>
      </c>
      <c r="F40" s="19" t="n">
        <v>2132.4</v>
      </c>
      <c r="J40" s="17" t="inlineStr">
        <is>
          <t>VALIANTORG</t>
        </is>
      </c>
      <c r="K40" s="18" t="inlineStr">
        <is>
          <t>chemicals</t>
        </is>
      </c>
      <c r="L40" s="19" t="n">
        <v>280</v>
      </c>
      <c r="M40" s="19" t="n">
        <v>1263.24</v>
      </c>
      <c r="N40" s="16" t="n">
        <v>26</v>
      </c>
    </row>
    <row r="41">
      <c r="A41" s="17" t="inlineStr">
        <is>
          <t>AMANTA</t>
        </is>
      </c>
      <c r="B41" s="18" t="inlineStr">
        <is>
          <t>Amanta Healthcare Limited</t>
        </is>
      </c>
      <c r="C41" s="18" t="inlineStr">
        <is>
          <t>Healthcare</t>
        </is>
      </c>
      <c r="D41" s="16" t="n">
        <v>4</v>
      </c>
      <c r="E41" s="16" t="n">
        <v>1</v>
      </c>
      <c r="F41" s="19" t="n">
        <v>727.74</v>
      </c>
      <c r="J41" s="17" t="inlineStr">
        <is>
          <t>MANBA</t>
        </is>
      </c>
      <c r="K41" s="18" t="inlineStr">
        <is>
          <t>financials</t>
        </is>
      </c>
      <c r="L41" s="19" t="n">
        <v>280</v>
      </c>
      <c r="M41" s="19" t="n">
        <v>737.62</v>
      </c>
      <c r="N41" s="16" t="n">
        <v>18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104.49</v>
      </c>
      <c r="D47" s="28" t="n">
        <v>295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2962.51</v>
      </c>
    </row>
    <row r="48">
      <c r="A48" s="16" t="n">
        <v>2</v>
      </c>
      <c r="B48" s="27" t="n">
        <v>98</v>
      </c>
      <c r="C48" s="28" t="n">
        <v>77.23</v>
      </c>
      <c r="D48" s="28" t="n">
        <v>243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19652.65</v>
      </c>
    </row>
    <row r="49">
      <c r="A49" s="16" t="n">
        <v>3</v>
      </c>
      <c r="B49" s="27" t="n">
        <v>98</v>
      </c>
      <c r="C49" s="28" t="n">
        <v>72.36</v>
      </c>
      <c r="D49" s="28" t="n">
        <v>260</v>
      </c>
      <c r="E49" s="17" t="inlineStr">
        <is>
          <t>KABRAEXTRU</t>
        </is>
      </c>
      <c r="F49" s="18" t="inlineStr">
        <is>
          <t>Kabra Extrusion Technik Limited</t>
        </is>
      </c>
      <c r="G49" s="18" t="inlineStr">
        <is>
          <t>industrials</t>
        </is>
      </c>
      <c r="H49" s="19" t="n">
        <v>2696.58</v>
      </c>
    </row>
    <row r="50">
      <c r="A50" s="16" t="n">
        <v>4</v>
      </c>
      <c r="B50" s="27" t="n">
        <v>97</v>
      </c>
      <c r="C50" s="28" t="n">
        <v>72.23</v>
      </c>
      <c r="D50" s="28" t="n">
        <v>270</v>
      </c>
      <c r="E50" s="17" t="inlineStr">
        <is>
          <t>TBZ</t>
        </is>
      </c>
      <c r="F50" s="18" t="inlineStr">
        <is>
          <t>Tribhovandas Bhimji Zaveri Limited</t>
        </is>
      </c>
      <c r="G50" s="18" t="inlineStr">
        <is>
          <t>consumer discretionary</t>
        </is>
      </c>
      <c r="H50" s="19" t="n">
        <v>3781.29</v>
      </c>
    </row>
    <row r="51">
      <c r="A51" s="16" t="n">
        <v>5</v>
      </c>
      <c r="B51" s="27" t="n">
        <v>96</v>
      </c>
      <c r="C51" s="28" t="n">
        <v>52.96</v>
      </c>
      <c r="D51" s="28" t="n">
        <v>283</v>
      </c>
      <c r="E51" s="17" t="inlineStr">
        <is>
          <t>SWANDEF</t>
        </is>
      </c>
      <c r="F51" s="18" t="inlineStr">
        <is>
          <t>Swan Defence and Heavy Industries Ltd</t>
        </is>
      </c>
      <c r="G51" s="18" t="inlineStr">
        <is>
          <t>transportation</t>
        </is>
      </c>
      <c r="H51" s="19" t="n">
        <v>14672.51</v>
      </c>
    </row>
    <row r="52">
      <c r="A52" s="16" t="n">
        <v>6</v>
      </c>
      <c r="B52" s="27" t="n">
        <v>96</v>
      </c>
      <c r="C52" s="28" t="n">
        <v>51.51</v>
      </c>
      <c r="D52" s="28" t="n">
        <v>275</v>
      </c>
      <c r="E52" s="17" t="inlineStr">
        <is>
          <t>MOREPENLAB</t>
        </is>
      </c>
      <c r="F52" s="18" t="inlineStr">
        <is>
          <t>Morepen Laboratories Limited</t>
        </is>
      </c>
      <c r="G52" s="18" t="inlineStr">
        <is>
          <t>healthcare</t>
        </is>
      </c>
      <c r="H52" s="19" t="n">
        <v>7482.31</v>
      </c>
    </row>
    <row r="53">
      <c r="A53" s="16" t="n">
        <v>7</v>
      </c>
      <c r="B53" s="27" t="n">
        <v>95</v>
      </c>
      <c r="C53" s="28" t="n">
        <v>48.86</v>
      </c>
      <c r="D53" s="28" t="n">
        <v>263</v>
      </c>
      <c r="E53" s="17" t="inlineStr">
        <is>
          <t>SPECTRUM</t>
        </is>
      </c>
      <c r="F53" s="18" t="inlineStr">
        <is>
          <t>Spectrum Electrical Industries Ltd</t>
        </is>
      </c>
      <c r="G53" s="18" t="inlineStr">
        <is>
          <t>industrials</t>
        </is>
      </c>
      <c r="H53" s="19" t="n">
        <v>6511.35</v>
      </c>
    </row>
    <row r="54">
      <c r="A54" s="16" t="n">
        <v>8</v>
      </c>
      <c r="B54" s="29" t="n">
        <v>94</v>
      </c>
      <c r="C54" s="28" t="n">
        <v>48.52</v>
      </c>
      <c r="D54" s="28" t="n">
        <v>260</v>
      </c>
      <c r="E54" s="17" t="inlineStr">
        <is>
          <t>BAFNAPH</t>
        </is>
      </c>
      <c r="F54" s="18" t="inlineStr">
        <is>
          <t>Bafna Pharmaceuticals Ltd</t>
        </is>
      </c>
      <c r="G54" s="18" t="inlineStr">
        <is>
          <t>healthcare</t>
        </is>
      </c>
      <c r="H54" s="19" t="n">
        <v>969.55</v>
      </c>
    </row>
    <row r="55">
      <c r="A55" s="16" t="n">
        <v>9</v>
      </c>
      <c r="B55" s="29" t="n">
        <v>93</v>
      </c>
      <c r="C55" s="28" t="n">
        <v>43.94</v>
      </c>
      <c r="D55" s="28" t="n">
        <v>240</v>
      </c>
      <c r="E55" s="17" t="inlineStr">
        <is>
          <t>MODISONLTD</t>
        </is>
      </c>
      <c r="F55" s="18" t="inlineStr">
        <is>
          <t>Modison Limited</t>
        </is>
      </c>
      <c r="G55" s="18" t="inlineStr">
        <is>
          <t>Industrials</t>
        </is>
      </c>
      <c r="H55" s="19" t="n">
        <v>1529.37</v>
      </c>
    </row>
    <row r="56">
      <c r="A56" s="16" t="n">
        <v>10</v>
      </c>
      <c r="B56" s="29" t="n">
        <v>93</v>
      </c>
      <c r="C56" s="28" t="n">
        <v>43.63</v>
      </c>
      <c r="D56" s="28" t="n">
        <v>240</v>
      </c>
      <c r="E56" s="17" t="inlineStr">
        <is>
          <t>SVRL</t>
        </is>
      </c>
      <c r="F56" s="18" t="inlineStr">
        <is>
          <t>Shri Venkatesh Refineries Limited</t>
        </is>
      </c>
      <c r="G56" s="18" t="inlineStr">
        <is>
          <t>Consumer Defensive</t>
        </is>
      </c>
      <c r="H56" s="19" t="n">
        <v>1519.49</v>
      </c>
    </row>
    <row r="57">
      <c r="A57" s="16" t="n">
        <v>11</v>
      </c>
      <c r="B57" s="29" t="n">
        <v>92</v>
      </c>
      <c r="C57" s="28" t="n">
        <v>42.04</v>
      </c>
      <c r="D57" s="28" t="n">
        <v>275</v>
      </c>
      <c r="E57" s="17" t="inlineStr">
        <is>
          <t>HIIL</t>
        </is>
      </c>
      <c r="F57" s="18" t="inlineStr">
        <is>
          <t>Hindusthan Insulators &amp; Industries Limited</t>
        </is>
      </c>
      <c r="G57" s="18" t="inlineStr">
        <is>
          <t>Industrials</t>
        </is>
      </c>
      <c r="H57" s="19" t="n">
        <v>1233.34</v>
      </c>
    </row>
    <row r="58">
      <c r="A58" s="16" t="n">
        <v>12</v>
      </c>
      <c r="B58" s="29" t="n">
        <v>91</v>
      </c>
      <c r="C58" s="28" t="n">
        <v>41.73</v>
      </c>
      <c r="D58" s="28" t="n">
        <v>252</v>
      </c>
      <c r="E58" s="17" t="inlineStr">
        <is>
          <t>KPL</t>
        </is>
      </c>
      <c r="F58" s="18" t="inlineStr">
        <is>
          <t>Kwality Pharmaceuticals Limited</t>
        </is>
      </c>
      <c r="G58" s="18" t="inlineStr">
        <is>
          <t>Healthcare</t>
        </is>
      </c>
      <c r="H58" s="19" t="n">
        <v>3696.73</v>
      </c>
    </row>
    <row r="59">
      <c r="A59" s="16" t="n">
        <v>13</v>
      </c>
      <c r="B59" s="29" t="n">
        <v>91</v>
      </c>
      <c r="C59" s="28" t="n">
        <v>40.86</v>
      </c>
      <c r="D59" s="28" t="n">
        <v>258</v>
      </c>
      <c r="E59" s="17" t="inlineStr">
        <is>
          <t>RAYMOND</t>
        </is>
      </c>
      <c r="F59" s="18" t="inlineStr">
        <is>
          <t>Raymond Limited</t>
        </is>
      </c>
      <c r="G59" s="18" t="inlineStr">
        <is>
          <t>transportation</t>
        </is>
      </c>
      <c r="H59" s="19" t="n">
        <v>7769.82</v>
      </c>
    </row>
    <row r="60">
      <c r="A60" s="16" t="n">
        <v>14</v>
      </c>
      <c r="B60" s="29" t="n">
        <v>90</v>
      </c>
      <c r="C60" s="28" t="n">
        <v>40.5</v>
      </c>
      <c r="D60" s="28" t="n">
        <v>272</v>
      </c>
      <c r="E60" s="17" t="inlineStr">
        <is>
          <t>SHUKRAPHAR</t>
        </is>
      </c>
      <c r="F60" s="18" t="inlineStr">
        <is>
          <t>Shukra Pharmaceuticals Limited</t>
        </is>
      </c>
      <c r="G60" s="18" t="inlineStr">
        <is>
          <t>Healthcare</t>
        </is>
      </c>
      <c r="H60" s="19" t="n">
        <v>2964.46</v>
      </c>
    </row>
    <row r="6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AVTNPL</t>
        </is>
      </c>
      <c r="B2" s="31" t="inlineStr">
        <is>
          <t>Avt Natural Products Limited</t>
        </is>
      </c>
      <c r="C2" s="31" t="inlineStr">
        <is>
          <t>fmcg</t>
        </is>
      </c>
      <c r="D2" s="31" t="inlineStr">
        <is>
          <t>solvent extraction</t>
        </is>
      </c>
      <c r="E2" s="31" t="inlineStr">
        <is>
          <t>smallcap</t>
        </is>
      </c>
      <c r="F2" s="31" t="n">
        <v>1301.27</v>
      </c>
      <c r="G2" s="31" t="n">
        <v>94.78</v>
      </c>
      <c r="H2" s="31" t="n">
        <v>10.92</v>
      </c>
      <c r="I2" s="31" t="n">
        <v>10258801</v>
      </c>
      <c r="J2" s="31" t="inlineStr">
        <is>
          <t>519105</t>
        </is>
      </c>
    </row>
    <row r="3">
      <c r="A3" s="31" t="inlineStr">
        <is>
          <t>SHANTIGOLD</t>
        </is>
      </c>
      <c r="B3" s="31" t="inlineStr">
        <is>
          <t>Shanti Gold International Ltd</t>
        </is>
      </c>
      <c r="C3" s="31" t="inlineStr">
        <is>
          <t>consumer discretionary</t>
        </is>
      </c>
      <c r="D3" s="31" t="inlineStr">
        <is>
          <t>diamond cutting / jewellery</t>
        </is>
      </c>
      <c r="E3" s="31" t="inlineStr">
        <is>
          <t>smallcap</t>
        </is>
      </c>
      <c r="F3" s="31" t="n">
        <v>2690.87</v>
      </c>
      <c r="G3" s="31" t="n">
        <v>380.55</v>
      </c>
      <c r="H3" s="31" t="n">
        <v>8.529999999999999</v>
      </c>
      <c r="I3" s="31" t="n">
        <v>10493143</v>
      </c>
      <c r="J3" s="31" t="inlineStr">
        <is>
          <t>544459</t>
        </is>
      </c>
    </row>
    <row r="4">
      <c r="A4" s="31" t="inlineStr">
        <is>
          <t>BLUSPRING</t>
        </is>
      </c>
      <c r="B4" s="31" t="inlineStr">
        <is>
          <t>Bluspring Enterprises Ltd</t>
        </is>
      </c>
      <c r="C4" s="31" t="inlineStr">
        <is>
          <t>miscellaneous</t>
        </is>
      </c>
      <c r="D4" s="31" t="inlineStr">
        <is>
          <t>diversified - large</t>
        </is>
      </c>
      <c r="E4" s="31" t="inlineStr">
        <is>
          <t>smallcap</t>
        </is>
      </c>
      <c r="F4" s="31" t="n">
        <v>2029.26</v>
      </c>
      <c r="G4" s="31" t="n">
        <v>146.96</v>
      </c>
      <c r="H4" s="31" t="n">
        <v>8.23</v>
      </c>
      <c r="I4" s="31" t="n">
        <v>1090575</v>
      </c>
      <c r="J4" s="31" t="inlineStr">
        <is>
          <t>544414</t>
        </is>
      </c>
    </row>
    <row r="5">
      <c r="A5" s="31" t="inlineStr">
        <is>
          <t>SMCGLOBAL</t>
        </is>
      </c>
      <c r="B5" s="31" t="inlineStr">
        <is>
          <t>SMC Global Securities Ltd</t>
        </is>
      </c>
      <c r="C5" s="31" t="inlineStr">
        <is>
          <t>financials</t>
        </is>
      </c>
      <c r="D5" s="31" t="inlineStr">
        <is>
          <t>finance &amp; investments</t>
        </is>
      </c>
      <c r="E5" s="31" t="inlineStr">
        <is>
          <t>smallcap</t>
        </is>
      </c>
      <c r="F5" s="31" t="n">
        <v>2257.96</v>
      </c>
      <c r="G5" s="31" t="n">
        <v>115.95</v>
      </c>
      <c r="H5" s="31" t="n">
        <v>7.53</v>
      </c>
      <c r="I5" s="31" t="n">
        <v>82142124</v>
      </c>
      <c r="J5" s="31" t="inlineStr">
        <is>
          <t>543263</t>
        </is>
      </c>
    </row>
    <row r="6">
      <c r="A6" s="31" t="inlineStr">
        <is>
          <t>ZIMLAB</t>
        </is>
      </c>
      <c r="B6" s="31" t="inlineStr">
        <is>
          <t>Zim Laboratories Ltd</t>
        </is>
      </c>
      <c r="C6" s="31" t="inlineStr">
        <is>
          <t>healthcare</t>
        </is>
      </c>
      <c r="D6" s="31" t="inlineStr">
        <is>
          <t>pharmaceuticals - indian - bulk drugs &amp; formln</t>
        </is>
      </c>
      <c r="E6" s="31" t="inlineStr">
        <is>
          <t>smallcap</t>
        </is>
      </c>
      <c r="F6" s="31" t="n">
        <v>752.52</v>
      </c>
      <c r="G6" s="31" t="n">
        <v>150.47</v>
      </c>
      <c r="H6" s="31" t="n">
        <v>7.07</v>
      </c>
      <c r="I6" s="31" t="n">
        <v>554208</v>
      </c>
      <c r="J6" s="31" t="inlineStr">
        <is>
          <t>541400</t>
        </is>
      </c>
    </row>
    <row r="7">
      <c r="A7" s="31" t="inlineStr">
        <is>
          <t>TCPLPACK</t>
        </is>
      </c>
      <c r="B7" s="31" t="inlineStr">
        <is>
          <t>TCPL Packaging Ltd</t>
        </is>
      </c>
      <c r="C7" s="31" t="inlineStr">
        <is>
          <t>industrials</t>
        </is>
      </c>
      <c r="D7" s="31" t="inlineStr">
        <is>
          <t>packaging</t>
        </is>
      </c>
      <c r="E7" s="31" t="inlineStr">
        <is>
          <t>smallcap</t>
        </is>
      </c>
      <c r="F7" s="31" t="n">
        <v>3634.9</v>
      </c>
      <c r="G7" s="31" t="n">
        <v>4274.7</v>
      </c>
      <c r="H7" s="31" t="n">
        <v>7.02</v>
      </c>
      <c r="I7" s="31" t="n">
        <v>45318</v>
      </c>
      <c r="J7" s="31" t="inlineStr">
        <is>
          <t>523301</t>
        </is>
      </c>
    </row>
    <row r="8">
      <c r="A8" s="31" t="inlineStr">
        <is>
          <t>PRIMO</t>
        </is>
      </c>
      <c r="B8" s="31" t="inlineStr">
        <is>
          <t>Primo Chemicals Ltd</t>
        </is>
      </c>
      <c r="C8" s="31" t="inlineStr">
        <is>
          <t>chemicals</t>
        </is>
      </c>
      <c r="D8" s="31" t="inlineStr">
        <is>
          <t>chlor alkali / soda ash</t>
        </is>
      </c>
      <c r="E8" s="31" t="inlineStr">
        <is>
          <t>smallcap</t>
        </is>
      </c>
      <c r="F8" s="31" t="n">
        <v>595.6799999999999</v>
      </c>
      <c r="G8" s="31" t="n">
        <v>26.3</v>
      </c>
      <c r="H8" s="31" t="n">
        <v>7</v>
      </c>
      <c r="I8" s="31" t="n">
        <v>310931</v>
      </c>
      <c r="J8" s="31" t="inlineStr">
        <is>
          <t>506852</t>
        </is>
      </c>
    </row>
    <row r="9">
      <c r="A9" s="31" t="inlineStr">
        <is>
          <t>CYIENT</t>
        </is>
      </c>
      <c r="B9" s="31" t="inlineStr">
        <is>
          <t>Cyient Limited</t>
        </is>
      </c>
      <c r="C9" s="31" t="inlineStr">
        <is>
          <t>i.t</t>
        </is>
      </c>
      <c r="D9" s="31" t="inlineStr">
        <is>
          <t>computers - software - medium / small</t>
        </is>
      </c>
      <c r="E9" s="31" t="inlineStr">
        <is>
          <t>midcap</t>
        </is>
      </c>
      <c r="F9" s="31" t="n">
        <v>11361.34</v>
      </c>
      <c r="G9" s="31" t="n">
        <v>1158.8</v>
      </c>
      <c r="H9" s="31" t="n">
        <v>6.83</v>
      </c>
      <c r="I9" s="31" t="n">
        <v>4226963</v>
      </c>
      <c r="J9" s="31" t="inlineStr">
        <is>
          <t>532175</t>
        </is>
      </c>
    </row>
    <row r="10">
      <c r="A10" s="31" t="inlineStr">
        <is>
          <t>PCJEWELLER</t>
        </is>
      </c>
      <c r="B10" s="31" t="inlineStr">
        <is>
          <t>Pc Jeweller Limited</t>
        </is>
      </c>
      <c r="C10" s="31" t="inlineStr">
        <is>
          <t>consumer discretionary</t>
        </is>
      </c>
      <c r="D10" s="31" t="inlineStr">
        <is>
          <t>diamond cutting / jewellery</t>
        </is>
      </c>
      <c r="E10" s="31" t="inlineStr">
        <is>
          <t>midcap</t>
        </is>
      </c>
      <c r="F10" s="31" t="n">
        <v>13497.64</v>
      </c>
      <c r="G10" s="31" t="n">
        <v>14.81</v>
      </c>
      <c r="H10" s="31" t="n">
        <v>6.55</v>
      </c>
      <c r="I10" s="31" t="n">
        <v>895898449</v>
      </c>
      <c r="J10" s="31" t="inlineStr">
        <is>
          <t>534809</t>
        </is>
      </c>
    </row>
    <row r="11">
      <c r="A11" s="31" t="inlineStr">
        <is>
          <t>BLKASHYAP</t>
        </is>
      </c>
      <c r="B11" s="31" t="inlineStr">
        <is>
          <t>B. L. Kashyap And Sons Limited</t>
        </is>
      </c>
      <c r="C11" s="31" t="inlineStr">
        <is>
          <t>realty</t>
        </is>
      </c>
      <c r="D11" s="31" t="inlineStr">
        <is>
          <t>construction</t>
        </is>
      </c>
      <c r="E11" s="31" t="inlineStr">
        <is>
          <t>smallcap</t>
        </is>
      </c>
      <c r="F11" s="31" t="n">
        <v>1175.44</v>
      </c>
      <c r="G11" s="31" t="n">
        <v>55.27</v>
      </c>
      <c r="H11" s="31" t="n">
        <v>6</v>
      </c>
      <c r="I11" s="31" t="n">
        <v>1149698</v>
      </c>
      <c r="J11" s="31" t="inlineStr">
        <is>
          <t>532719</t>
        </is>
      </c>
    </row>
    <row r="12">
      <c r="A12" s="31" t="inlineStr">
        <is>
          <t>PERSISTENT</t>
        </is>
      </c>
      <c r="B12" s="31" t="inlineStr">
        <is>
          <t>Persistent Systems Limited</t>
        </is>
      </c>
      <c r="C12" s="31" t="inlineStr">
        <is>
          <t>i.t</t>
        </is>
      </c>
      <c r="D12" s="31" t="inlineStr">
        <is>
          <t>computers - software - large</t>
        </is>
      </c>
      <c r="E12" s="31" t="inlineStr">
        <is>
          <t>largecap</t>
        </is>
      </c>
      <c r="F12" s="31" t="n">
        <v>86257.7</v>
      </c>
      <c r="G12" s="31" t="n">
        <v>5770</v>
      </c>
      <c r="H12" s="31" t="n">
        <v>5.52</v>
      </c>
      <c r="I12" s="31" t="n">
        <v>773886</v>
      </c>
      <c r="J12" s="31" t="inlineStr">
        <is>
          <t>533179</t>
        </is>
      </c>
    </row>
    <row r="13">
      <c r="A13" s="31" t="inlineStr">
        <is>
          <t>UNITEDPOLY</t>
        </is>
      </c>
      <c r="B13" s="31" t="inlineStr">
        <is>
          <t>United Polyfab Gujarat Ltd</t>
        </is>
      </c>
      <c r="C13" s="31" t="inlineStr">
        <is>
          <t>textiles</t>
        </is>
      </c>
      <c r="D13" s="31" t="inlineStr">
        <is>
          <t>textiles - products</t>
        </is>
      </c>
      <c r="E13" s="31" t="inlineStr">
        <is>
          <t>smallcap</t>
        </is>
      </c>
      <c r="F13" s="31" t="n">
        <v>1091.58</v>
      </c>
      <c r="G13" s="31" t="n">
        <v>50.12</v>
      </c>
      <c r="H13" s="31" t="n">
        <v>5.38</v>
      </c>
      <c r="I13" s="31" t="n">
        <v>1538149</v>
      </c>
      <c r="J13" s="31" t="inlineStr">
        <is>
          <t>533024</t>
        </is>
      </c>
    </row>
    <row r="14">
      <c r="A14" s="31" t="inlineStr">
        <is>
          <t>CPPLUS</t>
        </is>
      </c>
      <c r="B14" s="31" t="inlineStr">
        <is>
          <t>Aditya Infotech Ltd</t>
        </is>
      </c>
      <c r="C14" s="31" t="inlineStr">
        <is>
          <t>consumer discretionary</t>
        </is>
      </c>
      <c r="D14" s="31" t="inlineStr">
        <is>
          <t>trading</t>
        </is>
      </c>
      <c r="E14" s="31" t="inlineStr">
        <is>
          <t>largecap</t>
        </is>
      </c>
      <c r="F14" s="31" t="n">
        <v>48709.87</v>
      </c>
      <c r="G14" s="31" t="n">
        <v>4185.2</v>
      </c>
      <c r="H14" s="31" t="n">
        <v>5.36</v>
      </c>
      <c r="I14" s="31" t="n">
        <v>887678</v>
      </c>
      <c r="J14" s="31" t="inlineStr">
        <is>
          <t>544466</t>
        </is>
      </c>
    </row>
    <row r="15">
      <c r="A15" s="31" t="inlineStr">
        <is>
          <t>CUB</t>
        </is>
      </c>
      <c r="B15" s="31" t="inlineStr">
        <is>
          <t>City Union Bank Limited</t>
        </is>
      </c>
      <c r="C15" s="31" t="inlineStr">
        <is>
          <t>bank</t>
        </is>
      </c>
      <c r="D15" s="31" t="inlineStr">
        <is>
          <t>banks - private sector</t>
        </is>
      </c>
      <c r="E15" s="31" t="inlineStr">
        <is>
          <t>largecap</t>
        </is>
      </c>
      <c r="F15" s="31" t="n">
        <v>21804.25</v>
      </c>
      <c r="G15" s="31" t="n">
        <v>231.42</v>
      </c>
      <c r="H15" s="31" t="n">
        <v>5.16</v>
      </c>
      <c r="I15" s="31" t="n">
        <v>3671884</v>
      </c>
      <c r="J15" s="31" t="inlineStr">
        <is>
          <t>532210</t>
        </is>
      </c>
    </row>
    <row r="16">
      <c r="A16" s="31" t="inlineStr">
        <is>
          <t>MAYURUNIQ</t>
        </is>
      </c>
      <c r="B16" s="31" t="inlineStr">
        <is>
          <t>Mayur Uniquoters Ltd</t>
        </is>
      </c>
      <c r="C16" s="31" t="inlineStr">
        <is>
          <t>consumer discretionary</t>
        </is>
      </c>
      <c r="D16" s="31" t="inlineStr">
        <is>
          <t>leather / leather products</t>
        </is>
      </c>
      <c r="E16" s="31" t="inlineStr">
        <is>
          <t>smallcap</t>
        </is>
      </c>
      <c r="F16" s="31" t="n">
        <v>3258.51</v>
      </c>
      <c r="G16" s="31" t="n">
        <v>788.4</v>
      </c>
      <c r="H16" s="31" t="n">
        <v>5.13</v>
      </c>
      <c r="I16" s="31" t="n">
        <v>232886</v>
      </c>
      <c r="J16" s="31" t="inlineStr">
        <is>
          <t>522249</t>
        </is>
      </c>
    </row>
    <row r="17">
      <c r="A17" s="31" t="inlineStr">
        <is>
          <t>VHLTD</t>
        </is>
      </c>
      <c r="B17" s="31" t="inlineStr">
        <is>
          <t>Viceroy Hotels Ltd</t>
        </is>
      </c>
      <c r="C17" s="31" t="inlineStr">
        <is>
          <t>services</t>
        </is>
      </c>
      <c r="D17" s="31" t="inlineStr">
        <is>
          <t>hotels</t>
        </is>
      </c>
      <c r="E17" s="31" t="inlineStr">
        <is>
          <t>smallcap</t>
        </is>
      </c>
      <c r="F17" s="31" t="n">
        <v>1045</v>
      </c>
      <c r="G17" s="31" t="n">
        <v>142.9</v>
      </c>
      <c r="H17" s="31" t="n">
        <v>5</v>
      </c>
      <c r="I17" s="31" t="n">
        <v>104822</v>
      </c>
      <c r="J17" s="31" t="inlineStr">
        <is>
          <t>523796</t>
        </is>
      </c>
    </row>
    <row r="18">
      <c r="A18" s="31" t="inlineStr">
        <is>
          <t>MANAKSTEEL</t>
        </is>
      </c>
      <c r="B18" s="31" t="inlineStr">
        <is>
          <t>Manaksia Steels Limited</t>
        </is>
      </c>
      <c r="C18" s="31" t="inlineStr">
        <is>
          <t>metals &amp; mining</t>
        </is>
      </c>
      <c r="D18" s="31" t="inlineStr">
        <is>
          <t>steel - medium / small</t>
        </is>
      </c>
      <c r="E18" s="31" t="inlineStr">
        <is>
          <t>smallcap</t>
        </is>
      </c>
      <c r="F18" s="31" t="n">
        <v>695.58</v>
      </c>
      <c r="G18" s="31" t="n">
        <v>111.44</v>
      </c>
      <c r="H18" s="31" t="n">
        <v>4.99</v>
      </c>
      <c r="I18" s="31" t="n">
        <v>42147</v>
      </c>
      <c r="J18" s="31" t="inlineStr">
        <is>
          <t>539044</t>
        </is>
      </c>
    </row>
    <row r="19">
      <c r="A19" s="31" t="inlineStr">
        <is>
          <t>BIRLACABLE</t>
        </is>
      </c>
      <c r="B19" s="31" t="inlineStr">
        <is>
          <t>Birla Cable Limited</t>
        </is>
      </c>
      <c r="C19" s="31" t="inlineStr">
        <is>
          <t>industrials</t>
        </is>
      </c>
      <c r="D19" s="31" t="inlineStr">
        <is>
          <t>cables - telephone</t>
        </is>
      </c>
      <c r="E19" s="31" t="inlineStr">
        <is>
          <t>smallcap</t>
        </is>
      </c>
      <c r="F19" s="31" t="n">
        <v>1100.7</v>
      </c>
      <c r="G19" s="31" t="n">
        <v>385.2</v>
      </c>
      <c r="H19" s="31" t="n">
        <v>4.99</v>
      </c>
      <c r="I19" s="31" t="n">
        <v>381833</v>
      </c>
      <c r="J19" s="31" t="inlineStr">
        <is>
          <t>500060</t>
        </is>
      </c>
    </row>
    <row r="20">
      <c r="A20" s="31" t="inlineStr">
        <is>
          <t>TBZ</t>
        </is>
      </c>
      <c r="B20" s="31" t="inlineStr">
        <is>
          <t>Tribhovandas Bhimji Zaveri Limited</t>
        </is>
      </c>
      <c r="C20" s="31" t="inlineStr">
        <is>
          <t>consumer discretionary</t>
        </is>
      </c>
      <c r="D20" s="31" t="inlineStr">
        <is>
          <t>diamond cutting / jewellery</t>
        </is>
      </c>
      <c r="E20" s="31" t="inlineStr">
        <is>
          <t>smallcap</t>
        </is>
      </c>
      <c r="F20" s="31" t="n">
        <v>3781.29</v>
      </c>
      <c r="G20" s="31" t="n">
        <v>594.95</v>
      </c>
      <c r="H20" s="31" t="n">
        <v>4.99</v>
      </c>
      <c r="I20" s="31" t="n">
        <v>239097</v>
      </c>
      <c r="J20" s="31" t="inlineStr">
        <is>
          <t>534369</t>
        </is>
      </c>
    </row>
    <row r="21">
      <c r="A21" s="31" t="inlineStr">
        <is>
          <t>IBULLSLTD</t>
        </is>
      </c>
      <c r="B21" s="31" t="inlineStr">
        <is>
          <t>Indiabulls Limited</t>
        </is>
      </c>
      <c r="C21" s="31" t="inlineStr">
        <is>
          <t>miscellaneous</t>
        </is>
      </c>
      <c r="D21" s="31" t="inlineStr">
        <is>
          <t>diversified - medium / small</t>
        </is>
      </c>
      <c r="E21" s="31" t="inlineStr">
        <is>
          <t>midcap</t>
        </is>
      </c>
      <c r="F21" s="31" t="n">
        <v>8125.45</v>
      </c>
      <c r="G21" s="31" t="n">
        <v>36.62</v>
      </c>
      <c r="H21" s="31" t="n">
        <v>4.99</v>
      </c>
      <c r="I21" s="31" t="n">
        <v>36655938</v>
      </c>
      <c r="J21" s="31" t="inlineStr">
        <is>
          <t>533520</t>
        </is>
      </c>
    </row>
    <row r="22">
      <c r="A22" s="31" t="inlineStr">
        <is>
          <t>OCCLLTD</t>
        </is>
      </c>
      <c r="B22" s="31" t="inlineStr">
        <is>
          <t>OCCL Ltd</t>
        </is>
      </c>
      <c r="C22" s="31" t="inlineStr">
        <is>
          <t>chemicals</t>
        </is>
      </c>
      <c r="D22" s="31" t="inlineStr">
        <is>
          <t>chemicals</t>
        </is>
      </c>
      <c r="E22" s="31" t="inlineStr">
        <is>
          <t>smallcap</t>
        </is>
      </c>
      <c r="F22" s="31" t="n">
        <v>1040.77</v>
      </c>
      <c r="G22" s="31" t="n">
        <v>218.54</v>
      </c>
      <c r="H22" s="31" t="n">
        <v>4.89</v>
      </c>
      <c r="I22" s="31" t="n">
        <v>192171</v>
      </c>
      <c r="J22" s="31" t="inlineStr">
        <is>
          <t>544278</t>
        </is>
      </c>
    </row>
    <row r="23">
      <c r="A23" s="31" t="inlineStr">
        <is>
          <t>PANACHE</t>
        </is>
      </c>
      <c r="B23" s="31" t="inlineStr">
        <is>
          <t>Panache Digilife Ltd</t>
        </is>
      </c>
      <c r="C23" s="31" t="inlineStr">
        <is>
          <t>i.t</t>
        </is>
      </c>
      <c r="D23" s="31" t="inlineStr">
        <is>
          <t>computers - hardware</t>
        </is>
      </c>
      <c r="E23" s="31" t="inlineStr">
        <is>
          <t>smallcap</t>
        </is>
      </c>
      <c r="F23" s="31" t="n">
        <v>943.63</v>
      </c>
      <c r="G23" s="31" t="n">
        <v>617.8</v>
      </c>
      <c r="H23" s="31" t="n">
        <v>4.85</v>
      </c>
      <c r="I23" s="31" t="n">
        <v>34608</v>
      </c>
      <c r="J23" s="31" t="inlineStr">
        <is>
          <t>538424</t>
        </is>
      </c>
    </row>
    <row r="24">
      <c r="A24" s="31" t="inlineStr">
        <is>
          <t>PREMIERPOL</t>
        </is>
      </c>
      <c r="B24" s="31" t="inlineStr">
        <is>
          <t>Premier Polyfilm Limited</t>
        </is>
      </c>
      <c r="C24" s="31" t="inlineStr">
        <is>
          <t>plastic products</t>
        </is>
      </c>
      <c r="D24" s="31" t="inlineStr">
        <is>
          <t>plastics products</t>
        </is>
      </c>
      <c r="E24" s="31" t="inlineStr">
        <is>
          <t>smallcap</t>
        </is>
      </c>
      <c r="F24" s="31" t="n">
        <v>1029.09</v>
      </c>
      <c r="G24" s="31" t="n">
        <v>102.85</v>
      </c>
      <c r="H24" s="31" t="n">
        <v>4.68</v>
      </c>
      <c r="I24" s="31" t="n">
        <v>656892</v>
      </c>
      <c r="J24" s="31" t="inlineStr">
        <is>
          <t>514354</t>
        </is>
      </c>
    </row>
    <row r="25">
      <c r="A25" s="31" t="inlineStr">
        <is>
          <t>SGFIN</t>
        </is>
      </c>
      <c r="B25" s="31" t="inlineStr">
        <is>
          <t>SG Finserve Ltd</t>
        </is>
      </c>
      <c r="C25" s="31" t="inlineStr">
        <is>
          <t>financials</t>
        </is>
      </c>
      <c r="D25" s="31" t="inlineStr">
        <is>
          <t>finance &amp; investments</t>
        </is>
      </c>
      <c r="E25" s="31" t="inlineStr">
        <is>
          <t>smallcap</t>
        </is>
      </c>
      <c r="F25" s="31" t="n">
        <v>4256.16</v>
      </c>
      <c r="G25" s="31" t="n">
        <v>676.05</v>
      </c>
      <c r="H25" s="31" t="n">
        <v>4.67</v>
      </c>
      <c r="I25" s="31" t="n">
        <v>844383</v>
      </c>
      <c r="J25" s="31" t="inlineStr">
        <is>
          <t>539199</t>
        </is>
      </c>
    </row>
    <row r="26">
      <c r="A26" s="31" t="inlineStr">
        <is>
          <t>DPABHUSHAN</t>
        </is>
      </c>
      <c r="B26" s="31" t="inlineStr">
        <is>
          <t>D.P. Abhushan Ltd</t>
        </is>
      </c>
      <c r="C26" s="31" t="inlineStr">
        <is>
          <t>consumer discretionary</t>
        </is>
      </c>
      <c r="D26" s="31" t="inlineStr">
        <is>
          <t>trading</t>
        </is>
      </c>
      <c r="E26" s="31" t="inlineStr">
        <is>
          <t>midcap</t>
        </is>
      </c>
      <c r="F26" s="31" t="n">
        <v>5156.6</v>
      </c>
      <c r="G26" s="31" t="n">
        <v>2363.8</v>
      </c>
      <c r="H26" s="31" t="n">
        <v>4.64</v>
      </c>
      <c r="I26" s="31" t="n">
        <v>295689</v>
      </c>
      <c r="J26" s="31" t="inlineStr">
        <is>
          <t>535026</t>
        </is>
      </c>
    </row>
    <row r="27">
      <c r="A27" s="31" t="inlineStr">
        <is>
          <t>KRISHANA</t>
        </is>
      </c>
      <c r="B27" s="31" t="inlineStr">
        <is>
          <t>Krishana Phoschem Ltd</t>
        </is>
      </c>
      <c r="C27" s="31" t="inlineStr">
        <is>
          <t>chemicals</t>
        </is>
      </c>
      <c r="D27" s="31" t="inlineStr">
        <is>
          <t>fertilizers</t>
        </is>
      </c>
      <c r="E27" s="31" t="inlineStr">
        <is>
          <t>smallcap</t>
        </is>
      </c>
      <c r="F27" s="31" t="n">
        <v>1166.63</v>
      </c>
      <c r="G27" s="31" t="n">
        <v>197.11</v>
      </c>
      <c r="H27" s="31" t="n">
        <v>4.46</v>
      </c>
      <c r="I27" s="31" t="n">
        <v>2164858</v>
      </c>
      <c r="J27" s="31" t="inlineStr">
        <is>
          <t>538405</t>
        </is>
      </c>
    </row>
    <row r="28">
      <c r="A28" s="31" t="inlineStr">
        <is>
          <t>RBLBANK</t>
        </is>
      </c>
      <c r="B28" s="31" t="inlineStr">
        <is>
          <t>Rbl Bank Limited</t>
        </is>
      </c>
      <c r="C28" s="31" t="inlineStr">
        <is>
          <t>bank</t>
        </is>
      </c>
      <c r="D28" s="31" t="inlineStr">
        <is>
          <t>banks - private sector</t>
        </is>
      </c>
      <c r="E28" s="31" t="inlineStr">
        <is>
          <t>largecap</t>
        </is>
      </c>
      <c r="F28" s="31" t="n">
        <v>62050.72</v>
      </c>
      <c r="G28" s="31" t="n">
        <v>418</v>
      </c>
      <c r="H28" s="31" t="n">
        <v>4.32</v>
      </c>
      <c r="I28" s="31" t="n">
        <v>3772524</v>
      </c>
      <c r="J28" s="31" t="inlineStr">
        <is>
          <t>540065</t>
        </is>
      </c>
    </row>
    <row r="29">
      <c r="A29" s="31" t="inlineStr">
        <is>
          <t>SGMART</t>
        </is>
      </c>
      <c r="B29" s="31" t="inlineStr">
        <is>
          <t>SG Mart Ltd</t>
        </is>
      </c>
      <c r="C29" s="31" t="inlineStr">
        <is>
          <t>services</t>
        </is>
      </c>
      <c r="D29" s="31" t="inlineStr">
        <is>
          <t>trading</t>
        </is>
      </c>
      <c r="E29" s="31" t="inlineStr">
        <is>
          <t>midcap</t>
        </is>
      </c>
      <c r="F29" s="31" t="n">
        <v>9370.09</v>
      </c>
      <c r="G29" s="31" t="n">
        <v>775.6</v>
      </c>
      <c r="H29" s="31" t="n">
        <v>4.32</v>
      </c>
      <c r="I29" s="31" t="n">
        <v>305426</v>
      </c>
      <c r="J29" s="31" t="inlineStr">
        <is>
          <t>512329</t>
        </is>
      </c>
    </row>
    <row r="30">
      <c r="A30" s="31" t="inlineStr">
        <is>
          <t>ONWARDTEC</t>
        </is>
      </c>
      <c r="B30" s="31" t="inlineStr">
        <is>
          <t>Onward Technologies Limited</t>
        </is>
      </c>
      <c r="C30" s="31" t="inlineStr">
        <is>
          <t>i.t</t>
        </is>
      </c>
      <c r="D30" s="31" t="inlineStr">
        <is>
          <t>computers - software - medium / small</t>
        </is>
      </c>
      <c r="E30" s="31" t="inlineStr">
        <is>
          <t>smallcap</t>
        </is>
      </c>
      <c r="F30" s="31" t="n">
        <v>655.28</v>
      </c>
      <c r="G30" s="31" t="n">
        <v>307</v>
      </c>
      <c r="H30" s="31" t="n">
        <v>4.21</v>
      </c>
      <c r="I30" s="31" t="n">
        <v>117358</v>
      </c>
      <c r="J30" s="31" t="inlineStr">
        <is>
          <t>517536</t>
        </is>
      </c>
    </row>
    <row r="31">
      <c r="A31" s="31" t="inlineStr">
        <is>
          <t>BBOX</t>
        </is>
      </c>
      <c r="B31" s="31" t="inlineStr">
        <is>
          <t>Black Box Ltd</t>
        </is>
      </c>
      <c r="C31" s="31" t="inlineStr">
        <is>
          <t>i.t</t>
        </is>
      </c>
      <c r="D31" s="31" t="inlineStr">
        <is>
          <t>computers - software - medium / small</t>
        </is>
      </c>
      <c r="E31" s="31" t="inlineStr">
        <is>
          <t>midcap</t>
        </is>
      </c>
      <c r="F31" s="31" t="n">
        <v>15212.26</v>
      </c>
      <c r="G31" s="31" t="n">
        <v>892.1</v>
      </c>
      <c r="H31" s="31" t="n">
        <v>4.15</v>
      </c>
      <c r="I31" s="31" t="n">
        <v>6686307</v>
      </c>
      <c r="J31" s="31" t="inlineStr">
        <is>
          <t>500463</t>
        </is>
      </c>
    </row>
    <row r="32">
      <c r="A32" s="31" t="inlineStr">
        <is>
          <t>PASUPTAC</t>
        </is>
      </c>
      <c r="B32" s="31" t="inlineStr">
        <is>
          <t>Pasupati Acrylon Ltd</t>
        </is>
      </c>
      <c r="C32" s="31" t="inlineStr">
        <is>
          <t>textiles</t>
        </is>
      </c>
      <c r="D32" s="31" t="inlineStr">
        <is>
          <t>textiles - manmade</t>
        </is>
      </c>
      <c r="E32" s="31" t="inlineStr">
        <is>
          <t>smallcap</t>
        </is>
      </c>
      <c r="F32" s="31" t="n">
        <v>626.87</v>
      </c>
      <c r="G32" s="31" t="n">
        <v>73.23999999999999</v>
      </c>
      <c r="H32" s="31" t="n">
        <v>4.14</v>
      </c>
      <c r="I32" s="31" t="n">
        <v>233296</v>
      </c>
      <c r="J32" s="31" t="inlineStr">
        <is>
          <t>500456</t>
        </is>
      </c>
    </row>
    <row r="33">
      <c r="A33" s="31" t="inlineStr">
        <is>
          <t>SKYGOLD</t>
        </is>
      </c>
      <c r="B33" s="31" t="inlineStr">
        <is>
          <t>Sky Gold Ltd</t>
        </is>
      </c>
      <c r="C33" s="31" t="inlineStr">
        <is>
          <t>consumer discretionary</t>
        </is>
      </c>
      <c r="D33" s="31" t="inlineStr">
        <is>
          <t>diamond cutting / jewellery</t>
        </is>
      </c>
      <c r="E33" s="31" t="inlineStr">
        <is>
          <t>midcap</t>
        </is>
      </c>
      <c r="F33" s="31" t="n">
        <v>13698.6</v>
      </c>
      <c r="G33" s="31" t="n">
        <v>921</v>
      </c>
      <c r="H33" s="31" t="n">
        <v>4.13</v>
      </c>
      <c r="I33" s="31" t="n">
        <v>2291187</v>
      </c>
      <c r="J33" s="31" t="inlineStr">
        <is>
          <t>541967</t>
        </is>
      </c>
    </row>
    <row r="34">
      <c r="A34" s="31" t="inlineStr">
        <is>
          <t>DHANBANK</t>
        </is>
      </c>
      <c r="B34" s="31" t="inlineStr">
        <is>
          <t>Dhanlaxmi Bank Limited</t>
        </is>
      </c>
      <c r="C34" s="31" t="inlineStr">
        <is>
          <t>bank</t>
        </is>
      </c>
      <c r="D34" s="31" t="inlineStr">
        <is>
          <t>banks - private sector</t>
        </is>
      </c>
      <c r="E34" s="31" t="inlineStr">
        <is>
          <t>smallcap</t>
        </is>
      </c>
      <c r="F34" s="31" t="n">
        <v>1288.69</v>
      </c>
      <c r="G34" s="31" t="n">
        <v>33.96</v>
      </c>
      <c r="H34" s="31" t="n">
        <v>4.01</v>
      </c>
      <c r="I34" s="31" t="n">
        <v>3865722</v>
      </c>
      <c r="J34" s="31" t="inlineStr">
        <is>
          <t>532180</t>
        </is>
      </c>
    </row>
    <row r="35">
      <c r="A35" s="31" t="inlineStr">
        <is>
          <t>GALAXYSURF</t>
        </is>
      </c>
      <c r="B35" s="31" t="inlineStr">
        <is>
          <t>Galaxy Surfactants Ltd</t>
        </is>
      </c>
      <c r="C35" s="31" t="inlineStr">
        <is>
          <t>chemicals</t>
        </is>
      </c>
      <c r="D35" s="31" t="inlineStr">
        <is>
          <t>chemicals</t>
        </is>
      </c>
      <c r="E35" s="31" t="inlineStr">
        <is>
          <t>midcap</t>
        </is>
      </c>
      <c r="F35" s="31" t="n">
        <v>8532.9</v>
      </c>
      <c r="G35" s="31" t="n">
        <v>2502.2</v>
      </c>
      <c r="H35" s="31" t="n">
        <v>3.97</v>
      </c>
      <c r="I35" s="31" t="n">
        <v>95245</v>
      </c>
      <c r="J35" s="31" t="inlineStr">
        <is>
          <t>540935</t>
        </is>
      </c>
    </row>
    <row r="36">
      <c r="A36" s="31" t="inlineStr">
        <is>
          <t>INDOAMIN</t>
        </is>
      </c>
      <c r="B36" s="31" t="inlineStr">
        <is>
          <t>Indo Amines Ltd</t>
        </is>
      </c>
      <c r="C36" s="31" t="inlineStr">
        <is>
          <t>chemicals</t>
        </is>
      </c>
      <c r="D36" s="31" t="inlineStr">
        <is>
          <t>chemicals</t>
        </is>
      </c>
      <c r="E36" s="31" t="inlineStr">
        <is>
          <t>smallcap</t>
        </is>
      </c>
      <c r="F36" s="31" t="n">
        <v>1101.15</v>
      </c>
      <c r="G36" s="31" t="n">
        <v>157.72</v>
      </c>
      <c r="H36" s="31" t="n">
        <v>3.97</v>
      </c>
      <c r="I36" s="31" t="n">
        <v>575379</v>
      </c>
      <c r="J36" s="31" t="inlineStr">
        <is>
          <t>524648</t>
        </is>
      </c>
    </row>
    <row r="37">
      <c r="A37" s="31" t="inlineStr">
        <is>
          <t>FAIRCHEMOR</t>
        </is>
      </c>
      <c r="B37" s="31" t="inlineStr">
        <is>
          <t>Fairchem Organics Ltd</t>
        </is>
      </c>
      <c r="C37" s="31" t="inlineStr">
        <is>
          <t>chemicals</t>
        </is>
      </c>
      <c r="D37" s="31" t="inlineStr">
        <is>
          <t>chemicals</t>
        </is>
      </c>
      <c r="E37" s="31" t="inlineStr">
        <is>
          <t>smallcap</t>
        </is>
      </c>
      <c r="F37" s="31" t="n">
        <v>908.04</v>
      </c>
      <c r="G37" s="31" t="n">
        <v>748.7</v>
      </c>
      <c r="H37" s="31" t="n">
        <v>3.86</v>
      </c>
      <c r="I37" s="31" t="n">
        <v>43850</v>
      </c>
      <c r="J37" s="31" t="inlineStr">
        <is>
          <t>543252</t>
        </is>
      </c>
    </row>
    <row r="38">
      <c r="A38" s="31" t="inlineStr">
        <is>
          <t>DELTACORP</t>
        </is>
      </c>
      <c r="B38" s="31" t="inlineStr">
        <is>
          <t>Delta Corp Limited</t>
        </is>
      </c>
      <c r="C38" s="31" t="inlineStr">
        <is>
          <t>miscellaneous</t>
        </is>
      </c>
      <c r="D38" s="31" t="inlineStr">
        <is>
          <t>recreation / amusement parks</t>
        </is>
      </c>
      <c r="E38" s="31" t="inlineStr">
        <is>
          <t>smallcap</t>
        </is>
      </c>
      <c r="F38" s="31" t="n">
        <v>2097.18</v>
      </c>
      <c r="G38" s="31" t="n">
        <v>81.31</v>
      </c>
      <c r="H38" s="31" t="n">
        <v>3.82</v>
      </c>
      <c r="I38" s="31" t="n">
        <v>11493641</v>
      </c>
      <c r="J38" s="31" t="inlineStr">
        <is>
          <t>532848</t>
        </is>
      </c>
    </row>
    <row r="39">
      <c r="A39" s="31" t="inlineStr">
        <is>
          <t>VALIANTORG</t>
        </is>
      </c>
      <c r="B39" s="31" t="inlineStr">
        <is>
          <t>Valiant Organics Ltd</t>
        </is>
      </c>
      <c r="C39" s="31" t="inlineStr">
        <is>
          <t>chemicals</t>
        </is>
      </c>
      <c r="D39" s="31" t="inlineStr">
        <is>
          <t>chemicals</t>
        </is>
      </c>
      <c r="E39" s="31" t="inlineStr">
        <is>
          <t>smallcap</t>
        </is>
      </c>
      <c r="F39" s="31" t="n">
        <v>1263.24</v>
      </c>
      <c r="G39" s="31" t="n">
        <v>467.7</v>
      </c>
      <c r="H39" s="31" t="n">
        <v>3.79</v>
      </c>
      <c r="I39" s="31" t="n">
        <v>131081</v>
      </c>
      <c r="J39" s="31" t="inlineStr">
        <is>
          <t>540145</t>
        </is>
      </c>
    </row>
    <row r="40">
      <c r="A40" s="31" t="inlineStr">
        <is>
          <t>PATELRMART</t>
        </is>
      </c>
      <c r="B40" s="31" t="inlineStr">
        <is>
          <t>Patel Retail Ltd</t>
        </is>
      </c>
      <c r="C40" s="31" t="inlineStr">
        <is>
          <t>consumer discretionary</t>
        </is>
      </c>
      <c r="D40" s="31" t="inlineStr">
        <is>
          <t>trading</t>
        </is>
      </c>
      <c r="E40" s="31" t="inlineStr">
        <is>
          <t>smallcap</t>
        </is>
      </c>
      <c r="F40" s="31" t="n">
        <v>766.91</v>
      </c>
      <c r="G40" s="31" t="n">
        <v>238.28</v>
      </c>
      <c r="H40" s="31" t="n">
        <v>3.78</v>
      </c>
      <c r="I40" s="31" t="n">
        <v>277592</v>
      </c>
      <c r="J40" s="31" t="inlineStr">
        <is>
          <t>544487</t>
        </is>
      </c>
    </row>
    <row r="41">
      <c r="A41" s="31" t="inlineStr">
        <is>
          <t>MMP</t>
        </is>
      </c>
      <c r="B41" s="31" t="inlineStr">
        <is>
          <t>MMP Industries Ltd</t>
        </is>
      </c>
      <c r="C41" s="31" t="inlineStr">
        <is>
          <t>metals &amp; mining</t>
        </is>
      </c>
      <c r="D41" s="31" t="inlineStr">
        <is>
          <t>aluminium and aluminium products</t>
        </is>
      </c>
      <c r="E41" s="31" t="inlineStr">
        <is>
          <t>smallcap</t>
        </is>
      </c>
      <c r="F41" s="31" t="n">
        <v>1227.58</v>
      </c>
      <c r="G41" s="31" t="n">
        <v>501.35</v>
      </c>
      <c r="H41" s="31" t="n">
        <v>3.75</v>
      </c>
      <c r="I41" s="31" t="n">
        <v>101936</v>
      </c>
      <c r="J41" s="31" t="inlineStr">
        <is>
          <t>535071</t>
        </is>
      </c>
    </row>
    <row r="42">
      <c r="A42" s="31" t="inlineStr">
        <is>
          <t>RATNAVEER</t>
        </is>
      </c>
      <c r="B42" s="31" t="inlineStr">
        <is>
          <t>Ratnaveer Precision Engineering Ltd</t>
        </is>
      </c>
      <c r="C42" s="31" t="inlineStr">
        <is>
          <t>metals &amp; mining</t>
        </is>
      </c>
      <c r="D42" s="31" t="inlineStr">
        <is>
          <t>steel - medium / small</t>
        </is>
      </c>
      <c r="E42" s="31" t="inlineStr">
        <is>
          <t>smallcap</t>
        </is>
      </c>
      <c r="F42" s="31" t="n">
        <v>2780.9</v>
      </c>
      <c r="G42" s="31" t="n">
        <v>343.6</v>
      </c>
      <c r="H42" s="31" t="n">
        <v>3.7</v>
      </c>
      <c r="I42" s="31" t="n">
        <v>5179011</v>
      </c>
      <c r="J42" s="31" t="inlineStr">
        <is>
          <t>543978</t>
        </is>
      </c>
    </row>
    <row r="43">
      <c r="A43" s="31" t="inlineStr">
        <is>
          <t>SUNTV</t>
        </is>
      </c>
      <c r="B43" s="31" t="inlineStr">
        <is>
          <t>Sun Tv Network Limited</t>
        </is>
      </c>
      <c r="C43" s="31" t="inlineStr">
        <is>
          <t>media</t>
        </is>
      </c>
      <c r="D43" s="31" t="inlineStr">
        <is>
          <t>entertainment / electronic media software</t>
        </is>
      </c>
      <c r="E43" s="31" t="inlineStr">
        <is>
          <t>largecap</t>
        </is>
      </c>
      <c r="F43" s="31" t="n">
        <v>24204.68</v>
      </c>
      <c r="G43" s="31" t="n">
        <v>635.9</v>
      </c>
      <c r="H43" s="31" t="n">
        <v>3.53</v>
      </c>
      <c r="I43" s="31" t="n">
        <v>1787414</v>
      </c>
      <c r="J43" s="31" t="inlineStr">
        <is>
          <t>532733</t>
        </is>
      </c>
    </row>
    <row r="44">
      <c r="A44" s="31" t="inlineStr">
        <is>
          <t>FCL</t>
        </is>
      </c>
      <c r="B44" s="31" t="inlineStr">
        <is>
          <t>Fineotex Chemical Limited</t>
        </is>
      </c>
      <c r="C44" s="31" t="inlineStr">
        <is>
          <t>chemicals</t>
        </is>
      </c>
      <c r="D44" s="31" t="inlineStr">
        <is>
          <t>chemicals</t>
        </is>
      </c>
      <c r="E44" s="31" t="inlineStr">
        <is>
          <t>midcap</t>
        </is>
      </c>
      <c r="F44" s="31" t="n">
        <v>6520.04</v>
      </c>
      <c r="G44" s="31" t="n">
        <v>57.94</v>
      </c>
      <c r="H44" s="31" t="n">
        <v>3.48</v>
      </c>
      <c r="I44" s="31" t="n">
        <v>22165919</v>
      </c>
      <c r="J44" s="31" t="inlineStr">
        <is>
          <t>533333</t>
        </is>
      </c>
    </row>
    <row r="45">
      <c r="A45" s="31" t="inlineStr">
        <is>
          <t>KARURVYSYA</t>
        </is>
      </c>
      <c r="B45" s="31" t="inlineStr">
        <is>
          <t>Karur Vysya Bank Limited</t>
        </is>
      </c>
      <c r="C45" s="31" t="inlineStr">
        <is>
          <t>bank</t>
        </is>
      </c>
      <c r="D45" s="31" t="inlineStr">
        <is>
          <t>banks - private sector</t>
        </is>
      </c>
      <c r="E45" s="31" t="inlineStr">
        <is>
          <t>largecap</t>
        </is>
      </c>
      <c r="F45" s="31" t="n">
        <v>31822.74</v>
      </c>
      <c r="G45" s="31" t="n">
        <v>339.9</v>
      </c>
      <c r="H45" s="31" t="n">
        <v>3.25</v>
      </c>
      <c r="I45" s="31" t="n">
        <v>2923419</v>
      </c>
      <c r="J45" s="31" t="inlineStr">
        <is>
          <t>590003</t>
        </is>
      </c>
    </row>
    <row r="46">
      <c r="A46" s="31" t="inlineStr">
        <is>
          <t>KABRAEXTRU</t>
        </is>
      </c>
      <c r="B46" s="31" t="inlineStr">
        <is>
          <t>Kabra Extrusion Technik Limited</t>
        </is>
      </c>
      <c r="C46" s="31" t="inlineStr">
        <is>
          <t>industrials</t>
        </is>
      </c>
      <c r="D46" s="31" t="inlineStr">
        <is>
          <t>engineering</t>
        </is>
      </c>
      <c r="E46" s="31" t="inlineStr">
        <is>
          <t>smallcap</t>
        </is>
      </c>
      <c r="F46" s="31" t="n">
        <v>2696.58</v>
      </c>
      <c r="G46" s="31" t="n">
        <v>795.9</v>
      </c>
      <c r="H46" s="31" t="n">
        <v>3.22</v>
      </c>
      <c r="I46" s="31" t="n">
        <v>59300</v>
      </c>
      <c r="J46" s="31" t="inlineStr">
        <is>
          <t>524109</t>
        </is>
      </c>
    </row>
    <row r="47">
      <c r="A47" s="31" t="inlineStr">
        <is>
          <t>NYKAA</t>
        </is>
      </c>
      <c r="B47" s="31" t="inlineStr">
        <is>
          <t>FSN E-Commerce Ventures Ltd</t>
        </is>
      </c>
      <c r="C47" s="31" t="inlineStr">
        <is>
          <t>i.t</t>
        </is>
      </c>
      <c r="D47" s="31" t="inlineStr">
        <is>
          <t>trading</t>
        </is>
      </c>
      <c r="E47" s="31" t="inlineStr">
        <is>
          <t>largecap</t>
        </is>
      </c>
      <c r="F47" s="31" t="n">
        <v>95164.88</v>
      </c>
      <c r="G47" s="31" t="n">
        <v>343</v>
      </c>
      <c r="H47" s="31" t="n">
        <v>3.22</v>
      </c>
      <c r="I47" s="31" t="n">
        <v>5152542</v>
      </c>
      <c r="J47" s="31" t="inlineStr">
        <is>
          <t>543384</t>
        </is>
      </c>
    </row>
    <row r="48">
      <c r="A48" s="31" t="inlineStr">
        <is>
          <t>COFORGE</t>
        </is>
      </c>
      <c r="B48" s="31" t="inlineStr">
        <is>
          <t>Coforge (Niit Tech) Ltd</t>
        </is>
      </c>
      <c r="C48" s="31" t="inlineStr">
        <is>
          <t>i.t</t>
        </is>
      </c>
      <c r="D48" s="31" t="inlineStr">
        <is>
          <t>computers - software - large</t>
        </is>
      </c>
      <c r="E48" s="31" t="inlineStr">
        <is>
          <t>largecap</t>
        </is>
      </c>
      <c r="F48" s="31" t="n">
        <v>80317.39</v>
      </c>
      <c r="G48" s="31" t="n">
        <v>1867.9</v>
      </c>
      <c r="H48" s="31" t="n">
        <v>2.95</v>
      </c>
      <c r="I48" s="31" t="n">
        <v>2303224</v>
      </c>
      <c r="J48" s="31" t="inlineStr">
        <is>
          <t>532541</t>
        </is>
      </c>
    </row>
    <row r="49">
      <c r="A49" s="31" t="inlineStr">
        <is>
          <t>MOTISONS</t>
        </is>
      </c>
      <c r="B49" s="31" t="inlineStr">
        <is>
          <t>Motisons Jewellers Ltd</t>
        </is>
      </c>
      <c r="C49" s="31" t="inlineStr">
        <is>
          <t>consumer discretionary</t>
        </is>
      </c>
      <c r="D49" s="31" t="inlineStr">
        <is>
          <t>diamond cutting / jewellery</t>
        </is>
      </c>
      <c r="E49" s="31" t="inlineStr">
        <is>
          <t>smallcap</t>
        </is>
      </c>
      <c r="F49" s="31" t="n">
        <v>1998.6</v>
      </c>
      <c r="G49" s="31" t="n">
        <v>18.06</v>
      </c>
      <c r="H49" s="31" t="n">
        <v>2.79</v>
      </c>
      <c r="I49" s="31" t="n">
        <v>48499457</v>
      </c>
      <c r="J49" s="31" t="inlineStr">
        <is>
          <t>544053</t>
        </is>
      </c>
    </row>
    <row r="50">
      <c r="A50" s="31" t="inlineStr">
        <is>
          <t>LICHSGFIN</t>
        </is>
      </c>
      <c r="B50" s="31" t="inlineStr">
        <is>
          <t>Lic Housing Finance Limited</t>
        </is>
      </c>
      <c r="C50" s="31" t="inlineStr">
        <is>
          <t>financials</t>
        </is>
      </c>
      <c r="D50" s="31" t="inlineStr">
        <is>
          <t>finance - housing</t>
        </is>
      </c>
      <c r="E50" s="31" t="inlineStr">
        <is>
          <t>largecap</t>
        </is>
      </c>
      <c r="F50" s="31" t="n">
        <v>29538.38</v>
      </c>
      <c r="G50" s="31" t="n">
        <v>551.65</v>
      </c>
      <c r="H50" s="31" t="n">
        <v>2.73</v>
      </c>
      <c r="I50" s="31" t="n">
        <v>5310443</v>
      </c>
      <c r="J50" s="31" t="inlineStr">
        <is>
          <t>500253</t>
        </is>
      </c>
    </row>
    <row r="51">
      <c r="A51" s="31" t="inlineStr">
        <is>
          <t>MAZDA</t>
        </is>
      </c>
      <c r="B51" s="31" t="inlineStr">
        <is>
          <t>Mazda Limited</t>
        </is>
      </c>
      <c r="C51" s="31" t="inlineStr">
        <is>
          <t>industrials</t>
        </is>
      </c>
      <c r="D51" s="31" t="inlineStr">
        <is>
          <t>engineering</t>
        </is>
      </c>
      <c r="E51" s="31" t="inlineStr">
        <is>
          <t>smallcap</t>
        </is>
      </c>
      <c r="F51" s="31" t="n">
        <v>544.08</v>
      </c>
      <c r="G51" s="31" t="n">
        <v>279.05</v>
      </c>
      <c r="H51" s="31" t="n">
        <v>2.71</v>
      </c>
      <c r="I51" s="31" t="n">
        <v>17920</v>
      </c>
      <c r="J51" s="31" t="inlineStr">
        <is>
          <t>523792</t>
        </is>
      </c>
    </row>
    <row r="52">
      <c r="A52" s="31" t="inlineStr">
        <is>
          <t>RAYMONDREL</t>
        </is>
      </c>
      <c r="B52" s="31" t="inlineStr">
        <is>
          <t>Raymond Realty Ltd</t>
        </is>
      </c>
      <c r="C52" s="31" t="inlineStr">
        <is>
          <t>realty</t>
        </is>
      </c>
      <c r="D52" s="31" t="inlineStr">
        <is>
          <t>construction</t>
        </is>
      </c>
      <c r="E52" s="31" t="inlineStr">
        <is>
          <t>smallcap</t>
        </is>
      </c>
      <c r="F52" s="31" t="n">
        <v>4526.35</v>
      </c>
      <c r="G52" s="31" t="n">
        <v>698.2</v>
      </c>
      <c r="H52" s="31" t="n">
        <v>2.69</v>
      </c>
      <c r="I52" s="31" t="n">
        <v>1558911</v>
      </c>
      <c r="J52" s="31" t="inlineStr">
        <is>
          <t>544420</t>
        </is>
      </c>
    </row>
    <row r="53">
      <c r="A53" s="31" t="inlineStr">
        <is>
          <t>CUPID</t>
        </is>
      </c>
      <c r="B53" s="31" t="inlineStr">
        <is>
          <t>Cupid Limited</t>
        </is>
      </c>
      <c r="C53" s="31" t="inlineStr">
        <is>
          <t>fmcg</t>
        </is>
      </c>
      <c r="D53" s="31" t="inlineStr">
        <is>
          <t>personal care - indian</t>
        </is>
      </c>
      <c r="E53" s="31" t="inlineStr">
        <is>
          <t>largecap</t>
        </is>
      </c>
      <c r="F53" s="31" t="n">
        <v>47957.32</v>
      </c>
      <c r="G53" s="31" t="n">
        <v>366.1</v>
      </c>
      <c r="H53" s="31" t="n">
        <v>2.65</v>
      </c>
      <c r="I53" s="31" t="n">
        <v>33720165</v>
      </c>
      <c r="J53" s="31" t="inlineStr">
        <is>
          <t>530843</t>
        </is>
      </c>
    </row>
    <row r="54">
      <c r="A54" s="31" t="inlineStr">
        <is>
          <t>ABDL</t>
        </is>
      </c>
      <c r="B54" s="31" t="inlineStr">
        <is>
          <t>Allied Blenders &amp; Distillers Ltd</t>
        </is>
      </c>
      <c r="C54" s="31" t="inlineStr">
        <is>
          <t>fmcg</t>
        </is>
      </c>
      <c r="D54" s="31" t="inlineStr">
        <is>
          <t>breweries &amp; distilleries</t>
        </is>
      </c>
      <c r="E54" s="31" t="inlineStr">
        <is>
          <t>midcap</t>
        </is>
      </c>
      <c r="F54" s="31" t="n">
        <v>19396.5</v>
      </c>
      <c r="G54" s="31" t="n">
        <v>711.55</v>
      </c>
      <c r="H54" s="31" t="n">
        <v>2.61</v>
      </c>
      <c r="I54" s="31" t="n">
        <v>1078501</v>
      </c>
      <c r="J54" s="31" t="inlineStr">
        <is>
          <t>544203</t>
        </is>
      </c>
    </row>
    <row r="55">
      <c r="A55" s="31" t="inlineStr">
        <is>
          <t>LOTUSDEV</t>
        </is>
      </c>
      <c r="B55" s="31" t="inlineStr">
        <is>
          <t>Sri Lotus Developers &amp; Realty Ltd</t>
        </is>
      </c>
      <c r="C55" s="31" t="inlineStr">
        <is>
          <t>realty</t>
        </is>
      </c>
      <c r="D55" s="31" t="inlineStr">
        <is>
          <t>construction</t>
        </is>
      </c>
      <c r="E55" s="31" t="inlineStr">
        <is>
          <t>midcap</t>
        </is>
      </c>
      <c r="F55" s="31" t="n">
        <v>11422.94</v>
      </c>
      <c r="G55" s="31" t="n">
        <v>239.75</v>
      </c>
      <c r="H55" s="31" t="n">
        <v>2.58</v>
      </c>
      <c r="I55" s="31" t="n">
        <v>549287</v>
      </c>
      <c r="J55" s="31" t="inlineStr">
        <is>
          <t>544469</t>
        </is>
      </c>
    </row>
    <row r="56">
      <c r="A56" s="31" t="inlineStr">
        <is>
          <t>ONEPOINT</t>
        </is>
      </c>
      <c r="B56" s="31" t="inlineStr">
        <is>
          <t>One Point One Solutions Ltd</t>
        </is>
      </c>
      <c r="C56" s="31" t="inlineStr">
        <is>
          <t>i.t</t>
        </is>
      </c>
      <c r="D56" s="31" t="inlineStr">
        <is>
          <t>computers - software - medium / small</t>
        </is>
      </c>
      <c r="E56" s="31" t="inlineStr">
        <is>
          <t>smallcap</t>
        </is>
      </c>
      <c r="F56" s="31" t="n">
        <v>2062.74</v>
      </c>
      <c r="G56" s="31" t="n">
        <v>80.36</v>
      </c>
      <c r="H56" s="31" t="n">
        <v>2.43</v>
      </c>
      <c r="I56" s="31" t="n">
        <v>5768618</v>
      </c>
      <c r="J56" s="31" t="inlineStr">
        <is>
          <t>535039</t>
        </is>
      </c>
    </row>
    <row r="57">
      <c r="A57" s="31" t="inlineStr">
        <is>
          <t>DIACABS</t>
        </is>
      </c>
      <c r="B57" s="31" t="inlineStr">
        <is>
          <t>Diamond Power Infrastructure Ltd</t>
        </is>
      </c>
      <c r="C57" s="31" t="inlineStr">
        <is>
          <t>industrials</t>
        </is>
      </c>
      <c r="D57" s="31" t="inlineStr">
        <is>
          <t>cables - power</t>
        </is>
      </c>
      <c r="E57" s="31" t="inlineStr">
        <is>
          <t>largecap</t>
        </is>
      </c>
      <c r="F57" s="31" t="n">
        <v>22242.26</v>
      </c>
      <c r="G57" s="31" t="n">
        <v>380.95</v>
      </c>
      <c r="H57" s="31" t="n">
        <v>2.43</v>
      </c>
      <c r="I57" s="31" t="n">
        <v>1168361</v>
      </c>
      <c r="J57" s="31" t="inlineStr">
        <is>
          <t>522163</t>
        </is>
      </c>
    </row>
    <row r="58">
      <c r="A58" s="31" t="inlineStr">
        <is>
          <t>AURUM</t>
        </is>
      </c>
      <c r="B58" s="31" t="inlineStr">
        <is>
          <t>Aurum Proptech Ltd</t>
        </is>
      </c>
      <c r="C58" s="31" t="inlineStr">
        <is>
          <t>i.t</t>
        </is>
      </c>
      <c r="D58" s="31" t="inlineStr">
        <is>
          <t>computers - software - medium / small</t>
        </is>
      </c>
      <c r="E58" s="31" t="inlineStr">
        <is>
          <t>smallcap</t>
        </is>
      </c>
      <c r="F58" s="31" t="n">
        <v>2195.64</v>
      </c>
      <c r="G58" s="31" t="n">
        <v>232.77</v>
      </c>
      <c r="H58" s="31" t="n">
        <v>2.37</v>
      </c>
      <c r="I58" s="31" t="n">
        <v>87841</v>
      </c>
      <c r="J58" s="31" t="inlineStr">
        <is>
          <t>539289</t>
        </is>
      </c>
    </row>
    <row r="59">
      <c r="A59" s="31" t="inlineStr">
        <is>
          <t>SYRMA</t>
        </is>
      </c>
      <c r="B59" s="31" t="inlineStr">
        <is>
          <t>Syrma SGS Technology Ltd</t>
        </is>
      </c>
      <c r="C59" s="31" t="inlineStr">
        <is>
          <t>consumer discretionary</t>
        </is>
      </c>
      <c r="D59" s="31" t="inlineStr">
        <is>
          <t>electronics - components</t>
        </is>
      </c>
      <c r="E59" s="31" t="inlineStr">
        <is>
          <t>largecap</t>
        </is>
      </c>
      <c r="F59" s="31" t="n">
        <v>32412.88</v>
      </c>
      <c r="G59" s="31" t="n">
        <v>1719.9</v>
      </c>
      <c r="H59" s="31" t="n">
        <v>2.32</v>
      </c>
      <c r="I59" s="31" t="n">
        <v>980252</v>
      </c>
      <c r="J59" s="31" t="inlineStr">
        <is>
          <t>543573</t>
        </is>
      </c>
    </row>
    <row r="60">
      <c r="A60" s="31" t="inlineStr">
        <is>
          <t>MANORAMA</t>
        </is>
      </c>
      <c r="B60" s="31" t="inlineStr">
        <is>
          <t>Manorama Industries Ltd</t>
        </is>
      </c>
      <c r="C60" s="31" t="inlineStr">
        <is>
          <t>fmcg</t>
        </is>
      </c>
      <c r="D60" s="31" t="inlineStr">
        <is>
          <t>food - processing - indian</t>
        </is>
      </c>
      <c r="E60" s="31" t="inlineStr">
        <is>
          <t>midcap</t>
        </is>
      </c>
      <c r="F60" s="31" t="n">
        <v>11932.75</v>
      </c>
      <c r="G60" s="31" t="n">
        <v>2043.4</v>
      </c>
      <c r="H60" s="31" t="n">
        <v>2.25</v>
      </c>
      <c r="I60" s="31" t="n">
        <v>186151</v>
      </c>
      <c r="J60" s="31" t="inlineStr">
        <is>
          <t>541974</t>
        </is>
      </c>
    </row>
    <row r="61">
      <c r="A61" s="31" t="inlineStr">
        <is>
          <t>UTTAMSUGAR</t>
        </is>
      </c>
      <c r="B61" s="31" t="inlineStr">
        <is>
          <t>Uttam Sugar Mills Limited</t>
        </is>
      </c>
      <c r="C61" s="31" t="inlineStr">
        <is>
          <t>fmcg</t>
        </is>
      </c>
      <c r="D61" s="31" t="inlineStr">
        <is>
          <t>sugar</t>
        </is>
      </c>
      <c r="E61" s="31" t="inlineStr">
        <is>
          <t>smallcap</t>
        </is>
      </c>
      <c r="F61" s="31" t="n">
        <v>1111.92</v>
      </c>
      <c r="G61" s="31" t="n">
        <v>298.05</v>
      </c>
      <c r="H61" s="31" t="n">
        <v>2.23</v>
      </c>
      <c r="I61" s="31" t="n">
        <v>151371</v>
      </c>
      <c r="J61" s="31" t="inlineStr">
        <is>
          <t>532729</t>
        </is>
      </c>
    </row>
    <row r="62">
      <c r="A62" s="31" t="inlineStr">
        <is>
          <t>WSTCSTPAPR</t>
        </is>
      </c>
      <c r="B62" s="31" t="inlineStr">
        <is>
          <t>West Coast Paper Mills Limited</t>
        </is>
      </c>
      <c r="C62" s="31" t="inlineStr">
        <is>
          <t>building materials</t>
        </is>
      </c>
      <c r="D62" s="31" t="inlineStr">
        <is>
          <t>paper</t>
        </is>
      </c>
      <c r="E62" s="31" t="inlineStr">
        <is>
          <t>smallcap</t>
        </is>
      </c>
      <c r="F62" s="31" t="n">
        <v>4709.95</v>
      </c>
      <c r="G62" s="31" t="n">
        <v>727.65</v>
      </c>
      <c r="H62" s="31" t="n">
        <v>2.04</v>
      </c>
      <c r="I62" s="31" t="n">
        <v>187634</v>
      </c>
      <c r="J62" s="31" t="inlineStr">
        <is>
          <t>500444</t>
        </is>
      </c>
    </row>
    <row r="63">
      <c r="A63" s="31" t="inlineStr">
        <is>
          <t>BAFNAPH</t>
        </is>
      </c>
      <c r="B63" s="31" t="inlineStr">
        <is>
          <t>Bafna Pharmaceuticals Ltd</t>
        </is>
      </c>
      <c r="C63" s="31" t="inlineStr">
        <is>
          <t>healthcare</t>
        </is>
      </c>
      <c r="D63" s="31" t="inlineStr">
        <is>
          <t>pharmaceuticals - indian - formulations</t>
        </is>
      </c>
      <c r="E63" s="31" t="inlineStr">
        <is>
          <t>smallcap</t>
        </is>
      </c>
      <c r="F63" s="31" t="n">
        <v>969.55</v>
      </c>
      <c r="G63" s="31" t="n">
        <v>418</v>
      </c>
      <c r="H63" s="31" t="n">
        <v>1.99</v>
      </c>
      <c r="I63" s="31" t="n">
        <v>549</v>
      </c>
      <c r="J63" s="31" t="inlineStr">
        <is>
          <t>532989</t>
        </is>
      </c>
    </row>
    <row r="64">
      <c r="A64" s="31" t="inlineStr">
        <is>
          <t>VHL</t>
        </is>
      </c>
      <c r="B64" s="31" t="inlineStr">
        <is>
          <t>Vardhman Holdings Limited</t>
        </is>
      </c>
      <c r="C64" s="31" t="inlineStr">
        <is>
          <t>financials</t>
        </is>
      </c>
      <c r="D64" s="31" t="inlineStr">
        <is>
          <t>finance &amp; investments</t>
        </is>
      </c>
      <c r="E64" s="31" t="inlineStr">
        <is>
          <t>smallcap</t>
        </is>
      </c>
      <c r="F64" s="31" t="n">
        <v>1142.19</v>
      </c>
      <c r="G64" s="31" t="n">
        <v>3650</v>
      </c>
      <c r="H64" s="31" t="n">
        <v>1.99</v>
      </c>
      <c r="I64" s="31" t="n">
        <v>2153</v>
      </c>
      <c r="J64" s="31" t="inlineStr">
        <is>
          <t>500439</t>
        </is>
      </c>
    </row>
    <row r="65">
      <c r="A65" s="31" t="inlineStr">
        <is>
          <t>SAMBHV</t>
        </is>
      </c>
      <c r="B65" s="31" t="inlineStr">
        <is>
          <t>Sambhv Steel Tubes Ltd</t>
        </is>
      </c>
      <c r="C65" s="31" t="inlineStr">
        <is>
          <t>metals &amp; mining</t>
        </is>
      </c>
      <c r="D65" s="31" t="inlineStr">
        <is>
          <t>steel - medium / small</t>
        </is>
      </c>
      <c r="E65" s="31" t="inlineStr">
        <is>
          <t>smallcap</t>
        </is>
      </c>
      <c r="F65" s="31" t="n">
        <v>4635.48</v>
      </c>
      <c r="G65" s="31" t="n">
        <v>160.41</v>
      </c>
      <c r="H65" s="31" t="n">
        <v>1.97</v>
      </c>
      <c r="I65" s="31" t="n">
        <v>2597526</v>
      </c>
      <c r="J65" s="31" t="inlineStr">
        <is>
          <t>544430</t>
        </is>
      </c>
    </row>
    <row r="66">
      <c r="A66" s="31" t="inlineStr">
        <is>
          <t>LAURUSLABS</t>
        </is>
      </c>
      <c r="B66" s="31" t="inlineStr">
        <is>
          <t>Laurus Labs Limited</t>
        </is>
      </c>
      <c r="C66" s="31" t="inlineStr">
        <is>
          <t>healthcare</t>
        </is>
      </c>
      <c r="D66" s="31" t="inlineStr">
        <is>
          <t>pharmaceuticals - indian - bulk drugs &amp; formln</t>
        </is>
      </c>
      <c r="E66" s="31" t="inlineStr">
        <is>
          <t>largecap</t>
        </is>
      </c>
      <c r="F66" s="31" t="n">
        <v>107936.46</v>
      </c>
      <c r="G66" s="31" t="n">
        <v>2036.6</v>
      </c>
      <c r="H66" s="31" t="n">
        <v>1.94</v>
      </c>
      <c r="I66" s="31" t="n">
        <v>1358268</v>
      </c>
      <c r="J66" s="31" t="inlineStr">
        <is>
          <t>540222</t>
        </is>
      </c>
    </row>
    <row r="67">
      <c r="A67" s="31" t="inlineStr">
        <is>
          <t>BOSCH-HCIL</t>
        </is>
      </c>
      <c r="B67" s="31" t="inlineStr">
        <is>
          <t>Bosch Home Comfort India Ltd</t>
        </is>
      </c>
      <c r="C67" s="31" t="inlineStr">
        <is>
          <t>consumer discretionary</t>
        </is>
      </c>
      <c r="D67" s="31" t="inlineStr">
        <is>
          <t>air-conditioners</t>
        </is>
      </c>
      <c r="E67" s="31" t="inlineStr">
        <is>
          <t>midcap</t>
        </is>
      </c>
      <c r="F67" s="31" t="n">
        <v>5285.36</v>
      </c>
      <c r="G67" s="31" t="n">
        <v>1980.2</v>
      </c>
      <c r="H67" s="31" t="n">
        <v>1.87</v>
      </c>
      <c r="I67" s="31" t="n">
        <v>51134</v>
      </c>
      <c r="J67" s="31" t="inlineStr">
        <is>
          <t>523398</t>
        </is>
      </c>
    </row>
    <row r="68">
      <c r="A68" s="31" t="inlineStr">
        <is>
          <t>RAYMOND</t>
        </is>
      </c>
      <c r="B68" s="31" t="inlineStr">
        <is>
          <t>Raymond Limited</t>
        </is>
      </c>
      <c r="C68" s="31" t="inlineStr">
        <is>
          <t>transportation</t>
        </is>
      </c>
      <c r="D68" s="31" t="inlineStr">
        <is>
          <t>transport - airlines</t>
        </is>
      </c>
      <c r="E68" s="31" t="inlineStr">
        <is>
          <t>midcap</t>
        </is>
      </c>
      <c r="F68" s="31" t="n">
        <v>7769.82</v>
      </c>
      <c r="G68" s="31" t="n">
        <v>1186.6</v>
      </c>
      <c r="H68" s="31" t="n">
        <v>1.67</v>
      </c>
      <c r="I68" s="31" t="n">
        <v>1248779</v>
      </c>
      <c r="J68" s="31" t="inlineStr">
        <is>
          <t>500330</t>
        </is>
      </c>
    </row>
    <row r="69">
      <c r="A69" s="31" t="inlineStr">
        <is>
          <t>PNB</t>
        </is>
      </c>
      <c r="B69" s="31" t="inlineStr">
        <is>
          <t>Punjab National Bank Ltd</t>
        </is>
      </c>
      <c r="C69" s="31" t="inlineStr">
        <is>
          <t>bank</t>
        </is>
      </c>
      <c r="D69" s="31" t="inlineStr">
        <is>
          <t>banks - public sector</t>
        </is>
      </c>
      <c r="E69" s="31" t="inlineStr">
        <is>
          <t>largecap</t>
        </is>
      </c>
      <c r="F69" s="31" t="n">
        <v>132502.14</v>
      </c>
      <c r="G69" s="31" t="n">
        <v>116.98</v>
      </c>
      <c r="H69" s="31" t="n">
        <v>1.47</v>
      </c>
      <c r="I69" s="31" t="n">
        <v>12666514</v>
      </c>
      <c r="J69" s="31" t="inlineStr">
        <is>
          <t>532461</t>
        </is>
      </c>
    </row>
    <row r="70">
      <c r="A70" s="31" t="inlineStr">
        <is>
          <t>TRENT</t>
        </is>
      </c>
      <c r="B70" s="31" t="inlineStr">
        <is>
          <t>Trent Limited</t>
        </is>
      </c>
      <c r="C70" s="31" t="inlineStr">
        <is>
          <t>consumer discretionary</t>
        </is>
      </c>
      <c r="D70" s="31" t="inlineStr">
        <is>
          <t>trading</t>
        </is>
      </c>
      <c r="E70" s="31" t="inlineStr">
        <is>
          <t>largecap</t>
        </is>
      </c>
      <c r="F70" s="31" t="n">
        <v>153373.61</v>
      </c>
      <c r="G70" s="31" t="n">
        <v>2918.2</v>
      </c>
      <c r="H70" s="31" t="n">
        <v>1.46</v>
      </c>
      <c r="I70" s="31" t="n">
        <v>753581</v>
      </c>
      <c r="J70" s="31" t="inlineStr">
        <is>
          <t>500251</t>
        </is>
      </c>
    </row>
    <row r="71">
      <c r="A71" s="31" t="inlineStr">
        <is>
          <t>KOTAKBANK</t>
        </is>
      </c>
      <c r="B71" s="31" t="inlineStr">
        <is>
          <t>Kotak Mahindra Bank Limited</t>
        </is>
      </c>
      <c r="C71" s="31" t="inlineStr">
        <is>
          <t>bank</t>
        </is>
      </c>
      <c r="D71" s="31" t="inlineStr">
        <is>
          <t>banks - private sector</t>
        </is>
      </c>
      <c r="E71" s="31" t="inlineStr">
        <is>
          <t>largecap</t>
        </is>
      </c>
      <c r="F71" s="31" t="n">
        <v>432681.85</v>
      </c>
      <c r="G71" s="31" t="n">
        <v>441</v>
      </c>
      <c r="H71" s="31" t="n">
        <v>1.38</v>
      </c>
      <c r="I71" s="31" t="n">
        <v>31536992</v>
      </c>
      <c r="J71" s="31" t="inlineStr">
        <is>
          <t>500247</t>
        </is>
      </c>
    </row>
    <row r="72">
      <c r="A72" s="31" t="inlineStr">
        <is>
          <t>SHREEJISPG</t>
        </is>
      </c>
      <c r="B72" s="31" t="inlineStr">
        <is>
          <t>Shreeji Shipping Global Ltd</t>
        </is>
      </c>
      <c r="C72" s="31" t="inlineStr">
        <is>
          <t>transportation</t>
        </is>
      </c>
      <c r="D72" s="31" t="inlineStr">
        <is>
          <t>shipping</t>
        </is>
      </c>
      <c r="E72" s="31" t="inlineStr">
        <is>
          <t>midcap</t>
        </is>
      </c>
      <c r="F72" s="31" t="n">
        <v>13045.68</v>
      </c>
      <c r="G72" s="31" t="n">
        <v>811.8</v>
      </c>
      <c r="H72" s="31" t="n">
        <v>1.38</v>
      </c>
      <c r="I72" s="31" t="n">
        <v>1365619</v>
      </c>
      <c r="J72" s="31" t="inlineStr">
        <is>
          <t>544490</t>
        </is>
      </c>
    </row>
    <row r="73">
      <c r="A73" s="31" t="inlineStr">
        <is>
          <t>PVRINOX</t>
        </is>
      </c>
      <c r="B73" s="31" t="inlineStr">
        <is>
          <t>PVR Inox Ltd</t>
        </is>
      </c>
      <c r="C73" s="31" t="inlineStr">
        <is>
          <t>media</t>
        </is>
      </c>
      <c r="D73" s="31" t="inlineStr">
        <is>
          <t>entertainment / electronic media software</t>
        </is>
      </c>
      <c r="E73" s="31" t="inlineStr">
        <is>
          <t>midcap</t>
        </is>
      </c>
      <c r="F73" s="31" t="n">
        <v>12856.34</v>
      </c>
      <c r="G73" s="31" t="n">
        <v>1327.2</v>
      </c>
      <c r="H73" s="31" t="n">
        <v>1.37</v>
      </c>
      <c r="I73" s="31" t="n">
        <v>608467</v>
      </c>
      <c r="J73" s="31" t="inlineStr">
        <is>
          <t>532689</t>
        </is>
      </c>
    </row>
    <row r="74">
      <c r="A74" s="31" t="inlineStr">
        <is>
          <t>VINDHYATEL</t>
        </is>
      </c>
      <c r="B74" s="31" t="inlineStr">
        <is>
          <t>Vindhya Telelinks Limited</t>
        </is>
      </c>
      <c r="C74" s="31" t="inlineStr">
        <is>
          <t>realty</t>
        </is>
      </c>
      <c r="D74" s="31" t="inlineStr">
        <is>
          <t>construction</t>
        </is>
      </c>
      <c r="E74" s="31" t="inlineStr">
        <is>
          <t>smallcap</t>
        </is>
      </c>
      <c r="F74" s="31" t="n">
        <v>3290.63</v>
      </c>
      <c r="G74" s="31" t="n">
        <v>2814.4</v>
      </c>
      <c r="H74" s="31" t="n">
        <v>1.36</v>
      </c>
      <c r="I74" s="31" t="n">
        <v>57692</v>
      </c>
      <c r="J74" s="31" t="inlineStr">
        <is>
          <t>517015</t>
        </is>
      </c>
    </row>
    <row r="75">
      <c r="A75" s="31" t="inlineStr">
        <is>
          <t>VMART</t>
        </is>
      </c>
      <c r="B75" s="31" t="inlineStr">
        <is>
          <t>V-mart Retail Limited</t>
        </is>
      </c>
      <c r="C75" s="31" t="inlineStr">
        <is>
          <t>consumer discretionary</t>
        </is>
      </c>
      <c r="D75" s="31" t="inlineStr">
        <is>
          <t>trading</t>
        </is>
      </c>
      <c r="E75" s="31" t="inlineStr">
        <is>
          <t>midcap</t>
        </is>
      </c>
      <c r="F75" s="31" t="n">
        <v>6452.54</v>
      </c>
      <c r="G75" s="31" t="n">
        <v>821.95</v>
      </c>
      <c r="H75" s="31" t="n">
        <v>1.33</v>
      </c>
      <c r="I75" s="31" t="n">
        <v>144267</v>
      </c>
      <c r="J75" s="31" t="inlineStr">
        <is>
          <t>534976</t>
        </is>
      </c>
    </row>
    <row r="76">
      <c r="A76" s="31" t="inlineStr">
        <is>
          <t>PLASTIBLEN</t>
        </is>
      </c>
      <c r="B76" s="31" t="inlineStr">
        <is>
          <t>Plastiblends India Limited</t>
        </is>
      </c>
      <c r="C76" s="31" t="inlineStr">
        <is>
          <t>chemicals</t>
        </is>
      </c>
      <c r="D76" s="31" t="inlineStr">
        <is>
          <t>chemicals</t>
        </is>
      </c>
      <c r="E76" s="31" t="inlineStr">
        <is>
          <t>smallcap</t>
        </is>
      </c>
      <c r="F76" s="31" t="n">
        <v>518.41</v>
      </c>
      <c r="G76" s="31" t="n">
        <v>201.79</v>
      </c>
      <c r="H76" s="31" t="n">
        <v>1.16</v>
      </c>
      <c r="I76" s="31" t="n">
        <v>156929</v>
      </c>
      <c r="J76" s="31" t="inlineStr">
        <is>
          <t>523648</t>
        </is>
      </c>
    </row>
    <row r="77">
      <c r="A77" s="31" t="inlineStr">
        <is>
          <t>SWANDEF</t>
        </is>
      </c>
      <c r="B77" s="31" t="inlineStr">
        <is>
          <t>Swan Defence and Heavy Industries Ltd</t>
        </is>
      </c>
      <c r="C77" s="31" t="inlineStr">
        <is>
          <t>transportation</t>
        </is>
      </c>
      <c r="D77" s="31" t="inlineStr">
        <is>
          <t>miscellaneous</t>
        </is>
      </c>
      <c r="E77" s="31" t="inlineStr">
        <is>
          <t>midcap</t>
        </is>
      </c>
      <c r="F77" s="31" t="n">
        <v>14672.51</v>
      </c>
      <c r="G77" s="31" t="n">
        <v>2816.8</v>
      </c>
      <c r="H77" s="31" t="n">
        <v>1.14</v>
      </c>
      <c r="I77" s="31" t="n">
        <v>34005</v>
      </c>
      <c r="J77" s="31" t="inlineStr">
        <is>
          <t>533107</t>
        </is>
      </c>
    </row>
    <row r="78">
      <c r="A78" s="31" t="inlineStr">
        <is>
          <t>PARAGMILK</t>
        </is>
      </c>
      <c r="B78" s="31" t="inlineStr">
        <is>
          <t>Parag Milk Foods Limited</t>
        </is>
      </c>
      <c r="C78" s="31" t="inlineStr">
        <is>
          <t>fmcg</t>
        </is>
      </c>
      <c r="D78" s="31" t="inlineStr">
        <is>
          <t>food - processing - indian</t>
        </is>
      </c>
      <c r="E78" s="31" t="inlineStr">
        <is>
          <t>smallcap</t>
        </is>
      </c>
      <c r="F78" s="31" t="n">
        <v>3809.11</v>
      </c>
      <c r="G78" s="31" t="n">
        <v>306.4</v>
      </c>
      <c r="H78" s="31" t="n">
        <v>1.04</v>
      </c>
      <c r="I78" s="31" t="n">
        <v>1113427</v>
      </c>
      <c r="J78" s="31" t="inlineStr">
        <is>
          <t>539889</t>
        </is>
      </c>
    </row>
    <row r="79">
      <c r="A79" s="31" t="inlineStr">
        <is>
          <t>PRIMESECU</t>
        </is>
      </c>
      <c r="B79" s="31" t="inlineStr">
        <is>
          <t>Prime Securities Limited</t>
        </is>
      </c>
      <c r="C79" s="31" t="inlineStr">
        <is>
          <t>financials</t>
        </is>
      </c>
      <c r="D79" s="31" t="inlineStr">
        <is>
          <t>finance &amp; investments</t>
        </is>
      </c>
      <c r="E79" s="31" t="inlineStr">
        <is>
          <t>smallcap</t>
        </is>
      </c>
      <c r="F79" s="31" t="n">
        <v>1006.33</v>
      </c>
      <c r="G79" s="31" t="n">
        <v>299.45</v>
      </c>
      <c r="H79" s="31" t="n">
        <v>0.99</v>
      </c>
      <c r="I79" s="31" t="n">
        <v>43248</v>
      </c>
      <c r="J79" s="31" t="inlineStr">
        <is>
          <t>500337</t>
        </is>
      </c>
    </row>
    <row r="80">
      <c r="A80" s="31" t="inlineStr">
        <is>
          <t>MUKANDLTD</t>
        </is>
      </c>
      <c r="B80" s="31" t="inlineStr">
        <is>
          <t>Mukand Limited</t>
        </is>
      </c>
      <c r="C80" s="31" t="inlineStr">
        <is>
          <t>metals &amp; mining</t>
        </is>
      </c>
      <c r="D80" s="31" t="inlineStr">
        <is>
          <t>steel - medium / small</t>
        </is>
      </c>
      <c r="E80" s="31" t="inlineStr">
        <is>
          <t>smallcap</t>
        </is>
      </c>
      <c r="F80" s="31" t="n">
        <v>2518.41</v>
      </c>
      <c r="G80" s="31" t="n">
        <v>175.99</v>
      </c>
      <c r="H80" s="31" t="n">
        <v>0.98</v>
      </c>
      <c r="I80" s="31" t="n">
        <v>284601</v>
      </c>
      <c r="J80" s="31" t="inlineStr">
        <is>
          <t>500460</t>
        </is>
      </c>
    </row>
    <row r="81">
      <c r="A81" s="31" t="inlineStr">
        <is>
          <t>MAWANASUG</t>
        </is>
      </c>
      <c r="B81" s="31" t="inlineStr">
        <is>
          <t>Mawana Sugars Limited</t>
        </is>
      </c>
      <c r="C81" s="31" t="inlineStr">
        <is>
          <t>fmcg</t>
        </is>
      </c>
      <c r="D81" s="31" t="inlineStr">
        <is>
          <t>sugar</t>
        </is>
      </c>
      <c r="E81" s="31" t="inlineStr">
        <is>
          <t>smallcap</t>
        </is>
      </c>
      <c r="F81" s="31" t="n">
        <v>567.62</v>
      </c>
      <c r="G81" s="31" t="n">
        <v>146.44</v>
      </c>
      <c r="H81" s="31" t="n">
        <v>0.92</v>
      </c>
      <c r="I81" s="31" t="n">
        <v>173010</v>
      </c>
      <c r="J81" s="31" t="inlineStr">
        <is>
          <t>523371</t>
        </is>
      </c>
    </row>
    <row r="82">
      <c r="A82" s="31" t="inlineStr">
        <is>
          <t>DHAMPURSUG</t>
        </is>
      </c>
      <c r="B82" s="31" t="inlineStr">
        <is>
          <t>Dhampur Sugar Mills Limited</t>
        </is>
      </c>
      <c r="C82" s="31" t="inlineStr">
        <is>
          <t>fmcg</t>
        </is>
      </c>
      <c r="D82" s="31" t="inlineStr">
        <is>
          <t>sugar</t>
        </is>
      </c>
      <c r="E82" s="31" t="inlineStr">
        <is>
          <t>smallcap</t>
        </is>
      </c>
      <c r="F82" s="31" t="n">
        <v>1176.23</v>
      </c>
      <c r="G82" s="31" t="n">
        <v>184.58</v>
      </c>
      <c r="H82" s="31" t="n">
        <v>0.91</v>
      </c>
      <c r="I82" s="31" t="n">
        <v>547287</v>
      </c>
      <c r="J82" s="31" t="inlineStr">
        <is>
          <t>500119</t>
        </is>
      </c>
    </row>
    <row r="83">
      <c r="A83" s="31" t="inlineStr">
        <is>
          <t>HFCL</t>
        </is>
      </c>
      <c r="B83" s="31" t="inlineStr">
        <is>
          <t>HFCL Ltd</t>
        </is>
      </c>
      <c r="C83" s="31" t="inlineStr">
        <is>
          <t>telecom</t>
        </is>
      </c>
      <c r="D83" s="31" t="inlineStr">
        <is>
          <t>cables - telephone</t>
        </is>
      </c>
      <c r="E83" s="31" t="inlineStr">
        <is>
          <t>largecap</t>
        </is>
      </c>
      <c r="F83" s="31" t="n">
        <v>39536.99</v>
      </c>
      <c r="G83" s="31" t="n">
        <v>260.4</v>
      </c>
      <c r="H83" s="31" t="n">
        <v>0.8100000000000001</v>
      </c>
      <c r="I83" s="31" t="n">
        <v>9090217</v>
      </c>
      <c r="J83" s="31" t="inlineStr">
        <is>
          <t>500183</t>
        </is>
      </c>
    </row>
    <row r="84">
      <c r="A84" s="31" t="inlineStr">
        <is>
          <t>GPPL</t>
        </is>
      </c>
      <c r="B84" s="31" t="inlineStr">
        <is>
          <t>Gujarat Pipavav Port Limited</t>
        </is>
      </c>
      <c r="C84" s="31" t="inlineStr">
        <is>
          <t>transportation</t>
        </is>
      </c>
      <c r="D84" s="31" t="inlineStr">
        <is>
          <t>miscellaneous</t>
        </is>
      </c>
      <c r="E84" s="31" t="inlineStr">
        <is>
          <t>midcap</t>
        </is>
      </c>
      <c r="F84" s="31" t="n">
        <v>8056.04</v>
      </c>
      <c r="G84" s="31" t="n">
        <v>167.9</v>
      </c>
      <c r="H84" s="31" t="n">
        <v>0.76</v>
      </c>
      <c r="I84" s="31" t="n">
        <v>803344</v>
      </c>
      <c r="J84" s="31" t="inlineStr">
        <is>
          <t>533248</t>
        </is>
      </c>
    </row>
    <row r="85">
      <c r="A85" s="31" t="inlineStr">
        <is>
          <t>PNBHOUSING</t>
        </is>
      </c>
      <c r="B85" s="31" t="inlineStr">
        <is>
          <t>Pnb Housing Finance Limited</t>
        </is>
      </c>
      <c r="C85" s="31" t="inlineStr">
        <is>
          <t>financials</t>
        </is>
      </c>
      <c r="D85" s="31" t="inlineStr">
        <is>
          <t>finance - housing</t>
        </is>
      </c>
      <c r="E85" s="31" t="inlineStr">
        <is>
          <t>largecap</t>
        </is>
      </c>
      <c r="F85" s="31" t="n">
        <v>29967.84</v>
      </c>
      <c r="G85" s="31" t="n">
        <v>1158</v>
      </c>
      <c r="H85" s="31" t="n">
        <v>0.7</v>
      </c>
      <c r="I85" s="31" t="n">
        <v>833012</v>
      </c>
      <c r="J85" s="31" t="inlineStr">
        <is>
          <t>540173</t>
        </is>
      </c>
    </row>
    <row r="86">
      <c r="A86" s="31" t="inlineStr">
        <is>
          <t>PGIL</t>
        </is>
      </c>
      <c r="B86" s="31" t="inlineStr">
        <is>
          <t>Pearl Global Industries Limited</t>
        </is>
      </c>
      <c r="C86" s="31" t="inlineStr">
        <is>
          <t>readymade garments/apparels</t>
        </is>
      </c>
      <c r="D86" s="31" t="inlineStr">
        <is>
          <t>textiles - products</t>
        </is>
      </c>
      <c r="E86" s="31" t="inlineStr">
        <is>
          <t>midcap</t>
        </is>
      </c>
      <c r="F86" s="31" t="n">
        <v>11753.65</v>
      </c>
      <c r="G86" s="31" t="n">
        <v>1281.1</v>
      </c>
      <c r="H86" s="31" t="n">
        <v>0.6899999999999999</v>
      </c>
      <c r="I86" s="31" t="n">
        <v>56778</v>
      </c>
      <c r="J86" s="31" t="inlineStr">
        <is>
          <t>532808</t>
        </is>
      </c>
    </row>
    <row r="87">
      <c r="A87" s="31" t="inlineStr">
        <is>
          <t>NELCAST</t>
        </is>
      </c>
      <c r="B87" s="31" t="inlineStr">
        <is>
          <t>Nelcast Limited</t>
        </is>
      </c>
      <c r="C87" s="31" t="inlineStr">
        <is>
          <t>castings, forgings &amp; fasteners</t>
        </is>
      </c>
      <c r="D87" s="31" t="inlineStr">
        <is>
          <t>castings &amp; forgings</t>
        </is>
      </c>
      <c r="E87" s="31" t="inlineStr">
        <is>
          <t>smallcap</t>
        </is>
      </c>
      <c r="F87" s="31" t="n">
        <v>1231.24</v>
      </c>
      <c r="G87" s="31" t="n">
        <v>142.48</v>
      </c>
      <c r="H87" s="31" t="n">
        <v>0.68</v>
      </c>
      <c r="I87" s="31" t="n">
        <v>449004</v>
      </c>
      <c r="J87" s="31" t="inlineStr">
        <is>
          <t>532864</t>
        </is>
      </c>
    </row>
    <row r="88">
      <c r="A88" s="31" t="inlineStr">
        <is>
          <t>MARINE</t>
        </is>
      </c>
      <c r="B88" s="31" t="inlineStr">
        <is>
          <t>Marine Electricals (India) Ltd</t>
        </is>
      </c>
      <c r="C88" s="31" t="inlineStr">
        <is>
          <t>industrials</t>
        </is>
      </c>
      <c r="D88" s="31" t="inlineStr">
        <is>
          <t>electric equipment</t>
        </is>
      </c>
      <c r="E88" s="31" t="inlineStr">
        <is>
          <t>midcap</t>
        </is>
      </c>
      <c r="F88" s="31" t="n">
        <v>6333.88</v>
      </c>
      <c r="G88" s="31" t="n">
        <v>455.65</v>
      </c>
      <c r="H88" s="31" t="n">
        <v>0.67</v>
      </c>
      <c r="I88" s="31" t="n">
        <v>806212</v>
      </c>
      <c r="J88" s="31" t="inlineStr">
        <is>
          <t>535119</t>
        </is>
      </c>
    </row>
    <row r="89">
      <c r="A89" s="31" t="inlineStr">
        <is>
          <t>AVADHSUGAR</t>
        </is>
      </c>
      <c r="B89" s="31" t="inlineStr">
        <is>
          <t>Avadh Sugar &amp; Energy</t>
        </is>
      </c>
      <c r="C89" s="31" t="inlineStr">
        <is>
          <t>fmcg</t>
        </is>
      </c>
      <c r="D89" s="31" t="inlineStr">
        <is>
          <t>sugar</t>
        </is>
      </c>
      <c r="E89" s="31" t="inlineStr">
        <is>
          <t>smallcap</t>
        </is>
      </c>
      <c r="F89" s="31" t="n">
        <v>1880.83</v>
      </c>
      <c r="G89" s="31" t="n">
        <v>945.75</v>
      </c>
      <c r="H89" s="31" t="n">
        <v>0.66</v>
      </c>
      <c r="I89" s="31" t="n">
        <v>125036</v>
      </c>
      <c r="J89" s="31" t="inlineStr">
        <is>
          <t>540649</t>
        </is>
      </c>
    </row>
    <row r="90">
      <c r="A90" s="31" t="inlineStr">
        <is>
          <t>LOKESHMACH</t>
        </is>
      </c>
      <c r="B90" s="31" t="inlineStr">
        <is>
          <t>Lokesh Machines Limited</t>
        </is>
      </c>
      <c r="C90" s="31" t="inlineStr">
        <is>
          <t>industrials</t>
        </is>
      </c>
      <c r="D90" s="31" t="inlineStr">
        <is>
          <t>engineering</t>
        </is>
      </c>
      <c r="E90" s="31" t="inlineStr">
        <is>
          <t>smallcap</t>
        </is>
      </c>
      <c r="F90" s="31" t="n">
        <v>976.17</v>
      </c>
      <c r="G90" s="31" t="n">
        <v>450.75</v>
      </c>
      <c r="H90" s="31" t="n">
        <v>0.65</v>
      </c>
      <c r="I90" s="31" t="n">
        <v>154914</v>
      </c>
      <c r="J90" s="31" t="inlineStr">
        <is>
          <t>532740</t>
        </is>
      </c>
    </row>
    <row r="91">
      <c r="A91" s="31" t="inlineStr">
        <is>
          <t>DBOL</t>
        </is>
      </c>
      <c r="B91" s="31" t="inlineStr">
        <is>
          <t>Dhampur Bio Organics Ltd</t>
        </is>
      </c>
      <c r="C91" s="31" t="inlineStr">
        <is>
          <t>fmcg</t>
        </is>
      </c>
      <c r="D91" s="31" t="inlineStr">
        <is>
          <t>sugar</t>
        </is>
      </c>
      <c r="E91" s="31" t="inlineStr">
        <is>
          <t>smallcap</t>
        </is>
      </c>
      <c r="F91" s="31" t="n">
        <v>932.28</v>
      </c>
      <c r="G91" s="31" t="n">
        <v>141.33</v>
      </c>
      <c r="H91" s="31" t="n">
        <v>0.64</v>
      </c>
      <c r="I91" s="31" t="n">
        <v>757711</v>
      </c>
      <c r="J91" s="31" t="inlineStr">
        <is>
          <t>543593</t>
        </is>
      </c>
    </row>
    <row r="92">
      <c r="A92" s="31" t="inlineStr">
        <is>
          <t>SATIA</t>
        </is>
      </c>
      <c r="B92" s="31" t="inlineStr">
        <is>
          <t>Satia Industries Ltd</t>
        </is>
      </c>
      <c r="C92" s="31" t="inlineStr">
        <is>
          <t>building materials</t>
        </is>
      </c>
      <c r="D92" s="31" t="inlineStr">
        <is>
          <t>paper</t>
        </is>
      </c>
      <c r="E92" s="31" t="inlineStr">
        <is>
          <t>smallcap</t>
        </is>
      </c>
      <c r="F92" s="31" t="n">
        <v>676.4</v>
      </c>
      <c r="G92" s="31" t="n">
        <v>68.06</v>
      </c>
      <c r="H92" s="31" t="n">
        <v>0.62</v>
      </c>
      <c r="I92" s="31" t="n">
        <v>61491</v>
      </c>
      <c r="J92" s="31" t="inlineStr">
        <is>
          <t>539201</t>
        </is>
      </c>
    </row>
    <row r="93">
      <c r="A93" s="31" t="inlineStr">
        <is>
          <t>ARIHANTCAP</t>
        </is>
      </c>
      <c r="B93" s="31" t="inlineStr">
        <is>
          <t>Arihant Capital Markets Ltd</t>
        </is>
      </c>
      <c r="C93" s="31" t="inlineStr">
        <is>
          <t>financials</t>
        </is>
      </c>
      <c r="D93" s="31" t="inlineStr">
        <is>
          <t>finance &amp; investments</t>
        </is>
      </c>
      <c r="E93" s="31" t="inlineStr">
        <is>
          <t>smallcap</t>
        </is>
      </c>
      <c r="F93" s="31" t="n">
        <v>1048.12</v>
      </c>
      <c r="G93" s="31" t="n">
        <v>96.19</v>
      </c>
      <c r="H93" s="31" t="n">
        <v>0.6</v>
      </c>
      <c r="I93" s="31" t="n">
        <v>496996</v>
      </c>
      <c r="J93" s="31" t="inlineStr">
        <is>
          <t>511605</t>
        </is>
      </c>
    </row>
    <row r="94">
      <c r="A94" s="31" t="inlineStr">
        <is>
          <t>GPTINFRA</t>
        </is>
      </c>
      <c r="B94" s="31" t="inlineStr">
        <is>
          <t>Gpt Infraprojects Limited</t>
        </is>
      </c>
      <c r="C94" s="31" t="inlineStr">
        <is>
          <t>realty</t>
        </is>
      </c>
      <c r="D94" s="31" t="inlineStr">
        <is>
          <t>construction</t>
        </is>
      </c>
      <c r="E94" s="31" t="inlineStr">
        <is>
          <t>smallcap</t>
        </is>
      </c>
      <c r="F94" s="31" t="n">
        <v>1531.41</v>
      </c>
      <c r="G94" s="31" t="n">
        <v>121.88</v>
      </c>
      <c r="H94" s="31" t="n">
        <v>0.57</v>
      </c>
      <c r="I94" s="31" t="n">
        <v>216420</v>
      </c>
      <c r="J94" s="31" t="inlineStr">
        <is>
          <t>533761</t>
        </is>
      </c>
    </row>
    <row r="95">
      <c r="A95" s="31" t="inlineStr">
        <is>
          <t>GLOBAL</t>
        </is>
      </c>
      <c r="B95" s="31" t="inlineStr">
        <is>
          <t>Global Education Ltd</t>
        </is>
      </c>
      <c r="C95" s="31" t="inlineStr">
        <is>
          <t>services</t>
        </is>
      </c>
      <c r="D95" s="31" t="inlineStr">
        <is>
          <t>miscellaneous</t>
        </is>
      </c>
      <c r="E95" s="31" t="inlineStr">
        <is>
          <t>smallcap</t>
        </is>
      </c>
      <c r="F95" s="31" t="n">
        <v>719.8</v>
      </c>
      <c r="G95" s="31" t="n">
        <v>142.2</v>
      </c>
      <c r="H95" s="31" t="n">
        <v>0.5600000000000001</v>
      </c>
      <c r="I95" s="31" t="n">
        <v>114393</v>
      </c>
      <c r="J95" s="31" t="inlineStr">
        <is>
          <t>538406</t>
        </is>
      </c>
    </row>
    <row r="96">
      <c r="A96" s="31" t="inlineStr">
        <is>
          <t>FINEORG</t>
        </is>
      </c>
      <c r="B96" s="31" t="inlineStr">
        <is>
          <t>Fine Organic Industries Ltd</t>
        </is>
      </c>
      <c r="C96" s="31" t="inlineStr">
        <is>
          <t>chemicals</t>
        </is>
      </c>
      <c r="D96" s="31" t="inlineStr">
        <is>
          <t>chemicals</t>
        </is>
      </c>
      <c r="E96" s="31" t="inlineStr">
        <is>
          <t>midcap</t>
        </is>
      </c>
      <c r="F96" s="31" t="n">
        <v>16496.6</v>
      </c>
      <c r="G96" s="31" t="n">
        <v>5410.5</v>
      </c>
      <c r="H96" s="31" t="n">
        <v>0.5600000000000001</v>
      </c>
      <c r="I96" s="31" t="n">
        <v>21311</v>
      </c>
      <c r="J96" s="31" t="inlineStr">
        <is>
          <t>541557</t>
        </is>
      </c>
    </row>
    <row r="97">
      <c r="A97" s="31" t="inlineStr">
        <is>
          <t>ADFFOODS</t>
        </is>
      </c>
      <c r="B97" s="31" t="inlineStr">
        <is>
          <t>Adf Foods Limited</t>
        </is>
      </c>
      <c r="C97" s="31" t="inlineStr">
        <is>
          <t>fmcg</t>
        </is>
      </c>
      <c r="D97" s="31" t="inlineStr">
        <is>
          <t>food - processing - indian</t>
        </is>
      </c>
      <c r="E97" s="31" t="inlineStr">
        <is>
          <t>smallcap</t>
        </is>
      </c>
      <c r="F97" s="31" t="n">
        <v>3167.37</v>
      </c>
      <c r="G97" s="31" t="n">
        <v>289.7</v>
      </c>
      <c r="H97" s="31" t="n">
        <v>0.49</v>
      </c>
      <c r="I97" s="31" t="n">
        <v>103320</v>
      </c>
      <c r="J97" s="31" t="inlineStr">
        <is>
          <t>519183</t>
        </is>
      </c>
    </row>
    <row r="98">
      <c r="A98" s="31" t="inlineStr">
        <is>
          <t>GCSL</t>
        </is>
      </c>
      <c r="B98" s="31" t="inlineStr">
        <is>
          <t>Gretex Corporate Services Ltd</t>
        </is>
      </c>
      <c r="C98" s="31" t="inlineStr">
        <is>
          <t>financials</t>
        </is>
      </c>
      <c r="D98" s="31" t="inlineStr">
        <is>
          <t>finance &amp; investments</t>
        </is>
      </c>
      <c r="E98" s="31" t="inlineStr">
        <is>
          <t>smallcap</t>
        </is>
      </c>
      <c r="F98" s="31" t="n">
        <v>1744.75</v>
      </c>
      <c r="G98" s="31" t="n">
        <v>701</v>
      </c>
      <c r="H98" s="31" t="n">
        <v>0.47</v>
      </c>
      <c r="I98" s="31" t="n">
        <v>325976</v>
      </c>
      <c r="J98" s="31" t="inlineStr">
        <is>
          <t>543324</t>
        </is>
      </c>
    </row>
    <row r="99">
      <c r="A99" s="31" t="inlineStr">
        <is>
          <t>NAZARA</t>
        </is>
      </c>
      <c r="B99" s="31" t="inlineStr">
        <is>
          <t>Nazara Technologies Ltd</t>
        </is>
      </c>
      <c r="C99" s="31" t="inlineStr">
        <is>
          <t>i.t</t>
        </is>
      </c>
      <c r="D99" s="31" t="inlineStr">
        <is>
          <t>telecommunications - service provider</t>
        </is>
      </c>
      <c r="E99" s="31" t="inlineStr">
        <is>
          <t>midcap</t>
        </is>
      </c>
      <c r="F99" s="31" t="n">
        <v>14464.57</v>
      </c>
      <c r="G99" s="31" t="n">
        <v>377.65</v>
      </c>
      <c r="H99" s="31" t="n">
        <v>0.44</v>
      </c>
      <c r="I99" s="31" t="n">
        <v>1319027</v>
      </c>
      <c r="J99" s="31" t="inlineStr">
        <is>
          <t>543280</t>
        </is>
      </c>
    </row>
    <row r="100">
      <c r="A100" s="31" t="inlineStr">
        <is>
          <t>MOBIKWIK</t>
        </is>
      </c>
      <c r="B100" s="31" t="inlineStr">
        <is>
          <t>One Mobikwik Systems Ltd</t>
        </is>
      </c>
      <c r="C100" s="31" t="inlineStr">
        <is>
          <t>i.t</t>
        </is>
      </c>
      <c r="D100" s="31" t="inlineStr">
        <is>
          <t>miscellaneous</t>
        </is>
      </c>
      <c r="E100" s="31" t="inlineStr">
        <is>
          <t>smallcap</t>
        </is>
      </c>
      <c r="F100" s="31" t="n">
        <v>1925.52</v>
      </c>
      <c r="G100" s="31" t="n">
        <v>245.49</v>
      </c>
      <c r="H100" s="31" t="n">
        <v>0.4</v>
      </c>
      <c r="I100" s="31" t="n">
        <v>28401891</v>
      </c>
      <c r="J100" s="31" t="inlineStr">
        <is>
          <t>544305</t>
        </is>
      </c>
    </row>
    <row r="101">
      <c r="A101" s="31" t="inlineStr">
        <is>
          <t>STLTECH</t>
        </is>
      </c>
      <c r="B101" s="31" t="inlineStr">
        <is>
          <t>Sterlite Technologies Limited</t>
        </is>
      </c>
      <c r="C101" s="31" t="inlineStr">
        <is>
          <t>industrials</t>
        </is>
      </c>
      <c r="D101" s="31" t="inlineStr">
        <is>
          <t>cables - telephone</t>
        </is>
      </c>
      <c r="E101" s="31" t="inlineStr">
        <is>
          <t>largecap</t>
        </is>
      </c>
      <c r="F101" s="31" t="n">
        <v>51983.16</v>
      </c>
      <c r="G101" s="31" t="n">
        <v>1015.2</v>
      </c>
      <c r="H101" s="31" t="n">
        <v>0.36</v>
      </c>
      <c r="I101" s="31" t="n">
        <v>1326359</v>
      </c>
      <c r="J101" s="31" t="inlineStr">
        <is>
          <t>532374</t>
        </is>
      </c>
    </row>
    <row r="102">
      <c r="A102" s="31" t="inlineStr">
        <is>
          <t>RRKABEL</t>
        </is>
      </c>
      <c r="B102" s="31" t="inlineStr">
        <is>
          <t>R R Kabel Ltd</t>
        </is>
      </c>
      <c r="C102" s="31" t="inlineStr">
        <is>
          <t>industrials</t>
        </is>
      </c>
      <c r="D102" s="31" t="inlineStr">
        <is>
          <t>cables - power</t>
        </is>
      </c>
      <c r="E102" s="31" t="inlineStr">
        <is>
          <t>largecap</t>
        </is>
      </c>
      <c r="F102" s="31" t="n">
        <v>30497.77</v>
      </c>
      <c r="G102" s="31" t="n">
        <v>2705.6</v>
      </c>
      <c r="H102" s="31" t="n">
        <v>0.34</v>
      </c>
      <c r="I102" s="31" t="n">
        <v>252367</v>
      </c>
      <c r="J102" s="31" t="inlineStr">
        <is>
          <t>543981</t>
        </is>
      </c>
    </row>
    <row r="103">
      <c r="A103" s="31" t="inlineStr">
        <is>
          <t>GREENPLY</t>
        </is>
      </c>
      <c r="B103" s="31" t="inlineStr">
        <is>
          <t>Greenply Industries Limited</t>
        </is>
      </c>
      <c r="C103" s="31" t="inlineStr">
        <is>
          <t>building materials</t>
        </is>
      </c>
      <c r="D103" s="31" t="inlineStr">
        <is>
          <t>miscellaneous</t>
        </is>
      </c>
      <c r="E103" s="31" t="inlineStr">
        <is>
          <t>smallcap</t>
        </is>
      </c>
      <c r="F103" s="31" t="n">
        <v>3818.26</v>
      </c>
      <c r="G103" s="31" t="n">
        <v>306.7</v>
      </c>
      <c r="H103" s="31" t="n">
        <v>0.33</v>
      </c>
      <c r="I103" s="31" t="n">
        <v>126215</v>
      </c>
      <c r="J103" s="31" t="inlineStr">
        <is>
          <t>526797</t>
        </is>
      </c>
    </row>
    <row r="104">
      <c r="A104" s="31" t="inlineStr">
        <is>
          <t>ALICON</t>
        </is>
      </c>
      <c r="B104" s="31" t="inlineStr">
        <is>
          <t>Alicon Castalloy Limited</t>
        </is>
      </c>
      <c r="C104" s="31" t="inlineStr">
        <is>
          <t>castings, forgings &amp; fasteners</t>
        </is>
      </c>
      <c r="D104" s="31" t="inlineStr">
        <is>
          <t>castings &amp; forgings</t>
        </is>
      </c>
      <c r="E104" s="31" t="inlineStr">
        <is>
          <t>smallcap</t>
        </is>
      </c>
      <c r="F104" s="31" t="n">
        <v>1409.78</v>
      </c>
      <c r="G104" s="31" t="n">
        <v>861.7</v>
      </c>
      <c r="H104" s="31" t="n">
        <v>0.31</v>
      </c>
      <c r="I104" s="31" t="n">
        <v>43292</v>
      </c>
      <c r="J104" s="31" t="inlineStr">
        <is>
          <t>531147</t>
        </is>
      </c>
    </row>
    <row r="105">
      <c r="A105" s="31" t="inlineStr">
        <is>
          <t>ROSSTECH</t>
        </is>
      </c>
      <c r="B105" s="31" t="inlineStr">
        <is>
          <t>Rossell Techsys Ltd</t>
        </is>
      </c>
      <c r="C105" s="31" t="inlineStr">
        <is>
          <t>aerospace &amp; defence</t>
        </is>
      </c>
      <c r="D105" s="31" t="inlineStr">
        <is>
          <t>engineering</t>
        </is>
      </c>
      <c r="E105" s="31" t="inlineStr">
        <is>
          <t>midcap</t>
        </is>
      </c>
      <c r="F105" s="31" t="n">
        <v>5918.72</v>
      </c>
      <c r="G105" s="31" t="n">
        <v>1574.8</v>
      </c>
      <c r="H105" s="31" t="n">
        <v>0.3</v>
      </c>
      <c r="I105" s="31" t="n">
        <v>176795</v>
      </c>
      <c r="J105" s="31" t="inlineStr">
        <is>
          <t>544294</t>
        </is>
      </c>
    </row>
    <row r="106">
      <c r="A106" s="31" t="inlineStr">
        <is>
          <t>PTCIL</t>
        </is>
      </c>
      <c r="B106" s="31" t="inlineStr">
        <is>
          <t>PTC Industries Ltd</t>
        </is>
      </c>
      <c r="C106" s="31" t="inlineStr">
        <is>
          <t>castings, forgings &amp; fasteners</t>
        </is>
      </c>
      <c r="D106" s="31" t="inlineStr">
        <is>
          <t>castings &amp; forgings</t>
        </is>
      </c>
      <c r="E106" s="31" t="inlineStr">
        <is>
          <t>largecap</t>
        </is>
      </c>
      <c r="F106" s="31" t="n">
        <v>36686.77</v>
      </c>
      <c r="G106" s="31" t="n">
        <v>24535</v>
      </c>
      <c r="H106" s="31" t="n">
        <v>0.27</v>
      </c>
      <c r="I106" s="31" t="n">
        <v>28898</v>
      </c>
      <c r="J106" s="31" t="inlineStr">
        <is>
          <t>539006</t>
        </is>
      </c>
    </row>
    <row r="107">
      <c r="A107" s="31" t="inlineStr">
        <is>
          <t>TFCILTD</t>
        </is>
      </c>
      <c r="B107" s="31" t="inlineStr">
        <is>
          <t>Tourism Finance Corporation Of India Limited</t>
        </is>
      </c>
      <c r="C107" s="31" t="inlineStr">
        <is>
          <t>financials</t>
        </is>
      </c>
      <c r="D107" s="31" t="inlineStr">
        <is>
          <t>finance - term-lending institutions</t>
        </is>
      </c>
      <c r="E107" s="31" t="inlineStr">
        <is>
          <t>midcap</t>
        </is>
      </c>
      <c r="F107" s="31" t="n">
        <v>6789.56</v>
      </c>
      <c r="G107" s="31" t="n">
        <v>147.05</v>
      </c>
      <c r="H107" s="31" t="n">
        <v>0.27</v>
      </c>
      <c r="I107" s="31" t="n">
        <v>27675622</v>
      </c>
      <c r="J107" s="31" t="inlineStr">
        <is>
          <t>526650</t>
        </is>
      </c>
    </row>
    <row r="108">
      <c r="A108" s="31" t="inlineStr">
        <is>
          <t>GESHIP</t>
        </is>
      </c>
      <c r="B108" s="31" t="inlineStr">
        <is>
          <t>The Great Eastern Shipping Company Limited</t>
        </is>
      </c>
      <c r="C108" s="31" t="inlineStr">
        <is>
          <t>transportation</t>
        </is>
      </c>
      <c r="D108" s="31" t="inlineStr">
        <is>
          <t>shipping</t>
        </is>
      </c>
      <c r="E108" s="31" t="inlineStr">
        <is>
          <t>largecap</t>
        </is>
      </c>
      <c r="F108" s="31" t="n">
        <v>21839.09</v>
      </c>
      <c r="G108" s="31" t="n">
        <v>1533.7</v>
      </c>
      <c r="H108" s="31" t="n">
        <v>0.26</v>
      </c>
      <c r="I108" s="31" t="n">
        <v>387543</v>
      </c>
      <c r="J108" s="31" t="inlineStr">
        <is>
          <t>500620</t>
        </is>
      </c>
    </row>
    <row r="109">
      <c r="A109" s="31" t="inlineStr">
        <is>
          <t>AETHER</t>
        </is>
      </c>
      <c r="B109" s="31" t="inlineStr">
        <is>
          <t>Aether Industries Ltd</t>
        </is>
      </c>
      <c r="C109" s="31" t="inlineStr">
        <is>
          <t>chemicals</t>
        </is>
      </c>
      <c r="D109" s="31" t="inlineStr">
        <is>
          <t>chemicals</t>
        </is>
      </c>
      <c r="E109" s="31" t="inlineStr">
        <is>
          <t>largecap</t>
        </is>
      </c>
      <c r="F109" s="31" t="n">
        <v>23146.4</v>
      </c>
      <c r="G109" s="31" t="n">
        <v>1748.1</v>
      </c>
      <c r="H109" s="31" t="n">
        <v>0.23</v>
      </c>
      <c r="I109" s="31" t="n">
        <v>139555</v>
      </c>
      <c r="J109" s="31" t="inlineStr">
        <is>
          <t>543534</t>
        </is>
      </c>
    </row>
    <row r="110">
      <c r="A110" s="31" t="inlineStr">
        <is>
          <t>AXISCADES</t>
        </is>
      </c>
      <c r="B110" s="31" t="inlineStr">
        <is>
          <t>AXISCADES Technologies Ltd</t>
        </is>
      </c>
      <c r="C110" s="31" t="inlineStr">
        <is>
          <t>aerospace &amp; defence</t>
        </is>
      </c>
      <c r="D110" s="31" t="inlineStr">
        <is>
          <t>computers - software - medium / small</t>
        </is>
      </c>
      <c r="E110" s="31" t="inlineStr">
        <is>
          <t>midcap</t>
        </is>
      </c>
      <c r="F110" s="31" t="n">
        <v>8836.24</v>
      </c>
      <c r="G110" s="31" t="n">
        <v>2082.3</v>
      </c>
      <c r="H110" s="31" t="n">
        <v>0.23</v>
      </c>
      <c r="I110" s="31" t="n">
        <v>194911</v>
      </c>
      <c r="J110" s="31" t="inlineStr">
        <is>
          <t>532395</t>
        </is>
      </c>
    </row>
    <row r="111">
      <c r="A111" s="31" t="inlineStr">
        <is>
          <t>THELEELA</t>
        </is>
      </c>
      <c r="B111" s="31" t="inlineStr">
        <is>
          <t>Leela Palaces Hotels &amp; Resorts Ltd</t>
        </is>
      </c>
      <c r="C111" s="31" t="inlineStr">
        <is>
          <t>services</t>
        </is>
      </c>
      <c r="D111" s="31" t="inlineStr">
        <is>
          <t>hotels</t>
        </is>
      </c>
      <c r="E111" s="31" t="inlineStr">
        <is>
          <t>midcap</t>
        </is>
      </c>
      <c r="F111" s="31" t="n">
        <v>19601.66</v>
      </c>
      <c r="G111" s="31" t="n">
        <v>587.5</v>
      </c>
      <c r="H111" s="31" t="n">
        <v>0.09</v>
      </c>
      <c r="I111" s="31" t="n">
        <v>227500</v>
      </c>
      <c r="J111" s="31" t="inlineStr">
        <is>
          <t>544408</t>
        </is>
      </c>
    </row>
    <row r="112">
      <c r="A112" s="31" t="inlineStr">
        <is>
          <t>SOTL</t>
        </is>
      </c>
      <c r="B112" s="31" t="inlineStr">
        <is>
          <t>Savita Oil Technologies Limited</t>
        </is>
      </c>
      <c r="C112" s="31" t="inlineStr">
        <is>
          <t>energy</t>
        </is>
      </c>
      <c r="D112" s="31" t="inlineStr">
        <is>
          <t>petrochemicals</t>
        </is>
      </c>
      <c r="E112" s="31" t="inlineStr">
        <is>
          <t>midcap</t>
        </is>
      </c>
      <c r="F112" s="31" t="n">
        <v>5239.39</v>
      </c>
      <c r="G112" s="31" t="n">
        <v>764.8</v>
      </c>
      <c r="H112" s="31" t="n">
        <v>0.08</v>
      </c>
      <c r="I112" s="31" t="n">
        <v>189615</v>
      </c>
      <c r="J112" s="31" t="inlineStr">
        <is>
          <t>524667</t>
        </is>
      </c>
    </row>
    <row r="113">
      <c r="A113" s="31" t="inlineStr">
        <is>
          <t>HITECHCORP</t>
        </is>
      </c>
      <c r="B113" s="31" t="inlineStr">
        <is>
          <t>Hitech Corporation</t>
        </is>
      </c>
      <c r="C113" s="31" t="inlineStr">
        <is>
          <t>industrials</t>
        </is>
      </c>
      <c r="D113" s="31" t="inlineStr">
        <is>
          <t>packaging</t>
        </is>
      </c>
      <c r="E113" s="31" t="inlineStr">
        <is>
          <t>smallcap</t>
        </is>
      </c>
      <c r="F113" s="31" t="n">
        <v>602.09</v>
      </c>
      <c r="G113" s="31" t="n">
        <v>350.8</v>
      </c>
      <c r="H113" s="31" t="n">
        <v>0.07000000000000001</v>
      </c>
      <c r="I113" s="31" t="n">
        <v>46271</v>
      </c>
      <c r="J113" s="31" t="inlineStr">
        <is>
          <t>526217</t>
        </is>
      </c>
    </row>
    <row r="114">
      <c r="A114" s="31" t="inlineStr">
        <is>
          <t>TDPOWERSYS</t>
        </is>
      </c>
      <c r="B114" s="31" t="inlineStr">
        <is>
          <t>Td Power Systems Limited</t>
        </is>
      </c>
      <c r="C114" s="31" t="inlineStr">
        <is>
          <t>industrials</t>
        </is>
      </c>
      <c r="D114" s="31" t="inlineStr">
        <is>
          <t>electric equipment</t>
        </is>
      </c>
      <c r="E114" s="31" t="inlineStr">
        <is>
          <t>largecap</t>
        </is>
      </c>
      <c r="F114" s="31" t="n">
        <v>24892.64</v>
      </c>
      <c r="G114" s="31" t="n">
        <v>793.75</v>
      </c>
      <c r="H114" s="31" t="n">
        <v>0.03</v>
      </c>
      <c r="I114" s="31" t="n">
        <v>2207016</v>
      </c>
      <c r="J114" s="31" t="inlineStr">
        <is>
          <t>533553</t>
        </is>
      </c>
    </row>
    <row r="115">
      <c r="A115" s="31" t="inlineStr">
        <is>
          <t>GANDHAR</t>
        </is>
      </c>
      <c r="B115" s="31" t="inlineStr">
        <is>
          <t>Gandhar Oil Refinery (India) Ltd</t>
        </is>
      </c>
      <c r="C115" s="31" t="inlineStr">
        <is>
          <t>energy</t>
        </is>
      </c>
      <c r="D115" s="31" t="inlineStr">
        <is>
          <t>refineries</t>
        </is>
      </c>
      <c r="E115" s="31" t="inlineStr">
        <is>
          <t>smallcap</t>
        </is>
      </c>
      <c r="F115" s="31" t="n">
        <v>2901.64</v>
      </c>
      <c r="G115" s="31" t="n">
        <v>296.55</v>
      </c>
      <c r="H115" s="31" t="n">
        <v>0.03</v>
      </c>
      <c r="I115" s="31" t="n">
        <v>1267314</v>
      </c>
      <c r="J115" s="31" t="inlineStr">
        <is>
          <t>544029</t>
        </is>
      </c>
    </row>
    <row r="116">
      <c r="A116" s="31" t="inlineStr">
        <is>
          <t>WHEELS</t>
        </is>
      </c>
      <c r="B116" s="31" t="inlineStr">
        <is>
          <t>Wheels India Limited</t>
        </is>
      </c>
      <c r="C116" s="31" t="inlineStr">
        <is>
          <t>auto</t>
        </is>
      </c>
      <c r="D116" s="31" t="inlineStr">
        <is>
          <t>auto ancillaries</t>
        </is>
      </c>
      <c r="E116" s="31" t="inlineStr">
        <is>
          <t>midcap</t>
        </is>
      </c>
      <c r="F116" s="31" t="n">
        <v>5931.75</v>
      </c>
      <c r="G116" s="31" t="n">
        <v>2207.2</v>
      </c>
      <c r="H116" s="31" t="n">
        <v>-0.05</v>
      </c>
      <c r="I116" s="31" t="n">
        <v>73512</v>
      </c>
      <c r="J116" s="31" t="inlineStr">
        <is>
          <t>590073</t>
        </is>
      </c>
    </row>
    <row r="117">
      <c r="A117" s="31" t="inlineStr">
        <is>
          <t>OPTIEMUS</t>
        </is>
      </c>
      <c r="B117" s="31" t="inlineStr">
        <is>
          <t>Optiemus Infracom Ltd</t>
        </is>
      </c>
      <c r="C117" s="31" t="inlineStr">
        <is>
          <t>telecom</t>
        </is>
      </c>
      <c r="D117" s="31" t="inlineStr">
        <is>
          <t>trading</t>
        </is>
      </c>
      <c r="E117" s="31" t="inlineStr">
        <is>
          <t>midcap</t>
        </is>
      </c>
      <c r="F117" s="31" t="n">
        <v>7365.25</v>
      </c>
      <c r="G117" s="31" t="n">
        <v>815.85</v>
      </c>
      <c r="H117" s="31" t="n">
        <v>-0.12</v>
      </c>
      <c r="I117" s="31" t="n">
        <v>516472</v>
      </c>
      <c r="J117" s="31" t="inlineStr">
        <is>
          <t>530135</t>
        </is>
      </c>
    </row>
    <row r="118">
      <c r="A118" s="31" t="inlineStr">
        <is>
          <t>MVGJL</t>
        </is>
      </c>
      <c r="B118" s="31" t="inlineStr">
        <is>
          <t>Manoj Vaibhav Gems N Jewellers Ltd</t>
        </is>
      </c>
      <c r="C118" s="31" t="inlineStr">
        <is>
          <t>consumer discretionary</t>
        </is>
      </c>
      <c r="D118" s="31" t="inlineStr">
        <is>
          <t>diamond cutting / jewellery</t>
        </is>
      </c>
      <c r="E118" s="31" t="inlineStr">
        <is>
          <t>smallcap</t>
        </is>
      </c>
      <c r="F118" s="31" t="n">
        <v>1017.44</v>
      </c>
      <c r="G118" s="31" t="n">
        <v>207.87</v>
      </c>
      <c r="H118" s="31" t="n">
        <v>-0.2</v>
      </c>
      <c r="I118" s="31" t="n">
        <v>197543</v>
      </c>
      <c r="J118" s="31" t="inlineStr">
        <is>
          <t>543995</t>
        </is>
      </c>
    </row>
    <row r="119">
      <c r="A119" s="31" t="inlineStr">
        <is>
          <t>PREMEXPLN</t>
        </is>
      </c>
      <c r="B119" s="31" t="inlineStr">
        <is>
          <t>Premier Explosives Limited</t>
        </is>
      </c>
      <c r="C119" s="31" t="inlineStr">
        <is>
          <t>aerospace &amp; defence</t>
        </is>
      </c>
      <c r="D119" s="31" t="inlineStr">
        <is>
          <t>chemicals</t>
        </is>
      </c>
      <c r="E119" s="31" t="inlineStr">
        <is>
          <t>smallcap</t>
        </is>
      </c>
      <c r="F119" s="31" t="n">
        <v>3704.42</v>
      </c>
      <c r="G119" s="31" t="n">
        <v>687.05</v>
      </c>
      <c r="H119" s="31" t="n">
        <v>-0.29</v>
      </c>
      <c r="I119" s="31" t="n">
        <v>106402</v>
      </c>
      <c r="J119" s="31" t="inlineStr">
        <is>
          <t>526247</t>
        </is>
      </c>
    </row>
    <row r="120">
      <c r="A120" s="31" t="inlineStr">
        <is>
          <t>SHILPAMED</t>
        </is>
      </c>
      <c r="B120" s="31" t="inlineStr">
        <is>
          <t>Shilpa Medicare Limited</t>
        </is>
      </c>
      <c r="C120" s="31" t="inlineStr">
        <is>
          <t>healthcare</t>
        </is>
      </c>
      <c r="D120" s="31" t="inlineStr">
        <is>
          <t>pharmaceuticals - indian - formulations</t>
        </is>
      </c>
      <c r="E120" s="31" t="inlineStr">
        <is>
          <t>largecap</t>
        </is>
      </c>
      <c r="F120" s="31" t="n">
        <v>20053</v>
      </c>
      <c r="G120" s="31" t="n">
        <v>1021.7</v>
      </c>
      <c r="H120" s="31" t="n">
        <v>-0.35</v>
      </c>
      <c r="I120" s="31" t="n">
        <v>397778</v>
      </c>
      <c r="J120" s="31" t="inlineStr">
        <is>
          <t>530549</t>
        </is>
      </c>
    </row>
    <row r="121">
      <c r="A121" s="31" t="inlineStr">
        <is>
          <t>DYNAMATECH</t>
        </is>
      </c>
      <c r="B121" s="31" t="inlineStr">
        <is>
          <t>Dynamatic Technologies Limited</t>
        </is>
      </c>
      <c r="C121" s="31" t="inlineStr">
        <is>
          <t>aerospace &amp; defence</t>
        </is>
      </c>
      <c r="D121" s="31" t="inlineStr">
        <is>
          <t>engineering</t>
        </is>
      </c>
      <c r="E121" s="31" t="inlineStr">
        <is>
          <t>midcap</t>
        </is>
      </c>
      <c r="F121" s="31" t="n">
        <v>9094.42</v>
      </c>
      <c r="G121" s="31" t="n">
        <v>13321</v>
      </c>
      <c r="H121" s="31" t="n">
        <v>-0.52</v>
      </c>
      <c r="I121" s="31" t="n">
        <v>14541</v>
      </c>
      <c r="J121" s="31" t="inlineStr">
        <is>
          <t>505242</t>
        </is>
      </c>
    </row>
    <row r="122">
      <c r="A122" s="31" t="inlineStr">
        <is>
          <t>GLAND</t>
        </is>
      </c>
      <c r="B122" s="31" t="inlineStr">
        <is>
          <t>Gland Pharma Ltd</t>
        </is>
      </c>
      <c r="C122" s="31" t="inlineStr">
        <is>
          <t>healthcare</t>
        </is>
      </c>
      <c r="D122" s="31" t="inlineStr">
        <is>
          <t>pharmaceuticals - indian - formulations</t>
        </is>
      </c>
      <c r="E122" s="31" t="inlineStr">
        <is>
          <t>largecap</t>
        </is>
      </c>
      <c r="F122" s="31" t="n">
        <v>50792.74</v>
      </c>
      <c r="G122" s="31" t="n">
        <v>3061.8</v>
      </c>
      <c r="H122" s="31" t="n">
        <v>-0.5600000000000001</v>
      </c>
      <c r="I122" s="31" t="n">
        <v>181216</v>
      </c>
      <c r="J122" s="31" t="inlineStr">
        <is>
          <t>543245</t>
        </is>
      </c>
    </row>
    <row r="123">
      <c r="A123" s="31" t="inlineStr">
        <is>
          <t>NRL</t>
        </is>
      </c>
      <c r="B123" s="31" t="inlineStr">
        <is>
          <t>Nupur Recyclers Ltd</t>
        </is>
      </c>
      <c r="C123" s="31" t="inlineStr">
        <is>
          <t>services</t>
        </is>
      </c>
      <c r="D123" s="31" t="inlineStr">
        <is>
          <t>trading</t>
        </is>
      </c>
      <c r="E123" s="31" t="inlineStr">
        <is>
          <t>smallcap</t>
        </is>
      </c>
      <c r="F123" s="31" t="n">
        <v>1097.51</v>
      </c>
      <c r="G123" s="31" t="n">
        <v>158</v>
      </c>
      <c r="H123" s="31" t="n">
        <v>-0.57</v>
      </c>
      <c r="I123" s="31" t="n">
        <v>19162</v>
      </c>
      <c r="J123" s="31" t="inlineStr">
        <is>
          <t>535413</t>
        </is>
      </c>
    </row>
    <row r="124">
      <c r="A124" s="31" t="inlineStr">
        <is>
          <t>BHAGERIA</t>
        </is>
      </c>
      <c r="B124" s="31" t="inlineStr">
        <is>
          <t>Bhageria Industries Limited</t>
        </is>
      </c>
      <c r="C124" s="31" t="inlineStr">
        <is>
          <t>chemicals</t>
        </is>
      </c>
      <c r="D124" s="31" t="inlineStr">
        <is>
          <t>dyes and pigments</t>
        </is>
      </c>
      <c r="E124" s="31" t="inlineStr">
        <is>
          <t>smallcap</t>
        </is>
      </c>
      <c r="F124" s="31" t="n">
        <v>1601.74</v>
      </c>
      <c r="G124" s="31" t="n">
        <v>364.9</v>
      </c>
      <c r="H124" s="31" t="n">
        <v>-0.57</v>
      </c>
      <c r="I124" s="31" t="n">
        <v>162959</v>
      </c>
      <c r="J124" s="31" t="inlineStr">
        <is>
          <t>530803</t>
        </is>
      </c>
    </row>
    <row r="125">
      <c r="A125" s="31" t="inlineStr">
        <is>
          <t>WELSPUNLIV</t>
        </is>
      </c>
      <c r="B125" s="31" t="inlineStr">
        <is>
          <t>Welspun Living Ltd</t>
        </is>
      </c>
      <c r="C125" s="31" t="inlineStr">
        <is>
          <t>textiles</t>
        </is>
      </c>
      <c r="D125" s="31" t="inlineStr">
        <is>
          <t>textiles - products</t>
        </is>
      </c>
      <c r="E125" s="31" t="inlineStr">
        <is>
          <t>largecap</t>
        </is>
      </c>
      <c r="F125" s="31" t="n">
        <v>21263.54</v>
      </c>
      <c r="G125" s="31" t="n">
        <v>223.75</v>
      </c>
      <c r="H125" s="31" t="n">
        <v>-0.59</v>
      </c>
      <c r="I125" s="31" t="n">
        <v>2587725</v>
      </c>
      <c r="J125" s="31" t="inlineStr">
        <is>
          <t>514162</t>
        </is>
      </c>
    </row>
    <row r="126">
      <c r="A126" s="31" t="inlineStr">
        <is>
          <t>FILATEX</t>
        </is>
      </c>
      <c r="B126" s="31" t="inlineStr">
        <is>
          <t>Filatex India Limited</t>
        </is>
      </c>
      <c r="C126" s="31" t="inlineStr">
        <is>
          <t>textiles</t>
        </is>
      </c>
      <c r="D126" s="31" t="inlineStr">
        <is>
          <t>textiles - manmade</t>
        </is>
      </c>
      <c r="E126" s="31" t="inlineStr">
        <is>
          <t>smallcap</t>
        </is>
      </c>
      <c r="F126" s="31" t="n">
        <v>4873.1</v>
      </c>
      <c r="G126" s="31" t="n">
        <v>109.06</v>
      </c>
      <c r="H126" s="31" t="n">
        <v>-0.62</v>
      </c>
      <c r="I126" s="31" t="n">
        <v>1524085</v>
      </c>
      <c r="J126" s="31" t="inlineStr">
        <is>
          <t>526227</t>
        </is>
      </c>
    </row>
    <row r="127">
      <c r="A127" s="31" t="inlineStr">
        <is>
          <t>BIL</t>
        </is>
      </c>
      <c r="B127" s="31" t="inlineStr">
        <is>
          <t>Bhartiya International Limited</t>
        </is>
      </c>
      <c r="C127" s="31" t="inlineStr">
        <is>
          <t>consumer discretionary</t>
        </is>
      </c>
      <c r="D127" s="31" t="inlineStr">
        <is>
          <t>leather / leather products</t>
        </is>
      </c>
      <c r="E127" s="31" t="inlineStr">
        <is>
          <t>smallcap</t>
        </is>
      </c>
      <c r="F127" s="31" t="n">
        <v>1406.15</v>
      </c>
      <c r="G127" s="31" t="n">
        <v>1042.1</v>
      </c>
      <c r="H127" s="31" t="n">
        <v>-0.62</v>
      </c>
      <c r="I127" s="31" t="n">
        <v>8461</v>
      </c>
      <c r="J127" s="31" t="inlineStr">
        <is>
          <t>526666</t>
        </is>
      </c>
    </row>
    <row r="128">
      <c r="A128" s="31" t="inlineStr">
        <is>
          <t>MTARTECH</t>
        </is>
      </c>
      <c r="B128" s="31" t="inlineStr">
        <is>
          <t>MTAR Technologies Ltd</t>
        </is>
      </c>
      <c r="C128" s="31" t="inlineStr">
        <is>
          <t>aerospace &amp; defence</t>
        </is>
      </c>
      <c r="D128" s="31" t="inlineStr">
        <is>
          <t>engineering</t>
        </is>
      </c>
      <c r="E128" s="31" t="inlineStr">
        <is>
          <t>largecap</t>
        </is>
      </c>
      <c r="F128" s="31" t="n">
        <v>24144.74</v>
      </c>
      <c r="G128" s="31" t="n">
        <v>7781.5</v>
      </c>
      <c r="H128" s="31" t="n">
        <v>-0.87</v>
      </c>
      <c r="I128" s="31" t="n">
        <v>58375</v>
      </c>
      <c r="J128" s="31" t="inlineStr">
        <is>
          <t>543270</t>
        </is>
      </c>
    </row>
    <row r="129">
      <c r="A129" s="31" t="inlineStr">
        <is>
          <t>SPECTRUM</t>
        </is>
      </c>
      <c r="B129" s="31" t="inlineStr">
        <is>
          <t>Spectrum Electrical Industries Ltd</t>
        </is>
      </c>
      <c r="C129" s="31" t="inlineStr">
        <is>
          <t>industrials</t>
        </is>
      </c>
      <c r="D129" s="31" t="inlineStr">
        <is>
          <t>electric equipment</t>
        </is>
      </c>
      <c r="E129" s="31" t="inlineStr">
        <is>
          <t>midcap</t>
        </is>
      </c>
      <c r="F129" s="31" t="n">
        <v>6511.35</v>
      </c>
      <c r="G129" s="31" t="n">
        <v>3777</v>
      </c>
      <c r="H129" s="31" t="n">
        <v>-0.88</v>
      </c>
      <c r="I129" s="31" t="n">
        <v>5761</v>
      </c>
      <c r="J129" s="31" t="inlineStr">
        <is>
          <t>535112</t>
        </is>
      </c>
    </row>
    <row r="130">
      <c r="A130" s="31" t="inlineStr">
        <is>
          <t>SSWL</t>
        </is>
      </c>
      <c r="B130" s="31" t="inlineStr">
        <is>
          <t>Steel Strips Wheels Limited</t>
        </is>
      </c>
      <c r="C130" s="31" t="inlineStr">
        <is>
          <t>auto</t>
        </is>
      </c>
      <c r="D130" s="31" t="inlineStr">
        <is>
          <t>auto ancillaries</t>
        </is>
      </c>
      <c r="E130" s="31" t="inlineStr">
        <is>
          <t>midcap</t>
        </is>
      </c>
      <c r="F130" s="31" t="n">
        <v>6452.26</v>
      </c>
      <c r="G130" s="31" t="n">
        <v>406.8</v>
      </c>
      <c r="H130" s="31" t="n">
        <v>-0.9</v>
      </c>
      <c r="I130" s="31" t="n">
        <v>617552</v>
      </c>
      <c r="J130" s="31" t="inlineStr">
        <is>
          <t>513262</t>
        </is>
      </c>
    </row>
    <row r="131">
      <c r="A131" s="31" t="inlineStr">
        <is>
          <t>ISGEC</t>
        </is>
      </c>
      <c r="B131" s="31" t="inlineStr">
        <is>
          <t>ISGEC Heavy Engineering  Ltd</t>
        </is>
      </c>
      <c r="C131" s="31" t="inlineStr">
        <is>
          <t>realty</t>
        </is>
      </c>
      <c r="D131" s="31" t="inlineStr">
        <is>
          <t>engineering - turnkey services</t>
        </is>
      </c>
      <c r="E131" s="31" t="inlineStr">
        <is>
          <t>midcap</t>
        </is>
      </c>
      <c r="F131" s="31" t="n">
        <v>6752.95</v>
      </c>
      <c r="G131" s="31" t="n">
        <v>909.7</v>
      </c>
      <c r="H131" s="31" t="n">
        <v>-0.95</v>
      </c>
      <c r="I131" s="31" t="n">
        <v>108132</v>
      </c>
      <c r="J131" s="31" t="inlineStr">
        <is>
          <t>533033</t>
        </is>
      </c>
    </row>
    <row r="132">
      <c r="A132" s="31" t="inlineStr">
        <is>
          <t>UNIMECH</t>
        </is>
      </c>
      <c r="B132" s="31" t="inlineStr">
        <is>
          <t>Unimech Aerospace and Manufacturing Ltd</t>
        </is>
      </c>
      <c r="C132" s="31" t="inlineStr">
        <is>
          <t>aerospace &amp; defence</t>
        </is>
      </c>
      <c r="D132" s="31" t="inlineStr">
        <is>
          <t>engineering</t>
        </is>
      </c>
      <c r="E132" s="31" t="inlineStr">
        <is>
          <t>midcap</t>
        </is>
      </c>
      <c r="F132" s="31" t="n">
        <v>8909.620000000001</v>
      </c>
      <c r="G132" s="31" t="n">
        <v>1734.8</v>
      </c>
      <c r="H132" s="31" t="n">
        <v>-0.98</v>
      </c>
      <c r="I132" s="31" t="n">
        <v>106141</v>
      </c>
      <c r="J132" s="31" t="inlineStr">
        <is>
          <t>544322</t>
        </is>
      </c>
    </row>
    <row r="133">
      <c r="A133" s="31" t="inlineStr">
        <is>
          <t>KILITCH</t>
        </is>
      </c>
      <c r="B133" s="31" t="inlineStr">
        <is>
          <t>Kilitch Drugs (india) Limited</t>
        </is>
      </c>
      <c r="C133" s="31" t="inlineStr">
        <is>
          <t>healthcare</t>
        </is>
      </c>
      <c r="D133" s="31" t="inlineStr">
        <is>
          <t>pharmaceuticals - indian - formulations</t>
        </is>
      </c>
      <c r="E133" s="31" t="inlineStr">
        <is>
          <t>smallcap</t>
        </is>
      </c>
      <c r="F133" s="31" t="n">
        <v>854.11</v>
      </c>
      <c r="G133" s="31" t="n">
        <v>241.61</v>
      </c>
      <c r="H133" s="31" t="n">
        <v>-1.1</v>
      </c>
      <c r="I133" s="31" t="n">
        <v>61595</v>
      </c>
      <c r="J133" s="31" t="inlineStr">
        <is>
          <t>524500</t>
        </is>
      </c>
    </row>
    <row r="134">
      <c r="A134" s="31" t="inlineStr">
        <is>
          <t>SYNCOMF</t>
        </is>
      </c>
      <c r="B134" s="31" t="inlineStr">
        <is>
          <t>Syncom Formulations (India) Ltd</t>
        </is>
      </c>
      <c r="C134" s="31" t="inlineStr">
        <is>
          <t>healthcare</t>
        </is>
      </c>
      <c r="D134" s="31" t="inlineStr">
        <is>
          <t>pharmaceuticals - indian - bulk drugs &amp; formln</t>
        </is>
      </c>
      <c r="E134" s="31" t="inlineStr">
        <is>
          <t>smallcap</t>
        </is>
      </c>
      <c r="F134" s="31" t="n">
        <v>2215.58</v>
      </c>
      <c r="G134" s="31" t="n">
        <v>23.28</v>
      </c>
      <c r="H134" s="31" t="n">
        <v>-1.23</v>
      </c>
      <c r="I134" s="31" t="n">
        <v>14864967</v>
      </c>
      <c r="J134" s="31" t="inlineStr">
        <is>
          <t>524470</t>
        </is>
      </c>
    </row>
    <row r="135">
      <c r="A135" s="31" t="inlineStr">
        <is>
          <t>SBC</t>
        </is>
      </c>
      <c r="B135" s="31" t="inlineStr">
        <is>
          <t>SBC Exports Ltd</t>
        </is>
      </c>
      <c r="C135" s="31" t="inlineStr">
        <is>
          <t>textiles</t>
        </is>
      </c>
      <c r="D135" s="31" t="inlineStr">
        <is>
          <t>textiles - products</t>
        </is>
      </c>
      <c r="E135" s="31" t="inlineStr">
        <is>
          <t>smallcap</t>
        </is>
      </c>
      <c r="F135" s="31" t="n">
        <v>3010</v>
      </c>
      <c r="G135" s="31" t="n">
        <v>62.43</v>
      </c>
      <c r="H135" s="31" t="n">
        <v>-1.23</v>
      </c>
      <c r="I135" s="31" t="n">
        <v>17654008</v>
      </c>
      <c r="J135" s="31" t="inlineStr">
        <is>
          <t>542725</t>
        </is>
      </c>
    </row>
    <row r="136">
      <c r="A136" s="31" t="inlineStr">
        <is>
          <t>DMCC</t>
        </is>
      </c>
      <c r="B136" s="31" t="inlineStr">
        <is>
          <t>DMCC Speciality Chemicals Ltd</t>
        </is>
      </c>
      <c r="C136" s="31" t="inlineStr">
        <is>
          <t>chemicals</t>
        </is>
      </c>
      <c r="D136" s="31" t="inlineStr">
        <is>
          <t>chemicals</t>
        </is>
      </c>
      <c r="E136" s="31" t="inlineStr">
        <is>
          <t>smallcap</t>
        </is>
      </c>
      <c r="F136" s="31" t="n">
        <v>840.73</v>
      </c>
      <c r="G136" s="31" t="n">
        <v>332.7</v>
      </c>
      <c r="H136" s="31" t="n">
        <v>-1.31</v>
      </c>
      <c r="I136" s="31" t="n">
        <v>136035</v>
      </c>
      <c r="J136" s="31" t="inlineStr">
        <is>
          <t>506405</t>
        </is>
      </c>
    </row>
    <row r="137">
      <c r="A137" s="31" t="inlineStr">
        <is>
          <t>E2E</t>
        </is>
      </c>
      <c r="B137" s="31" t="inlineStr">
        <is>
          <t>E2E Networks Ltd</t>
        </is>
      </c>
      <c r="C137" s="31" t="inlineStr">
        <is>
          <t>i.t</t>
        </is>
      </c>
      <c r="D137" s="31" t="inlineStr">
        <is>
          <t>computers - software - medium / small</t>
        </is>
      </c>
      <c r="E137" s="31" t="inlineStr">
        <is>
          <t>midcap</t>
        </is>
      </c>
      <c r="F137" s="31" t="n">
        <v>14680.42</v>
      </c>
      <c r="G137" s="31" t="n">
        <v>704.6</v>
      </c>
      <c r="H137" s="31" t="n">
        <v>-1.34</v>
      </c>
      <c r="I137" s="31" t="n">
        <v>986137</v>
      </c>
      <c r="J137" s="31" t="inlineStr">
        <is>
          <t>535080</t>
        </is>
      </c>
    </row>
    <row r="138">
      <c r="A138" s="31" t="inlineStr">
        <is>
          <t>KMEW</t>
        </is>
      </c>
      <c r="B138" s="31" t="inlineStr">
        <is>
          <t>Knowledge Marine &amp; Engineering Works Ltd</t>
        </is>
      </c>
      <c r="C138" s="31" t="inlineStr">
        <is>
          <t>transportation</t>
        </is>
      </c>
      <c r="D138" s="31" t="inlineStr">
        <is>
          <t>miscellaneous</t>
        </is>
      </c>
      <c r="E138" s="31" t="inlineStr">
        <is>
          <t>midcap</t>
        </is>
      </c>
      <c r="F138" s="31" t="n">
        <v>8209.629999999999</v>
      </c>
      <c r="G138" s="31" t="n">
        <v>3207.8</v>
      </c>
      <c r="H138" s="31" t="n">
        <v>-1.5</v>
      </c>
      <c r="I138" s="31" t="n">
        <v>267896</v>
      </c>
      <c r="J138" s="31" t="inlineStr">
        <is>
          <t>543273</t>
        </is>
      </c>
    </row>
    <row r="139">
      <c r="A139" s="31" t="inlineStr">
        <is>
          <t>NINSYS</t>
        </is>
      </c>
      <c r="B139" s="31" t="inlineStr">
        <is>
          <t>NINtec Systems Ltd</t>
        </is>
      </c>
      <c r="C139" s="31" t="inlineStr">
        <is>
          <t>i.t</t>
        </is>
      </c>
      <c r="D139" s="31" t="inlineStr">
        <is>
          <t>computers - software - medium / small</t>
        </is>
      </c>
      <c r="E139" s="31" t="inlineStr">
        <is>
          <t>smallcap</t>
        </is>
      </c>
      <c r="F139" s="31" t="n">
        <v>1516.64</v>
      </c>
      <c r="G139" s="31" t="n">
        <v>803.1</v>
      </c>
      <c r="H139" s="31" t="n">
        <v>-1.64</v>
      </c>
      <c r="I139" s="31" t="n">
        <v>9918</v>
      </c>
      <c r="J139" s="31" t="inlineStr">
        <is>
          <t>539843</t>
        </is>
      </c>
    </row>
    <row r="140">
      <c r="A140" s="31" t="inlineStr">
        <is>
          <t>RBZJEWEL</t>
        </is>
      </c>
      <c r="B140" s="31" t="inlineStr">
        <is>
          <t>RBZ Jewellers Ltd</t>
        </is>
      </c>
      <c r="C140" s="31" t="inlineStr">
        <is>
          <t>consumer discretionary</t>
        </is>
      </c>
      <c r="D140" s="31" t="inlineStr">
        <is>
          <t>diamond cutting / jewellery</t>
        </is>
      </c>
      <c r="E140" s="31" t="inlineStr">
        <is>
          <t>smallcap</t>
        </is>
      </c>
      <c r="F140" s="31" t="n">
        <v>775.92</v>
      </c>
      <c r="G140" s="31" t="n">
        <v>190.63</v>
      </c>
      <c r="H140" s="31" t="n">
        <v>-1.73</v>
      </c>
      <c r="I140" s="31" t="n">
        <v>72988</v>
      </c>
      <c r="J140" s="31" t="inlineStr">
        <is>
          <t>544060</t>
        </is>
      </c>
    </row>
    <row r="141">
      <c r="A141" s="31" t="inlineStr">
        <is>
          <t>MBECL</t>
        </is>
      </c>
      <c r="B141" s="31" t="inlineStr">
        <is>
          <t>Mcnally Bharat Engineering Company Limited</t>
        </is>
      </c>
      <c r="C141" s="31" t="inlineStr">
        <is>
          <t>realty</t>
        </is>
      </c>
      <c r="D141" s="31" t="inlineStr">
        <is>
          <t>engineering - turnkey services</t>
        </is>
      </c>
      <c r="E141" s="31" t="inlineStr">
        <is>
          <t>smallcap</t>
        </is>
      </c>
      <c r="F141" s="31" t="n">
        <v>1581</v>
      </c>
      <c r="G141" s="31" t="n">
        <v>464.85</v>
      </c>
      <c r="H141" s="31" t="n">
        <v>-1.99</v>
      </c>
      <c r="I141" s="31" t="n">
        <v>366</v>
      </c>
      <c r="J141" s="31" t="inlineStr">
        <is>
          <t>532629</t>
        </is>
      </c>
    </row>
    <row r="142">
      <c r="A142" s="31" t="inlineStr">
        <is>
          <t>ARFIN</t>
        </is>
      </c>
      <c r="B142" s="31" t="inlineStr">
        <is>
          <t>Arfin India Ltd</t>
        </is>
      </c>
      <c r="C142" s="31" t="inlineStr">
        <is>
          <t>metals &amp; mining</t>
        </is>
      </c>
      <c r="D142" s="31" t="inlineStr">
        <is>
          <t>aluminium and aluminium products</t>
        </is>
      </c>
      <c r="E142" s="31" t="inlineStr">
        <is>
          <t>smallcap</t>
        </is>
      </c>
      <c r="F142" s="31" t="n">
        <v>1814.1</v>
      </c>
      <c r="G142" s="31" t="n">
        <v>105.14</v>
      </c>
      <c r="H142" s="31" t="n">
        <v>-2.21</v>
      </c>
      <c r="I142" s="31" t="n">
        <v>12777249</v>
      </c>
      <c r="J142" s="31" t="inlineStr">
        <is>
          <t>539151</t>
        </is>
      </c>
    </row>
    <row r="143">
      <c r="A143" s="31" t="inlineStr">
        <is>
          <t>SUNFLAG</t>
        </is>
      </c>
      <c r="B143" s="31" t="inlineStr">
        <is>
          <t>Sunflag Iron And Steel Company Limited</t>
        </is>
      </c>
      <c r="C143" s="31" t="inlineStr">
        <is>
          <t>metals &amp; mining</t>
        </is>
      </c>
      <c r="D143" s="31" t="inlineStr">
        <is>
          <t>steel - medium / small</t>
        </is>
      </c>
      <c r="E143" s="31" t="inlineStr">
        <is>
          <t>midcap</t>
        </is>
      </c>
      <c r="F143" s="31" t="n">
        <v>8122.49</v>
      </c>
      <c r="G143" s="31" t="n">
        <v>439.8</v>
      </c>
      <c r="H143" s="31" t="n">
        <v>-2.42</v>
      </c>
      <c r="I143" s="31" t="n">
        <v>276426</v>
      </c>
      <c r="J143" s="31" t="inlineStr">
        <is>
          <t>500404</t>
        </is>
      </c>
    </row>
    <row r="144">
      <c r="A144" s="31" t="inlineStr">
        <is>
          <t>SIGMAADV</t>
        </is>
      </c>
      <c r="B144" s="31" t="inlineStr">
        <is>
          <t>Sigma Advanced System Ltd</t>
        </is>
      </c>
      <c r="C144" s="31" t="inlineStr">
        <is>
          <t>aerospace &amp; defence</t>
        </is>
      </c>
      <c r="D144" s="31" t="inlineStr">
        <is>
          <t>electronics - components</t>
        </is>
      </c>
      <c r="E144" s="31" t="inlineStr">
        <is>
          <t>midcap</t>
        </is>
      </c>
      <c r="F144" s="31" t="n">
        <v>19652.65</v>
      </c>
      <c r="G144" s="31" t="n">
        <v>1008.8</v>
      </c>
      <c r="H144" s="31" t="n">
        <v>-2.73</v>
      </c>
      <c r="I144" s="31" t="n">
        <v>462853</v>
      </c>
      <c r="J144" s="31" t="inlineStr">
        <is>
          <t>532408</t>
        </is>
      </c>
    </row>
    <row r="145">
      <c r="A145" s="31" t="inlineStr">
        <is>
          <t>KINGFA</t>
        </is>
      </c>
      <c r="B145" s="31" t="inlineStr">
        <is>
          <t>Kingfa Science &amp; Technology (india) Limited</t>
        </is>
      </c>
      <c r="C145" s="31" t="inlineStr">
        <is>
          <t>plastic products</t>
        </is>
      </c>
      <c r="D145" s="31" t="inlineStr">
        <is>
          <t>plastics products</t>
        </is>
      </c>
      <c r="E145" s="31" t="inlineStr">
        <is>
          <t>midcap</t>
        </is>
      </c>
      <c r="F145" s="31" t="n">
        <v>9220.360000000001</v>
      </c>
      <c r="G145" s="31" t="n">
        <v>6611</v>
      </c>
      <c r="H145" s="31" t="n">
        <v>-2.84</v>
      </c>
      <c r="I145" s="31" t="n">
        <v>11588</v>
      </c>
      <c r="J145" s="31" t="inlineStr">
        <is>
          <t>524019</t>
        </is>
      </c>
    </row>
    <row r="146">
      <c r="A146" s="31" t="inlineStr">
        <is>
          <t>CYIENTDLM</t>
        </is>
      </c>
      <c r="B146" s="31" t="inlineStr">
        <is>
          <t>Cyient DLM Ltd</t>
        </is>
      </c>
      <c r="C146" s="31" t="inlineStr">
        <is>
          <t>aerospace &amp; defence</t>
        </is>
      </c>
      <c r="D146" s="31" t="inlineStr">
        <is>
          <t>electronics - components</t>
        </is>
      </c>
      <c r="E146" s="31" t="inlineStr">
        <is>
          <t>midcap</t>
        </is>
      </c>
      <c r="F146" s="31" t="n">
        <v>7789.89</v>
      </c>
      <c r="G146" s="31" t="n">
        <v>952.35</v>
      </c>
      <c r="H146" s="31" t="n">
        <v>-2.95</v>
      </c>
      <c r="I146" s="31" t="n">
        <v>335996</v>
      </c>
      <c r="J146" s="31" t="inlineStr">
        <is>
          <t>543933</t>
        </is>
      </c>
    </row>
    <row r="147">
      <c r="A147" s="31" t="inlineStr">
        <is>
          <t>JAMNAAUTO</t>
        </is>
      </c>
      <c r="B147" s="31" t="inlineStr">
        <is>
          <t>Jamna Auto Industries Limited</t>
        </is>
      </c>
      <c r="C147" s="31" t="inlineStr">
        <is>
          <t>auto</t>
        </is>
      </c>
      <c r="D147" s="31" t="inlineStr">
        <is>
          <t>auto ancillaries</t>
        </is>
      </c>
      <c r="E147" s="31" t="inlineStr">
        <is>
          <t>midcap</t>
        </is>
      </c>
      <c r="F147" s="31" t="n">
        <v>5914.84</v>
      </c>
      <c r="G147" s="31" t="n">
        <v>142.67</v>
      </c>
      <c r="H147" s="31" t="n">
        <v>-3.57</v>
      </c>
      <c r="I147" s="31" t="n">
        <v>2217616</v>
      </c>
      <c r="J147" s="31" t="inlineStr">
        <is>
          <t>520051</t>
        </is>
      </c>
    </row>
    <row r="148">
      <c r="A148" s="31" t="inlineStr">
        <is>
          <t>STLNETWORK</t>
        </is>
      </c>
      <c r="B148" s="31" t="inlineStr">
        <is>
          <t>STL Networks Ltd</t>
        </is>
      </c>
      <c r="C148" s="31" t="inlineStr">
        <is>
          <t>telecom-service</t>
        </is>
      </c>
      <c r="D148" s="31" t="inlineStr">
        <is>
          <t>telecommunications - service provider</t>
        </is>
      </c>
      <c r="E148" s="31" t="inlineStr">
        <is>
          <t>smallcap</t>
        </is>
      </c>
      <c r="F148" s="31" t="n">
        <v>2346.18</v>
      </c>
      <c r="G148" s="31" t="n">
        <v>46.35</v>
      </c>
      <c r="H148" s="31" t="n">
        <v>-3.58</v>
      </c>
      <c r="I148" s="31" t="n">
        <v>6627588</v>
      </c>
      <c r="J148" s="31" t="inlineStr">
        <is>
          <t>544395</t>
        </is>
      </c>
    </row>
    <row r="149">
      <c r="A149" s="31" t="inlineStr">
        <is>
          <t>MANBA</t>
        </is>
      </c>
      <c r="B149" s="31" t="inlineStr">
        <is>
          <t>Manba Finance Ltd</t>
        </is>
      </c>
      <c r="C149" s="31" t="inlineStr">
        <is>
          <t>financials</t>
        </is>
      </c>
      <c r="D149" s="31" t="inlineStr">
        <is>
          <t>finance &amp; investments</t>
        </is>
      </c>
      <c r="E149" s="31" t="inlineStr">
        <is>
          <t>smallcap</t>
        </is>
      </c>
      <c r="F149" s="31" t="n">
        <v>737.62</v>
      </c>
      <c r="G149" s="31" t="n">
        <v>141.56</v>
      </c>
      <c r="H149" s="31" t="n">
        <v>-3.58</v>
      </c>
      <c r="I149" s="31" t="n">
        <v>160279</v>
      </c>
      <c r="J149" s="31" t="inlineStr">
        <is>
          <t>544262</t>
        </is>
      </c>
    </row>
    <row r="150">
      <c r="A150" s="31" t="inlineStr">
        <is>
          <t>MOREPENLAB</t>
        </is>
      </c>
      <c r="B150" s="31" t="inlineStr">
        <is>
          <t>Morepen Laboratories Limited</t>
        </is>
      </c>
      <c r="C150" s="31" t="inlineStr">
        <is>
          <t>healthcare</t>
        </is>
      </c>
      <c r="D150" s="31" t="inlineStr">
        <is>
          <t>pharmaceuticals - indian - bulk drugs &amp; formln</t>
        </is>
      </c>
      <c r="E150" s="31" t="inlineStr">
        <is>
          <t>midcap</t>
        </is>
      </c>
      <c r="F150" s="31" t="n">
        <v>7482.31</v>
      </c>
      <c r="G150" s="31" t="n">
        <v>129.55</v>
      </c>
      <c r="H150" s="31" t="n">
        <v>-5.13</v>
      </c>
      <c r="I150" s="31" t="n">
        <v>17770995</v>
      </c>
      <c r="J150" s="31" t="inlineStr">
        <is>
          <t>500288</t>
        </is>
      </c>
    </row>
    <row r="151">
      <c r="A151" s="31" t="inlineStr">
        <is>
          <t>INDIAGLYCO</t>
        </is>
      </c>
      <c r="B151" s="31" t="inlineStr">
        <is>
          <t>India Glycols Limited</t>
        </is>
      </c>
      <c r="C151" s="31" t="inlineStr">
        <is>
          <t>fmcg</t>
        </is>
      </c>
      <c r="D151" s="31" t="inlineStr">
        <is>
          <t>breweries &amp; distilleries</t>
        </is>
      </c>
      <c r="E151" s="31" t="inlineStr">
        <is>
          <t>smallcap</t>
        </is>
      </c>
      <c r="F151" s="31" t="n">
        <v>2392.19</v>
      </c>
      <c r="G151" s="31" t="n">
        <v>329.6</v>
      </c>
      <c r="H151" s="31" t="n">
        <v>-7.65</v>
      </c>
      <c r="I151" s="31" t="n">
        <v>1266097</v>
      </c>
      <c r="J151" s="31" t="inlineStr">
        <is>
          <t>500201</t>
        </is>
      </c>
    </row>
  </sheetData>
  <autoFilter ref="A1:J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PREMIERPOL</t>
        </is>
      </c>
      <c r="E2" s="31" t="inlineStr">
        <is>
          <t>Premier Polyfilm Limited</t>
        </is>
      </c>
      <c r="F2" s="31" t="inlineStr">
        <is>
          <t>Plastics Sheets and Films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22</v>
      </c>
      <c r="K2" s="31" t="n">
        <v>19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IBULLSLTD</t>
        </is>
      </c>
      <c r="E3" s="31" t="inlineStr">
        <is>
          <t>Indiabulls Limited</t>
        </is>
      </c>
      <c r="F3" s="31" t="inlineStr">
        <is>
          <t>Diversified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23</v>
      </c>
      <c r="K3" s="31" t="n">
        <v>18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SHANTIGOLD</t>
        </is>
      </c>
      <c r="E4" s="31" t="inlineStr">
        <is>
          <t>Shanti Gold International Ltd</t>
        </is>
      </c>
      <c r="F4" s="31" t="inlineStr">
        <is>
          <t>Diamond Gems and Jewellery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23</v>
      </c>
      <c r="K4" s="31" t="n">
        <v>22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OCCLLTD</t>
        </is>
      </c>
      <c r="E5" s="31" t="inlineStr">
        <is>
          <t>OCCL Ltd</t>
        </is>
      </c>
      <c r="F5" s="31" t="inlineStr">
        <is>
          <t>Chemicals Organic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19</v>
      </c>
      <c r="K5" s="31" t="n">
        <v>19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SMCGLOBAL</t>
        </is>
      </c>
      <c r="E6" s="31" t="inlineStr">
        <is>
          <t>SMC Global Securities Ltd</t>
        </is>
      </c>
      <c r="F6" s="31" t="inlineStr">
        <is>
          <t>Finance Capital Markets Brokers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21</v>
      </c>
      <c r="K6" s="31" t="n">
        <v>21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CPPLUS</t>
        </is>
      </c>
      <c r="E7" s="31" t="inlineStr">
        <is>
          <t>Aditya Infotech Ltd</t>
        </is>
      </c>
      <c r="F7" s="31" t="inlineStr">
        <is>
          <t>CCTV Camera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17</v>
      </c>
      <c r="K7" s="31" t="n">
        <v>21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PCJEWELLER</t>
        </is>
      </c>
      <c r="E8" s="31" t="inlineStr">
        <is>
          <t>Pc Jeweller Limited</t>
        </is>
      </c>
      <c r="F8" s="31" t="inlineStr">
        <is>
          <t>Diamond Gems and Jewellery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16</v>
      </c>
      <c r="K8" s="31" t="n">
        <v>21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DPABHUSHAN</t>
        </is>
      </c>
      <c r="E9" s="31" t="inlineStr">
        <is>
          <t>D.P. Abhushan Ltd</t>
        </is>
      </c>
      <c r="F9" s="31" t="inlineStr">
        <is>
          <t>Diamond Gems and Jewellery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30</v>
      </c>
      <c r="K9" s="31" t="n">
        <v>13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PTCIL</t>
        </is>
      </c>
      <c r="E10" s="31" t="inlineStr">
        <is>
          <t>PTC Industries Ltd</t>
        </is>
      </c>
      <c r="F10" s="31" t="inlineStr">
        <is>
          <t>Castings Steel and Alloy</t>
        </is>
      </c>
      <c r="G10" s="31" t="n">
        <v>3</v>
      </c>
      <c r="H10" s="31" t="inlineStr">
        <is>
          <t>ATH Momentum</t>
        </is>
      </c>
      <c r="I10" s="31" t="inlineStr">
        <is>
          <t>Yes</t>
        </is>
      </c>
      <c r="J10" s="31" t="n">
        <v>15</v>
      </c>
      <c r="K10" s="31" t="n">
        <v>21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CUPID</t>
        </is>
      </c>
      <c r="E11" s="31" t="inlineStr">
        <is>
          <t>Cupid Limited</t>
        </is>
      </c>
      <c r="F11" s="31" t="inlineStr">
        <is>
          <t>Contraceptives and Protectives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22</v>
      </c>
      <c r="K11" s="31" t="n">
        <v>22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LAURUSLABS</t>
        </is>
      </c>
      <c r="E12" s="31" t="inlineStr">
        <is>
          <t>Laurus Labs Limited</t>
        </is>
      </c>
      <c r="F12" s="31" t="inlineStr">
        <is>
          <t>Pharma API</t>
        </is>
      </c>
      <c r="G12" s="31" t="n">
        <v>3</v>
      </c>
      <c r="H12" s="31" t="inlineStr">
        <is>
          <t>ATH Momentum</t>
        </is>
      </c>
      <c r="I12" s="31" t="inlineStr">
        <is>
          <t>Yes</t>
        </is>
      </c>
      <c r="J12" s="31" t="n">
        <v>18</v>
      </c>
      <c r="K12" s="31" t="n">
        <v>29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SKYGOLD</t>
        </is>
      </c>
      <c r="E13" s="31" t="inlineStr">
        <is>
          <t>Sky Gold Ltd</t>
        </is>
      </c>
      <c r="F13" s="31" t="inlineStr">
        <is>
          <t>Diamond Gems and Jewellery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30</v>
      </c>
      <c r="K13" s="31" t="n">
        <v>17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GCSL</t>
        </is>
      </c>
      <c r="E14" s="31" t="inlineStr">
        <is>
          <t>Gretex Corporate Services Ltd</t>
        </is>
      </c>
      <c r="F14" s="31" t="inlineStr">
        <is>
          <t>Finance and Investments Others</t>
        </is>
      </c>
      <c r="G14" s="31" t="n">
        <v>3</v>
      </c>
      <c r="H14" s="31" t="inlineStr">
        <is>
          <t>52W Breakout</t>
        </is>
      </c>
      <c r="I14" s="31" t="inlineStr">
        <is>
          <t>Yes</t>
        </is>
      </c>
      <c r="J14" s="31" t="n">
        <v>15</v>
      </c>
      <c r="K14" s="31" t="n">
        <v>22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AVADHSUGAR</t>
        </is>
      </c>
      <c r="E15" s="31" t="inlineStr">
        <is>
          <t>Avadh Sugar &amp; Energy</t>
        </is>
      </c>
      <c r="F15" s="31" t="inlineStr">
        <is>
          <t>Sugar</t>
        </is>
      </c>
      <c r="G15" s="31" t="n">
        <v>3</v>
      </c>
      <c r="H15" s="31" t="inlineStr">
        <is>
          <t>52W Breakout</t>
        </is>
      </c>
      <c r="I15" s="31" t="inlineStr">
        <is>
          <t>Yes</t>
        </is>
      </c>
      <c r="J15" s="31" t="n">
        <v>16</v>
      </c>
      <c r="K15" s="31" t="n">
        <v>18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ONEPOINT</t>
        </is>
      </c>
      <c r="E16" s="31" t="inlineStr">
        <is>
          <t>One Point One Solutions Ltd</t>
        </is>
      </c>
      <c r="F16" s="31" t="inlineStr">
        <is>
          <t>IT Enabled Services</t>
        </is>
      </c>
      <c r="G16" s="31" t="n">
        <v>3</v>
      </c>
      <c r="H16" s="31" t="inlineStr">
        <is>
          <t>52W Breakout</t>
        </is>
      </c>
      <c r="I16" s="31" t="inlineStr">
        <is>
          <t>Yes</t>
        </is>
      </c>
      <c r="J16" s="31" t="n">
        <v>22</v>
      </c>
      <c r="K16" s="31" t="n">
        <v>21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UNITEDPOLY</t>
        </is>
      </c>
      <c r="E17" s="31" t="inlineStr">
        <is>
          <t>United Polyfab Gujarat Ltd</t>
        </is>
      </c>
      <c r="F17" s="31" t="inlineStr">
        <is>
          <t>Textiles Others</t>
        </is>
      </c>
      <c r="G17" s="31" t="n">
        <v>3</v>
      </c>
      <c r="H17" s="31" t="inlineStr">
        <is>
          <t>52W Breakout</t>
        </is>
      </c>
      <c r="I17" s="31" t="inlineStr">
        <is>
          <t>Yes</t>
        </is>
      </c>
      <c r="J17" s="31" t="n">
        <v>20</v>
      </c>
      <c r="K17" s="31" t="n">
        <v>26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KINGFA</t>
        </is>
      </c>
      <c r="E18" s="31" t="inlineStr">
        <is>
          <t>Kingfa Science &amp; Technology (india) Limited</t>
        </is>
      </c>
      <c r="F18" s="31" t="inlineStr">
        <is>
          <t>Plastics Plastic and Plastic Products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20</v>
      </c>
      <c r="K18" s="31" t="n">
        <v>26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PGIL</t>
        </is>
      </c>
      <c r="E19" s="31" t="inlineStr">
        <is>
          <t>Pearl Global Industries Limited</t>
        </is>
      </c>
      <c r="F19" s="31" t="inlineStr">
        <is>
          <t>Textiles Readymade Apparel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20</v>
      </c>
      <c r="K19" s="31" t="n">
        <v>19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FCL</t>
        </is>
      </c>
      <c r="E20" s="31" t="inlineStr">
        <is>
          <t>Fineotex Chemical Limited</t>
        </is>
      </c>
      <c r="F20" s="31" t="inlineStr">
        <is>
          <t>Specialty Chemicals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21</v>
      </c>
      <c r="K20" s="31" t="n">
        <v>26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AVTNPL</t>
        </is>
      </c>
      <c r="E21" s="31" t="inlineStr">
        <is>
          <t>Avt Natural Products Limited</t>
        </is>
      </c>
      <c r="F21" s="31" t="inlineStr">
        <is>
          <t>Natural Extracts and Food Ingredients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20</v>
      </c>
      <c r="K21" s="31" t="n">
        <v>18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GLAND</t>
        </is>
      </c>
      <c r="E22" s="31" t="inlineStr">
        <is>
          <t>Gland Pharma Ltd</t>
        </is>
      </c>
      <c r="F22" s="31" t="inlineStr">
        <is>
          <t>Pharma Formulations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16</v>
      </c>
      <c r="K22" s="31" t="n">
        <v>20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VALIANTORG</t>
        </is>
      </c>
      <c r="E23" s="31" t="inlineStr">
        <is>
          <t>Valiant Organics Ltd</t>
        </is>
      </c>
      <c r="F23" s="31" t="inlineStr">
        <is>
          <t>Chemicals Organic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18</v>
      </c>
      <c r="K23" s="31" t="n">
        <v>26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THELEELA</t>
        </is>
      </c>
      <c r="E24" s="31" t="inlineStr">
        <is>
          <t>Leela Palaces Hotels &amp; Resorts Ltd</t>
        </is>
      </c>
      <c r="F24" s="31" t="inlineStr">
        <is>
          <t>Hotels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21</v>
      </c>
      <c r="K24" s="31" t="n">
        <v>14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SGFIN</t>
        </is>
      </c>
      <c r="E25" s="31" t="inlineStr">
        <is>
          <t>SG Finserve Ltd</t>
        </is>
      </c>
      <c r="F25" s="31" t="inlineStr">
        <is>
          <t>Finance and Investments MSME Lending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18</v>
      </c>
      <c r="K25" s="31" t="n">
        <v>4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MBECL</t>
        </is>
      </c>
      <c r="E26" s="31" t="inlineStr">
        <is>
          <t>Mcnally Bharat Engineering Company Limited</t>
        </is>
      </c>
      <c r="F26" s="31" t="inlineStr">
        <is>
          <t>Engineering Turnkey Services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16</v>
      </c>
      <c r="K26" s="31" t="n">
        <v>20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LOTUSDEV</t>
        </is>
      </c>
      <c r="E27" s="31" t="inlineStr">
        <is>
          <t>Sri Lotus Developers &amp; Realty Ltd</t>
        </is>
      </c>
      <c r="F27" s="31" t="inlineStr">
        <is>
          <t>Construction Factories and Offices and Commercial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20</v>
      </c>
      <c r="K27" s="31" t="n">
        <v>28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SYRMA</t>
        </is>
      </c>
      <c r="E28" s="31" t="inlineStr">
        <is>
          <t>Syrma SGS Technology Ltd</t>
        </is>
      </c>
      <c r="F28" s="31" t="inlineStr">
        <is>
          <t>EMS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16</v>
      </c>
      <c r="K28" s="31" t="n">
        <v>22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AETHER</t>
        </is>
      </c>
      <c r="E29" s="31" t="inlineStr">
        <is>
          <t>Aether Industries Ltd</t>
        </is>
      </c>
      <c r="F29" s="31" t="inlineStr">
        <is>
          <t>Specialty Chemicals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19</v>
      </c>
      <c r="K29" s="31" t="n">
        <v>15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DELTACORP</t>
        </is>
      </c>
      <c r="E30" s="31" t="inlineStr">
        <is>
          <t>Delta Corp Limited</t>
        </is>
      </c>
      <c r="F30" s="31" t="inlineStr">
        <is>
          <t>Miscellaneous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19</v>
      </c>
      <c r="K30" s="31" t="n">
        <v>12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MARINE</t>
        </is>
      </c>
      <c r="E31" s="31" t="inlineStr">
        <is>
          <t>Marine Electricals (India) Ltd</t>
        </is>
      </c>
      <c r="F31" s="31" t="inlineStr">
        <is>
          <t>Shipping Proxy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17</v>
      </c>
      <c r="K31" s="31" t="n">
        <v>25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MOTISONS</t>
        </is>
      </c>
      <c r="E32" s="31" t="inlineStr">
        <is>
          <t>Motisons Jewellers Ltd</t>
        </is>
      </c>
      <c r="F32" s="31" t="inlineStr">
        <is>
          <t>unknown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0</v>
      </c>
      <c r="K32" s="31" t="n">
        <v>18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HITECHCORP</t>
        </is>
      </c>
      <c r="E33" s="31" t="inlineStr">
        <is>
          <t>Hitech Corporation</t>
        </is>
      </c>
      <c r="F33" s="31" t="inlineStr">
        <is>
          <t>unknown</t>
        </is>
      </c>
      <c r="G33" s="31" t="n">
        <v>2</v>
      </c>
      <c r="H33" s="31" t="inlineStr">
        <is>
          <t>52W Breakout</t>
        </is>
      </c>
      <c r="I33" s="31" t="inlineStr">
        <is>
          <t>Yes</t>
        </is>
      </c>
      <c r="J33" s="31" t="n">
        <v>0</v>
      </c>
      <c r="K33" s="31" t="n">
        <v>21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HFCL</t>
        </is>
      </c>
      <c r="E34" s="31" t="inlineStr">
        <is>
          <t>HFCL Ltd</t>
        </is>
      </c>
      <c r="F34" s="31" t="inlineStr">
        <is>
          <t>Telecommunications Equipment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15</v>
      </c>
      <c r="K34" s="31" t="n">
        <v>12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KRISHANA</t>
        </is>
      </c>
      <c r="E35" s="31" t="inlineStr">
        <is>
          <t>Krishana Phoschem Ltd</t>
        </is>
      </c>
      <c r="F35" s="31" t="inlineStr">
        <is>
          <t>Fertilisers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19</v>
      </c>
      <c r="K35" s="31" t="n">
        <v>8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ZIMLAB</t>
        </is>
      </c>
      <c r="E36" s="31" t="inlineStr">
        <is>
          <t>Zim Laboratories Ltd</t>
        </is>
      </c>
      <c r="F36" s="31" t="inlineStr">
        <is>
          <t>unknown</t>
        </is>
      </c>
      <c r="G36" s="31" t="n">
        <v>2</v>
      </c>
      <c r="H36" s="31" t="inlineStr">
        <is>
          <t>52W Breakout</t>
        </is>
      </c>
      <c r="I36" s="31" t="inlineStr">
        <is>
          <t>Yes</t>
        </is>
      </c>
      <c r="J36" s="31" t="n">
        <v>0</v>
      </c>
      <c r="K36" s="31" t="n">
        <v>29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WELSPUNLIV</t>
        </is>
      </c>
      <c r="E37" s="31" t="inlineStr">
        <is>
          <t>Welspun Living Ltd</t>
        </is>
      </c>
      <c r="F37" s="31" t="inlineStr">
        <is>
          <t>Textiles Home Textile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15</v>
      </c>
      <c r="K37" s="31" t="n">
        <v>30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DIACABS</t>
        </is>
      </c>
      <c r="E38" s="31" t="inlineStr">
        <is>
          <t>Diamond Power Infrastructure Ltd</t>
        </is>
      </c>
      <c r="F38" s="31" t="inlineStr">
        <is>
          <t>Cables Power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17</v>
      </c>
      <c r="K38" s="31" t="n">
        <v>15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TBZ</t>
        </is>
      </c>
      <c r="E39" s="31" t="inlineStr">
        <is>
          <t>Tribhovandas Bhimji Zaveri Limited</t>
        </is>
      </c>
      <c r="F39" s="31" t="inlineStr">
        <is>
          <t>Diamond Gems and Jewellery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16</v>
      </c>
      <c r="K39" s="31" t="n">
        <v>29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CYIENTDLM</t>
        </is>
      </c>
      <c r="E40" s="31" t="inlineStr">
        <is>
          <t>Cyient DLM Ltd</t>
        </is>
      </c>
      <c r="F40" s="31" t="inlineStr">
        <is>
          <t>unknown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0</v>
      </c>
      <c r="K40" s="31" t="n">
        <v>28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TFCILTD</t>
        </is>
      </c>
      <c r="E41" s="31" t="inlineStr">
        <is>
          <t>Tourism Finance Corporation Of India Limited</t>
        </is>
      </c>
      <c r="F41" s="31" t="inlineStr">
        <is>
          <t>Finance PSU Lending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28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SHILPAMED</t>
        </is>
      </c>
      <c r="E42" s="31" t="inlineStr">
        <is>
          <t>Shilpa Medicare Limited</t>
        </is>
      </c>
      <c r="F42" s="31" t="inlineStr">
        <is>
          <t>Pharma API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16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MAYURUNIQ</t>
        </is>
      </c>
      <c r="E43" s="31" t="inlineStr">
        <is>
          <t>Mayur Uniquoters Ltd</t>
        </is>
      </c>
      <c r="F43" s="31" t="inlineStr">
        <is>
          <t>Plastics Plastic and Plastic Products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15</v>
      </c>
      <c r="K43" s="31" t="n">
        <v>3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COFORGE</t>
        </is>
      </c>
      <c r="E44" s="31" t="inlineStr">
        <is>
          <t>Coforge (Niit Tech) Ltd</t>
        </is>
      </c>
      <c r="F44" s="31" t="inlineStr">
        <is>
          <t>IT Services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15</v>
      </c>
      <c r="K44" s="31" t="n">
        <v>8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GALAXYSURF</t>
        </is>
      </c>
      <c r="E45" s="31" t="inlineStr">
        <is>
          <t>Galaxy Surfactants Ltd</t>
        </is>
      </c>
      <c r="F45" s="31" t="inlineStr">
        <is>
          <t>Specialty Chemicals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16</v>
      </c>
      <c r="K45" s="31" t="n">
        <v>11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KMEW</t>
        </is>
      </c>
      <c r="E46" s="31" t="inlineStr">
        <is>
          <t>Knowledge Marine &amp; Engineering Works Ltd</t>
        </is>
      </c>
      <c r="F46" s="31" t="inlineStr">
        <is>
          <t>Shipping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22</v>
      </c>
      <c r="K46" s="31" t="n">
        <v>18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BHAGERIA</t>
        </is>
      </c>
      <c r="E47" s="31" t="inlineStr">
        <is>
          <t>Bhageria Industries Limited</t>
        </is>
      </c>
      <c r="F47" s="31" t="inlineStr">
        <is>
          <t>Dyes and Pigments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18</v>
      </c>
      <c r="K47" s="31" t="n">
        <v>30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DBOL</t>
        </is>
      </c>
      <c r="E48" s="31" t="inlineStr">
        <is>
          <t>Dhampur Bio Organics Ltd</t>
        </is>
      </c>
      <c r="F48" s="31" t="inlineStr">
        <is>
          <t>unknown</t>
        </is>
      </c>
      <c r="G48" s="31" t="n">
        <v>2</v>
      </c>
      <c r="H48" s="31" t="inlineStr">
        <is>
          <t>52W Breakout</t>
        </is>
      </c>
      <c r="I48" s="31" t="inlineStr">
        <is>
          <t>Yes</t>
        </is>
      </c>
      <c r="J48" s="31" t="n">
        <v>0</v>
      </c>
      <c r="K48" s="31" t="n">
        <v>14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KABRAEXTRU</t>
        </is>
      </c>
      <c r="E49" s="31" t="inlineStr">
        <is>
          <t>Kabra Extrusion Technik Limited</t>
        </is>
      </c>
      <c r="F49" s="31" t="inlineStr">
        <is>
          <t>Capital Goods Engineering Heavy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15</v>
      </c>
      <c r="K49" s="31" t="n">
        <v>30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SUNTV</t>
        </is>
      </c>
      <c r="E50" s="31" t="inlineStr">
        <is>
          <t>Sun Tv Network Limited</t>
        </is>
      </c>
      <c r="F50" s="31" t="inlineStr">
        <is>
          <t>Entertainment and Media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18</v>
      </c>
      <c r="K50" s="31" t="n">
        <v>9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SHREEJISPG</t>
        </is>
      </c>
      <c r="E51" s="31" t="inlineStr">
        <is>
          <t>Shreeji Shipping Global Ltd</t>
        </is>
      </c>
      <c r="F51" s="31" t="inlineStr">
        <is>
          <t>unknown</t>
        </is>
      </c>
      <c r="G51" s="31" t="n">
        <v>2</v>
      </c>
      <c r="H51" s="31" t="inlineStr">
        <is>
          <t>52W Breakout</t>
        </is>
      </c>
      <c r="I51" s="31" t="inlineStr">
        <is>
          <t>Yes</t>
        </is>
      </c>
      <c r="J51" s="31" t="n">
        <v>0</v>
      </c>
      <c r="K51" s="31" t="n">
        <v>27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CYIENT</t>
        </is>
      </c>
      <c r="E52" s="31" t="inlineStr">
        <is>
          <t>Cyient Limited</t>
        </is>
      </c>
      <c r="F52" s="31" t="inlineStr">
        <is>
          <t>unknown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0</v>
      </c>
      <c r="K52" s="31" t="n">
        <v>27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MMP</t>
        </is>
      </c>
      <c r="E53" s="31" t="inlineStr">
        <is>
          <t>MMP Industries Ltd</t>
        </is>
      </c>
      <c r="F53" s="31" t="inlineStr">
        <is>
          <t>Aluminium Products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18</v>
      </c>
      <c r="K53" s="31" t="n">
        <v>28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SAMBHV</t>
        </is>
      </c>
      <c r="E54" s="31" t="inlineStr">
        <is>
          <t>Sambhv Steel Tubes Ltd</t>
        </is>
      </c>
      <c r="F54" s="31" t="inlineStr">
        <is>
          <t>Steel Tubes and Pipes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21</v>
      </c>
      <c r="K54" s="31" t="n">
        <v>25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MUKANDLTD</t>
        </is>
      </c>
      <c r="E55" s="31" t="inlineStr">
        <is>
          <t>Mukand Limited</t>
        </is>
      </c>
      <c r="F55" s="31" t="inlineStr">
        <is>
          <t>Steel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20</v>
      </c>
      <c r="K55" s="31" t="n">
        <v>16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DYNAMATECH</t>
        </is>
      </c>
      <c r="E56" s="31" t="inlineStr">
        <is>
          <t>Dynamatic Technologies Limited</t>
        </is>
      </c>
      <c r="F56" s="31" t="inlineStr">
        <is>
          <t>Aerospace and Defence Equipment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15</v>
      </c>
      <c r="K56" s="31" t="n">
        <v>28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GANDHAR</t>
        </is>
      </c>
      <c r="E57" s="31" t="inlineStr">
        <is>
          <t>Gandhar Oil Refinery (India) Ltd</t>
        </is>
      </c>
      <c r="F57" s="31" t="inlineStr">
        <is>
          <t>Refineries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22</v>
      </c>
      <c r="K57" s="31" t="n">
        <v>25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PANACHE</t>
        </is>
      </c>
      <c r="E58" s="31" t="inlineStr">
        <is>
          <t>Panache Digilife Ltd</t>
        </is>
      </c>
      <c r="F58" s="31" t="inlineStr">
        <is>
          <t>unknown</t>
        </is>
      </c>
      <c r="G58" s="31" t="n">
        <v>2</v>
      </c>
      <c r="H58" s="31" t="inlineStr">
        <is>
          <t>52W Breakout</t>
        </is>
      </c>
      <c r="I58" s="31" t="inlineStr">
        <is>
          <t>Yes</t>
        </is>
      </c>
      <c r="J58" s="31" t="n">
        <v>0</v>
      </c>
      <c r="K58" s="31" t="n">
        <v>18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WHEELS</t>
        </is>
      </c>
      <c r="E59" s="31" t="inlineStr">
        <is>
          <t>Wheels India Limited</t>
        </is>
      </c>
      <c r="F59" s="31" t="inlineStr">
        <is>
          <t>Auto Wheels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16</v>
      </c>
      <c r="K59" s="31" t="n">
        <v>30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SOTL</t>
        </is>
      </c>
      <c r="E60" s="31" t="inlineStr">
        <is>
          <t>Savita Oil Technologies Limited</t>
        </is>
      </c>
      <c r="F60" s="31" t="inlineStr">
        <is>
          <t>Petrochemicals Others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20</v>
      </c>
      <c r="K60" s="31" t="n">
        <v>14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PVRINOX</t>
        </is>
      </c>
      <c r="E61" s="31" t="inlineStr">
        <is>
          <t>PVR Inox Ltd</t>
        </is>
      </c>
      <c r="F61" s="31" t="inlineStr">
        <is>
          <t>Entertainment and Media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15</v>
      </c>
      <c r="K61" s="31" t="n">
        <v>17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STLTECH</t>
        </is>
      </c>
      <c r="E62" s="31" t="inlineStr">
        <is>
          <t>Sterlite Technologies Limited</t>
        </is>
      </c>
      <c r="F62" s="31" t="inlineStr">
        <is>
          <t>Cables Telecom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20</v>
      </c>
      <c r="K62" s="31" t="n">
        <v>30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INDOAMIN</t>
        </is>
      </c>
      <c r="E63" s="31" t="inlineStr">
        <is>
          <t>Indo Amines Ltd</t>
        </is>
      </c>
      <c r="F63" s="31" t="inlineStr">
        <is>
          <t>unknown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0</v>
      </c>
      <c r="K63" s="31" t="n">
        <v>19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NYKAA</t>
        </is>
      </c>
      <c r="E64" s="31" t="inlineStr">
        <is>
          <t>FSN E-Commerce Ventures Ltd</t>
        </is>
      </c>
      <c r="F64" s="31" t="inlineStr">
        <is>
          <t>New age Platform E Retail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17</v>
      </c>
      <c r="K64" s="31" t="n">
        <v>11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GLOBAL</t>
        </is>
      </c>
      <c r="E65" s="31" t="inlineStr">
        <is>
          <t>Global Education Ltd</t>
        </is>
      </c>
      <c r="F65" s="31" t="inlineStr">
        <is>
          <t>unknown</t>
        </is>
      </c>
      <c r="G65" s="31" t="n">
        <v>2</v>
      </c>
      <c r="H65" s="31" t="inlineStr">
        <is>
          <t>ATH Momentum</t>
        </is>
      </c>
      <c r="I65" s="31" t="inlineStr">
        <is>
          <t>Yes</t>
        </is>
      </c>
      <c r="J65" s="31" t="n">
        <v>0</v>
      </c>
      <c r="K65" s="31" t="n">
        <v>29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SBC</t>
        </is>
      </c>
      <c r="E66" s="31" t="inlineStr">
        <is>
          <t>SBC Exports Ltd</t>
        </is>
      </c>
      <c r="F66" s="31" t="inlineStr">
        <is>
          <t>Textiles Readymade Apparel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22</v>
      </c>
      <c r="K66" s="31" t="n">
        <v>30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SUNFLAG</t>
        </is>
      </c>
      <c r="E67" s="31" t="inlineStr">
        <is>
          <t>Sunflag Iron And Steel Company Limited</t>
        </is>
      </c>
      <c r="F67" s="31" t="inlineStr">
        <is>
          <t>Steel Products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16</v>
      </c>
      <c r="K67" s="31" t="n">
        <v>14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BIRLACABLE</t>
        </is>
      </c>
      <c r="E68" s="31" t="inlineStr">
        <is>
          <t>Birla Cable Limited</t>
        </is>
      </c>
      <c r="F68" s="31" t="inlineStr">
        <is>
          <t>Cables Telecom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22</v>
      </c>
      <c r="K68" s="31" t="n">
        <v>27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RATNAVEER</t>
        </is>
      </c>
      <c r="E69" s="31" t="inlineStr">
        <is>
          <t>Ratnaveer Precision Engineering Ltd</t>
        </is>
      </c>
      <c r="F69" s="31" t="inlineStr">
        <is>
          <t>Stainless Steel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17</v>
      </c>
      <c r="K69" s="31" t="n">
        <v>30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TDPOWERSYS</t>
        </is>
      </c>
      <c r="E70" s="31" t="inlineStr">
        <is>
          <t>Td Power Systems Limited</t>
        </is>
      </c>
      <c r="F70" s="31" t="inlineStr">
        <is>
          <t>Capital Goods Gensets and Turbines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19</v>
      </c>
      <c r="K70" s="31" t="n">
        <v>12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TRENT</t>
        </is>
      </c>
      <c r="E71" s="31" t="inlineStr">
        <is>
          <t>Trent Limited</t>
        </is>
      </c>
      <c r="F71" s="31" t="inlineStr">
        <is>
          <t>Textiles Readymade Apparel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15</v>
      </c>
      <c r="K71" s="31" t="n">
        <v>2</v>
      </c>
    </row>
  </sheetData>
  <autoFilter ref="A1:K71"/>
  <conditionalFormatting sqref="G2:G7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71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3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IF(B2=0,"",RANK(B2,$B$2:$B$135,0))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PREMIERPOL</t>
        </is>
      </c>
      <c r="D2" s="31" t="inlineStr">
        <is>
          <t>Premier Polyfilm Limited</t>
        </is>
      </c>
      <c r="E2" s="31" t="inlineStr">
        <is>
          <t>plastic products</t>
        </is>
      </c>
      <c r="F2" s="31" t="inlineStr">
        <is>
          <t>plastics products</t>
        </is>
      </c>
      <c r="G2" s="31" t="inlineStr">
        <is>
          <t>smallcap</t>
        </is>
      </c>
      <c r="H2" s="32" t="n">
        <v>1029.09</v>
      </c>
      <c r="I2" s="32" t="n">
        <v>102.85</v>
      </c>
      <c r="J2" s="32" t="n">
        <v>4.68</v>
      </c>
      <c r="K2" s="32" t="n">
        <v>656892</v>
      </c>
      <c r="L2" s="31" t="n">
        <v>79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68.27</v>
      </c>
      <c r="P2" s="32" t="n">
        <v>58.98</v>
      </c>
      <c r="Q2" s="32" t="n">
        <v>69.25</v>
      </c>
      <c r="R2" s="31" t="inlineStr">
        <is>
          <t>Volume Spike &amp; Near 52W High Breakout</t>
        </is>
      </c>
      <c r="S2" s="31" t="inlineStr">
        <is>
          <t>Nifty 50</t>
        </is>
      </c>
      <c r="T2" s="32" t="n">
        <v>-10.93</v>
      </c>
      <c r="U2" s="32" t="n">
        <v>130.3</v>
      </c>
      <c r="V2" s="32" t="n">
        <v>158.58</v>
      </c>
      <c r="W2" s="32" t="n">
        <v>33.39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IF(B3=0,"",RANK(B3,$B$2:$B$135,0))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PASUPTAC</t>
        </is>
      </c>
      <c r="D3" s="31" t="inlineStr">
        <is>
          <t>Pasupati Acrylon Ltd</t>
        </is>
      </c>
      <c r="E3" s="31" t="inlineStr">
        <is>
          <t>textiles</t>
        </is>
      </c>
      <c r="F3" s="31" t="inlineStr">
        <is>
          <t>textiles - manmade</t>
        </is>
      </c>
      <c r="G3" s="31" t="inlineStr">
        <is>
          <t>smallcap</t>
        </is>
      </c>
      <c r="H3" s="32" t="n">
        <v>626.87</v>
      </c>
      <c r="I3" s="32" t="n">
        <v>73.23999999999999</v>
      </c>
      <c r="J3" s="32" t="n">
        <v>4.14</v>
      </c>
      <c r="K3" s="32" t="n">
        <v>233296</v>
      </c>
      <c r="L3" s="31" t="n">
        <v>41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62.76</v>
      </c>
      <c r="P3" s="32" t="n">
        <v>47.28</v>
      </c>
      <c r="Q3" s="32" t="n">
        <v>55.3</v>
      </c>
      <c r="R3" s="31" t="inlineStr">
        <is>
          <t>Near 52W High Breakout</t>
        </is>
      </c>
      <c r="S3" s="31" t="inlineStr">
        <is>
          <t>Nifty 50</t>
        </is>
      </c>
      <c r="T3" s="32" t="n">
        <v>-10.93</v>
      </c>
      <c r="U3" s="32" t="n">
        <v>65.25</v>
      </c>
      <c r="V3" s="32" t="n">
        <v>85.54000000000001</v>
      </c>
      <c r="W3" s="32" t="n">
        <v>15.57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IF(B4=0,"",RANK(B4,$B$2:$B$135,0))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FCL</t>
        </is>
      </c>
      <c r="D4" s="31" t="inlineStr">
        <is>
          <t>Fineotex Chemical Limited</t>
        </is>
      </c>
      <c r="E4" s="31" t="inlineStr">
        <is>
          <t>chemicals</t>
        </is>
      </c>
      <c r="F4" s="31" t="inlineStr">
        <is>
          <t>chemicals</t>
        </is>
      </c>
      <c r="G4" s="31" t="inlineStr">
        <is>
          <t>midcap</t>
        </is>
      </c>
      <c r="H4" s="32" t="n">
        <v>6520.04</v>
      </c>
      <c r="I4" s="32" t="n">
        <v>57.94</v>
      </c>
      <c r="J4" s="32" t="n">
        <v>3.48</v>
      </c>
      <c r="K4" s="32" t="n">
        <v>22165919</v>
      </c>
      <c r="L4" s="31" t="n">
        <v>80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72.45999999999999</v>
      </c>
      <c r="P4" s="32" t="n">
        <v>49.04</v>
      </c>
      <c r="Q4" s="32" t="n">
        <v>44.19</v>
      </c>
      <c r="R4" s="31" t="inlineStr">
        <is>
          <t>Near 52W High Breakout</t>
        </is>
      </c>
      <c r="S4" s="31" t="inlineStr">
        <is>
          <t>Nifty 50</t>
        </is>
      </c>
      <c r="T4" s="32" t="n">
        <v>-10.93</v>
      </c>
      <c r="U4" s="32" t="n">
        <v>137.05</v>
      </c>
      <c r="V4" s="32" t="n">
        <v>166.16</v>
      </c>
      <c r="W4" s="32" t="n">
        <v>33.48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IF(B5=0,"",RANK(B5,$B$2:$B$135,0))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VINDHYATEL</t>
        </is>
      </c>
      <c r="D5" s="31" t="inlineStr">
        <is>
          <t>Vindhya Telelinks Limited</t>
        </is>
      </c>
      <c r="E5" s="31" t="inlineStr">
        <is>
          <t>realty</t>
        </is>
      </c>
      <c r="F5" s="31" t="inlineStr">
        <is>
          <t>construction</t>
        </is>
      </c>
      <c r="G5" s="31" t="inlineStr">
        <is>
          <t>smallcap</t>
        </is>
      </c>
      <c r="H5" s="32" t="n">
        <v>3290.63</v>
      </c>
      <c r="I5" s="32" t="n">
        <v>2814.4</v>
      </c>
      <c r="J5" s="32" t="n">
        <v>1.36</v>
      </c>
      <c r="K5" s="32" t="n">
        <v>57692</v>
      </c>
      <c r="L5" s="31" t="inlineStr"/>
      <c r="M5" s="31" t="inlineStr"/>
      <c r="N5" s="32">
        <f>IF(M5="Underperforming",-5,IF(L5&gt;=95,15,IF(L5&gt;=90,10,IF(L5&gt;=80,5,0))))</f>
        <v/>
      </c>
      <c r="O5" s="32" t="n">
        <v>67.81999999999999</v>
      </c>
      <c r="P5" s="32" t="n">
        <v>46.74</v>
      </c>
      <c r="Q5" s="32" t="n">
        <v>1998.14</v>
      </c>
      <c r="R5" s="31" t="inlineStr">
        <is>
          <t>Near 52W High Breakout</t>
        </is>
      </c>
      <c r="S5" s="31" t="inlineStr">
        <is>
          <t>Nifty Realty</t>
        </is>
      </c>
      <c r="T5" s="32" t="inlineStr"/>
      <c r="U5" s="32" t="inlineStr"/>
      <c r="V5" s="32" t="inlineStr"/>
      <c r="W5" s="32" t="inlineStr"/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IF(B6=0,"",RANK(B6,$B$2:$B$135,0))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PGIL</t>
        </is>
      </c>
      <c r="D6" s="31" t="inlineStr">
        <is>
          <t>Pearl Global Industries Limited</t>
        </is>
      </c>
      <c r="E6" s="31" t="inlineStr">
        <is>
          <t>readymade garments/apparels</t>
        </is>
      </c>
      <c r="F6" s="31" t="inlineStr">
        <is>
          <t>textiles - products</t>
        </is>
      </c>
      <c r="G6" s="31" t="inlineStr">
        <is>
          <t>midcap</t>
        </is>
      </c>
      <c r="H6" s="32" t="n">
        <v>11753.65</v>
      </c>
      <c r="I6" s="32" t="n">
        <v>1281.1</v>
      </c>
      <c r="J6" s="32" t="n">
        <v>0.6899999999999999</v>
      </c>
      <c r="K6" s="32" t="n">
        <v>56778</v>
      </c>
      <c r="L6" s="31" t="n">
        <v>51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66.72</v>
      </c>
      <c r="P6" s="32" t="n">
        <v>59.01</v>
      </c>
      <c r="Q6" s="32" t="n">
        <v>1018.76</v>
      </c>
      <c r="R6" s="31" t="inlineStr">
        <is>
          <t>Near 52W High Breakout</t>
        </is>
      </c>
      <c r="S6" s="31" t="inlineStr">
        <is>
          <t>Nifty 50</t>
        </is>
      </c>
      <c r="T6" s="32" t="n">
        <v>-10.93</v>
      </c>
      <c r="U6" s="32" t="n">
        <v>98.55</v>
      </c>
      <c r="V6" s="32" t="n">
        <v>122.93</v>
      </c>
      <c r="W6" s="32" t="n">
        <v>21.07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IF(B7=0,"",RANK(B7,$B$2:$B$135,0))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KINGFA</t>
        </is>
      </c>
      <c r="D7" s="31" t="inlineStr">
        <is>
          <t>Kingfa Science &amp; Technology (india) Limited</t>
        </is>
      </c>
      <c r="E7" s="31" t="inlineStr">
        <is>
          <t>plastic products</t>
        </is>
      </c>
      <c r="F7" s="31" t="inlineStr">
        <is>
          <t>plastics products</t>
        </is>
      </c>
      <c r="G7" s="31" t="inlineStr">
        <is>
          <t>midcap</t>
        </is>
      </c>
      <c r="H7" s="32" t="n">
        <v>9220.360000000001</v>
      </c>
      <c r="I7" s="32" t="n">
        <v>6611</v>
      </c>
      <c r="J7" s="32" t="n">
        <v>-2.84</v>
      </c>
      <c r="K7" s="32" t="n">
        <v>11588</v>
      </c>
      <c r="L7" s="31" t="n">
        <v>36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72.09999999999999</v>
      </c>
      <c r="P7" s="32" t="n">
        <v>45.04</v>
      </c>
      <c r="Q7" s="32" t="n">
        <v>5299.78</v>
      </c>
      <c r="R7" s="31" t="inlineStr">
        <is>
          <t>Near 52W High Breakout</t>
        </is>
      </c>
      <c r="S7" s="31" t="inlineStr">
        <is>
          <t>Nifty 50</t>
        </is>
      </c>
      <c r="T7" s="32" t="n">
        <v>-10.93</v>
      </c>
      <c r="U7" s="32" t="n">
        <v>42.16</v>
      </c>
      <c r="V7" s="32" t="n">
        <v>59.61</v>
      </c>
      <c r="W7" s="32" t="n">
        <v>13.85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IF(B8=0,"",RANK(B8,$B$2:$B$135,0))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AVTNPL</t>
        </is>
      </c>
      <c r="D8" s="31" t="inlineStr">
        <is>
          <t>Avt Natural Products Limited</t>
        </is>
      </c>
      <c r="E8" s="31" t="inlineStr">
        <is>
          <t>fmcg</t>
        </is>
      </c>
      <c r="F8" s="31" t="inlineStr">
        <is>
          <t>solvent extraction</t>
        </is>
      </c>
      <c r="G8" s="31" t="inlineStr">
        <is>
          <t>smallcap</t>
        </is>
      </c>
      <c r="H8" s="32" t="n">
        <v>1301.27</v>
      </c>
      <c r="I8" s="32" t="n">
        <v>94.78</v>
      </c>
      <c r="J8" s="32" t="n">
        <v>10.92</v>
      </c>
      <c r="K8" s="32" t="n">
        <v>10258801</v>
      </c>
      <c r="L8" s="31" t="inlineStr"/>
      <c r="M8" s="31" t="inlineStr"/>
      <c r="N8" s="32">
        <f>IF(M8="Underperforming",-5,IF(L8&gt;=95,15,IF(L8&gt;=90,10,IF(L8&gt;=80,5,0))))</f>
        <v/>
      </c>
      <c r="O8" s="32" t="n">
        <v>68.65000000000001</v>
      </c>
      <c r="P8" s="32" t="n">
        <v>51.86</v>
      </c>
      <c r="Q8" s="32" t="n">
        <v>71.38</v>
      </c>
      <c r="R8" s="31" t="inlineStr">
        <is>
          <t>Volume Spike &amp; Near 52W High Breakout</t>
        </is>
      </c>
      <c r="S8" s="31" t="inlineStr">
        <is>
          <t>Nifty FMCG</t>
        </is>
      </c>
      <c r="T8" s="32" t="inlineStr"/>
      <c r="U8" s="32" t="inlineStr"/>
      <c r="V8" s="32" t="inlineStr"/>
      <c r="W8" s="32" t="inlineStr"/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IF(B9=0,"",RANK(B9,$B$2:$B$135,0))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AURUM</t>
        </is>
      </c>
      <c r="D9" s="31" t="inlineStr">
        <is>
          <t>Aurum Proptech Ltd</t>
        </is>
      </c>
      <c r="E9" s="31" t="inlineStr">
        <is>
          <t>i.t</t>
        </is>
      </c>
      <c r="F9" s="31" t="inlineStr">
        <is>
          <t>computers - software - medium / small</t>
        </is>
      </c>
      <c r="G9" s="31" t="inlineStr">
        <is>
          <t>smallcap</t>
        </is>
      </c>
      <c r="H9" s="32" t="n">
        <v>2195.64</v>
      </c>
      <c r="I9" s="32" t="n">
        <v>232.77</v>
      </c>
      <c r="J9" s="32" t="n">
        <v>2.37</v>
      </c>
      <c r="K9" s="32" t="n">
        <v>87841</v>
      </c>
      <c r="L9" s="31" t="n">
        <v>20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62.72</v>
      </c>
      <c r="P9" s="32" t="n">
        <v>48.08</v>
      </c>
      <c r="Q9" s="32" t="n">
        <v>187.56</v>
      </c>
      <c r="R9" s="31" t="inlineStr">
        <is>
          <t>Near 52W High Breakout</t>
        </is>
      </c>
      <c r="S9" s="31" t="inlineStr">
        <is>
          <t>Nifty IT</t>
        </is>
      </c>
      <c r="T9" s="32" t="n">
        <v>-19.75</v>
      </c>
      <c r="U9" s="32" t="n">
        <v>39.32</v>
      </c>
      <c r="V9" s="32" t="n">
        <v>73.61</v>
      </c>
      <c r="W9" s="32" t="n">
        <v>8.15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IF(B10=0,"",RANK(B10,$B$2:$B$135,0))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SWANDEF</t>
        </is>
      </c>
      <c r="D10" s="31" t="inlineStr">
        <is>
          <t>Swan Defence and Heavy Industries Ltd</t>
        </is>
      </c>
      <c r="E10" s="31" t="inlineStr">
        <is>
          <t>transportation</t>
        </is>
      </c>
      <c r="F10" s="31" t="inlineStr">
        <is>
          <t>miscellaneous</t>
        </is>
      </c>
      <c r="G10" s="31" t="inlineStr">
        <is>
          <t>midcap</t>
        </is>
      </c>
      <c r="H10" s="32" t="n">
        <v>14672.51</v>
      </c>
      <c r="I10" s="32" t="n">
        <v>2816.8</v>
      </c>
      <c r="J10" s="32" t="n">
        <v>1.14</v>
      </c>
      <c r="K10" s="32" t="n">
        <v>34005</v>
      </c>
      <c r="L10" s="31" t="n">
        <v>96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68.98</v>
      </c>
      <c r="P10" s="32" t="n">
        <v>56.6</v>
      </c>
      <c r="Q10" s="32" t="n">
        <v>2150.44</v>
      </c>
      <c r="R10" s="31" t="inlineStr">
        <is>
          <t>Near 52W High Breakout</t>
        </is>
      </c>
      <c r="S10" s="31" t="inlineStr">
        <is>
          <t>Nifty 50</t>
        </is>
      </c>
      <c r="T10" s="32" t="n">
        <v>-10.93</v>
      </c>
      <c r="U10" s="32" t="n">
        <v>342.75</v>
      </c>
      <c r="V10" s="32" t="n">
        <v>397.11</v>
      </c>
      <c r="W10" s="32" t="n">
        <v>52.96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More than 1.2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IF(B11=0,"",RANK(B11,$B$2:$B$135,0))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GLAND</t>
        </is>
      </c>
      <c r="D11" s="31" t="inlineStr">
        <is>
          <t>Gland Pharma Ltd</t>
        </is>
      </c>
      <c r="E11" s="31" t="inlineStr">
        <is>
          <t>healthcare</t>
        </is>
      </c>
      <c r="F11" s="31" t="inlineStr">
        <is>
          <t>pharmaceuticals - indian - formulations</t>
        </is>
      </c>
      <c r="G11" s="31" t="inlineStr">
        <is>
          <t>largecap</t>
        </is>
      </c>
      <c r="H11" s="32" t="n">
        <v>50792.74</v>
      </c>
      <c r="I11" s="32" t="n">
        <v>3061.8</v>
      </c>
      <c r="J11" s="32" t="n">
        <v>-0.5600000000000001</v>
      </c>
      <c r="K11" s="32" t="n">
        <v>181216</v>
      </c>
      <c r="L11" s="31" t="n">
        <v>43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73.40000000000001</v>
      </c>
      <c r="P11" s="32" t="n">
        <v>62.96</v>
      </c>
      <c r="Q11" s="32" t="n">
        <v>2507.99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16.85</v>
      </c>
      <c r="U11" s="32" t="n">
        <v>60.39</v>
      </c>
      <c r="V11" s="32" t="n">
        <v>37.26</v>
      </c>
      <c r="W11" s="32" t="n">
        <v>16.44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IF(B12=0,"",RANK(B12,$B$2:$B$135,0))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SHANTIGOLD</t>
        </is>
      </c>
      <c r="D12" s="31" t="inlineStr">
        <is>
          <t>Shanti Gold International Ltd</t>
        </is>
      </c>
      <c r="E12" s="31" t="inlineStr">
        <is>
          <t>consumer discretionary</t>
        </is>
      </c>
      <c r="F12" s="31" t="inlineStr">
        <is>
          <t>diamond cutting / jewellery</t>
        </is>
      </c>
      <c r="G12" s="31" t="inlineStr">
        <is>
          <t>smallcap</t>
        </is>
      </c>
      <c r="H12" s="32" t="n">
        <v>2690.87</v>
      </c>
      <c r="I12" s="32" t="n">
        <v>380.55</v>
      </c>
      <c r="J12" s="32" t="n">
        <v>8.529999999999999</v>
      </c>
      <c r="K12" s="32" t="n">
        <v>10493143</v>
      </c>
      <c r="L12" s="31" t="n">
        <v>75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75.91</v>
      </c>
      <c r="P12" s="32" t="n">
        <v>44.2</v>
      </c>
      <c r="Q12" s="32" t="n">
        <v>282.6</v>
      </c>
      <c r="R12" s="31" t="inlineStr">
        <is>
          <t>Volume Spike &amp; Near 52W High Breakout</t>
        </is>
      </c>
      <c r="S12" s="31" t="inlineStr">
        <is>
          <t>Nifty 50</t>
        </is>
      </c>
      <c r="T12" s="32" t="n">
        <v>-10.93</v>
      </c>
      <c r="U12" s="32" t="n">
        <v>77.72</v>
      </c>
      <c r="V12" s="32" t="n">
        <v>99.54000000000001</v>
      </c>
      <c r="W12" s="32" t="n">
        <v>31.98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IF(B13=0,"",RANK(B13,$B$2:$B$135,0))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IBULLSLTD</t>
        </is>
      </c>
      <c r="D13" s="31" t="inlineStr">
        <is>
          <t>Indiabulls Limited</t>
        </is>
      </c>
      <c r="E13" s="31" t="inlineStr">
        <is>
          <t>miscellaneous</t>
        </is>
      </c>
      <c r="F13" s="31" t="inlineStr">
        <is>
          <t>diversified - medium / small</t>
        </is>
      </c>
      <c r="G13" s="31" t="inlineStr">
        <is>
          <t>midcap</t>
        </is>
      </c>
      <c r="H13" s="32" t="n">
        <v>8125.45</v>
      </c>
      <c r="I13" s="32" t="n">
        <v>36.62</v>
      </c>
      <c r="J13" s="32" t="n">
        <v>4.99</v>
      </c>
      <c r="K13" s="32" t="n">
        <v>36655938</v>
      </c>
      <c r="L13" s="31" t="n">
        <v>75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73.44</v>
      </c>
      <c r="P13" s="32" t="n">
        <v>39.98</v>
      </c>
      <c r="Q13" s="32" t="n">
        <v>25.83</v>
      </c>
      <c r="R13" s="31" t="inlineStr">
        <is>
          <t>Volume Spike &amp; Near 52W High Breakout</t>
        </is>
      </c>
      <c r="S13" s="31" t="inlineStr">
        <is>
          <t>Nifty 50</t>
        </is>
      </c>
      <c r="T13" s="32" t="n">
        <v>-10.93</v>
      </c>
      <c r="U13" s="32" t="n">
        <v>112.29</v>
      </c>
      <c r="V13" s="32" t="n">
        <v>138.35</v>
      </c>
      <c r="W13" s="32" t="n">
        <v>32.05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IF(B14=0,"",RANK(B14,$B$2:$B$135,0))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OCCLLTD</t>
        </is>
      </c>
      <c r="D14" s="31" t="inlineStr">
        <is>
          <t>OCCL Ltd</t>
        </is>
      </c>
      <c r="E14" s="31" t="inlineStr">
        <is>
          <t>chemicals</t>
        </is>
      </c>
      <c r="F14" s="31" t="inlineStr">
        <is>
          <t>chemicals</t>
        </is>
      </c>
      <c r="G14" s="31" t="inlineStr">
        <is>
          <t>smallcap</t>
        </is>
      </c>
      <c r="H14" s="32" t="n">
        <v>1040.77</v>
      </c>
      <c r="I14" s="32" t="n">
        <v>218.54</v>
      </c>
      <c r="J14" s="32" t="n">
        <v>4.89</v>
      </c>
      <c r="K14" s="32" t="n">
        <v>192171</v>
      </c>
      <c r="L14" s="31" t="n">
        <v>76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81.45999999999999</v>
      </c>
      <c r="P14" s="32" t="n">
        <v>50.02</v>
      </c>
      <c r="Q14" s="32" t="n">
        <v>167.24</v>
      </c>
      <c r="R14" s="31" t="inlineStr">
        <is>
          <t>Volume Spike &amp; Near 52W High Breakout</t>
        </is>
      </c>
      <c r="S14" s="31" t="inlineStr">
        <is>
          <t>Nifty 50</t>
        </is>
      </c>
      <c r="T14" s="32" t="n">
        <v>-10.93</v>
      </c>
      <c r="U14" s="32" t="n">
        <v>74.54000000000001</v>
      </c>
      <c r="V14" s="32" t="n">
        <v>95.97</v>
      </c>
      <c r="W14" s="32" t="n">
        <v>32.41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IF(B15=0,"",RANK(B15,$B$2:$B$135,0))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VALIANTORG</t>
        </is>
      </c>
      <c r="D15" s="31" t="inlineStr">
        <is>
          <t>Valiant Organics Ltd</t>
        </is>
      </c>
      <c r="E15" s="31" t="inlineStr">
        <is>
          <t>chemicals</t>
        </is>
      </c>
      <c r="F15" s="31" t="inlineStr">
        <is>
          <t>chemicals</t>
        </is>
      </c>
      <c r="G15" s="31" t="inlineStr">
        <is>
          <t>smallcap</t>
        </is>
      </c>
      <c r="H15" s="32" t="n">
        <v>1263.24</v>
      </c>
      <c r="I15" s="32" t="n">
        <v>467.7</v>
      </c>
      <c r="J15" s="32" t="n">
        <v>3.79</v>
      </c>
      <c r="K15" s="32" t="n">
        <v>131081</v>
      </c>
      <c r="L15" s="31" t="n">
        <v>61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73.06999999999999</v>
      </c>
      <c r="P15" s="32" t="n">
        <v>47.79</v>
      </c>
      <c r="Q15" s="32" t="n">
        <v>343.8</v>
      </c>
      <c r="R15" s="31" t="inlineStr">
        <is>
          <t>Volume Spike &amp; Near 52W High Breakout</t>
        </is>
      </c>
      <c r="S15" s="31" t="inlineStr">
        <is>
          <t>Nifty 50</t>
        </is>
      </c>
      <c r="T15" s="32" t="n">
        <v>-10.93</v>
      </c>
      <c r="U15" s="32" t="n">
        <v>47.77</v>
      </c>
      <c r="V15" s="32" t="n">
        <v>65.91</v>
      </c>
      <c r="W15" s="32" t="n">
        <v>24.94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IF(B16=0,"",RANK(B16,$B$2:$B$135,0))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THELEELA</t>
        </is>
      </c>
      <c r="D16" s="31" t="inlineStr">
        <is>
          <t>Leela Palaces Hotels &amp; Resorts Ltd</t>
        </is>
      </c>
      <c r="E16" s="31" t="inlineStr">
        <is>
          <t>services</t>
        </is>
      </c>
      <c r="F16" s="31" t="inlineStr">
        <is>
          <t>hotels</t>
        </is>
      </c>
      <c r="G16" s="31" t="inlineStr">
        <is>
          <t>midcap</t>
        </is>
      </c>
      <c r="H16" s="32" t="n">
        <v>19601.66</v>
      </c>
      <c r="I16" s="32" t="n">
        <v>587.5</v>
      </c>
      <c r="J16" s="32" t="n">
        <v>0.09</v>
      </c>
      <c r="K16" s="32" t="n">
        <v>227500</v>
      </c>
      <c r="L16" s="31" t="n">
        <v>26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71.98999999999999</v>
      </c>
      <c r="P16" s="32" t="n">
        <v>42.32</v>
      </c>
      <c r="Q16" s="32" t="n">
        <v>476.91</v>
      </c>
      <c r="R16" s="31" t="inlineStr">
        <is>
          <t>Near 52W High Breakout</t>
        </is>
      </c>
      <c r="S16" s="31" t="inlineStr">
        <is>
          <t>Nifty 50</t>
        </is>
      </c>
      <c r="T16" s="32" t="n">
        <v>-10.93</v>
      </c>
      <c r="U16" s="32" t="n">
        <v>29.73</v>
      </c>
      <c r="V16" s="32" t="n">
        <v>45.66</v>
      </c>
      <c r="W16" s="32" t="n">
        <v>9.210000000000001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IF(B17=0,"",RANK(B17,$B$2:$B$135,0))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NRL</t>
        </is>
      </c>
      <c r="D17" s="31" t="inlineStr">
        <is>
          <t>Nupur Recyclers Ltd</t>
        </is>
      </c>
      <c r="E17" s="31" t="inlineStr">
        <is>
          <t>services</t>
        </is>
      </c>
      <c r="F17" s="31" t="inlineStr">
        <is>
          <t>trading</t>
        </is>
      </c>
      <c r="G17" s="31" t="inlineStr">
        <is>
          <t>smallcap</t>
        </is>
      </c>
      <c r="H17" s="32" t="n">
        <v>1097.51</v>
      </c>
      <c r="I17" s="32" t="n">
        <v>158</v>
      </c>
      <c r="J17" s="32" t="n">
        <v>-0.57</v>
      </c>
      <c r="K17" s="32" t="n">
        <v>19162</v>
      </c>
      <c r="L17" s="31" t="n">
        <v>84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86.95</v>
      </c>
      <c r="P17" s="32" t="n">
        <v>77.98999999999999</v>
      </c>
      <c r="Q17" s="32" t="n">
        <v>134.31</v>
      </c>
      <c r="R17" s="31" t="inlineStr">
        <is>
          <t>Near 52W High Breakout</t>
        </is>
      </c>
      <c r="S17" s="31" t="inlineStr">
        <is>
          <t>Nifty 50</t>
        </is>
      </c>
      <c r="T17" s="32" t="n">
        <v>-10.93</v>
      </c>
      <c r="U17" s="32" t="n">
        <v>122.97</v>
      </c>
      <c r="V17" s="32" t="n">
        <v>150.35</v>
      </c>
      <c r="W17" s="32" t="n">
        <v>36.22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IF(B18=0,"",RANK(B18,$B$2:$B$135,0))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FILATEX</t>
        </is>
      </c>
      <c r="D18" s="31" t="inlineStr">
        <is>
          <t>Filatex India Limited</t>
        </is>
      </c>
      <c r="E18" s="31" t="inlineStr">
        <is>
          <t>textiles</t>
        </is>
      </c>
      <c r="F18" s="31" t="inlineStr">
        <is>
          <t>textiles - manmade</t>
        </is>
      </c>
      <c r="G18" s="31" t="inlineStr">
        <is>
          <t>smallcap</t>
        </is>
      </c>
      <c r="H18" s="32" t="n">
        <v>4873.1</v>
      </c>
      <c r="I18" s="32" t="n">
        <v>109.06</v>
      </c>
      <c r="J18" s="32" t="n">
        <v>-0.62</v>
      </c>
      <c r="K18" s="32" t="n">
        <v>1524085</v>
      </c>
      <c r="L18" s="31" t="n">
        <v>82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82.81999999999999</v>
      </c>
      <c r="P18" s="32" t="n">
        <v>53.93</v>
      </c>
      <c r="Q18" s="32" t="n">
        <v>80.93000000000001</v>
      </c>
      <c r="R18" s="31" t="inlineStr">
        <is>
          <t>Near 52W High Breakout</t>
        </is>
      </c>
      <c r="S18" s="31" t="inlineStr">
        <is>
          <t>Nifty 50</t>
        </is>
      </c>
      <c r="T18" s="32" t="n">
        <v>-10.93</v>
      </c>
      <c r="U18" s="32" t="n">
        <v>102.36</v>
      </c>
      <c r="V18" s="32" t="n">
        <v>127.2</v>
      </c>
      <c r="W18" s="32" t="n">
        <v>34.52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Between 12 to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IF(B19=0,"",RANK(B19,$B$2:$B$135,0))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SSWL</t>
        </is>
      </c>
      <c r="D19" s="31" t="inlineStr">
        <is>
          <t>Steel Strips Wheels Limited</t>
        </is>
      </c>
      <c r="E19" s="31" t="inlineStr">
        <is>
          <t>auto</t>
        </is>
      </c>
      <c r="F19" s="31" t="inlineStr">
        <is>
          <t>auto ancillaries</t>
        </is>
      </c>
      <c r="G19" s="31" t="inlineStr">
        <is>
          <t>midcap</t>
        </is>
      </c>
      <c r="H19" s="32" t="n">
        <v>6452.26</v>
      </c>
      <c r="I19" s="32" t="n">
        <v>406.8</v>
      </c>
      <c r="J19" s="32" t="n">
        <v>-0.9</v>
      </c>
      <c r="K19" s="32" t="n">
        <v>617552</v>
      </c>
      <c r="L19" s="31" t="inlineStr"/>
      <c r="M19" s="31" t="inlineStr"/>
      <c r="N19" s="32">
        <f>IF(M19="Underperforming",-5,IF(L19&gt;=95,15,IF(L19&gt;=90,10,IF(L19&gt;=80,5,0))))</f>
        <v/>
      </c>
      <c r="O19" s="32" t="n">
        <v>83.40000000000001</v>
      </c>
      <c r="P19" s="32" t="n">
        <v>49.86</v>
      </c>
      <c r="Q19" s="32" t="n">
        <v>316.43</v>
      </c>
      <c r="R19" s="31" t="inlineStr">
        <is>
          <t>Near 52W High Breakout</t>
        </is>
      </c>
      <c r="S19" s="31" t="inlineStr">
        <is>
          <t>Nifty Auto</t>
        </is>
      </c>
      <c r="T19" s="32" t="inlineStr"/>
      <c r="U19" s="32" t="inlineStr"/>
      <c r="V19" s="32" t="inlineStr"/>
      <c r="W19" s="32" t="inlineStr"/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IF(B20=0,"",RANK(B20,$B$2:$B$135,0))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MAWANASUG</t>
        </is>
      </c>
      <c r="D20" s="31" t="inlineStr">
        <is>
          <t>Mawana Sugars Limited</t>
        </is>
      </c>
      <c r="E20" s="31" t="inlineStr">
        <is>
          <t>fmcg</t>
        </is>
      </c>
      <c r="F20" s="31" t="inlineStr">
        <is>
          <t>sugar</t>
        </is>
      </c>
      <c r="G20" s="31" t="inlineStr">
        <is>
          <t>smallcap</t>
        </is>
      </c>
      <c r="H20" s="32" t="n">
        <v>567.62</v>
      </c>
      <c r="I20" s="32" t="n">
        <v>146.44</v>
      </c>
      <c r="J20" s="32" t="n">
        <v>0.92</v>
      </c>
      <c r="K20" s="32" t="n">
        <v>173010</v>
      </c>
      <c r="L20" s="31" t="inlineStr"/>
      <c r="M20" s="31" t="inlineStr"/>
      <c r="N20" s="32">
        <f>IF(M20="Underperforming",-5,IF(L20&gt;=95,15,IF(L20&gt;=90,10,IF(L20&gt;=80,5,0))))</f>
        <v/>
      </c>
      <c r="O20" s="32" t="n">
        <v>64</v>
      </c>
      <c r="P20" s="32" t="n">
        <v>44.14</v>
      </c>
      <c r="Q20" s="32" t="n">
        <v>107.73</v>
      </c>
      <c r="R20" s="31" t="inlineStr">
        <is>
          <t>Near 52W High Breakout</t>
        </is>
      </c>
      <c r="S20" s="31" t="inlineStr">
        <is>
          <t>Nifty FMCG</t>
        </is>
      </c>
      <c r="T20" s="32" t="inlineStr"/>
      <c r="U20" s="32" t="inlineStr"/>
      <c r="V20" s="32" t="inlineStr"/>
      <c r="W20" s="32" t="inlineStr"/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B2C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Between 0.7 to 1.2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IF(B21=0,"",RANK(B21,$B$2:$B$135,0))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MOREPENLAB</t>
        </is>
      </c>
      <c r="D21" s="31" t="inlineStr">
        <is>
          <t>Morepen Laboratories Limited</t>
        </is>
      </c>
      <c r="E21" s="31" t="inlineStr">
        <is>
          <t>healthcare</t>
        </is>
      </c>
      <c r="F21" s="31" t="inlineStr">
        <is>
          <t>pharmaceuticals - indian - bulk drugs &amp; formln</t>
        </is>
      </c>
      <c r="G21" s="31" t="inlineStr">
        <is>
          <t>midcap</t>
        </is>
      </c>
      <c r="H21" s="32" t="n">
        <v>7482.31</v>
      </c>
      <c r="I21" s="32" t="n">
        <v>129.55</v>
      </c>
      <c r="J21" s="32" t="n">
        <v>-5.13</v>
      </c>
      <c r="K21" s="32" t="n">
        <v>17770995</v>
      </c>
      <c r="L21" s="31" t="n">
        <v>96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84.94</v>
      </c>
      <c r="P21" s="32" t="n">
        <v>57.57</v>
      </c>
      <c r="Q21" s="32" t="n">
        <v>98.04000000000001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16.85</v>
      </c>
      <c r="U21" s="32" t="n">
        <v>160.31</v>
      </c>
      <c r="V21" s="32" t="n">
        <v>122.77</v>
      </c>
      <c r="W21" s="32" t="n">
        <v>51.51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IF(B22=0,"",RANK(B22,$B$2:$B$135,0))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BLUSPRING</t>
        </is>
      </c>
      <c r="D22" s="31" t="inlineStr">
        <is>
          <t>Bluspring Enterprises Ltd</t>
        </is>
      </c>
      <c r="E22" s="31" t="inlineStr">
        <is>
          <t>miscellaneous</t>
        </is>
      </c>
      <c r="F22" s="31" t="inlineStr">
        <is>
          <t>diversified - large</t>
        </is>
      </c>
      <c r="G22" s="31" t="inlineStr">
        <is>
          <t>smallcap</t>
        </is>
      </c>
      <c r="H22" s="32" t="n">
        <v>2029.26</v>
      </c>
      <c r="I22" s="32" t="n">
        <v>146.96</v>
      </c>
      <c r="J22" s="32" t="n">
        <v>8.23</v>
      </c>
      <c r="K22" s="32" t="n">
        <v>1090575</v>
      </c>
      <c r="L22" s="31" t="n">
        <v>56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69.89</v>
      </c>
      <c r="P22" s="32" t="n">
        <v>59.32</v>
      </c>
      <c r="Q22" s="32" t="n">
        <v>101.01</v>
      </c>
      <c r="R22" s="31" t="inlineStr">
        <is>
          <t>Near 52W High Breakout</t>
        </is>
      </c>
      <c r="S22" s="31" t="inlineStr">
        <is>
          <t>Nifty 50</t>
        </is>
      </c>
      <c r="T22" s="32" t="n">
        <v>-10.93</v>
      </c>
      <c r="U22" s="32" t="n">
        <v>80.39</v>
      </c>
      <c r="V22" s="32" t="n">
        <v>102.53</v>
      </c>
      <c r="W22" s="32" t="n">
        <v>23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IF(B23=0,"",RANK(B23,$B$2:$B$135,0))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PCJEWELLER</t>
        </is>
      </c>
      <c r="D23" s="31" t="inlineStr">
        <is>
          <t>Pc Jeweller Limited</t>
        </is>
      </c>
      <c r="E23" s="31" t="inlineStr">
        <is>
          <t>consumer discretionary</t>
        </is>
      </c>
      <c r="F23" s="31" t="inlineStr">
        <is>
          <t>diamond cutting / jewellery</t>
        </is>
      </c>
      <c r="G23" s="31" t="inlineStr">
        <is>
          <t>midcap</t>
        </is>
      </c>
      <c r="H23" s="32" t="n">
        <v>13497.64</v>
      </c>
      <c r="I23" s="32" t="n">
        <v>14.81</v>
      </c>
      <c r="J23" s="32" t="n">
        <v>6.55</v>
      </c>
      <c r="K23" s="32" t="n">
        <v>895898449</v>
      </c>
      <c r="L23" s="31" t="n">
        <v>38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67.79000000000001</v>
      </c>
      <c r="P23" s="32" t="n">
        <v>36.48</v>
      </c>
      <c r="Q23" s="32" t="n">
        <v>10.4</v>
      </c>
      <c r="R23" s="31" t="inlineStr">
        <is>
          <t>Near 52W High Breakout</t>
        </is>
      </c>
      <c r="S23" s="31" t="inlineStr">
        <is>
          <t>Nifty 50</t>
        </is>
      </c>
      <c r="T23" s="32" t="n">
        <v>-10.93</v>
      </c>
      <c r="U23" s="32" t="n">
        <v>15.34</v>
      </c>
      <c r="V23" s="32" t="n">
        <v>29.5</v>
      </c>
      <c r="W23" s="32" t="n">
        <v>14.92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IF(B24=0,"",RANK(B24,$B$2:$B$135,0))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CPPLUS</t>
        </is>
      </c>
      <c r="D24" s="31" t="inlineStr">
        <is>
          <t>Aditya Infotech Ltd</t>
        </is>
      </c>
      <c r="E24" s="31" t="inlineStr">
        <is>
          <t>consumer discretionary</t>
        </is>
      </c>
      <c r="F24" s="31" t="inlineStr">
        <is>
          <t>trading</t>
        </is>
      </c>
      <c r="G24" s="31" t="inlineStr">
        <is>
          <t>largecap</t>
        </is>
      </c>
      <c r="H24" s="32" t="n">
        <v>48709.87</v>
      </c>
      <c r="I24" s="32" t="n">
        <v>4185.2</v>
      </c>
      <c r="J24" s="32" t="n">
        <v>5.36</v>
      </c>
      <c r="K24" s="32" t="n">
        <v>887678</v>
      </c>
      <c r="L24" s="31" t="n">
        <v>74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70.09999999999999</v>
      </c>
      <c r="P24" s="32" t="n">
        <v>44.04</v>
      </c>
      <c r="Q24" s="32" t="n">
        <v>3138.16</v>
      </c>
      <c r="R24" s="31" t="inlineStr">
        <is>
          <t>Volume Spike &amp; Near 52W High Breakout</t>
        </is>
      </c>
      <c r="S24" s="31" t="inlineStr">
        <is>
          <t>Nifty 50</t>
        </is>
      </c>
      <c r="T24" s="32" t="n">
        <v>-10.93</v>
      </c>
      <c r="U24" s="32" t="n">
        <v>200.97</v>
      </c>
      <c r="V24" s="32" t="n">
        <v>237.92</v>
      </c>
      <c r="W24" s="32" t="n">
        <v>31.56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IF(B25=0,"",RANK(B25,$B$2:$B$135,0))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DPABHUSHAN</t>
        </is>
      </c>
      <c r="D25" s="31" t="inlineStr">
        <is>
          <t>D.P. Abhushan Ltd</t>
        </is>
      </c>
      <c r="E25" s="31" t="inlineStr">
        <is>
          <t>consumer discretionary</t>
        </is>
      </c>
      <c r="F25" s="31" t="inlineStr">
        <is>
          <t>trading</t>
        </is>
      </c>
      <c r="G25" s="31" t="inlineStr">
        <is>
          <t>midcap</t>
        </is>
      </c>
      <c r="H25" s="32" t="n">
        <v>5156.6</v>
      </c>
      <c r="I25" s="32" t="n">
        <v>2363.8</v>
      </c>
      <c r="J25" s="32" t="n">
        <v>4.64</v>
      </c>
      <c r="K25" s="32" t="n">
        <v>295689</v>
      </c>
      <c r="L25" s="31" t="n">
        <v>84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82.09</v>
      </c>
      <c r="P25" s="32" t="n">
        <v>39.19</v>
      </c>
      <c r="Q25" s="32" t="n">
        <v>1780.91</v>
      </c>
      <c r="R25" s="31" t="inlineStr">
        <is>
          <t>Volume Spike &amp; Near 52W High Breakout</t>
        </is>
      </c>
      <c r="S25" s="31" t="inlineStr">
        <is>
          <t>Nifty 50</t>
        </is>
      </c>
      <c r="T25" s="32" t="n">
        <v>-10.93</v>
      </c>
      <c r="U25" s="32" t="n">
        <v>65.65000000000001</v>
      </c>
      <c r="V25" s="32" t="n">
        <v>85.98999999999999</v>
      </c>
      <c r="W25" s="32" t="n">
        <v>36.13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IF(B26=0,"",RANK(B26,$B$2:$B$135,0))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DELTACORP</t>
        </is>
      </c>
      <c r="D26" s="31" t="inlineStr">
        <is>
          <t>Delta Corp Limited</t>
        </is>
      </c>
      <c r="E26" s="31" t="inlineStr">
        <is>
          <t>miscellaneous</t>
        </is>
      </c>
      <c r="F26" s="31" t="inlineStr">
        <is>
          <t>recreation / amusement parks</t>
        </is>
      </c>
      <c r="G26" s="31" t="inlineStr">
        <is>
          <t>smallcap</t>
        </is>
      </c>
      <c r="H26" s="32" t="n">
        <v>2097.18</v>
      </c>
      <c r="I26" s="32" t="n">
        <v>81.31</v>
      </c>
      <c r="J26" s="32" t="n">
        <v>3.82</v>
      </c>
      <c r="K26" s="32" t="n">
        <v>11493641</v>
      </c>
      <c r="L26" s="31" t="n">
        <v>19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65.42</v>
      </c>
      <c r="P26" s="32" t="n">
        <v>24.88</v>
      </c>
      <c r="Q26" s="32" t="n">
        <v>57.1</v>
      </c>
      <c r="R26" s="31" t="inlineStr">
        <is>
          <t>Volume Spike &amp; Near 52W High Breakout</t>
        </is>
      </c>
      <c r="S26" s="31" t="inlineStr">
        <is>
          <t>Nifty 50</t>
        </is>
      </c>
      <c r="T26" s="32" t="n">
        <v>-10.93</v>
      </c>
      <c r="U26" s="32" t="n">
        <v>3.35</v>
      </c>
      <c r="V26" s="32" t="n">
        <v>16.04</v>
      </c>
      <c r="W26" s="32" t="n">
        <v>7.04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IF(B27=0,"",RANK(B27,$B$2:$B$135,0))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MOTISONS</t>
        </is>
      </c>
      <c r="D27" s="31" t="inlineStr">
        <is>
          <t>Motisons Jewellers Ltd</t>
        </is>
      </c>
      <c r="E27" s="31" t="inlineStr">
        <is>
          <t>consumer discretionary</t>
        </is>
      </c>
      <c r="F27" s="31" t="inlineStr">
        <is>
          <t>diamond cutting / jewellery</t>
        </is>
      </c>
      <c r="G27" s="31" t="inlineStr">
        <is>
          <t>smallcap</t>
        </is>
      </c>
      <c r="H27" s="32" t="n">
        <v>1998.6</v>
      </c>
      <c r="I27" s="32" t="n">
        <v>18.06</v>
      </c>
      <c r="J27" s="32" t="n">
        <v>2.79</v>
      </c>
      <c r="K27" s="32" t="n">
        <v>48499457</v>
      </c>
      <c r="L27" s="31" t="n">
        <v>20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64.42</v>
      </c>
      <c r="P27" s="32" t="n">
        <v>28.68</v>
      </c>
      <c r="Q27" s="32" t="n">
        <v>12.82</v>
      </c>
      <c r="R27" s="31" t="inlineStr">
        <is>
          <t>Near 52W High Breakout</t>
        </is>
      </c>
      <c r="S27" s="31" t="inlineStr">
        <is>
          <t>Nifty 50</t>
        </is>
      </c>
      <c r="T27" s="32" t="n">
        <v>-10.93</v>
      </c>
      <c r="U27" s="32" t="n">
        <v>1.4</v>
      </c>
      <c r="V27" s="32" t="n">
        <v>13.85</v>
      </c>
      <c r="W27" s="32" t="n">
        <v>7.05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IF(B28=0,"",RANK(B28,$B$2:$B$135,0))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LOTUSDEV</t>
        </is>
      </c>
      <c r="D28" s="31" t="inlineStr">
        <is>
          <t>Sri Lotus Developers &amp; Realty Ltd</t>
        </is>
      </c>
      <c r="E28" s="31" t="inlineStr">
        <is>
          <t>realty</t>
        </is>
      </c>
      <c r="F28" s="31" t="inlineStr">
        <is>
          <t>construction</t>
        </is>
      </c>
      <c r="G28" s="31" t="inlineStr">
        <is>
          <t>midcap</t>
        </is>
      </c>
      <c r="H28" s="32" t="n">
        <v>11422.94</v>
      </c>
      <c r="I28" s="32" t="n">
        <v>239.75</v>
      </c>
      <c r="J28" s="32" t="n">
        <v>2.58</v>
      </c>
      <c r="K28" s="32" t="n">
        <v>549287</v>
      </c>
      <c r="L28" s="31" t="inlineStr"/>
      <c r="M28" s="31" t="inlineStr"/>
      <c r="N28" s="32">
        <f>IF(M28="Underperforming",-5,IF(L28&gt;=95,15,IF(L28&gt;=90,10,IF(L28&gt;=80,5,0))))</f>
        <v/>
      </c>
      <c r="O28" s="32" t="n">
        <v>72.67</v>
      </c>
      <c r="P28" s="32" t="n">
        <v>33.1</v>
      </c>
      <c r="Q28" s="32" t="n">
        <v>183.83</v>
      </c>
      <c r="R28" s="31" t="inlineStr">
        <is>
          <t>Near 52W High Breakout</t>
        </is>
      </c>
      <c r="S28" s="31" t="inlineStr">
        <is>
          <t>Nifty Realty</t>
        </is>
      </c>
      <c r="T28" s="32" t="inlineStr"/>
      <c r="U28" s="32" t="inlineStr"/>
      <c r="V28" s="32" t="inlineStr"/>
      <c r="W28" s="32" t="inlineStr"/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IF(B29=0,"",RANK(B29,$B$2:$B$135,0))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SYRMA</t>
        </is>
      </c>
      <c r="D29" s="31" t="inlineStr">
        <is>
          <t>Syrma SGS Technology Ltd</t>
        </is>
      </c>
      <c r="E29" s="31" t="inlineStr">
        <is>
          <t>consumer discretionary</t>
        </is>
      </c>
      <c r="F29" s="31" t="inlineStr">
        <is>
          <t>electronics - components</t>
        </is>
      </c>
      <c r="G29" s="31" t="inlineStr">
        <is>
          <t>largecap</t>
        </is>
      </c>
      <c r="H29" s="32" t="n">
        <v>32412.88</v>
      </c>
      <c r="I29" s="32" t="n">
        <v>1719.9</v>
      </c>
      <c r="J29" s="32" t="n">
        <v>2.32</v>
      </c>
      <c r="K29" s="32" t="n">
        <v>980252</v>
      </c>
      <c r="L29" s="31" t="n">
        <v>53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75.34</v>
      </c>
      <c r="P29" s="32" t="n">
        <v>59.46</v>
      </c>
      <c r="Q29" s="32" t="n">
        <v>1341.24</v>
      </c>
      <c r="R29" s="31" t="inlineStr">
        <is>
          <t>Near 52W High Breakout</t>
        </is>
      </c>
      <c r="S29" s="31" t="inlineStr">
        <is>
          <t>Nifty 50</t>
        </is>
      </c>
      <c r="T29" s="32" t="n">
        <v>-10.93</v>
      </c>
      <c r="U29" s="32" t="n">
        <v>104.07</v>
      </c>
      <c r="V29" s="32" t="n">
        <v>129.13</v>
      </c>
      <c r="W29" s="32" t="n">
        <v>22.11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IF(B30=0,"",RANK(B30,$B$2:$B$135,0))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PLASTIBLEN</t>
        </is>
      </c>
      <c r="D30" s="31" t="inlineStr">
        <is>
          <t>Plastiblends India Limited</t>
        </is>
      </c>
      <c r="E30" s="31" t="inlineStr">
        <is>
          <t>chemicals</t>
        </is>
      </c>
      <c r="F30" s="31" t="inlineStr">
        <is>
          <t>chemicals</t>
        </is>
      </c>
      <c r="G30" s="31" t="inlineStr">
        <is>
          <t>smallcap</t>
        </is>
      </c>
      <c r="H30" s="32" t="n">
        <v>518.41</v>
      </c>
      <c r="I30" s="32" t="n">
        <v>201.79</v>
      </c>
      <c r="J30" s="32" t="n">
        <v>1.16</v>
      </c>
      <c r="K30" s="32" t="n">
        <v>156929</v>
      </c>
      <c r="L30" s="31" t="n">
        <v>17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62.04</v>
      </c>
      <c r="P30" s="32" t="n">
        <v>35.5</v>
      </c>
      <c r="Q30" s="32" t="n">
        <v>157.42</v>
      </c>
      <c r="R30" s="31" t="inlineStr">
        <is>
          <t>Volume Spike &amp; Near 52W High Breakout</t>
        </is>
      </c>
      <c r="S30" s="31" t="inlineStr">
        <is>
          <t>Nifty 50</t>
        </is>
      </c>
      <c r="T30" s="32" t="n">
        <v>-10.93</v>
      </c>
      <c r="U30" s="32" t="n">
        <v>11.58</v>
      </c>
      <c r="V30" s="32" t="n">
        <v>25.27</v>
      </c>
      <c r="W30" s="32" t="n">
        <v>5.8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IF(B31=0,"",RANK(B31,$B$2:$B$135,0))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MARINE</t>
        </is>
      </c>
      <c r="D31" s="31" t="inlineStr">
        <is>
          <t>Marine Electricals (India) Ltd</t>
        </is>
      </c>
      <c r="E31" s="31" t="inlineStr">
        <is>
          <t>industrials</t>
        </is>
      </c>
      <c r="F31" s="31" t="inlineStr">
        <is>
          <t>electric equipment</t>
        </is>
      </c>
      <c r="G31" s="31" t="inlineStr">
        <is>
          <t>midcap</t>
        </is>
      </c>
      <c r="H31" s="32" t="n">
        <v>6333.88</v>
      </c>
      <c r="I31" s="32" t="n">
        <v>455.65</v>
      </c>
      <c r="J31" s="32" t="n">
        <v>0.67</v>
      </c>
      <c r="K31" s="32" t="n">
        <v>806212</v>
      </c>
      <c r="L31" s="31" t="n">
        <v>83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74.06999999999999</v>
      </c>
      <c r="P31" s="32" t="n">
        <v>49.9</v>
      </c>
      <c r="Q31" s="32" t="n">
        <v>329.31</v>
      </c>
      <c r="R31" s="31" t="inlineStr">
        <is>
          <t>Near 52W High Breakout</t>
        </is>
      </c>
      <c r="S31" s="31" t="inlineStr">
        <is>
          <t>Nifty 50</t>
        </is>
      </c>
      <c r="T31" s="32" t="n">
        <v>-10.93</v>
      </c>
      <c r="U31" s="32" t="n">
        <v>116.34</v>
      </c>
      <c r="V31" s="32" t="n">
        <v>142.9</v>
      </c>
      <c r="W31" s="32" t="n">
        <v>35.65</v>
      </c>
      <c r="X31" s="31" t="inlineStr">
        <is>
          <t>Cyclical in an Upturn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IF(B32=0,"",RANK(B32,$B$2:$B$135,0))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PTCIL</t>
        </is>
      </c>
      <c r="D32" s="31" t="inlineStr">
        <is>
          <t>PTC Industries Ltd</t>
        </is>
      </c>
      <c r="E32" s="31" t="inlineStr">
        <is>
          <t>castings, forgings &amp; fasteners</t>
        </is>
      </c>
      <c r="F32" s="31" t="inlineStr">
        <is>
          <t>castings &amp; forgings</t>
        </is>
      </c>
      <c r="G32" s="31" t="inlineStr">
        <is>
          <t>largecap</t>
        </is>
      </c>
      <c r="H32" s="32" t="n">
        <v>36686.77</v>
      </c>
      <c r="I32" s="32" t="n">
        <v>24535</v>
      </c>
      <c r="J32" s="32" t="n">
        <v>0.27</v>
      </c>
      <c r="K32" s="32" t="n">
        <v>28898</v>
      </c>
      <c r="L32" s="31" t="n">
        <v>46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72.05</v>
      </c>
      <c r="P32" s="32" t="n">
        <v>43.36</v>
      </c>
      <c r="Q32" s="32" t="n">
        <v>19717.08</v>
      </c>
      <c r="R32" s="31" t="inlineStr">
        <is>
          <t>Near 52W High Breakout</t>
        </is>
      </c>
      <c r="S32" s="31" t="inlineStr">
        <is>
          <t>Nifty 50</t>
        </is>
      </c>
      <c r="T32" s="32" t="n">
        <v>-10.93</v>
      </c>
      <c r="U32" s="32" t="n">
        <v>51.01</v>
      </c>
      <c r="V32" s="32" t="n">
        <v>69.55</v>
      </c>
      <c r="W32" s="32" t="n">
        <v>17.81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IF(B33=0,"",RANK(B33,$B$2:$B$135,0))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AETHER</t>
        </is>
      </c>
      <c r="D33" s="31" t="inlineStr">
        <is>
          <t>Aether Industries Ltd</t>
        </is>
      </c>
      <c r="E33" s="31" t="inlineStr">
        <is>
          <t>chemicals</t>
        </is>
      </c>
      <c r="F33" s="31" t="inlineStr">
        <is>
          <t>chemicals</t>
        </is>
      </c>
      <c r="G33" s="31" t="inlineStr">
        <is>
          <t>largecap</t>
        </is>
      </c>
      <c r="H33" s="32" t="n">
        <v>23146.4</v>
      </c>
      <c r="I33" s="32" t="n">
        <v>1748.1</v>
      </c>
      <c r="J33" s="32" t="n">
        <v>0.23</v>
      </c>
      <c r="K33" s="32" t="n">
        <v>139555</v>
      </c>
      <c r="L33" s="31" t="n">
        <v>54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68.44</v>
      </c>
      <c r="P33" s="32" t="n">
        <v>61.3</v>
      </c>
      <c r="Q33" s="32" t="n">
        <v>1402.97</v>
      </c>
      <c r="R33" s="31" t="inlineStr">
        <is>
          <t>Volume Spike &amp; Near 52W High Breakout</t>
        </is>
      </c>
      <c r="S33" s="31" t="inlineStr">
        <is>
          <t>Nifty 50</t>
        </is>
      </c>
      <c r="T33" s="32" t="n">
        <v>-10.93</v>
      </c>
      <c r="U33" s="32" t="n">
        <v>133.02</v>
      </c>
      <c r="V33" s="32" t="n">
        <v>161.63</v>
      </c>
      <c r="W33" s="32" t="n">
        <v>22.23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IF(B34=0,"",RANK(B34,$B$2:$B$135,0))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HITECHCORP</t>
        </is>
      </c>
      <c r="D34" s="31" t="inlineStr">
        <is>
          <t>Hitech Corporation</t>
        </is>
      </c>
      <c r="E34" s="31" t="inlineStr">
        <is>
          <t>industrials</t>
        </is>
      </c>
      <c r="F34" s="31" t="inlineStr">
        <is>
          <t>packaging</t>
        </is>
      </c>
      <c r="G34" s="31" t="inlineStr">
        <is>
          <t>smallcap</t>
        </is>
      </c>
      <c r="H34" s="32" t="n">
        <v>602.09</v>
      </c>
      <c r="I34" s="32" t="n">
        <v>350.8</v>
      </c>
      <c r="J34" s="32" t="n">
        <v>0.07000000000000001</v>
      </c>
      <c r="K34" s="32" t="n">
        <v>46271</v>
      </c>
      <c r="L34" s="31" t="n">
        <v>56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80.65000000000001</v>
      </c>
      <c r="P34" s="32" t="n">
        <v>65.58</v>
      </c>
      <c r="Q34" s="32" t="n">
        <v>296.98</v>
      </c>
      <c r="R34" s="31" t="inlineStr">
        <is>
          <t>Volume Spike &amp; Near 52W High Breakout</t>
        </is>
      </c>
      <c r="S34" s="31" t="inlineStr">
        <is>
          <t>Nifty 50</t>
        </is>
      </c>
      <c r="T34" s="32" t="n">
        <v>-10.93</v>
      </c>
      <c r="U34" s="32" t="n">
        <v>78.98999999999999</v>
      </c>
      <c r="V34" s="32" t="n">
        <v>100.97</v>
      </c>
      <c r="W34" s="32" t="n">
        <v>22.69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IF(B35=0,"",RANK(B35,$B$2:$B$135,0))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MBECL</t>
        </is>
      </c>
      <c r="D35" s="31" t="inlineStr">
        <is>
          <t>Mcnally Bharat Engineering Company Limited</t>
        </is>
      </c>
      <c r="E35" s="31" t="inlineStr">
        <is>
          <t>realty</t>
        </is>
      </c>
      <c r="F35" s="31" t="inlineStr">
        <is>
          <t>engineering - turnkey services</t>
        </is>
      </c>
      <c r="G35" s="31" t="inlineStr">
        <is>
          <t>smallcap</t>
        </is>
      </c>
      <c r="H35" s="32" t="n">
        <v>1581</v>
      </c>
      <c r="I35" s="32" t="n">
        <v>464.85</v>
      </c>
      <c r="J35" s="32" t="n">
        <v>-1.99</v>
      </c>
      <c r="K35" s="32" t="n">
        <v>366</v>
      </c>
      <c r="L35" s="31" t="inlineStr"/>
      <c r="M35" s="31" t="inlineStr"/>
      <c r="N35" s="32">
        <f>IF(M35="Underperforming",-5,IF(L35&gt;=95,15,IF(L35&gt;=90,10,IF(L35&gt;=80,5,0))))</f>
        <v/>
      </c>
      <c r="O35" s="32" t="n">
        <v>91.76000000000001</v>
      </c>
      <c r="P35" s="32" t="n">
        <v>74.89</v>
      </c>
      <c r="Q35" s="32" t="n">
        <v>413.47</v>
      </c>
      <c r="R35" s="31" t="inlineStr">
        <is>
          <t>Volume Spike / Accumulation</t>
        </is>
      </c>
      <c r="S35" s="31" t="inlineStr">
        <is>
          <t>Nifty Realty</t>
        </is>
      </c>
      <c r="T35" s="32" t="inlineStr"/>
      <c r="U35" s="32" t="inlineStr"/>
      <c r="V35" s="32" t="inlineStr"/>
      <c r="W35" s="32" t="inlineStr"/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IF(B36=0,"",RANK(B36,$B$2:$B$135,0))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ZIMLAB</t>
        </is>
      </c>
      <c r="D36" s="31" t="inlineStr">
        <is>
          <t>Zim Laboratories Ltd</t>
        </is>
      </c>
      <c r="E36" s="31" t="inlineStr">
        <is>
          <t>healthcare</t>
        </is>
      </c>
      <c r="F36" s="31" t="inlineStr">
        <is>
          <t>pharmaceuticals - indian - bulk drugs &amp; formln</t>
        </is>
      </c>
      <c r="G36" s="31" t="inlineStr">
        <is>
          <t>smallcap</t>
        </is>
      </c>
      <c r="H36" s="32" t="n">
        <v>752.52</v>
      </c>
      <c r="I36" s="32" t="n">
        <v>150.47</v>
      </c>
      <c r="J36" s="32" t="n">
        <v>7.07</v>
      </c>
      <c r="K36" s="32" t="n">
        <v>554208</v>
      </c>
      <c r="L36" s="31" t="n">
        <v>60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74.40000000000001</v>
      </c>
      <c r="P36" s="32" t="n">
        <v>57.78</v>
      </c>
      <c r="Q36" s="32" t="n">
        <v>110.61</v>
      </c>
      <c r="R36" s="31" t="inlineStr">
        <is>
          <t>Volume Spike &amp; Near 52W High Breakout</t>
        </is>
      </c>
      <c r="S36" s="31" t="inlineStr">
        <is>
          <t>Nifty Pharma</t>
        </is>
      </c>
      <c r="T36" s="32" t="n">
        <v>16.85</v>
      </c>
      <c r="U36" s="32" t="n">
        <v>111.3</v>
      </c>
      <c r="V36" s="32" t="n">
        <v>80.83</v>
      </c>
      <c r="W36" s="32" t="n">
        <v>24.62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IF(B37=0,"",RANK(B37,$B$2:$B$135,0))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CUPID</t>
        </is>
      </c>
      <c r="D37" s="31" t="inlineStr">
        <is>
          <t>Cupid Limited</t>
        </is>
      </c>
      <c r="E37" s="31" t="inlineStr">
        <is>
          <t>fmcg</t>
        </is>
      </c>
      <c r="F37" s="31" t="inlineStr">
        <is>
          <t>personal care - indian</t>
        </is>
      </c>
      <c r="G37" s="31" t="inlineStr">
        <is>
          <t>largecap</t>
        </is>
      </c>
      <c r="H37" s="32" t="n">
        <v>47957.32</v>
      </c>
      <c r="I37" s="32" t="n">
        <v>366.1</v>
      </c>
      <c r="J37" s="32" t="n">
        <v>2.65</v>
      </c>
      <c r="K37" s="32" t="n">
        <v>33720165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87</v>
      </c>
      <c r="P37" s="32" t="n">
        <v>66.42</v>
      </c>
      <c r="Q37" s="32" t="n">
        <v>280.65</v>
      </c>
      <c r="R37" s="31" t="inlineStr">
        <is>
          <t>Near 52W High Breakout</t>
        </is>
      </c>
      <c r="S37" s="31" t="inlineStr">
        <is>
          <t>Nifty FMCG</t>
        </is>
      </c>
      <c r="T37" s="32" t="inlineStr"/>
      <c r="U37" s="32" t="inlineStr"/>
      <c r="V37" s="32" t="inlineStr"/>
      <c r="W37" s="32" t="inlineStr"/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B2C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IF(B38=0,"",RANK(B38,$B$2:$B$135,0))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E2E</t>
        </is>
      </c>
      <c r="D38" s="31" t="inlineStr">
        <is>
          <t>E2E Networks Ltd</t>
        </is>
      </c>
      <c r="E38" s="31" t="inlineStr">
        <is>
          <t>i.t</t>
        </is>
      </c>
      <c r="F38" s="31" t="inlineStr">
        <is>
          <t>computers - software - medium / small</t>
        </is>
      </c>
      <c r="G38" s="31" t="inlineStr">
        <is>
          <t>midcap</t>
        </is>
      </c>
      <c r="H38" s="32" t="n">
        <v>14680.42</v>
      </c>
      <c r="I38" s="32" t="n">
        <v>704.6</v>
      </c>
      <c r="J38" s="32" t="n">
        <v>-1.34</v>
      </c>
      <c r="K38" s="32" t="n">
        <v>986137</v>
      </c>
      <c r="L38" s="31" t="n">
        <v>89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75.76000000000001</v>
      </c>
      <c r="P38" s="32" t="n">
        <v>55.11</v>
      </c>
      <c r="Q38" s="32" t="n">
        <v>500.56</v>
      </c>
      <c r="R38" s="31" t="inlineStr">
        <is>
          <t>Near 52W High Breakout</t>
        </is>
      </c>
      <c r="S38" s="31" t="inlineStr">
        <is>
          <t>Nifty IT</t>
        </is>
      </c>
      <c r="T38" s="32" t="n">
        <v>-19.75</v>
      </c>
      <c r="U38" s="32" t="n">
        <v>106.76</v>
      </c>
      <c r="V38" s="32" t="n">
        <v>157.66</v>
      </c>
      <c r="W38" s="32" t="n">
        <v>39.32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IF(B39=0,"",RANK(B39,$B$2:$B$135,0))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TCPLPACK</t>
        </is>
      </c>
      <c r="D39" s="31" t="inlineStr">
        <is>
          <t>TCPL Packaging Ltd</t>
        </is>
      </c>
      <c r="E39" s="31" t="inlineStr">
        <is>
          <t>industrials</t>
        </is>
      </c>
      <c r="F39" s="31" t="inlineStr">
        <is>
          <t>packaging</t>
        </is>
      </c>
      <c r="G39" s="31" t="inlineStr">
        <is>
          <t>smallcap</t>
        </is>
      </c>
      <c r="H39" s="32" t="n">
        <v>3634.9</v>
      </c>
      <c r="I39" s="32" t="n">
        <v>4274.7</v>
      </c>
      <c r="J39" s="32" t="n">
        <v>7.02</v>
      </c>
      <c r="K39" s="32" t="n">
        <v>45318</v>
      </c>
      <c r="L39" s="31" t="n">
        <v>40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67.83</v>
      </c>
      <c r="P39" s="32" t="n">
        <v>49.95</v>
      </c>
      <c r="Q39" s="32" t="n">
        <v>3258.82</v>
      </c>
      <c r="R39" s="31" t="inlineStr">
        <is>
          <t>Near 52W High Breakout</t>
        </is>
      </c>
      <c r="S39" s="31" t="inlineStr">
        <is>
          <t>Nifty 50</t>
        </is>
      </c>
      <c r="T39" s="32" t="n">
        <v>-10.93</v>
      </c>
      <c r="U39" s="32" t="n">
        <v>26.62</v>
      </c>
      <c r="V39" s="32" t="n">
        <v>42.17</v>
      </c>
      <c r="W39" s="32" t="n">
        <v>15.47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Between 0.7 to 1.2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IF(B40=0,"",RANK(B40,$B$2:$B$135,0))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TBZ</t>
        </is>
      </c>
      <c r="D40" s="31" t="inlineStr">
        <is>
          <t>Tribhovandas Bhimji Zaveri Limited</t>
        </is>
      </c>
      <c r="E40" s="31" t="inlineStr">
        <is>
          <t>consumer discretionary</t>
        </is>
      </c>
      <c r="F40" s="31" t="inlineStr">
        <is>
          <t>diamond cutting / jewellery</t>
        </is>
      </c>
      <c r="G40" s="31" t="inlineStr">
        <is>
          <t>smallcap</t>
        </is>
      </c>
      <c r="H40" s="32" t="n">
        <v>3781.29</v>
      </c>
      <c r="I40" s="32" t="n">
        <v>594.95</v>
      </c>
      <c r="J40" s="32" t="n">
        <v>4.99</v>
      </c>
      <c r="K40" s="32" t="n">
        <v>239097</v>
      </c>
      <c r="L40" s="31" t="n">
        <v>97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80.5</v>
      </c>
      <c r="P40" s="32" t="n">
        <v>65.14</v>
      </c>
      <c r="Q40" s="32" t="n">
        <v>489.01</v>
      </c>
      <c r="R40" s="31" t="inlineStr">
        <is>
          <t>Earnings / Momentum Support</t>
        </is>
      </c>
      <c r="S40" s="31" t="inlineStr">
        <is>
          <t>Nifty 50</t>
        </is>
      </c>
      <c r="T40" s="32" t="n">
        <v>-10.93</v>
      </c>
      <c r="U40" s="32" t="n">
        <v>223.87</v>
      </c>
      <c r="V40" s="32" t="n">
        <v>263.63</v>
      </c>
      <c r="W40" s="32" t="n">
        <v>72.23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Between 0.7 to 1.2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IF(B41=0,"",RANK(B41,$B$2:$B$135,0))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KRISHANA</t>
        </is>
      </c>
      <c r="D41" s="31" t="inlineStr">
        <is>
          <t>Krishana Phoschem Ltd</t>
        </is>
      </c>
      <c r="E41" s="31" t="inlineStr">
        <is>
          <t>chemicals</t>
        </is>
      </c>
      <c r="F41" s="31" t="inlineStr">
        <is>
          <t>fertilizers</t>
        </is>
      </c>
      <c r="G41" s="31" t="inlineStr">
        <is>
          <t>smallcap</t>
        </is>
      </c>
      <c r="H41" s="32" t="n">
        <v>1166.63</v>
      </c>
      <c r="I41" s="32" t="n">
        <v>197.11</v>
      </c>
      <c r="J41" s="32" t="n">
        <v>4.46</v>
      </c>
      <c r="K41" s="32" t="n">
        <v>2164858</v>
      </c>
      <c r="L41" s="31" t="n">
        <v>52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70.76000000000001</v>
      </c>
      <c r="P41" s="32" t="n">
        <v>52.17</v>
      </c>
      <c r="Q41" s="32" t="n">
        <v>152.92</v>
      </c>
      <c r="R41" s="31" t="inlineStr">
        <is>
          <t>Volume Spike &amp; Near 52W High Breakout</t>
        </is>
      </c>
      <c r="S41" s="31" t="inlineStr">
        <is>
          <t>Nifty 50</t>
        </is>
      </c>
      <c r="T41" s="32" t="n">
        <v>-10.93</v>
      </c>
      <c r="U41" s="32" t="n">
        <v>72.89</v>
      </c>
      <c r="V41" s="32" t="n">
        <v>94.12</v>
      </c>
      <c r="W41" s="32" t="n">
        <v>21.15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More than 1.2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IF(B42=0,"",RANK(B42,$B$2:$B$135,0))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MAZDA</t>
        </is>
      </c>
      <c r="D42" s="31" t="inlineStr">
        <is>
          <t>Mazda Limited</t>
        </is>
      </c>
      <c r="E42" s="31" t="inlineStr">
        <is>
          <t>industrials</t>
        </is>
      </c>
      <c r="F42" s="31" t="inlineStr">
        <is>
          <t>engineering</t>
        </is>
      </c>
      <c r="G42" s="31" t="inlineStr">
        <is>
          <t>smallcap</t>
        </is>
      </c>
      <c r="H42" s="32" t="n">
        <v>544.08</v>
      </c>
      <c r="I42" s="32" t="n">
        <v>279.05</v>
      </c>
      <c r="J42" s="32" t="n">
        <v>2.71</v>
      </c>
      <c r="K42" s="32" t="n">
        <v>17920</v>
      </c>
      <c r="L42" s="31" t="n">
        <v>11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65.08</v>
      </c>
      <c r="P42" s="32" t="n">
        <v>36.1</v>
      </c>
      <c r="Q42" s="32" t="n">
        <v>218.32</v>
      </c>
      <c r="R42" s="31" t="inlineStr">
        <is>
          <t>Near 52W High Breakout</t>
        </is>
      </c>
      <c r="S42" s="31" t="inlineStr">
        <is>
          <t>Nifty 50</t>
        </is>
      </c>
      <c r="T42" s="32" t="n">
        <v>-10.93</v>
      </c>
      <c r="U42" s="32" t="n">
        <v>-2.75</v>
      </c>
      <c r="V42" s="32" t="n">
        <v>9.19</v>
      </c>
      <c r="W42" s="32" t="n">
        <v>4.33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IF(B43=0,"",RANK(B43,$B$2:$B$135,0))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DIACABS</t>
        </is>
      </c>
      <c r="D43" s="31" t="inlineStr">
        <is>
          <t>Diamond Power Infrastructure Ltd</t>
        </is>
      </c>
      <c r="E43" s="31" t="inlineStr">
        <is>
          <t>industrials</t>
        </is>
      </c>
      <c r="F43" s="31" t="inlineStr">
        <is>
          <t>cables - power</t>
        </is>
      </c>
      <c r="G43" s="31" t="inlineStr">
        <is>
          <t>largecap</t>
        </is>
      </c>
      <c r="H43" s="32" t="n">
        <v>22242.26</v>
      </c>
      <c r="I43" s="32" t="n">
        <v>380.95</v>
      </c>
      <c r="J43" s="32" t="n">
        <v>2.43</v>
      </c>
      <c r="K43" s="32" t="n">
        <v>1168361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74.17</v>
      </c>
      <c r="P43" s="32" t="n">
        <v>67.33</v>
      </c>
      <c r="Q43" s="32" t="n">
        <v>285.62</v>
      </c>
      <c r="R43" s="31" t="inlineStr">
        <is>
          <t>Near 52W High Breakout</t>
        </is>
      </c>
      <c r="S43" s="31" t="inlineStr">
        <is>
          <t>Nifty Energy</t>
        </is>
      </c>
      <c r="T43" s="32" t="inlineStr"/>
      <c r="U43" s="32" t="inlineStr"/>
      <c r="V43" s="32" t="inlineStr"/>
      <c r="W43" s="32" t="inlineStr"/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IF(B44=0,"",RANK(B44,$B$2:$B$135,0))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HFCL</t>
        </is>
      </c>
      <c r="D44" s="31" t="inlineStr">
        <is>
          <t>HFCL Ltd</t>
        </is>
      </c>
      <c r="E44" s="31" t="inlineStr">
        <is>
          <t>telecom</t>
        </is>
      </c>
      <c r="F44" s="31" t="inlineStr">
        <is>
          <t>cables - telephone</t>
        </is>
      </c>
      <c r="G44" s="31" t="inlineStr">
        <is>
          <t>largecap</t>
        </is>
      </c>
      <c r="H44" s="32" t="n">
        <v>39536.99</v>
      </c>
      <c r="I44" s="32" t="n">
        <v>260.4</v>
      </c>
      <c r="J44" s="32" t="n">
        <v>0.8100000000000001</v>
      </c>
      <c r="K44" s="32" t="n">
        <v>9090217</v>
      </c>
      <c r="L44" s="31" t="inlineStr"/>
      <c r="M44" s="31" t="inlineStr"/>
      <c r="N44" s="32">
        <f>IF(M44="Underperforming",-5,IF(L44&gt;=95,15,IF(L44&gt;=90,10,IF(L44&gt;=80,5,0))))</f>
        <v/>
      </c>
      <c r="O44" s="32" t="n">
        <v>71.40000000000001</v>
      </c>
      <c r="P44" s="32" t="n">
        <v>49.86</v>
      </c>
      <c r="Q44" s="32" t="n">
        <v>186.02</v>
      </c>
      <c r="R44" s="31" t="inlineStr">
        <is>
          <t>Near 52W High Breakout</t>
        </is>
      </c>
      <c r="S44" s="31" t="inlineStr">
        <is>
          <t>Nifty Infra</t>
        </is>
      </c>
      <c r="T44" s="32" t="inlineStr"/>
      <c r="U44" s="32" t="inlineStr"/>
      <c r="V44" s="32" t="inlineStr"/>
      <c r="W44" s="32" t="inlineStr"/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Oligopoly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IF(B45=0,"",RANK(B45,$B$2:$B$135,0))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WELSPUNLIV</t>
        </is>
      </c>
      <c r="D45" s="31" t="inlineStr">
        <is>
          <t>Welspun Living Ltd</t>
        </is>
      </c>
      <c r="E45" s="31" t="inlineStr">
        <is>
          <t>textiles</t>
        </is>
      </c>
      <c r="F45" s="31" t="inlineStr">
        <is>
          <t>textiles - products</t>
        </is>
      </c>
      <c r="G45" s="31" t="inlineStr">
        <is>
          <t>largecap</t>
        </is>
      </c>
      <c r="H45" s="32" t="n">
        <v>21263.54</v>
      </c>
      <c r="I45" s="32" t="n">
        <v>223.75</v>
      </c>
      <c r="J45" s="32" t="n">
        <v>-0.59</v>
      </c>
      <c r="K45" s="32" t="n">
        <v>2587725</v>
      </c>
      <c r="L45" s="31" t="n">
        <v>50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72.7</v>
      </c>
      <c r="P45" s="32" t="n">
        <v>46.39</v>
      </c>
      <c r="Q45" s="32" t="n">
        <v>191.08</v>
      </c>
      <c r="R45" s="31" t="inlineStr">
        <is>
          <t>Earnings / Momentum Support</t>
        </is>
      </c>
      <c r="S45" s="31" t="inlineStr">
        <is>
          <t>Nifty 50</t>
        </is>
      </c>
      <c r="T45" s="32" t="n">
        <v>-10.93</v>
      </c>
      <c r="U45" s="32" t="n">
        <v>82.36</v>
      </c>
      <c r="V45" s="32" t="n">
        <v>104.75</v>
      </c>
      <c r="W45" s="32" t="n">
        <v>20.93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IF(B46=0,"",RANK(B46,$B$2:$B$135,0))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CYIENTDLM</t>
        </is>
      </c>
      <c r="D46" s="31" t="inlineStr">
        <is>
          <t>Cyient DLM Ltd</t>
        </is>
      </c>
      <c r="E46" s="31" t="inlineStr">
        <is>
          <t>aerospace &amp; defence</t>
        </is>
      </c>
      <c r="F46" s="31" t="inlineStr">
        <is>
          <t>electronics - components</t>
        </is>
      </c>
      <c r="G46" s="31" t="inlineStr">
        <is>
          <t>midcap</t>
        </is>
      </c>
      <c r="H46" s="32" t="n">
        <v>7789.89</v>
      </c>
      <c r="I46" s="32" t="n">
        <v>952.35</v>
      </c>
      <c r="J46" s="32" t="n">
        <v>-2.95</v>
      </c>
      <c r="K46" s="32" t="n">
        <v>335996</v>
      </c>
      <c r="L46" s="31" t="n">
        <v>85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84.16</v>
      </c>
      <c r="P46" s="32" t="n">
        <v>78.93000000000001</v>
      </c>
      <c r="Q46" s="32" t="n">
        <v>726.35</v>
      </c>
      <c r="R46" s="31" t="inlineStr">
        <is>
          <t>Near 52W High Breakout</t>
        </is>
      </c>
      <c r="S46" s="31" t="inlineStr">
        <is>
          <t>Nifty 50</t>
        </is>
      </c>
      <c r="T46" s="32" t="n">
        <v>-10.93</v>
      </c>
      <c r="U46" s="32" t="n">
        <v>102.05</v>
      </c>
      <c r="V46" s="32" t="n">
        <v>126.85</v>
      </c>
      <c r="W46" s="32" t="n">
        <v>37.23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IF(B47=0,"",RANK(B47,$B$2:$B$135,0))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COFORGE</t>
        </is>
      </c>
      <c r="D47" s="31" t="inlineStr">
        <is>
          <t>Coforge (Niit Tech) Ltd</t>
        </is>
      </c>
      <c r="E47" s="31" t="inlineStr">
        <is>
          <t>i.t</t>
        </is>
      </c>
      <c r="F47" s="31" t="inlineStr">
        <is>
          <t>computers - software - large</t>
        </is>
      </c>
      <c r="G47" s="31" t="inlineStr">
        <is>
          <t>largecap</t>
        </is>
      </c>
      <c r="H47" s="32" t="n">
        <v>80317.39</v>
      </c>
      <c r="I47" s="32" t="n">
        <v>1867.9</v>
      </c>
      <c r="J47" s="32" t="n">
        <v>2.95</v>
      </c>
      <c r="K47" s="32" t="n">
        <v>2303224</v>
      </c>
      <c r="L47" s="31" t="n">
        <v>22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62.01</v>
      </c>
      <c r="P47" s="32" t="n">
        <v>21.82</v>
      </c>
      <c r="Q47" s="32" t="n">
        <v>1637.19</v>
      </c>
      <c r="R47" s="31" t="inlineStr">
        <is>
          <t>Earnings / Momentum Support</t>
        </is>
      </c>
      <c r="S47" s="31" t="inlineStr">
        <is>
          <t>Nifty IT</t>
        </is>
      </c>
      <c r="T47" s="32" t="n">
        <v>-19.75</v>
      </c>
      <c r="U47" s="32" t="n">
        <v>9.210000000000001</v>
      </c>
      <c r="V47" s="32" t="n">
        <v>36.09</v>
      </c>
      <c r="W47" s="32" t="n">
        <v>8.529999999999999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IF(B48=0,"",RANK(B48,$B$2:$B$135,0))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DBOL</t>
        </is>
      </c>
      <c r="D48" s="31" t="inlineStr">
        <is>
          <t>Dhampur Bio Organics Ltd</t>
        </is>
      </c>
      <c r="E48" s="31" t="inlineStr">
        <is>
          <t>fmcg</t>
        </is>
      </c>
      <c r="F48" s="31" t="inlineStr">
        <is>
          <t>sugar</t>
        </is>
      </c>
      <c r="G48" s="31" t="inlineStr">
        <is>
          <t>smallcap</t>
        </is>
      </c>
      <c r="H48" s="32" t="n">
        <v>932.28</v>
      </c>
      <c r="I48" s="32" t="n">
        <v>141.33</v>
      </c>
      <c r="J48" s="32" t="n">
        <v>0.64</v>
      </c>
      <c r="K48" s="32" t="n">
        <v>757711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67.26000000000001</v>
      </c>
      <c r="P48" s="32" t="n">
        <v>35.26</v>
      </c>
      <c r="Q48" s="32" t="n">
        <v>103.64</v>
      </c>
      <c r="R48" s="31" t="inlineStr">
        <is>
          <t>Volume Spike &amp; Near 52W High Breakout</t>
        </is>
      </c>
      <c r="S48" s="31" t="inlineStr">
        <is>
          <t>Nifty FMCG</t>
        </is>
      </c>
      <c r="T48" s="32" t="inlineStr"/>
      <c r="U48" s="32" t="inlineStr"/>
      <c r="V48" s="32" t="inlineStr"/>
      <c r="W48" s="32" t="inlineStr"/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B2C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Between 0.7 to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IF(B49=0,"",RANK(B49,$B$2:$B$135,0))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ADFFOODS</t>
        </is>
      </c>
      <c r="D49" s="31" t="inlineStr">
        <is>
          <t>Adf Foods Limited</t>
        </is>
      </c>
      <c r="E49" s="31" t="inlineStr">
        <is>
          <t>fmcg</t>
        </is>
      </c>
      <c r="F49" s="31" t="inlineStr">
        <is>
          <t>food - processing - indian</t>
        </is>
      </c>
      <c r="G49" s="31" t="inlineStr">
        <is>
          <t>smallcap</t>
        </is>
      </c>
      <c r="H49" s="32" t="n">
        <v>3167.37</v>
      </c>
      <c r="I49" s="32" t="n">
        <v>289.7</v>
      </c>
      <c r="J49" s="32" t="n">
        <v>0.49</v>
      </c>
      <c r="K49" s="32" t="n">
        <v>103320</v>
      </c>
      <c r="L49" s="31" t="inlineStr"/>
      <c r="M49" s="31" t="inlineStr"/>
      <c r="N49" s="32">
        <f>IF(M49="Underperforming",-5,IF(L49&gt;=95,15,IF(L49&gt;=90,10,IF(L49&gt;=80,5,0))))</f>
        <v/>
      </c>
      <c r="O49" s="32" t="n">
        <v>57.97</v>
      </c>
      <c r="P49" s="32" t="n">
        <v>27.28</v>
      </c>
      <c r="Q49" s="32" t="n">
        <v>243.42</v>
      </c>
      <c r="R49" s="31" t="inlineStr">
        <is>
          <t>Volume Spike / Accumulation</t>
        </is>
      </c>
      <c r="S49" s="31" t="inlineStr">
        <is>
          <t>Nifty FMCG</t>
        </is>
      </c>
      <c r="T49" s="32" t="inlineStr"/>
      <c r="U49" s="32" t="inlineStr"/>
      <c r="V49" s="32" t="inlineStr"/>
      <c r="W49" s="32" t="inlineStr"/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B2C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Between 12 to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IF(B50=0,"",RANK(B50,$B$2:$B$135,0))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SHILPAMED</t>
        </is>
      </c>
      <c r="D50" s="31" t="inlineStr">
        <is>
          <t>Shilpa Medicare Limited</t>
        </is>
      </c>
      <c r="E50" s="31" t="inlineStr">
        <is>
          <t>healthcare</t>
        </is>
      </c>
      <c r="F50" s="31" t="inlineStr">
        <is>
          <t>pharmaceuticals - indian - formulations</t>
        </is>
      </c>
      <c r="G50" s="31" t="inlineStr">
        <is>
          <t>largecap</t>
        </is>
      </c>
      <c r="H50" s="32" t="n">
        <v>20053</v>
      </c>
      <c r="I50" s="32" t="n">
        <v>1021.7</v>
      </c>
      <c r="J50" s="32" t="n">
        <v>-0.35</v>
      </c>
      <c r="K50" s="32" t="n">
        <v>397778</v>
      </c>
      <c r="L50" s="31" t="n">
        <v>89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83.22</v>
      </c>
      <c r="P50" s="32" t="n">
        <v>83.45</v>
      </c>
      <c r="Q50" s="32" t="n">
        <v>848.99</v>
      </c>
      <c r="R50" s="31" t="inlineStr">
        <is>
          <t>Near 52W High Breakout</t>
        </is>
      </c>
      <c r="S50" s="31" t="inlineStr">
        <is>
          <t>Nifty Pharma</t>
        </is>
      </c>
      <c r="T50" s="32" t="n">
        <v>16.85</v>
      </c>
      <c r="U50" s="32" t="n">
        <v>178.72</v>
      </c>
      <c r="V50" s="32" t="n">
        <v>138.53</v>
      </c>
      <c r="W50" s="32" t="n">
        <v>39.36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IF(B51=0,"",RANK(B51,$B$2:$B$135,0))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SYNCOMF</t>
        </is>
      </c>
      <c r="D51" s="31" t="inlineStr">
        <is>
          <t>Syncom Formulations (India) Ltd</t>
        </is>
      </c>
      <c r="E51" s="31" t="inlineStr">
        <is>
          <t>healthcare</t>
        </is>
      </c>
      <c r="F51" s="31" t="inlineStr">
        <is>
          <t>pharmaceuticals - indian - bulk drugs &amp; formln</t>
        </is>
      </c>
      <c r="G51" s="31" t="inlineStr">
        <is>
          <t>smallcap</t>
        </is>
      </c>
      <c r="H51" s="32" t="n">
        <v>2215.58</v>
      </c>
      <c r="I51" s="32" t="n">
        <v>23.28</v>
      </c>
      <c r="J51" s="32" t="n">
        <v>-1.23</v>
      </c>
      <c r="K51" s="32" t="n">
        <v>14864967</v>
      </c>
      <c r="L51" s="31" t="n">
        <v>57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75.38</v>
      </c>
      <c r="P51" s="32" t="n">
        <v>37.44</v>
      </c>
      <c r="Q51" s="32" t="n">
        <v>16.92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16.85</v>
      </c>
      <c r="U51" s="32" t="n">
        <v>37.7</v>
      </c>
      <c r="V51" s="32" t="n">
        <v>17.84</v>
      </c>
      <c r="W51" s="32" t="n">
        <v>23.02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IF(B52=0,"",RANK(B52,$B$2:$B$135,0))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MAYURUNIQ</t>
        </is>
      </c>
      <c r="D52" s="31" t="inlineStr">
        <is>
          <t>Mayur Uniquoters Ltd</t>
        </is>
      </c>
      <c r="E52" s="31" t="inlineStr">
        <is>
          <t>consumer discretionary</t>
        </is>
      </c>
      <c r="F52" s="31" t="inlineStr">
        <is>
          <t>leather / leather products</t>
        </is>
      </c>
      <c r="G52" s="31" t="inlineStr">
        <is>
          <t>smallcap</t>
        </is>
      </c>
      <c r="H52" s="32" t="n">
        <v>3258.51</v>
      </c>
      <c r="I52" s="32" t="n">
        <v>788.4</v>
      </c>
      <c r="J52" s="32" t="n">
        <v>5.13</v>
      </c>
      <c r="K52" s="32" t="n">
        <v>232886</v>
      </c>
      <c r="L52" s="31" t="n">
        <v>31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60.18</v>
      </c>
      <c r="P52" s="32" t="n">
        <v>39.17</v>
      </c>
      <c r="Q52" s="32" t="n">
        <v>628.58</v>
      </c>
      <c r="R52" s="31" t="inlineStr">
        <is>
          <t>Earnings / Momentum Support</t>
        </is>
      </c>
      <c r="S52" s="31" t="inlineStr">
        <is>
          <t>Nifty 50</t>
        </is>
      </c>
      <c r="T52" s="32" t="n">
        <v>-10.93</v>
      </c>
      <c r="U52" s="32" t="n">
        <v>61.66</v>
      </c>
      <c r="V52" s="32" t="n">
        <v>81.5</v>
      </c>
      <c r="W52" s="32" t="n">
        <v>10.74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IF(B53=0,"",RANK(B53,$B$2:$B$135,0))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GALAXYSURF</t>
        </is>
      </c>
      <c r="D53" s="31" t="inlineStr">
        <is>
          <t>Galaxy Surfactants Ltd</t>
        </is>
      </c>
      <c r="E53" s="31" t="inlineStr">
        <is>
          <t>chemicals</t>
        </is>
      </c>
      <c r="F53" s="31" t="inlineStr">
        <is>
          <t>chemicals</t>
        </is>
      </c>
      <c r="G53" s="31" t="inlineStr">
        <is>
          <t>midcap</t>
        </is>
      </c>
      <c r="H53" s="32" t="n">
        <v>8532.9</v>
      </c>
      <c r="I53" s="32" t="n">
        <v>2502.2</v>
      </c>
      <c r="J53" s="32" t="n">
        <v>3.97</v>
      </c>
      <c r="K53" s="32" t="n">
        <v>95245</v>
      </c>
      <c r="L53" s="31" t="n">
        <v>22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67.26000000000001</v>
      </c>
      <c r="P53" s="32" t="n">
        <v>31.77</v>
      </c>
      <c r="Q53" s="32" t="n">
        <v>1970.52</v>
      </c>
      <c r="R53" s="31" t="inlineStr">
        <is>
          <t>Near 52W High Breakout</t>
        </is>
      </c>
      <c r="S53" s="31" t="inlineStr">
        <is>
          <t>Nifty 50</t>
        </is>
      </c>
      <c r="T53" s="32" t="n">
        <v>-10.93</v>
      </c>
      <c r="U53" s="32" t="n">
        <v>12.19</v>
      </c>
      <c r="V53" s="32" t="n">
        <v>25.96</v>
      </c>
      <c r="W53" s="32" t="n">
        <v>8.529999999999999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IF(B54=0,"",RANK(B54,$B$2:$B$135,0))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WSTCSTPAPR</t>
        </is>
      </c>
      <c r="D54" s="31" t="inlineStr">
        <is>
          <t>West Coast Paper Mills Limited</t>
        </is>
      </c>
      <c r="E54" s="31" t="inlineStr">
        <is>
          <t>building materials</t>
        </is>
      </c>
      <c r="F54" s="31" t="inlineStr">
        <is>
          <t>paper</t>
        </is>
      </c>
      <c r="G54" s="31" t="inlineStr">
        <is>
          <t>smallcap</t>
        </is>
      </c>
      <c r="H54" s="32" t="n">
        <v>4709.95</v>
      </c>
      <c r="I54" s="32" t="n">
        <v>727.65</v>
      </c>
      <c r="J54" s="32" t="n">
        <v>2.04</v>
      </c>
      <c r="K54" s="32" t="n">
        <v>187634</v>
      </c>
      <c r="L54" s="31" t="inlineStr"/>
      <c r="M54" s="31" t="inlineStr"/>
      <c r="N54" s="32">
        <f>IF(M54="Underperforming",-5,IF(L54&gt;=95,15,IF(L54&gt;=90,10,IF(L54&gt;=80,5,0))))</f>
        <v/>
      </c>
      <c r="O54" s="32" t="n">
        <v>71.26000000000001</v>
      </c>
      <c r="P54" s="32" t="n">
        <v>64.06</v>
      </c>
      <c r="Q54" s="32" t="n">
        <v>610.1799999999999</v>
      </c>
      <c r="R54" s="31" t="inlineStr">
        <is>
          <t>Earnings / Momentum Support</t>
        </is>
      </c>
      <c r="S54" s="31" t="inlineStr">
        <is>
          <t>Nifty Infra</t>
        </is>
      </c>
      <c r="T54" s="32" t="inlineStr"/>
      <c r="U54" s="32" t="inlineStr"/>
      <c r="V54" s="32" t="inlineStr"/>
      <c r="W54" s="32" t="inlineStr"/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IF(B55=0,"",RANK(B55,$B$2:$B$135,0))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NAZARA</t>
        </is>
      </c>
      <c r="D55" s="31" t="inlineStr">
        <is>
          <t>Nazara Technologies Ltd</t>
        </is>
      </c>
      <c r="E55" s="31" t="inlineStr">
        <is>
          <t>i.t</t>
        </is>
      </c>
      <c r="F55" s="31" t="inlineStr">
        <is>
          <t>telecommunications - service provider</t>
        </is>
      </c>
      <c r="G55" s="31" t="inlineStr">
        <is>
          <t>midcap</t>
        </is>
      </c>
      <c r="H55" s="32" t="n">
        <v>14464.57</v>
      </c>
      <c r="I55" s="32" t="n">
        <v>377.65</v>
      </c>
      <c r="J55" s="32" t="n">
        <v>0.44</v>
      </c>
      <c r="K55" s="32" t="n">
        <v>1319027</v>
      </c>
      <c r="L55" s="31" t="n">
        <v>36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71.34</v>
      </c>
      <c r="P55" s="32" t="n">
        <v>34.72</v>
      </c>
      <c r="Q55" s="32" t="n">
        <v>314.85</v>
      </c>
      <c r="R55" s="31" t="inlineStr">
        <is>
          <t>Near 52W High Breakout</t>
        </is>
      </c>
      <c r="S55" s="31" t="inlineStr">
        <is>
          <t>Nifty IT</t>
        </is>
      </c>
      <c r="T55" s="32" t="n">
        <v>-19.75</v>
      </c>
      <c r="U55" s="32" t="n">
        <v>42.54</v>
      </c>
      <c r="V55" s="32" t="n">
        <v>77.62</v>
      </c>
      <c r="W55" s="32" t="n">
        <v>12.86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Oligopoly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IF(B56=0,"",RANK(B56,$B$2:$B$135,0))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MVGJL</t>
        </is>
      </c>
      <c r="D56" s="31" t="inlineStr">
        <is>
          <t>Manoj Vaibhav Gems N Jewellers Ltd</t>
        </is>
      </c>
      <c r="E56" s="31" t="inlineStr">
        <is>
          <t>consumer discretionary</t>
        </is>
      </c>
      <c r="F56" s="31" t="inlineStr">
        <is>
          <t>diamond cutting / jewellery</t>
        </is>
      </c>
      <c r="G56" s="31" t="inlineStr">
        <is>
          <t>smallcap</t>
        </is>
      </c>
      <c r="H56" s="32" t="n">
        <v>1017.44</v>
      </c>
      <c r="I56" s="32" t="n">
        <v>207.87</v>
      </c>
      <c r="J56" s="32" t="n">
        <v>-0.2</v>
      </c>
      <c r="K56" s="32" t="n">
        <v>197543</v>
      </c>
      <c r="L56" s="31" t="n">
        <v>29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62.84</v>
      </c>
      <c r="P56" s="32" t="n">
        <v>22.61</v>
      </c>
      <c r="Q56" s="32" t="n">
        <v>160.43</v>
      </c>
      <c r="R56" s="31" t="inlineStr">
        <is>
          <t>Earnings / Momentum Support</t>
        </is>
      </c>
      <c r="S56" s="31" t="inlineStr">
        <is>
          <t>Nifty 50</t>
        </is>
      </c>
      <c r="T56" s="32" t="n">
        <v>-10.93</v>
      </c>
      <c r="U56" s="32" t="n">
        <v>10.88</v>
      </c>
      <c r="V56" s="32" t="n">
        <v>24.5</v>
      </c>
      <c r="W56" s="32" t="n">
        <v>9.710000000000001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IF(B57=0,"",RANK(B57,$B$2:$B$135,0))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BHAGERIA</t>
        </is>
      </c>
      <c r="D57" s="31" t="inlineStr">
        <is>
          <t>Bhageria Industries Limited</t>
        </is>
      </c>
      <c r="E57" s="31" t="inlineStr">
        <is>
          <t>chemicals</t>
        </is>
      </c>
      <c r="F57" s="31" t="inlineStr">
        <is>
          <t>dyes and pigments</t>
        </is>
      </c>
      <c r="G57" s="31" t="inlineStr">
        <is>
          <t>smallcap</t>
        </is>
      </c>
      <c r="H57" s="32" t="n">
        <v>1601.74</v>
      </c>
      <c r="I57" s="32" t="n">
        <v>364.9</v>
      </c>
      <c r="J57" s="32" t="n">
        <v>-0.57</v>
      </c>
      <c r="K57" s="32" t="n">
        <v>162959</v>
      </c>
      <c r="L57" s="31" t="n">
        <v>79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73.98999999999999</v>
      </c>
      <c r="P57" s="32" t="n">
        <v>46.3</v>
      </c>
      <c r="Q57" s="32" t="n">
        <v>298.26</v>
      </c>
      <c r="R57" s="31" t="inlineStr">
        <is>
          <t>Earnings / Momentum Support</t>
        </is>
      </c>
      <c r="S57" s="31" t="inlineStr">
        <is>
          <t>Nifty 50</t>
        </is>
      </c>
      <c r="T57" s="32" t="n">
        <v>-10.93</v>
      </c>
      <c r="U57" s="32" t="n">
        <v>98.84999999999999</v>
      </c>
      <c r="V57" s="32" t="n">
        <v>123.26</v>
      </c>
      <c r="W57" s="32" t="n">
        <v>33.16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IF(B58=0,"",RANK(B58,$B$2:$B$135,0))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SPECTRUM</t>
        </is>
      </c>
      <c r="D58" s="31" t="inlineStr">
        <is>
          <t>Spectrum Electrical Industries Ltd</t>
        </is>
      </c>
      <c r="E58" s="31" t="inlineStr">
        <is>
          <t>industrials</t>
        </is>
      </c>
      <c r="F58" s="31" t="inlineStr">
        <is>
          <t>electric equipment</t>
        </is>
      </c>
      <c r="G58" s="31" t="inlineStr">
        <is>
          <t>midcap</t>
        </is>
      </c>
      <c r="H58" s="32" t="n">
        <v>6511.35</v>
      </c>
      <c r="I58" s="32" t="n">
        <v>3777</v>
      </c>
      <c r="J58" s="32" t="n">
        <v>-0.88</v>
      </c>
      <c r="K58" s="32" t="n">
        <v>5761</v>
      </c>
      <c r="L58" s="31" t="n">
        <v>95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82.18000000000001</v>
      </c>
      <c r="P58" s="32" t="n">
        <v>66.03</v>
      </c>
      <c r="Q58" s="32" t="n">
        <v>2904.67</v>
      </c>
      <c r="R58" s="31" t="inlineStr">
        <is>
          <t>Near 52W High Breakout</t>
        </is>
      </c>
      <c r="S58" s="31" t="inlineStr">
        <is>
          <t>Nifty 50</t>
        </is>
      </c>
      <c r="T58" s="32" t="n">
        <v>-10.93</v>
      </c>
      <c r="U58" s="32" t="n">
        <v>182.08</v>
      </c>
      <c r="V58" s="32" t="n">
        <v>216.71</v>
      </c>
      <c r="W58" s="32" t="n">
        <v>48.86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Between 0.7 to 1.2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IF(B59=0,"",RANK(B59,$B$2:$B$135,0))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UNIMECH</t>
        </is>
      </c>
      <c r="D59" s="31" t="inlineStr">
        <is>
          <t>Unimech Aerospace and Manufacturing Ltd</t>
        </is>
      </c>
      <c r="E59" s="31" t="inlineStr">
        <is>
          <t>aerospace &amp; defence</t>
        </is>
      </c>
      <c r="F59" s="31" t="inlineStr">
        <is>
          <t>engineering</t>
        </is>
      </c>
      <c r="G59" s="31" t="inlineStr">
        <is>
          <t>midcap</t>
        </is>
      </c>
      <c r="H59" s="32" t="n">
        <v>8909.620000000001</v>
      </c>
      <c r="I59" s="32" t="n">
        <v>1734.8</v>
      </c>
      <c r="J59" s="32" t="n">
        <v>-0.98</v>
      </c>
      <c r="K59" s="32" t="n">
        <v>106141</v>
      </c>
      <c r="L59" s="31" t="n">
        <v>59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76.56</v>
      </c>
      <c r="P59" s="32" t="n">
        <v>50.18</v>
      </c>
      <c r="Q59" s="32" t="n">
        <v>1338.23</v>
      </c>
      <c r="R59" s="31" t="inlineStr">
        <is>
          <t>Near 52W High Breakout</t>
        </is>
      </c>
      <c r="S59" s="31" t="inlineStr">
        <is>
          <t>Nifty 50</t>
        </is>
      </c>
      <c r="T59" s="32" t="n">
        <v>-10.93</v>
      </c>
      <c r="U59" s="32" t="n">
        <v>80.95</v>
      </c>
      <c r="V59" s="32" t="n">
        <v>103.17</v>
      </c>
      <c r="W59" s="32" t="n">
        <v>24.05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IF(B60=0,"",RANK(B60,$B$2:$B$135,0))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DMCC</t>
        </is>
      </c>
      <c r="D60" s="31" t="inlineStr">
        <is>
          <t>DMCC Speciality Chemicals Ltd</t>
        </is>
      </c>
      <c r="E60" s="31" t="inlineStr">
        <is>
          <t>chemicals</t>
        </is>
      </c>
      <c r="F60" s="31" t="inlineStr">
        <is>
          <t>chemicals</t>
        </is>
      </c>
      <c r="G60" s="31" t="inlineStr">
        <is>
          <t>smallcap</t>
        </is>
      </c>
      <c r="H60" s="32" t="n">
        <v>840.73</v>
      </c>
      <c r="I60" s="32" t="n">
        <v>332.7</v>
      </c>
      <c r="J60" s="32" t="n">
        <v>-1.31</v>
      </c>
      <c r="K60" s="32" t="n">
        <v>136035</v>
      </c>
      <c r="L60" s="31" t="n">
        <v>23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66.69</v>
      </c>
      <c r="P60" s="32" t="n">
        <v>37.87</v>
      </c>
      <c r="Q60" s="32" t="n">
        <v>242.27</v>
      </c>
      <c r="R60" s="31" t="inlineStr">
        <is>
          <t>Volume Spike &amp; Near 52W High Breakout</t>
        </is>
      </c>
      <c r="S60" s="31" t="inlineStr">
        <is>
          <t>Nifty 50</t>
        </is>
      </c>
      <c r="T60" s="32" t="n">
        <v>-10.93</v>
      </c>
      <c r="U60" s="32" t="n">
        <v>9.130000000000001</v>
      </c>
      <c r="V60" s="32" t="n">
        <v>22.52</v>
      </c>
      <c r="W60" s="32" t="n">
        <v>8.74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IF(B61=0,"",RANK(B61,$B$2:$B$135,0))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KMEW</t>
        </is>
      </c>
      <c r="D61" s="31" t="inlineStr">
        <is>
          <t>Knowledge Marine &amp; Engineering Works Ltd</t>
        </is>
      </c>
      <c r="E61" s="31" t="inlineStr">
        <is>
          <t>transportation</t>
        </is>
      </c>
      <c r="F61" s="31" t="inlineStr">
        <is>
          <t>miscellaneous</t>
        </is>
      </c>
      <c r="G61" s="31" t="inlineStr">
        <is>
          <t>midcap</t>
        </is>
      </c>
      <c r="H61" s="32" t="n">
        <v>8209.629999999999</v>
      </c>
      <c r="I61" s="32" t="n">
        <v>3207.8</v>
      </c>
      <c r="J61" s="32" t="n">
        <v>-1.5</v>
      </c>
      <c r="K61" s="32" t="n">
        <v>267896</v>
      </c>
      <c r="L61" s="31" t="n">
        <v>71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77.73</v>
      </c>
      <c r="P61" s="32" t="n">
        <v>58.64</v>
      </c>
      <c r="Q61" s="32" t="n">
        <v>2336.24</v>
      </c>
      <c r="R61" s="31" t="inlineStr">
        <is>
          <t>Near 52W High Breakout</t>
        </is>
      </c>
      <c r="S61" s="31" t="inlineStr">
        <is>
          <t>Nifty 50</t>
        </is>
      </c>
      <c r="T61" s="32" t="n">
        <v>-10.93</v>
      </c>
      <c r="U61" s="32" t="n">
        <v>170.2</v>
      </c>
      <c r="V61" s="32" t="n">
        <v>203.37</v>
      </c>
      <c r="W61" s="32" t="n">
        <v>29.78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IF(B62=0,"",RANK(B62,$B$2:$B$135,0))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RBZJEWEL</t>
        </is>
      </c>
      <c r="D62" s="31" t="inlineStr">
        <is>
          <t>RBZ Jewellers Ltd</t>
        </is>
      </c>
      <c r="E62" s="31" t="inlineStr">
        <is>
          <t>consumer discretionary</t>
        </is>
      </c>
      <c r="F62" s="31" t="inlineStr">
        <is>
          <t>diamond cutting / jewellery</t>
        </is>
      </c>
      <c r="G62" s="31" t="inlineStr">
        <is>
          <t>smallcap</t>
        </is>
      </c>
      <c r="H62" s="32" t="n">
        <v>775.92</v>
      </c>
      <c r="I62" s="32" t="n">
        <v>190.63</v>
      </c>
      <c r="J62" s="32" t="n">
        <v>-1.73</v>
      </c>
      <c r="K62" s="32" t="n">
        <v>72988</v>
      </c>
      <c r="L62" s="31" t="n">
        <v>30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62.26</v>
      </c>
      <c r="P62" s="32" t="n">
        <v>36.61</v>
      </c>
      <c r="Q62" s="32" t="n">
        <v>141.03</v>
      </c>
      <c r="R62" s="31" t="inlineStr">
        <is>
          <t>Earnings / Momentum Support</t>
        </is>
      </c>
      <c r="S62" s="31" t="inlineStr">
        <is>
          <t>Nifty 50</t>
        </is>
      </c>
      <c r="T62" s="32" t="n">
        <v>-10.93</v>
      </c>
      <c r="U62" s="32" t="n">
        <v>30.85</v>
      </c>
      <c r="V62" s="32" t="n">
        <v>46.91</v>
      </c>
      <c r="W62" s="32" t="n">
        <v>10.73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IF(B63=0,"",RANK(B63,$B$2:$B$135,0))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SUNTV</t>
        </is>
      </c>
      <c r="D63" s="31" t="inlineStr">
        <is>
          <t>Sun Tv Network Limited</t>
        </is>
      </c>
      <c r="E63" s="31" t="inlineStr">
        <is>
          <t>media</t>
        </is>
      </c>
      <c r="F63" s="31" t="inlineStr">
        <is>
          <t>entertainment / electronic media software</t>
        </is>
      </c>
      <c r="G63" s="31" t="inlineStr">
        <is>
          <t>largecap</t>
        </is>
      </c>
      <c r="H63" s="32" t="n">
        <v>24204.68</v>
      </c>
      <c r="I63" s="32" t="n">
        <v>635.9</v>
      </c>
      <c r="J63" s="32" t="n">
        <v>3.53</v>
      </c>
      <c r="K63" s="32" t="n">
        <v>1787414</v>
      </c>
      <c r="L63" s="31" t="n">
        <v>25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68.42</v>
      </c>
      <c r="P63" s="32" t="n">
        <v>20.71</v>
      </c>
      <c r="Q63" s="32" t="n">
        <v>499.81</v>
      </c>
      <c r="R63" s="31" t="inlineStr">
        <is>
          <t>Near 52W High Breakout</t>
        </is>
      </c>
      <c r="S63" s="31" t="inlineStr">
        <is>
          <t>Nifty IT</t>
        </is>
      </c>
      <c r="T63" s="32" t="n">
        <v>-19.75</v>
      </c>
      <c r="U63" s="32" t="n">
        <v>12.68</v>
      </c>
      <c r="V63" s="32" t="n">
        <v>40.42</v>
      </c>
      <c r="W63" s="32" t="n">
        <v>9.17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Between 12 to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IF(B64=0,"",RANK(B64,$B$2:$B$135,0))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ABDL</t>
        </is>
      </c>
      <c r="D64" s="31" t="inlineStr">
        <is>
          <t>Allied Blenders &amp; Distillers Ltd</t>
        </is>
      </c>
      <c r="E64" s="31" t="inlineStr">
        <is>
          <t>fmcg</t>
        </is>
      </c>
      <c r="F64" s="31" t="inlineStr">
        <is>
          <t>breweries &amp; distilleries</t>
        </is>
      </c>
      <c r="G64" s="31" t="inlineStr">
        <is>
          <t>midcap</t>
        </is>
      </c>
      <c r="H64" s="32" t="n">
        <v>19396.5</v>
      </c>
      <c r="I64" s="32" t="n">
        <v>711.55</v>
      </c>
      <c r="J64" s="32" t="n">
        <v>2.61</v>
      </c>
      <c r="K64" s="32" t="n">
        <v>1078501</v>
      </c>
      <c r="L64" s="31" t="inlineStr"/>
      <c r="M64" s="31" t="inlineStr"/>
      <c r="N64" s="32">
        <f>IF(M64="Underperforming",-5,IF(L64&gt;=95,15,IF(L64&gt;=90,10,IF(L64&gt;=80,5,0))))</f>
        <v/>
      </c>
      <c r="O64" s="32" t="n">
        <v>66.09999999999999</v>
      </c>
      <c r="P64" s="32" t="n">
        <v>26.4</v>
      </c>
      <c r="Q64" s="32" t="n">
        <v>556.9</v>
      </c>
      <c r="R64" s="31" t="inlineStr">
        <is>
          <t>Near 52W High Breakout</t>
        </is>
      </c>
      <c r="S64" s="31" t="inlineStr">
        <is>
          <t>Nifty FMCG</t>
        </is>
      </c>
      <c r="T64" s="32" t="inlineStr"/>
      <c r="U64" s="32" t="inlineStr"/>
      <c r="V64" s="32" t="inlineStr"/>
      <c r="W64" s="32" t="inlineStr"/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B2C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Less than 12%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IF(B65=0,"",RANK(B65,$B$2:$B$135,0))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BAFNAPH</t>
        </is>
      </c>
      <c r="D65" s="31" t="inlineStr">
        <is>
          <t>Bafna Pharmaceuticals Ltd</t>
        </is>
      </c>
      <c r="E65" s="31" t="inlineStr">
        <is>
          <t>healthcare</t>
        </is>
      </c>
      <c r="F65" s="31" t="inlineStr">
        <is>
          <t>pharmaceuticals - indian - formulations</t>
        </is>
      </c>
      <c r="G65" s="31" t="inlineStr">
        <is>
          <t>smallcap</t>
        </is>
      </c>
      <c r="H65" s="32" t="n">
        <v>969.55</v>
      </c>
      <c r="I65" s="32" t="n">
        <v>418</v>
      </c>
      <c r="J65" s="32" t="n">
        <v>1.99</v>
      </c>
      <c r="K65" s="32" t="n">
        <v>549</v>
      </c>
      <c r="L65" s="31" t="n">
        <v>94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83.14</v>
      </c>
      <c r="P65" s="32" t="n">
        <v>63.46</v>
      </c>
      <c r="Q65" s="32" t="n">
        <v>341.16</v>
      </c>
      <c r="R65" s="31" t="inlineStr">
        <is>
          <t>Near 52W High Breakout</t>
        </is>
      </c>
      <c r="S65" s="31" t="inlineStr">
        <is>
          <t>Nifty Pharma</t>
        </is>
      </c>
      <c r="T65" s="32" t="n">
        <v>16.85</v>
      </c>
      <c r="U65" s="32" t="n">
        <v>162.53</v>
      </c>
      <c r="V65" s="32" t="n">
        <v>124.67</v>
      </c>
      <c r="W65" s="32" t="n">
        <v>48.52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Less than 12%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IF(B66=0,"",RANK(B66,$B$2:$B$135,0))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LAURUSLABS</t>
        </is>
      </c>
      <c r="D66" s="31" t="inlineStr">
        <is>
          <t>Laurus Labs Limited</t>
        </is>
      </c>
      <c r="E66" s="31" t="inlineStr">
        <is>
          <t>healthcare</t>
        </is>
      </c>
      <c r="F66" s="31" t="inlineStr">
        <is>
          <t>pharmaceuticals - indian - bulk drugs &amp; formln</t>
        </is>
      </c>
      <c r="G66" s="31" t="inlineStr">
        <is>
          <t>largecap</t>
        </is>
      </c>
      <c r="H66" s="32" t="n">
        <v>107936.46</v>
      </c>
      <c r="I66" s="32" t="n">
        <v>2036.6</v>
      </c>
      <c r="J66" s="32" t="n">
        <v>1.94</v>
      </c>
      <c r="K66" s="32" t="n">
        <v>1358268</v>
      </c>
      <c r="L66" s="31" t="n">
        <v>63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76.94</v>
      </c>
      <c r="P66" s="32" t="n">
        <v>77.5</v>
      </c>
      <c r="Q66" s="32" t="n">
        <v>1740.79</v>
      </c>
      <c r="R66" s="31" t="inlineStr">
        <is>
          <t>Near 52W High Breakout</t>
        </is>
      </c>
      <c r="S66" s="31" t="inlineStr">
        <is>
          <t>Nifty Pharma</t>
        </is>
      </c>
      <c r="T66" s="32" t="n">
        <v>16.85</v>
      </c>
      <c r="U66" s="32" t="n">
        <v>132.71</v>
      </c>
      <c r="V66" s="32" t="n">
        <v>99.15000000000001</v>
      </c>
      <c r="W66" s="32" t="n">
        <v>26.01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IF(B67=0,"",RANK(B67,$B$2:$B$135,0))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PARAGMILK</t>
        </is>
      </c>
      <c r="D67" s="31" t="inlineStr">
        <is>
          <t>Parag Milk Foods Limited</t>
        </is>
      </c>
      <c r="E67" s="31" t="inlineStr">
        <is>
          <t>fmcg</t>
        </is>
      </c>
      <c r="F67" s="31" t="inlineStr">
        <is>
          <t>food - processing - indian</t>
        </is>
      </c>
      <c r="G67" s="31" t="inlineStr">
        <is>
          <t>smallcap</t>
        </is>
      </c>
      <c r="H67" s="32" t="n">
        <v>3809.11</v>
      </c>
      <c r="I67" s="32" t="n">
        <v>306.4</v>
      </c>
      <c r="J67" s="32" t="n">
        <v>1.04</v>
      </c>
      <c r="K67" s="32" t="n">
        <v>1113427</v>
      </c>
      <c r="L67" s="31" t="inlineStr"/>
      <c r="M67" s="31" t="inlineStr"/>
      <c r="N67" s="32">
        <f>IF(M67="Underperforming",-5,IF(L67&gt;=95,15,IF(L67&gt;=90,10,IF(L67&gt;=80,5,0))))</f>
        <v/>
      </c>
      <c r="O67" s="32" t="n">
        <v>72.98</v>
      </c>
      <c r="P67" s="32" t="n">
        <v>22.74</v>
      </c>
      <c r="Q67" s="32" t="n">
        <v>232.47</v>
      </c>
      <c r="R67" s="31" t="inlineStr">
        <is>
          <t>Volume Spike / Accumulation</t>
        </is>
      </c>
      <c r="S67" s="31" t="inlineStr">
        <is>
          <t>Nifty FMCG</t>
        </is>
      </c>
      <c r="T67" s="32" t="inlineStr"/>
      <c r="U67" s="32" t="inlineStr"/>
      <c r="V67" s="32" t="inlineStr"/>
      <c r="W67" s="32" t="inlineStr"/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B2C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Less than 12%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IF(B68=0,"",RANK(B68,$B$2:$B$135,0))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NINSYS</t>
        </is>
      </c>
      <c r="D68" s="31" t="inlineStr">
        <is>
          <t>NINtec Systems Ltd</t>
        </is>
      </c>
      <c r="E68" s="31" t="inlineStr">
        <is>
          <t>i.t</t>
        </is>
      </c>
      <c r="F68" s="31" t="inlineStr">
        <is>
          <t>computers - software - medium / small</t>
        </is>
      </c>
      <c r="G68" s="31" t="inlineStr">
        <is>
          <t>smallcap</t>
        </is>
      </c>
      <c r="H68" s="32" t="n">
        <v>1516.64</v>
      </c>
      <c r="I68" s="32" t="n">
        <v>803.1</v>
      </c>
      <c r="J68" s="32" t="n">
        <v>-1.64</v>
      </c>
      <c r="K68" s="32" t="n">
        <v>9918</v>
      </c>
      <c r="L68" s="31" t="n">
        <v>45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66.68000000000001</v>
      </c>
      <c r="P68" s="32" t="n">
        <v>39.02</v>
      </c>
      <c r="Q68" s="32" t="n">
        <v>696.09</v>
      </c>
      <c r="R68" s="31" t="inlineStr">
        <is>
          <t>Volume Spike / Accumulation</t>
        </is>
      </c>
      <c r="S68" s="31" t="inlineStr">
        <is>
          <t>Nifty IT</t>
        </is>
      </c>
      <c r="T68" s="32" t="n">
        <v>-19.75</v>
      </c>
      <c r="U68" s="32" t="n">
        <v>81.27</v>
      </c>
      <c r="V68" s="32" t="n">
        <v>125.89</v>
      </c>
      <c r="W68" s="32" t="n">
        <v>17.74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IF(B69=0,"",RANK(B69,$B$2:$B$135,0))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SGMART</t>
        </is>
      </c>
      <c r="D69" s="31" t="inlineStr">
        <is>
          <t>SG Mart Ltd</t>
        </is>
      </c>
      <c r="E69" s="31" t="inlineStr">
        <is>
          <t>services</t>
        </is>
      </c>
      <c r="F69" s="31" t="inlineStr">
        <is>
          <t>trading</t>
        </is>
      </c>
      <c r="G69" s="31" t="inlineStr">
        <is>
          <t>midcap</t>
        </is>
      </c>
      <c r="H69" s="32" t="n">
        <v>9370.09</v>
      </c>
      <c r="I69" s="32" t="n">
        <v>775.6</v>
      </c>
      <c r="J69" s="32" t="n">
        <v>4.32</v>
      </c>
      <c r="K69" s="32" t="n">
        <v>305426</v>
      </c>
      <c r="L69" s="31" t="n">
        <v>54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66.25</v>
      </c>
      <c r="P69" s="32" t="n">
        <v>64.5</v>
      </c>
      <c r="Q69" s="32" t="n">
        <v>645.78</v>
      </c>
      <c r="R69" s="31" t="inlineStr">
        <is>
          <t>Earnings / Momentum Support</t>
        </is>
      </c>
      <c r="S69" s="31" t="inlineStr">
        <is>
          <t>Nifty 50</t>
        </is>
      </c>
      <c r="T69" s="32" t="n">
        <v>-10.93</v>
      </c>
      <c r="U69" s="32" t="n">
        <v>124.36</v>
      </c>
      <c r="V69" s="32" t="n">
        <v>151.9</v>
      </c>
      <c r="W69" s="32" t="n">
        <v>22.44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IF(B70=0,"",RANK(B70,$B$2:$B$135,0))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SKYGOLD</t>
        </is>
      </c>
      <c r="D70" s="31" t="inlineStr">
        <is>
          <t>Sky Gold Ltd</t>
        </is>
      </c>
      <c r="E70" s="31" t="inlineStr">
        <is>
          <t>consumer discretionary</t>
        </is>
      </c>
      <c r="F70" s="31" t="inlineStr">
        <is>
          <t>diamond cutting / jewellery</t>
        </is>
      </c>
      <c r="G70" s="31" t="inlineStr">
        <is>
          <t>midcap</t>
        </is>
      </c>
      <c r="H70" s="32" t="n">
        <v>13698.6</v>
      </c>
      <c r="I70" s="32" t="n">
        <v>921</v>
      </c>
      <c r="J70" s="32" t="n">
        <v>4.13</v>
      </c>
      <c r="K70" s="32" t="n">
        <v>2291187</v>
      </c>
      <c r="L70" s="31" t="n">
        <v>81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78.83</v>
      </c>
      <c r="P70" s="32" t="n">
        <v>68.67</v>
      </c>
      <c r="Q70" s="32" t="n">
        <v>707.26</v>
      </c>
      <c r="R70" s="31" t="inlineStr">
        <is>
          <t>Volume Spike &amp; Near 52W High Breakout</t>
        </is>
      </c>
      <c r="S70" s="31" t="inlineStr">
        <is>
          <t>Nifty 50</t>
        </is>
      </c>
      <c r="T70" s="32" t="n">
        <v>-10.93</v>
      </c>
      <c r="U70" s="32" t="n">
        <v>168.79</v>
      </c>
      <c r="V70" s="32" t="n">
        <v>201.79</v>
      </c>
      <c r="W70" s="32" t="n">
        <v>33.87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IF(B71=0,"",RANK(B71,$B$2:$B$135,0))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FAIRCHEMOR</t>
        </is>
      </c>
      <c r="D71" s="31" t="inlineStr">
        <is>
          <t>Fairchem Organics Ltd</t>
        </is>
      </c>
      <c r="E71" s="31" t="inlineStr">
        <is>
          <t>chemicals</t>
        </is>
      </c>
      <c r="F71" s="31" t="inlineStr">
        <is>
          <t>chemicals</t>
        </is>
      </c>
      <c r="G71" s="31" t="inlineStr">
        <is>
          <t>smallcap</t>
        </is>
      </c>
      <c r="H71" s="32" t="n">
        <v>908.04</v>
      </c>
      <c r="I71" s="32" t="n">
        <v>748.7</v>
      </c>
      <c r="J71" s="32" t="n">
        <v>3.86</v>
      </c>
      <c r="K71" s="32" t="n">
        <v>43850</v>
      </c>
      <c r="L71" s="31" t="n">
        <v>6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59.51</v>
      </c>
      <c r="P71" s="32" t="n">
        <v>24.14</v>
      </c>
      <c r="Q71" s="32" t="n">
        <v>607.87</v>
      </c>
      <c r="R71" s="31" t="inlineStr">
        <is>
          <t>Volume Spike / Accumulation</t>
        </is>
      </c>
      <c r="S71" s="31" t="inlineStr">
        <is>
          <t>Nifty 50</t>
        </is>
      </c>
      <c r="T71" s="32" t="n">
        <v>-10.93</v>
      </c>
      <c r="U71" s="32" t="n">
        <v>-3.67</v>
      </c>
      <c r="V71" s="32" t="n">
        <v>8.15</v>
      </c>
      <c r="W71" s="32" t="n">
        <v>2.73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IF(B72=0,"",RANK(B72,$B$2:$B$135,0))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KABRAEXTRU</t>
        </is>
      </c>
      <c r="D72" s="31" t="inlineStr">
        <is>
          <t>Kabra Extrusion Technik Limited</t>
        </is>
      </c>
      <c r="E72" s="31" t="inlineStr">
        <is>
          <t>industrials</t>
        </is>
      </c>
      <c r="F72" s="31" t="inlineStr">
        <is>
          <t>engineering</t>
        </is>
      </c>
      <c r="G72" s="31" t="inlineStr">
        <is>
          <t>smallcap</t>
        </is>
      </c>
      <c r="H72" s="32" t="n">
        <v>2696.58</v>
      </c>
      <c r="I72" s="32" t="n">
        <v>795.9</v>
      </c>
      <c r="J72" s="32" t="n">
        <v>3.22</v>
      </c>
      <c r="K72" s="32" t="n">
        <v>59300</v>
      </c>
      <c r="L72" s="31" t="n">
        <v>98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76.59999999999999</v>
      </c>
      <c r="P72" s="32" t="n">
        <v>74.59</v>
      </c>
      <c r="Q72" s="32" t="n">
        <v>620.37</v>
      </c>
      <c r="R72" s="31" t="inlineStr">
        <is>
          <t>Earnings / Momentum Support</t>
        </is>
      </c>
      <c r="S72" s="31" t="inlineStr">
        <is>
          <t>Nifty 50</t>
        </is>
      </c>
      <c r="T72" s="32" t="n">
        <v>-10.93</v>
      </c>
      <c r="U72" s="32" t="n">
        <v>214.4</v>
      </c>
      <c r="V72" s="32" t="n">
        <v>253</v>
      </c>
      <c r="W72" s="32" t="n">
        <v>72.36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IF(B73=0,"",RANK(B73,$B$2:$B$135,0))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BOSCH-HCIL</t>
        </is>
      </c>
      <c r="D73" s="31" t="inlineStr">
        <is>
          <t>Bosch Home Comfort India Ltd</t>
        </is>
      </c>
      <c r="E73" s="31" t="inlineStr">
        <is>
          <t>consumer discretionary</t>
        </is>
      </c>
      <c r="F73" s="31" t="inlineStr">
        <is>
          <t>air-conditioners</t>
        </is>
      </c>
      <c r="G73" s="31" t="inlineStr">
        <is>
          <t>midcap</t>
        </is>
      </c>
      <c r="H73" s="32" t="n">
        <v>5285.36</v>
      </c>
      <c r="I73" s="32" t="n">
        <v>1980.2</v>
      </c>
      <c r="J73" s="32" t="n">
        <v>1.87</v>
      </c>
      <c r="K73" s="32" t="n">
        <v>51134</v>
      </c>
      <c r="L73" s="31" t="n">
        <v>37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72.34</v>
      </c>
      <c r="P73" s="32" t="n">
        <v>39.88</v>
      </c>
      <c r="Q73" s="32" t="n">
        <v>1585.34</v>
      </c>
      <c r="R73" s="31" t="inlineStr">
        <is>
          <t>Near 52W High Breakout</t>
        </is>
      </c>
      <c r="S73" s="31" t="inlineStr">
        <is>
          <t>Nifty 50</t>
        </is>
      </c>
      <c r="T73" s="32" t="n">
        <v>-10.93</v>
      </c>
      <c r="U73" s="32" t="n">
        <v>14.58</v>
      </c>
      <c r="V73" s="32" t="n">
        <v>28.65</v>
      </c>
      <c r="W73" s="32" t="n">
        <v>14.11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IF(B74=0,"",RANK(B74,$B$2:$B$135,0))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RAYMOND</t>
        </is>
      </c>
      <c r="D74" s="31" t="inlineStr">
        <is>
          <t>Raymond Limited</t>
        </is>
      </c>
      <c r="E74" s="31" t="inlineStr">
        <is>
          <t>transportation</t>
        </is>
      </c>
      <c r="F74" s="31" t="inlineStr">
        <is>
          <t>transport - airlines</t>
        </is>
      </c>
      <c r="G74" s="31" t="inlineStr">
        <is>
          <t>midcap</t>
        </is>
      </c>
      <c r="H74" s="32" t="n">
        <v>7769.82</v>
      </c>
      <c r="I74" s="32" t="n">
        <v>1186.6</v>
      </c>
      <c r="J74" s="32" t="n">
        <v>1.67</v>
      </c>
      <c r="K74" s="32" t="n">
        <v>1248779</v>
      </c>
      <c r="L74" s="31" t="n">
        <v>91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83.92</v>
      </c>
      <c r="P74" s="32" t="n">
        <v>59.07</v>
      </c>
      <c r="Q74" s="32" t="n">
        <v>895.72</v>
      </c>
      <c r="R74" s="31" t="inlineStr">
        <is>
          <t>Near 52W High Breakout</t>
        </is>
      </c>
      <c r="S74" s="31" t="inlineStr">
        <is>
          <t>Nifty 50</t>
        </is>
      </c>
      <c r="T74" s="32" t="n">
        <v>-10.93</v>
      </c>
      <c r="U74" s="32" t="n">
        <v>104.75</v>
      </c>
      <c r="V74" s="32" t="n">
        <v>129.88</v>
      </c>
      <c r="W74" s="32" t="n">
        <v>40.86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Less than 12%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IF(B75=0,"",RANK(B75,$B$2:$B$135,0))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SHREEJISPG</t>
        </is>
      </c>
      <c r="D75" s="31" t="inlineStr">
        <is>
          <t>Shreeji Shipping Global Ltd</t>
        </is>
      </c>
      <c r="E75" s="31" t="inlineStr">
        <is>
          <t>transportation</t>
        </is>
      </c>
      <c r="F75" s="31" t="inlineStr">
        <is>
          <t>shipping</t>
        </is>
      </c>
      <c r="G75" s="31" t="inlineStr">
        <is>
          <t>midcap</t>
        </is>
      </c>
      <c r="H75" s="32" t="n">
        <v>13045.68</v>
      </c>
      <c r="I75" s="32" t="n">
        <v>811.8</v>
      </c>
      <c r="J75" s="32" t="n">
        <v>1.38</v>
      </c>
      <c r="K75" s="32" t="n">
        <v>1365619</v>
      </c>
      <c r="L75" s="31" t="n">
        <v>87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85.23</v>
      </c>
      <c r="P75" s="32" t="n">
        <v>56.88</v>
      </c>
      <c r="Q75" s="32" t="n">
        <v>681.6799999999999</v>
      </c>
      <c r="R75" s="31" t="inlineStr">
        <is>
          <t>Near 52W High Breakout</t>
        </is>
      </c>
      <c r="S75" s="31" t="inlineStr">
        <is>
          <t>Nifty 50</t>
        </is>
      </c>
      <c r="T75" s="32" t="n">
        <v>-10.93</v>
      </c>
      <c r="U75" s="32" t="n">
        <v>222.62</v>
      </c>
      <c r="V75" s="32" t="n">
        <v>262.23</v>
      </c>
      <c r="W75" s="32" t="n">
        <v>38.96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Less than 12%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IF(B76=0,"",RANK(B76,$B$2:$B$135,0))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VMART</t>
        </is>
      </c>
      <c r="D76" s="31" t="inlineStr">
        <is>
          <t>V-mart Retail Limited</t>
        </is>
      </c>
      <c r="E76" s="31" t="inlineStr">
        <is>
          <t>consumer discretionary</t>
        </is>
      </c>
      <c r="F76" s="31" t="inlineStr">
        <is>
          <t>trading</t>
        </is>
      </c>
      <c r="G76" s="31" t="inlineStr">
        <is>
          <t>midcap</t>
        </is>
      </c>
      <c r="H76" s="32" t="n">
        <v>6452.54</v>
      </c>
      <c r="I76" s="32" t="n">
        <v>821.95</v>
      </c>
      <c r="J76" s="32" t="n">
        <v>1.33</v>
      </c>
      <c r="K76" s="32" t="n">
        <v>144267</v>
      </c>
      <c r="L76" s="31" t="n">
        <v>5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59.54</v>
      </c>
      <c r="P76" s="32" t="n">
        <v>23.58</v>
      </c>
      <c r="Q76" s="32" t="n">
        <v>651.28</v>
      </c>
      <c r="R76" s="31" t="inlineStr">
        <is>
          <t>Near 52W High Breakout</t>
        </is>
      </c>
      <c r="S76" s="31" t="inlineStr">
        <is>
          <t>Nifty 50</t>
        </is>
      </c>
      <c r="T76" s="32" t="n">
        <v>-10.93</v>
      </c>
      <c r="U76" s="32" t="n">
        <v>-3.54</v>
      </c>
      <c r="V76" s="32" t="n">
        <v>8.300000000000001</v>
      </c>
      <c r="W76" s="32" t="n">
        <v>1.71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IF(B77=0,"",RANK(B77,$B$2:$B$135,0))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GREENPLY</t>
        </is>
      </c>
      <c r="D77" s="31" t="inlineStr">
        <is>
          <t>Greenply Industries Limited</t>
        </is>
      </c>
      <c r="E77" s="31" t="inlineStr">
        <is>
          <t>building materials</t>
        </is>
      </c>
      <c r="F77" s="31" t="inlineStr">
        <is>
          <t>miscellaneous</t>
        </is>
      </c>
      <c r="G77" s="31" t="inlineStr">
        <is>
          <t>smallcap</t>
        </is>
      </c>
      <c r="H77" s="32" t="n">
        <v>3818.26</v>
      </c>
      <c r="I77" s="32" t="n">
        <v>306.7</v>
      </c>
      <c r="J77" s="32" t="n">
        <v>0.33</v>
      </c>
      <c r="K77" s="32" t="n">
        <v>126215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59.01</v>
      </c>
      <c r="P77" s="32" t="n">
        <v>19.76</v>
      </c>
      <c r="Q77" s="32" t="n">
        <v>246.24</v>
      </c>
      <c r="R77" s="31" t="inlineStr">
        <is>
          <t>Near 52W High Breakout</t>
        </is>
      </c>
      <c r="S77" s="31" t="inlineStr">
        <is>
          <t>Nifty Infra</t>
        </is>
      </c>
      <c r="T77" s="32" t="inlineStr"/>
      <c r="U77" s="32" t="inlineStr"/>
      <c r="V77" s="32" t="inlineStr"/>
      <c r="W77" s="32" t="inlineStr"/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IF(B78=0,"",RANK(B78,$B$2:$B$135,0))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ALICON</t>
        </is>
      </c>
      <c r="D78" s="31" t="inlineStr">
        <is>
          <t>Alicon Castalloy Limited</t>
        </is>
      </c>
      <c r="E78" s="31" t="inlineStr">
        <is>
          <t>castings, forgings &amp; fasteners</t>
        </is>
      </c>
      <c r="F78" s="31" t="inlineStr">
        <is>
          <t>castings &amp; forgings</t>
        </is>
      </c>
      <c r="G78" s="31" t="inlineStr">
        <is>
          <t>smallcap</t>
        </is>
      </c>
      <c r="H78" s="32" t="n">
        <v>1409.78</v>
      </c>
      <c r="I78" s="32" t="n">
        <v>861.7</v>
      </c>
      <c r="J78" s="32" t="n">
        <v>0.31</v>
      </c>
      <c r="K78" s="32" t="n">
        <v>43292</v>
      </c>
      <c r="L78" s="31" t="n">
        <v>26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67.56</v>
      </c>
      <c r="P78" s="32" t="n">
        <v>22.47</v>
      </c>
      <c r="Q78" s="32" t="n">
        <v>661.98</v>
      </c>
      <c r="R78" s="31" t="inlineStr">
        <is>
          <t>Earnings / Momentum Support</t>
        </is>
      </c>
      <c r="S78" s="31" t="inlineStr">
        <is>
          <t>Nifty 50</t>
        </is>
      </c>
      <c r="T78" s="32" t="n">
        <v>-10.93</v>
      </c>
      <c r="U78" s="32" t="n">
        <v>1.73</v>
      </c>
      <c r="V78" s="32" t="n">
        <v>14.22</v>
      </c>
      <c r="W78" s="32" t="n">
        <v>9.23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Between 1.5 to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IF(B79=0,"",RANK(B79,$B$2:$B$135,0))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OPTIEMUS</t>
        </is>
      </c>
      <c r="D79" s="31" t="inlineStr">
        <is>
          <t>Optiemus Infracom Ltd</t>
        </is>
      </c>
      <c r="E79" s="31" t="inlineStr">
        <is>
          <t>telecom</t>
        </is>
      </c>
      <c r="F79" s="31" t="inlineStr">
        <is>
          <t>trading</t>
        </is>
      </c>
      <c r="G79" s="31" t="inlineStr">
        <is>
          <t>midcap</t>
        </is>
      </c>
      <c r="H79" s="32" t="n">
        <v>7365.25</v>
      </c>
      <c r="I79" s="32" t="n">
        <v>815.85</v>
      </c>
      <c r="J79" s="32" t="n">
        <v>-0.12</v>
      </c>
      <c r="K79" s="32" t="n">
        <v>516472</v>
      </c>
      <c r="L79" s="31" t="n">
        <v>48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76.78</v>
      </c>
      <c r="P79" s="32" t="n">
        <v>45.71</v>
      </c>
      <c r="Q79" s="32" t="n">
        <v>597.85</v>
      </c>
      <c r="R79" s="31" t="inlineStr">
        <is>
          <t>Volume Spike &amp; Near 52W High Breakout</t>
        </is>
      </c>
      <c r="S79" s="31" t="inlineStr">
        <is>
          <t>Nifty 50</t>
        </is>
      </c>
      <c r="T79" s="32" t="n">
        <v>-10.93</v>
      </c>
      <c r="U79" s="32" t="n">
        <v>19.7</v>
      </c>
      <c r="V79" s="32" t="n">
        <v>34.39</v>
      </c>
      <c r="W79" s="32" t="n">
        <v>18.85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Oligopoly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IF(B80=0,"",RANK(B80,$B$2:$B$135,0))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JAMNAAUTO</t>
        </is>
      </c>
      <c r="D80" s="31" t="inlineStr">
        <is>
          <t>Jamna Auto Industries Limited</t>
        </is>
      </c>
      <c r="E80" s="31" t="inlineStr">
        <is>
          <t>auto</t>
        </is>
      </c>
      <c r="F80" s="31" t="inlineStr">
        <is>
          <t>auto ancillaries</t>
        </is>
      </c>
      <c r="G80" s="31" t="inlineStr">
        <is>
          <t>midcap</t>
        </is>
      </c>
      <c r="H80" s="32" t="n">
        <v>5914.84</v>
      </c>
      <c r="I80" s="32" t="n">
        <v>142.67</v>
      </c>
      <c r="J80" s="32" t="n">
        <v>-3.57</v>
      </c>
      <c r="K80" s="32" t="n">
        <v>2217616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58.01</v>
      </c>
      <c r="P80" s="32" t="n">
        <v>34.31</v>
      </c>
      <c r="Q80" s="32" t="n">
        <v>105.09</v>
      </c>
      <c r="R80" s="31" t="inlineStr">
        <is>
          <t>Volume Spike &amp; Near 52W High Breakout</t>
        </is>
      </c>
      <c r="S80" s="31" t="inlineStr">
        <is>
          <t>Nifty Auto</t>
        </is>
      </c>
      <c r="T80" s="32" t="inlineStr"/>
      <c r="U80" s="32" t="inlineStr"/>
      <c r="V80" s="32" t="inlineStr"/>
      <c r="W80" s="32" t="inlineStr"/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Less than 12%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IF(B81=0,"",RANK(B81,$B$2:$B$135,0))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CYIENT</t>
        </is>
      </c>
      <c r="D81" s="31" t="inlineStr">
        <is>
          <t>Cyient Limited</t>
        </is>
      </c>
      <c r="E81" s="31" t="inlineStr">
        <is>
          <t>i.t</t>
        </is>
      </c>
      <c r="F81" s="31" t="inlineStr">
        <is>
          <t>computers - software - medium / small</t>
        </is>
      </c>
      <c r="G81" s="31" t="inlineStr">
        <is>
          <t>midcap</t>
        </is>
      </c>
      <c r="H81" s="32" t="n">
        <v>11361.34</v>
      </c>
      <c r="I81" s="32" t="n">
        <v>1158.8</v>
      </c>
      <c r="J81" s="32" t="n">
        <v>6.83</v>
      </c>
      <c r="K81" s="32" t="n">
        <v>4226963</v>
      </c>
      <c r="L81" s="31" t="n">
        <v>27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68.98999999999999</v>
      </c>
      <c r="P81" s="32" t="n">
        <v>26.96</v>
      </c>
      <c r="Q81" s="32" t="n">
        <v>919.3</v>
      </c>
      <c r="R81" s="31" t="inlineStr">
        <is>
          <t>Near 52W High Breakout</t>
        </is>
      </c>
      <c r="S81" s="31" t="inlineStr">
        <is>
          <t>Nifty IT</t>
        </is>
      </c>
      <c r="T81" s="32" t="n">
        <v>-19.75</v>
      </c>
      <c r="U81" s="32" t="n">
        <v>-0.22</v>
      </c>
      <c r="V81" s="32" t="n">
        <v>24.34</v>
      </c>
      <c r="W81" s="32" t="n">
        <v>9.26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Less than 12%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IF(B82=0,"",RANK(B82,$B$2:$B$135,0))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ONWARDTEC</t>
        </is>
      </c>
      <c r="D82" s="31" t="inlineStr">
        <is>
          <t>Onward Technologies Limited</t>
        </is>
      </c>
      <c r="E82" s="31" t="inlineStr">
        <is>
          <t>i.t</t>
        </is>
      </c>
      <c r="F82" s="31" t="inlineStr">
        <is>
          <t>computers - software - medium / small</t>
        </is>
      </c>
      <c r="G82" s="31" t="inlineStr">
        <is>
          <t>smallcap</t>
        </is>
      </c>
      <c r="H82" s="32" t="n">
        <v>655.28</v>
      </c>
      <c r="I82" s="32" t="n">
        <v>307</v>
      </c>
      <c r="J82" s="32" t="n">
        <v>4.21</v>
      </c>
      <c r="K82" s="32" t="n">
        <v>117358</v>
      </c>
      <c r="L82" s="31" t="n">
        <v>6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64.89</v>
      </c>
      <c r="P82" s="32" t="n">
        <v>20.12</v>
      </c>
      <c r="Q82" s="32" t="n">
        <v>240.05</v>
      </c>
      <c r="R82" s="31" t="inlineStr">
        <is>
          <t>Volume Spike / Accumulation</t>
        </is>
      </c>
      <c r="S82" s="31" t="inlineStr">
        <is>
          <t>Nifty IT</t>
        </is>
      </c>
      <c r="T82" s="32" t="n">
        <v>-19.75</v>
      </c>
      <c r="U82" s="32" t="n">
        <v>0.33</v>
      </c>
      <c r="V82" s="32" t="n">
        <v>25.03</v>
      </c>
      <c r="W82" s="32" t="n">
        <v>2.26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Less than 12%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IF(B83=0,"",RANK(B83,$B$2:$B$135,0))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AVADHSUGAR</t>
        </is>
      </c>
      <c r="D83" s="31" t="inlineStr">
        <is>
          <t>Avadh Sugar &amp; Energy</t>
        </is>
      </c>
      <c r="E83" s="31" t="inlineStr">
        <is>
          <t>fmcg</t>
        </is>
      </c>
      <c r="F83" s="31" t="inlineStr">
        <is>
          <t>sugar</t>
        </is>
      </c>
      <c r="G83" s="31" t="inlineStr">
        <is>
          <t>smallcap</t>
        </is>
      </c>
      <c r="H83" s="32" t="n">
        <v>1880.83</v>
      </c>
      <c r="I83" s="32" t="n">
        <v>945.75</v>
      </c>
      <c r="J83" s="32" t="n">
        <v>0.66</v>
      </c>
      <c r="K83" s="32" t="n">
        <v>125036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76.54000000000001</v>
      </c>
      <c r="P83" s="32" t="n">
        <v>58.25</v>
      </c>
      <c r="Q83" s="32" t="n">
        <v>707.04</v>
      </c>
      <c r="R83" s="31" t="inlineStr">
        <is>
          <t>Near 52W High Breakout</t>
        </is>
      </c>
      <c r="S83" s="31" t="inlineStr">
        <is>
          <t>Nifty FMCG</t>
        </is>
      </c>
      <c r="T83" s="32" t="inlineStr"/>
      <c r="U83" s="32" t="inlineStr"/>
      <c r="V83" s="32" t="inlineStr"/>
      <c r="W83" s="32" t="inlineStr"/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B2C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IF(B84=0,"",RANK(B84,$B$2:$B$135,0))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KILITCH</t>
        </is>
      </c>
      <c r="D84" s="31" t="inlineStr">
        <is>
          <t>Kilitch Drugs (india) Limited</t>
        </is>
      </c>
      <c r="E84" s="31" t="inlineStr">
        <is>
          <t>healthcare</t>
        </is>
      </c>
      <c r="F84" s="31" t="inlineStr">
        <is>
          <t>pharmaceuticals - indian - formulations</t>
        </is>
      </c>
      <c r="G84" s="31" t="inlineStr">
        <is>
          <t>smallcap</t>
        </is>
      </c>
      <c r="H84" s="32" t="n">
        <v>854.11</v>
      </c>
      <c r="I84" s="32" t="n">
        <v>241.61</v>
      </c>
      <c r="J84" s="32" t="n">
        <v>-1.1</v>
      </c>
      <c r="K84" s="32" t="n">
        <v>61595</v>
      </c>
      <c r="L84" s="31" t="n">
        <v>39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70.59</v>
      </c>
      <c r="P84" s="32" t="n">
        <v>28.84</v>
      </c>
      <c r="Q84" s="32" t="n">
        <v>178.02</v>
      </c>
      <c r="R84" s="31" t="inlineStr">
        <is>
          <t>Volume Spike &amp; Near 52W High Breakout</t>
        </is>
      </c>
      <c r="S84" s="31" t="inlineStr">
        <is>
          <t>Nifty Pharma</t>
        </is>
      </c>
      <c r="T84" s="32" t="n">
        <v>16.85</v>
      </c>
      <c r="U84" s="32" t="n">
        <v>33.76</v>
      </c>
      <c r="V84" s="32" t="n">
        <v>14.47</v>
      </c>
      <c r="W84" s="32" t="n">
        <v>15.22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Less than 12%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IF(B85=0,"",RANK(B85,$B$2:$B$135,0))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PANACHE</t>
        </is>
      </c>
      <c r="D85" s="31" t="inlineStr">
        <is>
          <t>Panache Digilife Ltd</t>
        </is>
      </c>
      <c r="E85" s="31" t="inlineStr">
        <is>
          <t>i.t</t>
        </is>
      </c>
      <c r="F85" s="31" t="inlineStr">
        <is>
          <t>computers - hardware</t>
        </is>
      </c>
      <c r="G85" s="31" t="inlineStr">
        <is>
          <t>smallcap</t>
        </is>
      </c>
      <c r="H85" s="32" t="n">
        <v>943.63</v>
      </c>
      <c r="I85" s="32" t="n">
        <v>617.8</v>
      </c>
      <c r="J85" s="32" t="n">
        <v>4.85</v>
      </c>
      <c r="K85" s="32" t="n">
        <v>34608</v>
      </c>
      <c r="L85" s="31" t="n">
        <v>47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77.98</v>
      </c>
      <c r="P85" s="32" t="n">
        <v>39.79</v>
      </c>
      <c r="Q85" s="32" t="n">
        <v>493.98</v>
      </c>
      <c r="R85" s="31" t="inlineStr">
        <is>
          <t>Volume Spike &amp; Near 52W High Breakout</t>
        </is>
      </c>
      <c r="S85" s="31" t="inlineStr">
        <is>
          <t>Nifty IT</t>
        </is>
      </c>
      <c r="T85" s="32" t="n">
        <v>-19.75</v>
      </c>
      <c r="U85" s="32" t="n">
        <v>38.52</v>
      </c>
      <c r="V85" s="32" t="n">
        <v>72.62</v>
      </c>
      <c r="W85" s="32" t="n">
        <v>18.49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IF(B86=0,"",RANK(B86,$B$2:$B$135,0))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MMP</t>
        </is>
      </c>
      <c r="D86" s="31" t="inlineStr">
        <is>
          <t>MMP Industries Ltd</t>
        </is>
      </c>
      <c r="E86" s="31" t="inlineStr">
        <is>
          <t>metals &amp; mining</t>
        </is>
      </c>
      <c r="F86" s="31" t="inlineStr">
        <is>
          <t>aluminium and aluminium products</t>
        </is>
      </c>
      <c r="G86" s="31" t="inlineStr">
        <is>
          <t>smallcap</t>
        </is>
      </c>
      <c r="H86" s="32" t="n">
        <v>1227.58</v>
      </c>
      <c r="I86" s="32" t="n">
        <v>501.35</v>
      </c>
      <c r="J86" s="32" t="n">
        <v>3.75</v>
      </c>
      <c r="K86" s="32" t="n">
        <v>101936</v>
      </c>
      <c r="L86" s="31" t="inlineStr"/>
      <c r="M86" s="31" t="inlineStr"/>
      <c r="N86" s="32">
        <f>IF(M86="Underperforming",-5,IF(L86&gt;=95,15,IF(L86&gt;=90,10,IF(L86&gt;=80,5,0))))</f>
        <v/>
      </c>
      <c r="O86" s="32" t="n">
        <v>82.01000000000001</v>
      </c>
      <c r="P86" s="32" t="n">
        <v>62.05</v>
      </c>
      <c r="Q86" s="32" t="n">
        <v>374.17</v>
      </c>
      <c r="R86" s="31" t="inlineStr">
        <is>
          <t>Near 52W High Breakout</t>
        </is>
      </c>
      <c r="S86" s="31" t="inlineStr">
        <is>
          <t>Nifty Metal</t>
        </is>
      </c>
      <c r="T86" s="32" t="inlineStr"/>
      <c r="U86" s="32" t="inlineStr"/>
      <c r="V86" s="32" t="inlineStr"/>
      <c r="W86" s="32" t="inlineStr"/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IF(B87=0,"",RANK(B87,$B$2:$B$135,0))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RAYMONDREL</t>
        </is>
      </c>
      <c r="D87" s="31" t="inlineStr">
        <is>
          <t>Raymond Realty Ltd</t>
        </is>
      </c>
      <c r="E87" s="31" t="inlineStr">
        <is>
          <t>realty</t>
        </is>
      </c>
      <c r="F87" s="31" t="inlineStr">
        <is>
          <t>construction</t>
        </is>
      </c>
      <c r="G87" s="31" t="inlineStr">
        <is>
          <t>smallcap</t>
        </is>
      </c>
      <c r="H87" s="32" t="n">
        <v>4526.35</v>
      </c>
      <c r="I87" s="32" t="n">
        <v>698.2</v>
      </c>
      <c r="J87" s="32" t="n">
        <v>2.69</v>
      </c>
      <c r="K87" s="32" t="n">
        <v>1558911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58.41</v>
      </c>
      <c r="P87" s="32" t="n">
        <v>29.89</v>
      </c>
      <c r="Q87" s="32" t="n">
        <v>490.87</v>
      </c>
      <c r="R87" s="31" t="inlineStr">
        <is>
          <t>Near 52W High Breakout</t>
        </is>
      </c>
      <c r="S87" s="31" t="inlineStr">
        <is>
          <t>Nifty Realty</t>
        </is>
      </c>
      <c r="T87" s="32" t="inlineStr"/>
      <c r="U87" s="32" t="inlineStr"/>
      <c r="V87" s="32" t="inlineStr"/>
      <c r="W87" s="32" t="inlineStr"/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Less than 12%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IF(B88=0,"",RANK(B88,$B$2:$B$135,0))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SAMBHV</t>
        </is>
      </c>
      <c r="D88" s="31" t="inlineStr">
        <is>
          <t>Sambhv Steel Tubes Ltd</t>
        </is>
      </c>
      <c r="E88" s="31" t="inlineStr">
        <is>
          <t>metals &amp; mining</t>
        </is>
      </c>
      <c r="F88" s="31" t="inlineStr">
        <is>
          <t>steel - medium / small</t>
        </is>
      </c>
      <c r="G88" s="31" t="inlineStr">
        <is>
          <t>smallcap</t>
        </is>
      </c>
      <c r="H88" s="32" t="n">
        <v>4635.48</v>
      </c>
      <c r="I88" s="32" t="n">
        <v>160.41</v>
      </c>
      <c r="J88" s="32" t="n">
        <v>1.97</v>
      </c>
      <c r="K88" s="32" t="n">
        <v>2597526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77.8</v>
      </c>
      <c r="P88" s="32" t="n">
        <v>49.27</v>
      </c>
      <c r="Q88" s="32" t="n">
        <v>124.65</v>
      </c>
      <c r="R88" s="31" t="inlineStr">
        <is>
          <t>Near 52W High Breakout</t>
        </is>
      </c>
      <c r="S88" s="31" t="inlineStr">
        <is>
          <t>Nifty Metal</t>
        </is>
      </c>
      <c r="T88" s="32" t="inlineStr"/>
      <c r="U88" s="32" t="inlineStr"/>
      <c r="V88" s="32" t="inlineStr"/>
      <c r="W88" s="32" t="inlineStr"/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IF(B89=0,"",RANK(B89,$B$2:$B$135,0))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MUKANDLTD</t>
        </is>
      </c>
      <c r="D89" s="31" t="inlineStr">
        <is>
          <t>Mukand Limited</t>
        </is>
      </c>
      <c r="E89" s="31" t="inlineStr">
        <is>
          <t>metals &amp; mining</t>
        </is>
      </c>
      <c r="F89" s="31" t="inlineStr">
        <is>
          <t>steel - medium / small</t>
        </is>
      </c>
      <c r="G89" s="31" t="inlineStr">
        <is>
          <t>smallcap</t>
        </is>
      </c>
      <c r="H89" s="32" t="n">
        <v>2518.41</v>
      </c>
      <c r="I89" s="32" t="n">
        <v>175.99</v>
      </c>
      <c r="J89" s="32" t="n">
        <v>0.98</v>
      </c>
      <c r="K89" s="32" t="n">
        <v>284601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72.66</v>
      </c>
      <c r="P89" s="32" t="n">
        <v>42.95</v>
      </c>
      <c r="Q89" s="32" t="n">
        <v>138.16</v>
      </c>
      <c r="R89" s="31" t="inlineStr">
        <is>
          <t>Volume Spike &amp; Near 52W High Breakout</t>
        </is>
      </c>
      <c r="S89" s="31" t="inlineStr">
        <is>
          <t>Nifty Metal</t>
        </is>
      </c>
      <c r="T89" s="32" t="inlineStr"/>
      <c r="U89" s="32" t="inlineStr"/>
      <c r="V89" s="32" t="inlineStr"/>
      <c r="W89" s="32" t="inlineStr"/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Between 0.7 to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IF(B90=0,"",RANK(B90,$B$2:$B$135,0))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RRKABEL</t>
        </is>
      </c>
      <c r="D90" s="31" t="inlineStr">
        <is>
          <t>R R Kabel Ltd</t>
        </is>
      </c>
      <c r="E90" s="31" t="inlineStr">
        <is>
          <t>industrials</t>
        </is>
      </c>
      <c r="F90" s="31" t="inlineStr">
        <is>
          <t>cables - power</t>
        </is>
      </c>
      <c r="G90" s="31" t="inlineStr">
        <is>
          <t>largecap</t>
        </is>
      </c>
      <c r="H90" s="32" t="n">
        <v>30497.77</v>
      </c>
      <c r="I90" s="32" t="n">
        <v>2705.6</v>
      </c>
      <c r="J90" s="32" t="n">
        <v>0.34</v>
      </c>
      <c r="K90" s="32" t="n">
        <v>252367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64.52</v>
      </c>
      <c r="P90" s="32" t="n">
        <v>49.66</v>
      </c>
      <c r="Q90" s="32" t="n">
        <v>2306.1</v>
      </c>
      <c r="R90" s="31" t="inlineStr">
        <is>
          <t>Earnings / Momentum Support</t>
        </is>
      </c>
      <c r="S90" s="31" t="inlineStr">
        <is>
          <t>Nifty Energy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IF(B91=0,"",RANK(B91,$B$2:$B$135,0))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GESHIP</t>
        </is>
      </c>
      <c r="D91" s="31" t="inlineStr">
        <is>
          <t>The Great Eastern Shipping Company Limited</t>
        </is>
      </c>
      <c r="E91" s="31" t="inlineStr">
        <is>
          <t>transportation</t>
        </is>
      </c>
      <c r="F91" s="31" t="inlineStr">
        <is>
          <t>shipping</t>
        </is>
      </c>
      <c r="G91" s="31" t="inlineStr">
        <is>
          <t>largecap</t>
        </is>
      </c>
      <c r="H91" s="32" t="n">
        <v>21839.09</v>
      </c>
      <c r="I91" s="32" t="n">
        <v>1533.7</v>
      </c>
      <c r="J91" s="32" t="n">
        <v>0.26</v>
      </c>
      <c r="K91" s="32" t="n">
        <v>387543</v>
      </c>
      <c r="L91" s="31" t="n">
        <v>31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61.5</v>
      </c>
      <c r="P91" s="32" t="n">
        <v>25.84</v>
      </c>
      <c r="Q91" s="32" t="n">
        <v>1221.36</v>
      </c>
      <c r="R91" s="31" t="inlineStr">
        <is>
          <t>Earnings / Momentum Support</t>
        </is>
      </c>
      <c r="S91" s="31" t="inlineStr">
        <is>
          <t>Nifty 50</t>
        </is>
      </c>
      <c r="T91" s="32" t="n">
        <v>-10.93</v>
      </c>
      <c r="U91" s="32" t="n">
        <v>50.72</v>
      </c>
      <c r="V91" s="32" t="n">
        <v>69.23</v>
      </c>
      <c r="W91" s="32" t="n">
        <v>10.77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IF(B92=0,"",RANK(B92,$B$2:$B$135,0))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GANDHAR</t>
        </is>
      </c>
      <c r="D92" s="31" t="inlineStr">
        <is>
          <t>Gandhar Oil Refinery (India) Ltd</t>
        </is>
      </c>
      <c r="E92" s="31" t="inlineStr">
        <is>
          <t>energy</t>
        </is>
      </c>
      <c r="F92" s="31" t="inlineStr">
        <is>
          <t>refineries</t>
        </is>
      </c>
      <c r="G92" s="31" t="inlineStr">
        <is>
          <t>smallcap</t>
        </is>
      </c>
      <c r="H92" s="32" t="n">
        <v>2901.64</v>
      </c>
      <c r="I92" s="32" t="n">
        <v>296.55</v>
      </c>
      <c r="J92" s="32" t="n">
        <v>0.03</v>
      </c>
      <c r="K92" s="32" t="n">
        <v>1267314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71.75</v>
      </c>
      <c r="P92" s="32" t="n">
        <v>78.27</v>
      </c>
      <c r="Q92" s="32" t="n">
        <v>227.97</v>
      </c>
      <c r="R92" s="31" t="inlineStr">
        <is>
          <t>Near 52W High Breakout</t>
        </is>
      </c>
      <c r="S92" s="31" t="inlineStr">
        <is>
          <t>Nifty Energy</t>
        </is>
      </c>
      <c r="T92" s="32" t="inlineStr"/>
      <c r="U92" s="32" t="inlineStr"/>
      <c r="V92" s="32" t="inlineStr"/>
      <c r="W92" s="32" t="inlineStr"/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Oligopoly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Between 1.5 to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IF(B93=0,"",RANK(B93,$B$2:$B$135,0))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DYNAMATECH</t>
        </is>
      </c>
      <c r="D93" s="31" t="inlineStr">
        <is>
          <t>Dynamatic Technologies Limited</t>
        </is>
      </c>
      <c r="E93" s="31" t="inlineStr">
        <is>
          <t>aerospace &amp; defence</t>
        </is>
      </c>
      <c r="F93" s="31" t="inlineStr">
        <is>
          <t>engineering</t>
        </is>
      </c>
      <c r="G93" s="31" t="inlineStr">
        <is>
          <t>midcap</t>
        </is>
      </c>
      <c r="H93" s="32" t="n">
        <v>9094.42</v>
      </c>
      <c r="I93" s="32" t="n">
        <v>13321</v>
      </c>
      <c r="J93" s="32" t="n">
        <v>-0.52</v>
      </c>
      <c r="K93" s="32" t="n">
        <v>14541</v>
      </c>
      <c r="L93" s="31" t="n">
        <v>43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66.23999999999999</v>
      </c>
      <c r="P93" s="32" t="n">
        <v>32.58</v>
      </c>
      <c r="Q93" s="32" t="n">
        <v>10508.07</v>
      </c>
      <c r="R93" s="31" t="inlineStr">
        <is>
          <t>Near 52W High Breakout</t>
        </is>
      </c>
      <c r="S93" s="31" t="inlineStr">
        <is>
          <t>Nifty 50</t>
        </is>
      </c>
      <c r="T93" s="32" t="n">
        <v>-10.93</v>
      </c>
      <c r="U93" s="32" t="n">
        <v>71.06</v>
      </c>
      <c r="V93" s="32" t="n">
        <v>92.06</v>
      </c>
      <c r="W93" s="32" t="n">
        <v>16.65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Between 0.7 to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IF(B94=0,"",RANK(B94,$B$2:$B$135,0))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ONEPOINT</t>
        </is>
      </c>
      <c r="D94" s="31" t="inlineStr">
        <is>
          <t>One Point One Solutions Ltd</t>
        </is>
      </c>
      <c r="E94" s="31" t="inlineStr">
        <is>
          <t>i.t</t>
        </is>
      </c>
      <c r="F94" s="31" t="inlineStr">
        <is>
          <t>computers - software - medium / small</t>
        </is>
      </c>
      <c r="G94" s="31" t="inlineStr">
        <is>
          <t>smallcap</t>
        </is>
      </c>
      <c r="H94" s="32" t="n">
        <v>2062.74</v>
      </c>
      <c r="I94" s="32" t="n">
        <v>80.36</v>
      </c>
      <c r="J94" s="32" t="n">
        <v>2.43</v>
      </c>
      <c r="K94" s="32" t="n">
        <v>5768618</v>
      </c>
      <c r="L94" s="31" t="n">
        <v>52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76.51000000000001</v>
      </c>
      <c r="P94" s="32" t="n">
        <v>19.26</v>
      </c>
      <c r="Q94" s="32" t="n">
        <v>63.57</v>
      </c>
      <c r="R94" s="31" t="inlineStr">
        <is>
          <t>Volume Spike &amp; Near 52W High Breakout</t>
        </is>
      </c>
      <c r="S94" s="31" t="inlineStr">
        <is>
          <t>Nifty IT</t>
        </is>
      </c>
      <c r="T94" s="32" t="n">
        <v>-19.75</v>
      </c>
      <c r="U94" s="32" t="n">
        <v>61.66</v>
      </c>
      <c r="V94" s="32" t="n">
        <v>101.45</v>
      </c>
      <c r="W94" s="32" t="n">
        <v>21.43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0 to 20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IF(B95=0,"",RANK(B95,$B$2:$B$135,0))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MANORAMA</t>
        </is>
      </c>
      <c r="D95" s="31" t="inlineStr">
        <is>
          <t>Manorama Industries Ltd</t>
        </is>
      </c>
      <c r="E95" s="31" t="inlineStr">
        <is>
          <t>fmcg</t>
        </is>
      </c>
      <c r="F95" s="31" t="inlineStr">
        <is>
          <t>food - processing - indian</t>
        </is>
      </c>
      <c r="G95" s="31" t="inlineStr">
        <is>
          <t>midcap</t>
        </is>
      </c>
      <c r="H95" s="32" t="n">
        <v>11932.75</v>
      </c>
      <c r="I95" s="32" t="n">
        <v>2043.4</v>
      </c>
      <c r="J95" s="32" t="n">
        <v>2.25</v>
      </c>
      <c r="K95" s="32" t="n">
        <v>186151</v>
      </c>
      <c r="L95" s="31" t="inlineStr"/>
      <c r="M95" s="31" t="inlineStr"/>
      <c r="N95" s="32">
        <f>IF(M95="Underperforming",-5,IF(L95&gt;=95,15,IF(L95&gt;=90,10,IF(L95&gt;=80,5,0))))</f>
        <v/>
      </c>
      <c r="O95" s="32" t="n">
        <v>68.81999999999999</v>
      </c>
      <c r="P95" s="32" t="n">
        <v>31.63</v>
      </c>
      <c r="Q95" s="32" t="n">
        <v>1620.68</v>
      </c>
      <c r="R95" s="31" t="inlineStr">
        <is>
          <t>Near 52W High Breakout</t>
        </is>
      </c>
      <c r="S95" s="31" t="inlineStr">
        <is>
          <t>Nifty FMCG</t>
        </is>
      </c>
      <c r="T95" s="32" t="inlineStr"/>
      <c r="U95" s="32" t="inlineStr"/>
      <c r="V95" s="32" t="inlineStr"/>
      <c r="W95" s="32" t="inlineStr"/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B2C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IF(B96=0,"",RANK(B96,$B$2:$B$135,0))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PVRINOX</t>
        </is>
      </c>
      <c r="D96" s="31" t="inlineStr">
        <is>
          <t>PVR Inox Ltd</t>
        </is>
      </c>
      <c r="E96" s="31" t="inlineStr">
        <is>
          <t>media</t>
        </is>
      </c>
      <c r="F96" s="31" t="inlineStr">
        <is>
          <t>entertainment / electronic media software</t>
        </is>
      </c>
      <c r="G96" s="31" t="inlineStr">
        <is>
          <t>midcap</t>
        </is>
      </c>
      <c r="H96" s="32" t="n">
        <v>12856.34</v>
      </c>
      <c r="I96" s="32" t="n">
        <v>1327.2</v>
      </c>
      <c r="J96" s="32" t="n">
        <v>1.37</v>
      </c>
      <c r="K96" s="32" t="n">
        <v>608467</v>
      </c>
      <c r="L96" s="31" t="n">
        <v>33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69.12</v>
      </c>
      <c r="P96" s="32" t="n">
        <v>34.51</v>
      </c>
      <c r="Q96" s="32" t="n">
        <v>1075.2</v>
      </c>
      <c r="R96" s="31" t="inlineStr">
        <is>
          <t>Volume Spike &amp; Near 52W High Breakout</t>
        </is>
      </c>
      <c r="S96" s="31" t="inlineStr">
        <is>
          <t>Nifty IT</t>
        </is>
      </c>
      <c r="T96" s="32" t="n">
        <v>-19.75</v>
      </c>
      <c r="U96" s="32" t="n">
        <v>21.76</v>
      </c>
      <c r="V96" s="32" t="n">
        <v>51.73</v>
      </c>
      <c r="W96" s="32" t="n">
        <v>11.42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Between 0.7 to 1.2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IF(B97=0,"",RANK(B97,$B$2:$B$135,0))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DHAMPURSUG</t>
        </is>
      </c>
      <c r="D97" s="31" t="inlineStr">
        <is>
          <t>Dhampur Sugar Mills Limited</t>
        </is>
      </c>
      <c r="E97" s="31" t="inlineStr">
        <is>
          <t>fmcg</t>
        </is>
      </c>
      <c r="F97" s="31" t="inlineStr">
        <is>
          <t>sugar</t>
        </is>
      </c>
      <c r="G97" s="31" t="inlineStr">
        <is>
          <t>smallcap</t>
        </is>
      </c>
      <c r="H97" s="32" t="n">
        <v>1176.23</v>
      </c>
      <c r="I97" s="32" t="n">
        <v>184.58</v>
      </c>
      <c r="J97" s="32" t="n">
        <v>0.91</v>
      </c>
      <c r="K97" s="32" t="n">
        <v>547287</v>
      </c>
      <c r="L97" s="31" t="inlineStr"/>
      <c r="M97" s="31" t="inlineStr"/>
      <c r="N97" s="32">
        <f>IF(M97="Underperforming",-5,IF(L97&gt;=95,15,IF(L97&gt;=90,10,IF(L97&gt;=80,5,0))))</f>
        <v/>
      </c>
      <c r="O97" s="32" t="n">
        <v>65.43000000000001</v>
      </c>
      <c r="P97" s="32" t="n">
        <v>25.75</v>
      </c>
      <c r="Q97" s="32" t="n">
        <v>137.14</v>
      </c>
      <c r="R97" s="31" t="inlineStr">
        <is>
          <t>Near 52W High Breakout</t>
        </is>
      </c>
      <c r="S97" s="31" t="inlineStr">
        <is>
          <t>Nifty FMCG</t>
        </is>
      </c>
      <c r="T97" s="32" t="inlineStr"/>
      <c r="U97" s="32" t="inlineStr"/>
      <c r="V97" s="32" t="inlineStr"/>
      <c r="W97" s="32" t="inlineStr"/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B2C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Less than 12%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Between 0.7 to 1.2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IF(B98=0,"",RANK(B98,$B$2:$B$135,0))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PRIMO</t>
        </is>
      </c>
      <c r="D98" s="31" t="inlineStr">
        <is>
          <t>Primo Chemicals Ltd</t>
        </is>
      </c>
      <c r="E98" s="31" t="inlineStr">
        <is>
          <t>chemicals</t>
        </is>
      </c>
      <c r="F98" s="31" t="inlineStr">
        <is>
          <t>chlor alkali / soda ash</t>
        </is>
      </c>
      <c r="G98" s="31" t="inlineStr">
        <is>
          <t>smallcap</t>
        </is>
      </c>
      <c r="H98" s="32" t="n">
        <v>595.6799999999999</v>
      </c>
      <c r="I98" s="32" t="n">
        <v>26.3</v>
      </c>
      <c r="J98" s="32" t="n">
        <v>7</v>
      </c>
      <c r="K98" s="32" t="n">
        <v>310931</v>
      </c>
      <c r="L98" s="31" t="n">
        <v>13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56.94</v>
      </c>
      <c r="P98" s="32" t="n">
        <v>20.38</v>
      </c>
      <c r="Q98" s="32" t="n">
        <v>16.63</v>
      </c>
      <c r="R98" s="31" t="inlineStr">
        <is>
          <t>Near 52W High Breakout</t>
        </is>
      </c>
      <c r="S98" s="31" t="inlineStr">
        <is>
          <t>Nifty 50</t>
        </is>
      </c>
      <c r="T98" s="32" t="n">
        <v>-10.93</v>
      </c>
      <c r="U98" s="32" t="n">
        <v>12.25</v>
      </c>
      <c r="V98" s="32" t="n">
        <v>26.03</v>
      </c>
      <c r="W98" s="32" t="n">
        <v>4.35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Less than 12%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IF(B99=0,"",RANK(B99,$B$2:$B$135,0))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LOKESHMACH</t>
        </is>
      </c>
      <c r="D99" s="31" t="inlineStr">
        <is>
          <t>Lokesh Machines Limited</t>
        </is>
      </c>
      <c r="E99" s="31" t="inlineStr">
        <is>
          <t>industrials</t>
        </is>
      </c>
      <c r="F99" s="31" t="inlineStr">
        <is>
          <t>engineering</t>
        </is>
      </c>
      <c r="G99" s="31" t="inlineStr">
        <is>
          <t>smallcap</t>
        </is>
      </c>
      <c r="H99" s="32" t="n">
        <v>976.17</v>
      </c>
      <c r="I99" s="32" t="n">
        <v>450.75</v>
      </c>
      <c r="J99" s="32" t="n">
        <v>0.65</v>
      </c>
      <c r="K99" s="32" t="n">
        <v>154914</v>
      </c>
      <c r="L99" s="31" t="n">
        <v>68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77.56</v>
      </c>
      <c r="P99" s="32" t="n">
        <v>40.44</v>
      </c>
      <c r="Q99" s="32" t="n">
        <v>333.3</v>
      </c>
      <c r="R99" s="31" t="inlineStr">
        <is>
          <t>Volume Spike &amp; Near 52W High Breakout</t>
        </is>
      </c>
      <c r="S99" s="31" t="inlineStr">
        <is>
          <t>Nifty 50</t>
        </is>
      </c>
      <c r="T99" s="32" t="n">
        <v>-10.93</v>
      </c>
      <c r="U99" s="32" t="n">
        <v>135.69</v>
      </c>
      <c r="V99" s="32" t="n">
        <v>164.62</v>
      </c>
      <c r="W99" s="32" t="n">
        <v>27.42</v>
      </c>
      <c r="X99" s="31" t="inlineStr">
        <is>
          <t>Cyclical in an Upturn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Between 0.7 to 1.2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IF(B100=0,"",RANK(B100,$B$2:$B$135,0))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SATIA</t>
        </is>
      </c>
      <c r="D100" s="31" t="inlineStr">
        <is>
          <t>Satia Industries Ltd</t>
        </is>
      </c>
      <c r="E100" s="31" t="inlineStr">
        <is>
          <t>building materials</t>
        </is>
      </c>
      <c r="F100" s="31" t="inlineStr">
        <is>
          <t>paper</t>
        </is>
      </c>
      <c r="G100" s="31" t="inlineStr">
        <is>
          <t>smallcap</t>
        </is>
      </c>
      <c r="H100" s="32" t="n">
        <v>676.4</v>
      </c>
      <c r="I100" s="32" t="n">
        <v>68.06</v>
      </c>
      <c r="J100" s="32" t="n">
        <v>0.62</v>
      </c>
      <c r="K100" s="32" t="n">
        <v>61491</v>
      </c>
      <c r="L100" s="31" t="inlineStr"/>
      <c r="M100" s="31" t="inlineStr"/>
      <c r="N100" s="32">
        <f>IF(M100="Underperforming",-5,IF(L100&gt;=95,15,IF(L100&gt;=90,10,IF(L100&gt;=80,5,0))))</f>
        <v/>
      </c>
      <c r="O100" s="32" t="n">
        <v>58.82</v>
      </c>
      <c r="P100" s="32" t="n">
        <v>12.56</v>
      </c>
      <c r="Q100" s="32" t="n">
        <v>53.09</v>
      </c>
      <c r="R100" s="31" t="inlineStr">
        <is>
          <t>Earnings / Momentum Support</t>
        </is>
      </c>
      <c r="S100" s="31" t="inlineStr">
        <is>
          <t>Nifty Infra</t>
        </is>
      </c>
      <c r="T100" s="32" t="inlineStr"/>
      <c r="U100" s="32" t="inlineStr"/>
      <c r="V100" s="32" t="inlineStr"/>
      <c r="W100" s="32" t="inlineStr"/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0 to 20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IF(B101=0,"",RANK(B101,$B$2:$B$135,0))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FINEORG</t>
        </is>
      </c>
      <c r="D101" s="31" t="inlineStr">
        <is>
          <t>Fine Organic Industries Ltd</t>
        </is>
      </c>
      <c r="E101" s="31" t="inlineStr">
        <is>
          <t>chemicals</t>
        </is>
      </c>
      <c r="F101" s="31" t="inlineStr">
        <is>
          <t>chemicals</t>
        </is>
      </c>
      <c r="G101" s="31" t="inlineStr">
        <is>
          <t>midcap</t>
        </is>
      </c>
      <c r="H101" s="32" t="n">
        <v>16496.6</v>
      </c>
      <c r="I101" s="32" t="n">
        <v>5410.5</v>
      </c>
      <c r="J101" s="32" t="n">
        <v>0.5600000000000001</v>
      </c>
      <c r="K101" s="32" t="n">
        <v>21311</v>
      </c>
      <c r="L101" s="31" t="n">
        <v>14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63.69</v>
      </c>
      <c r="P101" s="32" t="n">
        <v>15.15</v>
      </c>
      <c r="Q101" s="32" t="n">
        <v>4459.25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-10.93</v>
      </c>
      <c r="U101" s="32" t="n">
        <v>16.41</v>
      </c>
      <c r="V101" s="32" t="n">
        <v>30.7</v>
      </c>
      <c r="W101" s="32" t="n">
        <v>5.06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0 to 20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Between 12 to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IF(B102=0,"",RANK(B102,$B$2:$B$135,0))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MOBIKWIK</t>
        </is>
      </c>
      <c r="D102" s="31" t="inlineStr">
        <is>
          <t>One Mobikwik Systems Ltd</t>
        </is>
      </c>
      <c r="E102" s="31" t="inlineStr">
        <is>
          <t>i.t</t>
        </is>
      </c>
      <c r="F102" s="31" t="inlineStr">
        <is>
          <t>miscellaneous</t>
        </is>
      </c>
      <c r="G102" s="31" t="inlineStr">
        <is>
          <t>smallcap</t>
        </is>
      </c>
      <c r="H102" s="32" t="n">
        <v>1925.52</v>
      </c>
      <c r="I102" s="32" t="n">
        <v>245.49</v>
      </c>
      <c r="J102" s="32" t="n">
        <v>0.4</v>
      </c>
      <c r="K102" s="32" t="n">
        <v>28401891</v>
      </c>
      <c r="L102" s="31" t="n">
        <v>3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64.75</v>
      </c>
      <c r="P102" s="32" t="n">
        <v>19.12</v>
      </c>
      <c r="Q102" s="32" t="n">
        <v>177.79</v>
      </c>
      <c r="R102" s="31" t="inlineStr">
        <is>
          <t>Volume Spike / Accumulation</t>
        </is>
      </c>
      <c r="S102" s="31" t="inlineStr">
        <is>
          <t>Nifty IT</t>
        </is>
      </c>
      <c r="T102" s="32" t="n">
        <v>-19.75</v>
      </c>
      <c r="U102" s="32" t="n">
        <v>-13.02</v>
      </c>
      <c r="V102" s="32" t="n">
        <v>8.390000000000001</v>
      </c>
      <c r="W102" s="32" t="n">
        <v>0.63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0 to 20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IF(B103=0,"",RANK(B103,$B$2:$B$135,0))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STLTECH</t>
        </is>
      </c>
      <c r="D103" s="31" t="inlineStr">
        <is>
          <t>Sterlite Technologies Limited</t>
        </is>
      </c>
      <c r="E103" s="31" t="inlineStr">
        <is>
          <t>industrials</t>
        </is>
      </c>
      <c r="F103" s="31" t="inlineStr">
        <is>
          <t>cables - telephone</t>
        </is>
      </c>
      <c r="G103" s="31" t="inlineStr">
        <is>
          <t>largecap</t>
        </is>
      </c>
      <c r="H103" s="32" t="n">
        <v>51983.16</v>
      </c>
      <c r="I103" s="32" t="n">
        <v>1015.2</v>
      </c>
      <c r="J103" s="32" t="n">
        <v>0.36</v>
      </c>
      <c r="K103" s="32" t="n">
        <v>1326359</v>
      </c>
      <c r="L103" s="31" t="inlineStr"/>
      <c r="M103" s="31" t="inlineStr"/>
      <c r="N103" s="32">
        <f>IF(M103="Underperforming",-5,IF(L103&gt;=95,15,IF(L103&gt;=90,10,IF(L103&gt;=80,5,0))))</f>
        <v/>
      </c>
      <c r="O103" s="32" t="n">
        <v>80.01000000000001</v>
      </c>
      <c r="P103" s="32" t="n">
        <v>71.38</v>
      </c>
      <c r="Q103" s="32" t="n">
        <v>748.92</v>
      </c>
      <c r="R103" s="31" t="inlineStr">
        <is>
          <t>Near 52W High Breakout</t>
        </is>
      </c>
      <c r="S103" s="31" t="inlineStr">
        <is>
          <t>Nifty Infra</t>
        </is>
      </c>
      <c r="T103" s="32" t="inlineStr"/>
      <c r="U103" s="32" t="inlineStr"/>
      <c r="V103" s="32" t="inlineStr"/>
      <c r="W103" s="32" t="inlineStr"/>
      <c r="X103" s="31" t="inlineStr">
        <is>
          <t>Cyclical in an Upturn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Above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Between 0.7 to 1.2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IF(B104=0,"",RANK(B104,$B$2:$B$135,0))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SOTL</t>
        </is>
      </c>
      <c r="D104" s="31" t="inlineStr">
        <is>
          <t>Savita Oil Technologies Limited</t>
        </is>
      </c>
      <c r="E104" s="31" t="inlineStr">
        <is>
          <t>energy</t>
        </is>
      </c>
      <c r="F104" s="31" t="inlineStr">
        <is>
          <t>petrochemicals</t>
        </is>
      </c>
      <c r="G104" s="31" t="inlineStr">
        <is>
          <t>midcap</t>
        </is>
      </c>
      <c r="H104" s="32" t="n">
        <v>5239.39</v>
      </c>
      <c r="I104" s="32" t="n">
        <v>764.8</v>
      </c>
      <c r="J104" s="32" t="n">
        <v>0.08</v>
      </c>
      <c r="K104" s="32" t="n">
        <v>189615</v>
      </c>
      <c r="L104" s="31" t="inlineStr"/>
      <c r="M104" s="31" t="inlineStr"/>
      <c r="N104" s="32">
        <f>IF(M104="Underperforming",-5,IF(L104&gt;=95,15,IF(L104&gt;=90,10,IF(L104&gt;=80,5,0))))</f>
        <v/>
      </c>
      <c r="O104" s="32" t="n">
        <v>68.45</v>
      </c>
      <c r="P104" s="32" t="n">
        <v>65.31999999999999</v>
      </c>
      <c r="Q104" s="32" t="n">
        <v>520.38</v>
      </c>
      <c r="R104" s="31" t="inlineStr">
        <is>
          <t>Near 52W High Breakout</t>
        </is>
      </c>
      <c r="S104" s="31" t="inlineStr">
        <is>
          <t>Nifty Energy</t>
        </is>
      </c>
      <c r="T104" s="32" t="inlineStr"/>
      <c r="U104" s="32" t="inlineStr"/>
      <c r="V104" s="32" t="inlineStr"/>
      <c r="W104" s="32" t="inlineStr"/>
      <c r="X104" s="31" t="inlineStr">
        <is>
          <t>Cyclical in an Upturn</t>
        </is>
      </c>
      <c r="Y104" s="31">
        <f>IF(X104="Growing Industry",10,IF(X104="Cyclical in an Upturn",5,0))</f>
        <v/>
      </c>
      <c r="Z104" s="31" t="inlineStr">
        <is>
          <t>Oligopoly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Yes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Cyclical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Volatile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IF(B105=0,"",RANK(B105,$B$2:$B$135,0))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WHEELS</t>
        </is>
      </c>
      <c r="D105" s="31" t="inlineStr">
        <is>
          <t>Wheels India Limited</t>
        </is>
      </c>
      <c r="E105" s="31" t="inlineStr">
        <is>
          <t>auto</t>
        </is>
      </c>
      <c r="F105" s="31" t="inlineStr">
        <is>
          <t>auto ancillaries</t>
        </is>
      </c>
      <c r="G105" s="31" t="inlineStr">
        <is>
          <t>midcap</t>
        </is>
      </c>
      <c r="H105" s="32" t="n">
        <v>5931.75</v>
      </c>
      <c r="I105" s="32" t="n">
        <v>2207.2</v>
      </c>
      <c r="J105" s="32" t="n">
        <v>-0.05</v>
      </c>
      <c r="K105" s="32" t="n">
        <v>73512</v>
      </c>
      <c r="L105" s="31" t="inlineStr"/>
      <c r="M105" s="31" t="inlineStr"/>
      <c r="N105" s="32">
        <f>IF(M105="Underperforming",-5,IF(L105&gt;=95,15,IF(L105&gt;=90,10,IF(L105&gt;=80,5,0))))</f>
        <v/>
      </c>
      <c r="O105" s="32" t="n">
        <v>73.17</v>
      </c>
      <c r="P105" s="32" t="n">
        <v>60.26</v>
      </c>
      <c r="Q105" s="32" t="n">
        <v>1693.52</v>
      </c>
      <c r="R105" s="31" t="inlineStr">
        <is>
          <t>Near 52W High Breakout</t>
        </is>
      </c>
      <c r="S105" s="31" t="inlineStr">
        <is>
          <t>Nifty Auto</t>
        </is>
      </c>
      <c r="T105" s="32" t="inlineStr"/>
      <c r="U105" s="32" t="inlineStr"/>
      <c r="V105" s="32" t="inlineStr"/>
      <c r="W105" s="32" t="inlineStr"/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Negative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Between 0.7 to 1.2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IF(B106=0,"",RANK(B106,$B$2:$B$135,0))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STLNETWORK</t>
        </is>
      </c>
      <c r="D106" s="31" t="inlineStr">
        <is>
          <t>STL Networks Ltd</t>
        </is>
      </c>
      <c r="E106" s="31" t="inlineStr">
        <is>
          <t>telecom-service</t>
        </is>
      </c>
      <c r="F106" s="31" t="inlineStr">
        <is>
          <t>telecommunications - service provider</t>
        </is>
      </c>
      <c r="G106" s="31" t="inlineStr">
        <is>
          <t>smallcap</t>
        </is>
      </c>
      <c r="H106" s="32" t="n">
        <v>2346.18</v>
      </c>
      <c r="I106" s="32" t="n">
        <v>46.35</v>
      </c>
      <c r="J106" s="32" t="n">
        <v>-3.58</v>
      </c>
      <c r="K106" s="32" t="n">
        <v>6627588</v>
      </c>
      <c r="L106" s="31" t="n">
        <v>73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69.55</v>
      </c>
      <c r="P106" s="32" t="n">
        <v>37.67</v>
      </c>
      <c r="Q106" s="32" t="n">
        <v>41.34</v>
      </c>
      <c r="R106" s="31" t="inlineStr">
        <is>
          <t>Earnings / Momentum Support</t>
        </is>
      </c>
      <c r="S106" s="31" t="inlineStr">
        <is>
          <t>Nifty 50</t>
        </is>
      </c>
      <c r="T106" s="32" t="n">
        <v>-10.93</v>
      </c>
      <c r="U106" s="32" t="n">
        <v>61.55</v>
      </c>
      <c r="V106" s="32" t="n">
        <v>81.39</v>
      </c>
      <c r="W106" s="32" t="n">
        <v>31.2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Oligopoly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Yes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Between 0.7 to 1.2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IF(B107=0,"",RANK(B107,$B$2:$B$135,0))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INDOAMIN</t>
        </is>
      </c>
      <c r="D107" s="31" t="inlineStr">
        <is>
          <t>Indo Amines Ltd</t>
        </is>
      </c>
      <c r="E107" s="31" t="inlineStr">
        <is>
          <t>chemicals</t>
        </is>
      </c>
      <c r="F107" s="31" t="inlineStr">
        <is>
          <t>chemicals</t>
        </is>
      </c>
      <c r="G107" s="31" t="inlineStr">
        <is>
          <t>smallcap</t>
        </is>
      </c>
      <c r="H107" s="32" t="n">
        <v>1101.15</v>
      </c>
      <c r="I107" s="32" t="n">
        <v>157.72</v>
      </c>
      <c r="J107" s="32" t="n">
        <v>3.97</v>
      </c>
      <c r="K107" s="32" t="n">
        <v>575379</v>
      </c>
      <c r="L107" s="31" t="n">
        <v>24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70.58</v>
      </c>
      <c r="P107" s="32" t="n">
        <v>24.44</v>
      </c>
      <c r="Q107" s="32" t="n">
        <v>118.48</v>
      </c>
      <c r="R107" s="31" t="inlineStr">
        <is>
          <t>Volume Spike &amp; Near 52W High Breakout</t>
        </is>
      </c>
      <c r="S107" s="31" t="inlineStr">
        <is>
          <t>Nifty 50</t>
        </is>
      </c>
      <c r="T107" s="32" t="n">
        <v>-10.93</v>
      </c>
      <c r="U107" s="32" t="n">
        <v>16.11</v>
      </c>
      <c r="V107" s="32" t="n">
        <v>30.37</v>
      </c>
      <c r="W107" s="32" t="n">
        <v>9.02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Less than 12%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Between 0.7 to 1.2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IF(B108=0,"",RANK(B108,$B$2:$B$135,0))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SIGMAADV</t>
        </is>
      </c>
      <c r="D108" s="31" t="inlineStr">
        <is>
          <t>Sigma Advanced System Ltd</t>
        </is>
      </c>
      <c r="E108" s="31" t="inlineStr">
        <is>
          <t>aerospace &amp; defence</t>
        </is>
      </c>
      <c r="F108" s="31" t="inlineStr">
        <is>
          <t>electronics - components</t>
        </is>
      </c>
      <c r="G108" s="31" t="inlineStr">
        <is>
          <t>midcap</t>
        </is>
      </c>
      <c r="H108" s="32" t="n">
        <v>19652.65</v>
      </c>
      <c r="I108" s="32" t="n">
        <v>1008.8</v>
      </c>
      <c r="J108" s="32" t="n">
        <v>-2.73</v>
      </c>
      <c r="K108" s="32" t="n">
        <v>462853</v>
      </c>
      <c r="L108" s="31" t="n">
        <v>98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77.69</v>
      </c>
      <c r="P108" s="32" t="n">
        <v>63.12</v>
      </c>
      <c r="Q108" s="32" t="n">
        <v>797.97</v>
      </c>
      <c r="R108" s="31" t="inlineStr">
        <is>
          <t>Earnings / Momentum Support</t>
        </is>
      </c>
      <c r="S108" s="31" t="inlineStr">
        <is>
          <t>Nifty 50</t>
        </is>
      </c>
      <c r="T108" s="32" t="n">
        <v>-10.93</v>
      </c>
      <c r="U108" s="32" t="n">
        <v>538.16</v>
      </c>
      <c r="V108" s="32" t="n">
        <v>616.51</v>
      </c>
      <c r="W108" s="32" t="n">
        <v>77.23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Less than 12%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Between 0.7 to 1.2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IF(B109=0,"",RANK(B109,$B$2:$B$135,0))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UTTAMSUGAR</t>
        </is>
      </c>
      <c r="D109" s="31" t="inlineStr">
        <is>
          <t>Uttam Sugar Mills Limited</t>
        </is>
      </c>
      <c r="E109" s="31" t="inlineStr">
        <is>
          <t>fmcg</t>
        </is>
      </c>
      <c r="F109" s="31" t="inlineStr">
        <is>
          <t>sugar</t>
        </is>
      </c>
      <c r="G109" s="31" t="inlineStr">
        <is>
          <t>smallcap</t>
        </is>
      </c>
      <c r="H109" s="32" t="n">
        <v>1111.92</v>
      </c>
      <c r="I109" s="32" t="n">
        <v>298.05</v>
      </c>
      <c r="J109" s="32" t="n">
        <v>2.23</v>
      </c>
      <c r="K109" s="32" t="n">
        <v>151371</v>
      </c>
      <c r="L109" s="31" t="inlineStr"/>
      <c r="M109" s="31" t="inlineStr"/>
      <c r="N109" s="32">
        <f>IF(M109="Underperforming",-5,IF(L109&gt;=95,15,IF(L109&gt;=90,10,IF(L109&gt;=80,5,0))))</f>
        <v/>
      </c>
      <c r="O109" s="32" t="n">
        <v>59.39</v>
      </c>
      <c r="P109" s="32" t="n">
        <v>29.89</v>
      </c>
      <c r="Q109" s="32" t="n">
        <v>221.8</v>
      </c>
      <c r="R109" s="31" t="inlineStr">
        <is>
          <t>Earnings / Momentum Support</t>
        </is>
      </c>
      <c r="S109" s="31" t="inlineStr">
        <is>
          <t>Nifty FMCG</t>
        </is>
      </c>
      <c r="T109" s="32" t="inlineStr"/>
      <c r="U109" s="32" t="inlineStr"/>
      <c r="V109" s="32" t="inlineStr"/>
      <c r="W109" s="32" t="inlineStr"/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B2C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Less than 12%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Between 0.7 to 1.2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IF(B110=0,"",RANK(B110,$B$2:$B$135,0))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BIRLACABLE</t>
        </is>
      </c>
      <c r="D110" s="31" t="inlineStr">
        <is>
          <t>Birla Cable Limited</t>
        </is>
      </c>
      <c r="E110" s="31" t="inlineStr">
        <is>
          <t>industrials</t>
        </is>
      </c>
      <c r="F110" s="31" t="inlineStr">
        <is>
          <t>cables - telephone</t>
        </is>
      </c>
      <c r="G110" s="31" t="inlineStr">
        <is>
          <t>smallcap</t>
        </is>
      </c>
      <c r="H110" s="32" t="n">
        <v>1100.7</v>
      </c>
      <c r="I110" s="32" t="n">
        <v>385.2</v>
      </c>
      <c r="J110" s="32" t="n">
        <v>4.99</v>
      </c>
      <c r="K110" s="32" t="n">
        <v>381833</v>
      </c>
      <c r="L110" s="31" t="inlineStr"/>
      <c r="M110" s="31" t="inlineStr"/>
      <c r="N110" s="32">
        <f>IF(M110="Underperforming",-5,IF(L110&gt;=95,15,IF(L110&gt;=90,10,IF(L110&gt;=80,5,0))))</f>
        <v/>
      </c>
      <c r="O110" s="32" t="n">
        <v>71.78</v>
      </c>
      <c r="P110" s="32" t="n">
        <v>54.79</v>
      </c>
      <c r="Q110" s="32" t="n">
        <v>288.45</v>
      </c>
      <c r="R110" s="31" t="inlineStr">
        <is>
          <t>Earnings / Momentum Support</t>
        </is>
      </c>
      <c r="S110" s="31" t="inlineStr">
        <is>
          <t>Nifty Infra</t>
        </is>
      </c>
      <c r="T110" s="32" t="inlineStr"/>
      <c r="U110" s="32" t="inlineStr"/>
      <c r="V110" s="32" t="inlineStr"/>
      <c r="W110" s="32" t="inlineStr"/>
      <c r="X110" s="31" t="inlineStr">
        <is>
          <t>Cyclical in an Upturn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Negative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IF(B111=0,"",RANK(B111,$B$2:$B$135,0))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GPTINFRA</t>
        </is>
      </c>
      <c r="D111" s="31" t="inlineStr">
        <is>
          <t>Gpt Infraprojects Limited</t>
        </is>
      </c>
      <c r="E111" s="31" t="inlineStr">
        <is>
          <t>realty</t>
        </is>
      </c>
      <c r="F111" s="31" t="inlineStr">
        <is>
          <t>construction</t>
        </is>
      </c>
      <c r="G111" s="31" t="inlineStr">
        <is>
          <t>smallcap</t>
        </is>
      </c>
      <c r="H111" s="32" t="n">
        <v>1531.41</v>
      </c>
      <c r="I111" s="32" t="n">
        <v>121.88</v>
      </c>
      <c r="J111" s="32" t="n">
        <v>0.57</v>
      </c>
      <c r="K111" s="32" t="n">
        <v>216420</v>
      </c>
      <c r="L111" s="31" t="inlineStr"/>
      <c r="M111" s="31" t="inlineStr"/>
      <c r="N111" s="32">
        <f>IF(M111="Underperforming",-5,IF(L111&gt;=95,15,IF(L111&gt;=90,10,IF(L111&gt;=80,5,0))))</f>
        <v/>
      </c>
      <c r="O111" s="32" t="n">
        <v>57.1</v>
      </c>
      <c r="P111" s="32" t="n">
        <v>16.45</v>
      </c>
      <c r="Q111" s="32" t="n">
        <v>94.34999999999999</v>
      </c>
      <c r="R111" s="31" t="inlineStr">
        <is>
          <t>Volume Spike / Accumulation</t>
        </is>
      </c>
      <c r="S111" s="31" t="inlineStr">
        <is>
          <t>Nifty Realty</t>
        </is>
      </c>
      <c r="T111" s="32" t="inlineStr"/>
      <c r="U111" s="32" t="inlineStr"/>
      <c r="V111" s="32" t="inlineStr"/>
      <c r="W111" s="32" t="inlineStr"/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0 to 20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Less than 12%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IF(B112=0,"",RANK(B112,$B$2:$B$135,0))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GLOBAL</t>
        </is>
      </c>
      <c r="D112" s="31" t="inlineStr">
        <is>
          <t>Global Education Ltd</t>
        </is>
      </c>
      <c r="E112" s="31" t="inlineStr">
        <is>
          <t>services</t>
        </is>
      </c>
      <c r="F112" s="31" t="inlineStr">
        <is>
          <t>miscellaneous</t>
        </is>
      </c>
      <c r="G112" s="31" t="inlineStr">
        <is>
          <t>smallcap</t>
        </is>
      </c>
      <c r="H112" s="32" t="n">
        <v>719.8</v>
      </c>
      <c r="I112" s="32" t="n">
        <v>142.2</v>
      </c>
      <c r="J112" s="32" t="n">
        <v>0.5600000000000001</v>
      </c>
      <c r="K112" s="32" t="n">
        <v>114393</v>
      </c>
      <c r="L112" s="31" t="n">
        <v>67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78.22</v>
      </c>
      <c r="P112" s="32" t="n">
        <v>33.35</v>
      </c>
      <c r="Q112" s="32" t="n">
        <v>110.34</v>
      </c>
      <c r="R112" s="31" t="inlineStr">
        <is>
          <t>Near 52W High Breakout</t>
        </is>
      </c>
      <c r="S112" s="31" t="inlineStr">
        <is>
          <t>Nifty 50</t>
        </is>
      </c>
      <c r="T112" s="32" t="n">
        <v>-10.93</v>
      </c>
      <c r="U112" s="32" t="n">
        <v>132.22</v>
      </c>
      <c r="V112" s="32" t="n">
        <v>160.73</v>
      </c>
      <c r="W112" s="32" t="n">
        <v>27.35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Above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Less than 12%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Less than 50%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IF(B113=0,"",RANK(B113,$B$2:$B$135,0))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PREMEXPLN</t>
        </is>
      </c>
      <c r="D113" s="31" t="inlineStr">
        <is>
          <t>Premier Explosives Limited</t>
        </is>
      </c>
      <c r="E113" s="31" t="inlineStr">
        <is>
          <t>aerospace &amp; defence</t>
        </is>
      </c>
      <c r="F113" s="31" t="inlineStr">
        <is>
          <t>chemicals</t>
        </is>
      </c>
      <c r="G113" s="31" t="inlineStr">
        <is>
          <t>smallcap</t>
        </is>
      </c>
      <c r="H113" s="32" t="n">
        <v>3704.42</v>
      </c>
      <c r="I113" s="32" t="n">
        <v>687.05</v>
      </c>
      <c r="J113" s="32" t="n">
        <v>-0.29</v>
      </c>
      <c r="K113" s="32" t="n">
        <v>106402</v>
      </c>
      <c r="L113" s="31" t="n">
        <v>10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59.09</v>
      </c>
      <c r="P113" s="32" t="n">
        <v>30.8</v>
      </c>
      <c r="Q113" s="32" t="n">
        <v>559.67</v>
      </c>
      <c r="R113" s="31" t="inlineStr">
        <is>
          <t>Earnings / Momentum Support</t>
        </is>
      </c>
      <c r="S113" s="31" t="inlineStr">
        <is>
          <t>Nifty 50</t>
        </is>
      </c>
      <c r="T113" s="32" t="n">
        <v>-10.93</v>
      </c>
      <c r="U113" s="32" t="n">
        <v>4.54</v>
      </c>
      <c r="V113" s="32" t="n">
        <v>17.37</v>
      </c>
      <c r="W113" s="32" t="n">
        <v>3.41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Less than 12%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IF(B114=0,"",RANK(B114,$B$2:$B$135,0))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MTARTECH</t>
        </is>
      </c>
      <c r="D114" s="31" t="inlineStr">
        <is>
          <t>MTAR Technologies Ltd</t>
        </is>
      </c>
      <c r="E114" s="31" t="inlineStr">
        <is>
          <t>aerospace &amp; defence</t>
        </is>
      </c>
      <c r="F114" s="31" t="inlineStr">
        <is>
          <t>engineering</t>
        </is>
      </c>
      <c r="G114" s="31" t="inlineStr">
        <is>
          <t>largecap</t>
        </is>
      </c>
      <c r="H114" s="32" t="n">
        <v>24144.74</v>
      </c>
      <c r="I114" s="32" t="n">
        <v>7781.5</v>
      </c>
      <c r="J114" s="32" t="n">
        <v>-0.87</v>
      </c>
      <c r="K114" s="32" t="n">
        <v>58375</v>
      </c>
      <c r="L114" s="31" t="n">
        <v>86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63.9</v>
      </c>
      <c r="P114" s="32" t="n">
        <v>18.24</v>
      </c>
      <c r="Q114" s="32" t="n">
        <v>5468.74</v>
      </c>
      <c r="R114" s="31" t="inlineStr">
        <is>
          <t>Earnings / Momentum Support</t>
        </is>
      </c>
      <c r="S114" s="31" t="inlineStr">
        <is>
          <t>Nifty 50</t>
        </is>
      </c>
      <c r="T114" s="32" t="n">
        <v>-10.93</v>
      </c>
      <c r="U114" s="32" t="n">
        <v>313.76</v>
      </c>
      <c r="V114" s="32" t="n">
        <v>364.55</v>
      </c>
      <c r="W114" s="32" t="n">
        <v>37.5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0 to 20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IF(B115=0,"",RANK(B115,$B$2:$B$135,0))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AXISCADES</t>
        </is>
      </c>
      <c r="D115" s="31" t="inlineStr">
        <is>
          <t>AXISCADES Technologies Ltd</t>
        </is>
      </c>
      <c r="E115" s="31" t="inlineStr">
        <is>
          <t>aerospace &amp; defence</t>
        </is>
      </c>
      <c r="F115" s="31" t="inlineStr">
        <is>
          <t>computers - software - medium / small</t>
        </is>
      </c>
      <c r="G115" s="31" t="inlineStr">
        <is>
          <t>midcap</t>
        </is>
      </c>
      <c r="H115" s="32" t="n">
        <v>8836.24</v>
      </c>
      <c r="I115" s="32" t="n">
        <v>2082.3</v>
      </c>
      <c r="J115" s="32" t="n">
        <v>0.23</v>
      </c>
      <c r="K115" s="32" t="n">
        <v>194911</v>
      </c>
      <c r="L115" s="31" t="n">
        <v>34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61.22</v>
      </c>
      <c r="P115" s="32" t="n">
        <v>15.25</v>
      </c>
      <c r="Q115" s="32" t="n">
        <v>1674.39</v>
      </c>
      <c r="R115" s="31" t="inlineStr">
        <is>
          <t>Earnings / Momentum Support</t>
        </is>
      </c>
      <c r="S115" s="31" t="inlineStr">
        <is>
          <t>Nifty IT</t>
        </is>
      </c>
      <c r="T115" s="32" t="n">
        <v>-19.75</v>
      </c>
      <c r="U115" s="32" t="n">
        <v>24.78</v>
      </c>
      <c r="V115" s="32" t="n">
        <v>55.49</v>
      </c>
      <c r="W115" s="32" t="n">
        <v>11.83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Annuity, Lower One Time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0 to 20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IF(B116=0,"",RANK(B116,$B$2:$B$135,0))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INDIAGLYCO</t>
        </is>
      </c>
      <c r="D116" s="31" t="inlineStr">
        <is>
          <t>India Glycols Limited</t>
        </is>
      </c>
      <c r="E116" s="31" t="inlineStr">
        <is>
          <t>fmcg</t>
        </is>
      </c>
      <c r="F116" s="31" t="inlineStr">
        <is>
          <t>breweries &amp; distilleries</t>
        </is>
      </c>
      <c r="G116" s="31" t="inlineStr">
        <is>
          <t>smallcap</t>
        </is>
      </c>
      <c r="H116" s="32" t="n">
        <v>2392.19</v>
      </c>
      <c r="I116" s="32" t="n">
        <v>329.6</v>
      </c>
      <c r="J116" s="32" t="n">
        <v>-7.65</v>
      </c>
      <c r="K116" s="32" t="n">
        <v>1266097</v>
      </c>
      <c r="L116" s="31" t="inlineStr"/>
      <c r="M116" s="31" t="inlineStr"/>
      <c r="N116" s="32">
        <f>IF(M116="Underperforming",-5,IF(L116&gt;=95,15,IF(L116&gt;=90,10,IF(L116&gt;=80,5,0))))</f>
        <v/>
      </c>
      <c r="O116" s="32" t="n">
        <v>29</v>
      </c>
      <c r="P116" s="32" t="n">
        <v>40.83</v>
      </c>
      <c r="Q116" s="32" t="n">
        <v>812.78</v>
      </c>
      <c r="R116" s="31" t="inlineStr">
        <is>
          <t>Volume Spike / Accumulation</t>
        </is>
      </c>
      <c r="S116" s="31" t="inlineStr">
        <is>
          <t>Nifty FMCG</t>
        </is>
      </c>
      <c r="T116" s="32" t="inlineStr"/>
      <c r="U116" s="32" t="inlineStr"/>
      <c r="V116" s="32" t="inlineStr"/>
      <c r="W116" s="32" t="inlineStr"/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Headwind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B2C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Annuity, Lower One Time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Below 45</t>
        </is>
      </c>
      <c r="BA116" s="31">
        <f>IF(AZ116="Between 50 to 75",10,IF(AZ116="Above 75",0,0))</f>
        <v/>
      </c>
      <c r="BB116" s="31" t="inlineStr">
        <is>
          <t>Stage 4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No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IF(B117=0,"",RANK(B117,$B$2:$B$135,0))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RATNAVEER</t>
        </is>
      </c>
      <c r="D117" s="31" t="inlineStr">
        <is>
          <t>Ratnaveer Precision Engineering Ltd</t>
        </is>
      </c>
      <c r="E117" s="31" t="inlineStr">
        <is>
          <t>metals &amp; mining</t>
        </is>
      </c>
      <c r="F117" s="31" t="inlineStr">
        <is>
          <t>steel - medium / small</t>
        </is>
      </c>
      <c r="G117" s="31" t="inlineStr">
        <is>
          <t>smallcap</t>
        </is>
      </c>
      <c r="H117" s="32" t="n">
        <v>2780.9</v>
      </c>
      <c r="I117" s="32" t="n">
        <v>343.6</v>
      </c>
      <c r="J117" s="32" t="n">
        <v>3.7</v>
      </c>
      <c r="K117" s="32" t="n">
        <v>5179011</v>
      </c>
      <c r="L117" s="31" t="inlineStr"/>
      <c r="M117" s="31" t="inlineStr"/>
      <c r="N117" s="32">
        <f>IF(M117="Underperforming",-5,IF(L117&gt;=95,15,IF(L117&gt;=90,10,IF(L117&gt;=80,5,0))))</f>
        <v/>
      </c>
      <c r="O117" s="32" t="n">
        <v>81.29000000000001</v>
      </c>
      <c r="P117" s="32" t="n">
        <v>68.73999999999999</v>
      </c>
      <c r="Q117" s="32" t="n">
        <v>254.81</v>
      </c>
      <c r="R117" s="31" t="inlineStr">
        <is>
          <t>Near 52W High Breakout</t>
        </is>
      </c>
      <c r="S117" s="31" t="inlineStr">
        <is>
          <t>Nifty Metal</t>
        </is>
      </c>
      <c r="T117" s="32" t="inlineStr"/>
      <c r="U117" s="32" t="inlineStr"/>
      <c r="V117" s="32" t="inlineStr"/>
      <c r="W117" s="32" t="inlineStr"/>
      <c r="X117" s="31" t="inlineStr">
        <is>
          <t>Cyclical in an Upturn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Cyclical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Volatile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Above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Less than 12%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IF(B118=0,"",RANK(B118,$B$2:$B$135,0))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NYKAA</t>
        </is>
      </c>
      <c r="D118" s="31" t="inlineStr">
        <is>
          <t>FSN E-Commerce Ventures Ltd</t>
        </is>
      </c>
      <c r="E118" s="31" t="inlineStr">
        <is>
          <t>i.t</t>
        </is>
      </c>
      <c r="F118" s="31" t="inlineStr">
        <is>
          <t>trading</t>
        </is>
      </c>
      <c r="G118" s="31" t="inlineStr">
        <is>
          <t>largecap</t>
        </is>
      </c>
      <c r="H118" s="32" t="n">
        <v>95164.88</v>
      </c>
      <c r="I118" s="32" t="n">
        <v>343</v>
      </c>
      <c r="J118" s="32" t="n">
        <v>3.22</v>
      </c>
      <c r="K118" s="32" t="n">
        <v>5152542</v>
      </c>
      <c r="L118" s="31" t="n">
        <v>18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66.11</v>
      </c>
      <c r="P118" s="32" t="n">
        <v>50.22</v>
      </c>
      <c r="Q118" s="32" t="n">
        <v>291.93</v>
      </c>
      <c r="R118" s="31" t="inlineStr">
        <is>
          <t>Near 52W High Breakout</t>
        </is>
      </c>
      <c r="S118" s="31" t="inlineStr">
        <is>
          <t>Nifty IT</t>
        </is>
      </c>
      <c r="T118" s="32" t="n">
        <v>-19.75</v>
      </c>
      <c r="U118" s="32" t="n">
        <v>29.34</v>
      </c>
      <c r="V118" s="32" t="n">
        <v>61.18</v>
      </c>
      <c r="W118" s="32" t="n">
        <v>6.59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Negative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Between 0.7 to 1.2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IF(B119=0,"",RANK(B119,$B$2:$B$135,0))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ROSSTECH</t>
        </is>
      </c>
      <c r="D119" s="31" t="inlineStr">
        <is>
          <t>Rossell Techsys Ltd</t>
        </is>
      </c>
      <c r="E119" s="31" t="inlineStr">
        <is>
          <t>aerospace &amp; defence</t>
        </is>
      </c>
      <c r="F119" s="31" t="inlineStr">
        <is>
          <t>engineering</t>
        </is>
      </c>
      <c r="G119" s="31" t="inlineStr">
        <is>
          <t>midcap</t>
        </is>
      </c>
      <c r="H119" s="32" t="n">
        <v>5918.72</v>
      </c>
      <c r="I119" s="32" t="n">
        <v>1574.8</v>
      </c>
      <c r="J119" s="32" t="n">
        <v>0.3</v>
      </c>
      <c r="K119" s="32" t="n">
        <v>176795</v>
      </c>
      <c r="L119" s="31" t="n">
        <v>77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81.98</v>
      </c>
      <c r="P119" s="32" t="n">
        <v>35.2</v>
      </c>
      <c r="Q119" s="32" t="n">
        <v>1172.65</v>
      </c>
      <c r="R119" s="31" t="inlineStr">
        <is>
          <t>Near 52W High Breakout</t>
        </is>
      </c>
      <c r="S119" s="31" t="inlineStr">
        <is>
          <t>Nifty 50</t>
        </is>
      </c>
      <c r="T119" s="32" t="n">
        <v>-10.93</v>
      </c>
      <c r="U119" s="32" t="n">
        <v>125.96</v>
      </c>
      <c r="V119" s="32" t="n">
        <v>153.7</v>
      </c>
      <c r="W119" s="32" t="n">
        <v>32.77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Above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More than 1.2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IF(B120=0,"",RANK(B120,$B$2:$B$135,0))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SBC</t>
        </is>
      </c>
      <c r="D120" s="31" t="inlineStr">
        <is>
          <t>SBC Exports Ltd</t>
        </is>
      </c>
      <c r="E120" s="31" t="inlineStr">
        <is>
          <t>textiles</t>
        </is>
      </c>
      <c r="F120" s="31" t="inlineStr">
        <is>
          <t>textiles - products</t>
        </is>
      </c>
      <c r="G120" s="31" t="inlineStr">
        <is>
          <t>smallcap</t>
        </is>
      </c>
      <c r="H120" s="32" t="n">
        <v>3010</v>
      </c>
      <c r="I120" s="32" t="n">
        <v>62.43</v>
      </c>
      <c r="J120" s="32" t="n">
        <v>-1.23</v>
      </c>
      <c r="K120" s="32" t="n">
        <v>17654008</v>
      </c>
      <c r="L120" s="31" t="n">
        <v>77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86.64</v>
      </c>
      <c r="P120" s="32" t="n">
        <v>32.35</v>
      </c>
      <c r="Q120" s="32" t="n">
        <v>51.3</v>
      </c>
      <c r="R120" s="31" t="inlineStr">
        <is>
          <t>Volume Spike &amp; Near 52W High Breakout</t>
        </is>
      </c>
      <c r="S120" s="31" t="inlineStr">
        <is>
          <t>Nifty 50</t>
        </is>
      </c>
      <c r="T120" s="32" t="n">
        <v>-10.93</v>
      </c>
      <c r="U120" s="32" t="n">
        <v>174.42</v>
      </c>
      <c r="V120" s="32" t="n">
        <v>208.11</v>
      </c>
      <c r="W120" s="32" t="n">
        <v>32.82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Above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More than 1.2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IF(B121=0,"",RANK(B121,$B$2:$B$135,0))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SUNFLAG</t>
        </is>
      </c>
      <c r="D121" s="31" t="inlineStr">
        <is>
          <t>Sunflag Iron And Steel Company Limited</t>
        </is>
      </c>
      <c r="E121" s="31" t="inlineStr">
        <is>
          <t>metals &amp; mining</t>
        </is>
      </c>
      <c r="F121" s="31" t="inlineStr">
        <is>
          <t>steel - medium / small</t>
        </is>
      </c>
      <c r="G121" s="31" t="inlineStr">
        <is>
          <t>midcap</t>
        </is>
      </c>
      <c r="H121" s="32" t="n">
        <v>8122.49</v>
      </c>
      <c r="I121" s="32" t="n">
        <v>439.8</v>
      </c>
      <c r="J121" s="32" t="n">
        <v>-2.42</v>
      </c>
      <c r="K121" s="32" t="n">
        <v>276426</v>
      </c>
      <c r="L121" s="31" t="inlineStr"/>
      <c r="M121" s="31" t="inlineStr"/>
      <c r="N121" s="32">
        <f>IF(M121="Underperforming",-5,IF(L121&gt;=95,15,IF(L121&gt;=90,10,IF(L121&gt;=80,5,0))))</f>
        <v/>
      </c>
      <c r="O121" s="32" t="n">
        <v>71.23999999999999</v>
      </c>
      <c r="P121" s="32" t="n">
        <v>35.1</v>
      </c>
      <c r="Q121" s="32" t="n">
        <v>329.92</v>
      </c>
      <c r="R121" s="31" t="inlineStr">
        <is>
          <t>Near 52W High Breakout</t>
        </is>
      </c>
      <c r="S121" s="31" t="inlineStr">
        <is>
          <t>Nifty Metal</t>
        </is>
      </c>
      <c r="T121" s="32" t="inlineStr"/>
      <c r="U121" s="32" t="inlineStr"/>
      <c r="V121" s="32" t="inlineStr"/>
      <c r="W121" s="32" t="inlineStr"/>
      <c r="X121" s="31" t="inlineStr">
        <is>
          <t>Cyclical in an Upturn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Cyclical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Volatile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Less than 12%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IF(B122=0,"",RANK(B122,$B$2:$B$135,0))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BBOX</t>
        </is>
      </c>
      <c r="D122" s="31" t="inlineStr">
        <is>
          <t>Black Box Ltd</t>
        </is>
      </c>
      <c r="E122" s="31" t="inlineStr">
        <is>
          <t>i.t</t>
        </is>
      </c>
      <c r="F122" s="31" t="inlineStr">
        <is>
          <t>computers - software - medium / small</t>
        </is>
      </c>
      <c r="G122" s="31" t="inlineStr">
        <is>
          <t>midcap</t>
        </is>
      </c>
      <c r="H122" s="32" t="n">
        <v>15212.26</v>
      </c>
      <c r="I122" s="32" t="n">
        <v>892.1</v>
      </c>
      <c r="J122" s="32" t="n">
        <v>4.15</v>
      </c>
      <c r="K122" s="32" t="n">
        <v>6686307</v>
      </c>
      <c r="L122" s="31" t="n">
        <v>35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60.83</v>
      </c>
      <c r="P122" s="32" t="n">
        <v>9.65</v>
      </c>
      <c r="Q122" s="32" t="n">
        <v>667.4299999999999</v>
      </c>
      <c r="R122" s="31" t="inlineStr">
        <is>
          <t>Volume Spike / Accumulation</t>
        </is>
      </c>
      <c r="S122" s="31" t="inlineStr">
        <is>
          <t>Nifty IT</t>
        </is>
      </c>
      <c r="T122" s="32" t="n">
        <v>-19.75</v>
      </c>
      <c r="U122" s="32" t="n">
        <v>55.25</v>
      </c>
      <c r="V122" s="32" t="n">
        <v>93.47</v>
      </c>
      <c r="W122" s="32" t="n">
        <v>12.22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Annuity, Lower One Time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0 to 20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Between 12 to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Between 0.7 to 1.2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IF(B123=0,"",RANK(B123,$B$2:$B$135,0))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VHLTD</t>
        </is>
      </c>
      <c r="D123" s="31" t="inlineStr">
        <is>
          <t>Viceroy Hotels Ltd</t>
        </is>
      </c>
      <c r="E123" s="31" t="inlineStr">
        <is>
          <t>services</t>
        </is>
      </c>
      <c r="F123" s="31" t="inlineStr">
        <is>
          <t>hotels</t>
        </is>
      </c>
      <c r="G123" s="31" t="inlineStr">
        <is>
          <t>smallcap</t>
        </is>
      </c>
      <c r="H123" s="32" t="n">
        <v>1045</v>
      </c>
      <c r="I123" s="32" t="n">
        <v>142.9</v>
      </c>
      <c r="J123" s="32" t="n">
        <v>5</v>
      </c>
      <c r="K123" s="32" t="n">
        <v>104822</v>
      </c>
      <c r="L123" s="31" t="n">
        <v>13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61.69</v>
      </c>
      <c r="P123" s="32" t="n">
        <v>16.71</v>
      </c>
      <c r="Q123" s="32" t="n">
        <v>109.96</v>
      </c>
      <c r="R123" s="31" t="inlineStr">
        <is>
          <t>Volume Spike &amp; Near 52W High Breakout</t>
        </is>
      </c>
      <c r="S123" s="31" t="inlineStr">
        <is>
          <t>Nifty 50</t>
        </is>
      </c>
      <c r="T123" s="32" t="n">
        <v>-10.93</v>
      </c>
      <c r="U123" s="32" t="n">
        <v>12.79</v>
      </c>
      <c r="V123" s="32" t="n">
        <v>26.63</v>
      </c>
      <c r="W123" s="32" t="n">
        <v>4.96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0 to 20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1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Less than 1.5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Between 0.7 to 1.2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IF(B124=0,"",RANK(B124,$B$2:$B$135,0))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ARFIN</t>
        </is>
      </c>
      <c r="D124" s="31" t="inlineStr">
        <is>
          <t>Arfin India Ltd</t>
        </is>
      </c>
      <c r="E124" s="31" t="inlineStr">
        <is>
          <t>metals &amp; mining</t>
        </is>
      </c>
      <c r="F124" s="31" t="inlineStr">
        <is>
          <t>aluminium and aluminium products</t>
        </is>
      </c>
      <c r="G124" s="31" t="inlineStr">
        <is>
          <t>smallcap</t>
        </is>
      </c>
      <c r="H124" s="32" t="n">
        <v>1814.1</v>
      </c>
      <c r="I124" s="32" t="n">
        <v>105.14</v>
      </c>
      <c r="J124" s="32" t="n">
        <v>-2.21</v>
      </c>
      <c r="K124" s="32" t="n">
        <v>12777249</v>
      </c>
      <c r="L124" s="31" t="inlineStr"/>
      <c r="M124" s="31" t="inlineStr"/>
      <c r="N124" s="32">
        <f>IF(M124="Underperforming",-5,IF(L124&gt;=95,15,IF(L124&gt;=90,10,IF(L124&gt;=80,5,0))))</f>
        <v/>
      </c>
      <c r="O124" s="32" t="n">
        <v>67.5</v>
      </c>
      <c r="P124" s="32" t="n">
        <v>24.39</v>
      </c>
      <c r="Q124" s="32" t="n">
        <v>76.73999999999999</v>
      </c>
      <c r="R124" s="31" t="inlineStr">
        <is>
          <t>Volume Spike &amp; Near 52W High Breakout</t>
        </is>
      </c>
      <c r="S124" s="31" t="inlineStr">
        <is>
          <t>Nifty Metal</t>
        </is>
      </c>
      <c r="T124" s="32" t="inlineStr"/>
      <c r="U124" s="32" t="inlineStr"/>
      <c r="V124" s="32" t="inlineStr"/>
      <c r="W124" s="32" t="inlineStr"/>
      <c r="X124" s="31" t="inlineStr">
        <is>
          <t>Cyclical in an Upturn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Cyclical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Volatile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Between 0.7 to 1.2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IF(B125=0,"",RANK(B125,$B$2:$B$135,0))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PERSISTENT</t>
        </is>
      </c>
      <c r="D125" s="31" t="inlineStr">
        <is>
          <t>Persistent Systems Limited</t>
        </is>
      </c>
      <c r="E125" s="31" t="inlineStr">
        <is>
          <t>i.t</t>
        </is>
      </c>
      <c r="F125" s="31" t="inlineStr">
        <is>
          <t>computers - software - large</t>
        </is>
      </c>
      <c r="G125" s="31" t="inlineStr">
        <is>
          <t>largecap</t>
        </is>
      </c>
      <c r="H125" s="32" t="n">
        <v>86257.7</v>
      </c>
      <c r="I125" s="32" t="n">
        <v>5770</v>
      </c>
      <c r="J125" s="32" t="n">
        <v>5.52</v>
      </c>
      <c r="K125" s="32" t="n">
        <v>773886</v>
      </c>
      <c r="L125" s="31" t="n">
        <v>15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59.07</v>
      </c>
      <c r="P125" s="32" t="n">
        <v>12.68</v>
      </c>
      <c r="Q125" s="32" t="n">
        <v>4783.77</v>
      </c>
      <c r="R125" s="31" t="inlineStr">
        <is>
          <t>Earnings / Momentum Support</t>
        </is>
      </c>
      <c r="S125" s="31" t="inlineStr">
        <is>
          <t>Nifty IT</t>
        </is>
      </c>
      <c r="T125" s="32" t="n">
        <v>-19.75</v>
      </c>
      <c r="U125" s="32" t="n">
        <v>8.460000000000001</v>
      </c>
      <c r="V125" s="32" t="n">
        <v>35.16</v>
      </c>
      <c r="W125" s="32" t="n">
        <v>5.38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0 to 20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Between 12 to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Between 50% to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IF(B126=0,"",RANK(B126,$B$2:$B$135,0))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TDPOWERSYS</t>
        </is>
      </c>
      <c r="D126" s="31" t="inlineStr">
        <is>
          <t>Td Power Systems Limited</t>
        </is>
      </c>
      <c r="E126" s="31" t="inlineStr">
        <is>
          <t>industrials</t>
        </is>
      </c>
      <c r="F126" s="31" t="inlineStr">
        <is>
          <t>electric equipment</t>
        </is>
      </c>
      <c r="G126" s="31" t="inlineStr">
        <is>
          <t>largecap</t>
        </is>
      </c>
      <c r="H126" s="32" t="n">
        <v>24892.64</v>
      </c>
      <c r="I126" s="32" t="n">
        <v>793.75</v>
      </c>
      <c r="J126" s="32" t="n">
        <v>0.03</v>
      </c>
      <c r="K126" s="32" t="n">
        <v>2207016</v>
      </c>
      <c r="L126" s="31" t="n">
        <v>72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68.29000000000001</v>
      </c>
      <c r="P126" s="32" t="n">
        <v>19.23</v>
      </c>
      <c r="Q126" s="32" t="n">
        <v>576.5700000000001</v>
      </c>
      <c r="R126" s="31" t="inlineStr">
        <is>
          <t>Volume Spike &amp; Near 52W High Breakout</t>
        </is>
      </c>
      <c r="S126" s="31" t="inlineStr">
        <is>
          <t>Nifty 50</t>
        </is>
      </c>
      <c r="T126" s="32" t="n">
        <v>-10.93</v>
      </c>
      <c r="U126" s="32" t="n">
        <v>164.99</v>
      </c>
      <c r="V126" s="32" t="n">
        <v>197.52</v>
      </c>
      <c r="W126" s="32" t="n">
        <v>30.08</v>
      </c>
      <c r="X126" s="31" t="inlineStr">
        <is>
          <t>Cyclical in an Upturn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0 to 20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Negative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IF(B127=0,"",RANK(B127,$B$2:$B$135,0))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BIL</t>
        </is>
      </c>
      <c r="D127" s="31" t="inlineStr">
        <is>
          <t>Bhartiya International Limited</t>
        </is>
      </c>
      <c r="E127" s="31" t="inlineStr">
        <is>
          <t>consumer discretionary</t>
        </is>
      </c>
      <c r="F127" s="31" t="inlineStr">
        <is>
          <t>leather / leather products</t>
        </is>
      </c>
      <c r="G127" s="31" t="inlineStr">
        <is>
          <t>smallcap</t>
        </is>
      </c>
      <c r="H127" s="32" t="n">
        <v>1406.15</v>
      </c>
      <c r="I127" s="32" t="n">
        <v>1042.1</v>
      </c>
      <c r="J127" s="32" t="n">
        <v>-0.62</v>
      </c>
      <c r="K127" s="32" t="n">
        <v>8461</v>
      </c>
      <c r="L127" s="31" t="n">
        <v>42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67.69</v>
      </c>
      <c r="P127" s="32" t="n">
        <v>31.89</v>
      </c>
      <c r="Q127" s="32" t="n">
        <v>791.59</v>
      </c>
      <c r="R127" s="31" t="inlineStr">
        <is>
          <t>Near 52W High Breakout</t>
        </is>
      </c>
      <c r="S127" s="31" t="inlineStr">
        <is>
          <t>Nifty 50</t>
        </is>
      </c>
      <c r="T127" s="32" t="n">
        <v>-10.93</v>
      </c>
      <c r="U127" s="32" t="n">
        <v>30.69</v>
      </c>
      <c r="V127" s="32" t="n">
        <v>46.73</v>
      </c>
      <c r="W127" s="32" t="n">
        <v>15.77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Negative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Between 0.7 to 1.2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IF(B128=0,"",RANK(B128,$B$2:$B$135,0))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PATELRMART</t>
        </is>
      </c>
      <c r="D128" s="31" t="inlineStr">
        <is>
          <t>Patel Retail Ltd</t>
        </is>
      </c>
      <c r="E128" s="31" t="inlineStr">
        <is>
          <t>consumer discretionary</t>
        </is>
      </c>
      <c r="F128" s="31" t="inlineStr">
        <is>
          <t>trading</t>
        </is>
      </c>
      <c r="G128" s="31" t="inlineStr">
        <is>
          <t>smallcap</t>
        </is>
      </c>
      <c r="H128" s="32" t="n">
        <v>766.91</v>
      </c>
      <c r="I128" s="32" t="n">
        <v>238.28</v>
      </c>
      <c r="J128" s="32" t="n">
        <v>3.78</v>
      </c>
      <c r="K128" s="32" t="n">
        <v>277592</v>
      </c>
      <c r="L128" s="31" t="n">
        <v>8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59.87</v>
      </c>
      <c r="P128" s="32" t="n">
        <v>15.6</v>
      </c>
      <c r="Q128" s="32" t="n">
        <v>180.13</v>
      </c>
      <c r="R128" s="31" t="inlineStr">
        <is>
          <t>Volume Spike / Accumulation</t>
        </is>
      </c>
      <c r="S128" s="31" t="inlineStr">
        <is>
          <t>Nifty 50</t>
        </is>
      </c>
      <c r="T128" s="32" t="n">
        <v>-10.93</v>
      </c>
      <c r="U128" s="32" t="n">
        <v>5.17</v>
      </c>
      <c r="V128" s="32" t="n">
        <v>18.08</v>
      </c>
      <c r="W128" s="32" t="n">
        <v>3.1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0 to 20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1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Less than 12%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IF(B129=0,"",RANK(B129,$B$2:$B$135,0))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NELCAST</t>
        </is>
      </c>
      <c r="D129" s="31" t="inlineStr">
        <is>
          <t>Nelcast Limited</t>
        </is>
      </c>
      <c r="E129" s="31" t="inlineStr">
        <is>
          <t>castings, forgings &amp; fasteners</t>
        </is>
      </c>
      <c r="F129" s="31" t="inlineStr">
        <is>
          <t>castings &amp; forgings</t>
        </is>
      </c>
      <c r="G129" s="31" t="inlineStr">
        <is>
          <t>smallcap</t>
        </is>
      </c>
      <c r="H129" s="32" t="n">
        <v>1231.24</v>
      </c>
      <c r="I129" s="32" t="n">
        <v>142.48</v>
      </c>
      <c r="J129" s="32" t="n">
        <v>0.68</v>
      </c>
      <c r="K129" s="32" t="n">
        <v>449004</v>
      </c>
      <c r="L129" s="31" t="n">
        <v>17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59.82</v>
      </c>
      <c r="P129" s="32" t="n">
        <v>18.57</v>
      </c>
      <c r="Q129" s="32" t="n">
        <v>99.77</v>
      </c>
      <c r="R129" s="31" t="inlineStr">
        <is>
          <t>Volume Spike / Accumulation</t>
        </is>
      </c>
      <c r="S129" s="31" t="inlineStr">
        <is>
          <t>Nifty 50</t>
        </is>
      </c>
      <c r="T129" s="32" t="n">
        <v>-10.93</v>
      </c>
      <c r="U129" s="32" t="n">
        <v>26.17</v>
      </c>
      <c r="V129" s="32" t="n">
        <v>41.66</v>
      </c>
      <c r="W129" s="32" t="n">
        <v>6.17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0 to 20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1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IF(B130=0,"",RANK(B130,$B$2:$B$135,0))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MANAKSTEEL</t>
        </is>
      </c>
      <c r="D130" s="31" t="inlineStr">
        <is>
          <t>Manaksia Steels Limited</t>
        </is>
      </c>
      <c r="E130" s="31" t="inlineStr">
        <is>
          <t>metals &amp; mining</t>
        </is>
      </c>
      <c r="F130" s="31" t="inlineStr">
        <is>
          <t>steel - medium / small</t>
        </is>
      </c>
      <c r="G130" s="31" t="inlineStr">
        <is>
          <t>smallcap</t>
        </is>
      </c>
      <c r="H130" s="32" t="n">
        <v>695.58</v>
      </c>
      <c r="I130" s="32" t="n">
        <v>111.44</v>
      </c>
      <c r="J130" s="32" t="n">
        <v>4.99</v>
      </c>
      <c r="K130" s="32" t="n">
        <v>42147</v>
      </c>
      <c r="L130" s="31" t="inlineStr"/>
      <c r="M130" s="31" t="inlineStr"/>
      <c r="N130" s="32">
        <f>IF(M130="Underperforming",-5,IF(L130&gt;=95,15,IF(L130&gt;=90,10,IF(L130&gt;=80,5,0))))</f>
        <v/>
      </c>
      <c r="O130" s="32" t="n">
        <v>69.98</v>
      </c>
      <c r="P130" s="32" t="n">
        <v>49.47</v>
      </c>
      <c r="Q130" s="32" t="n">
        <v>85.78</v>
      </c>
      <c r="R130" s="31" t="inlineStr">
        <is>
          <t>Earnings / Momentum Support</t>
        </is>
      </c>
      <c r="S130" s="31" t="inlineStr">
        <is>
          <t>Nifty Metal</t>
        </is>
      </c>
      <c r="T130" s="32" t="inlineStr"/>
      <c r="U130" s="32" t="inlineStr"/>
      <c r="V130" s="32" t="inlineStr"/>
      <c r="W130" s="32" t="inlineStr"/>
      <c r="X130" s="31" t="inlineStr">
        <is>
          <t>Cyclical in an Upturn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Cyclical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Volatile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Negative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IF(B131=0,"",RANK(B131,$B$2:$B$135,0))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BLKASHYAP</t>
        </is>
      </c>
      <c r="D131" s="31" t="inlineStr">
        <is>
          <t>B. L. Kashyap And Sons Limited</t>
        </is>
      </c>
      <c r="E131" s="31" t="inlineStr">
        <is>
          <t>realty</t>
        </is>
      </c>
      <c r="F131" s="31" t="inlineStr">
        <is>
          <t>construction</t>
        </is>
      </c>
      <c r="G131" s="31" t="inlineStr">
        <is>
          <t>smallcap</t>
        </is>
      </c>
      <c r="H131" s="32" t="n">
        <v>1175.44</v>
      </c>
      <c r="I131" s="32" t="n">
        <v>55.27</v>
      </c>
      <c r="J131" s="32" t="n">
        <v>6</v>
      </c>
      <c r="K131" s="32" t="n">
        <v>1149698</v>
      </c>
      <c r="L131" s="31" t="inlineStr"/>
      <c r="M131" s="31" t="inlineStr"/>
      <c r="N131" s="32">
        <f>IF(M131="Underperforming",-5,IF(L131&gt;=95,15,IF(L131&gt;=90,10,IF(L131&gt;=80,5,0))))</f>
        <v/>
      </c>
      <c r="O131" s="32" t="n">
        <v>51.34</v>
      </c>
      <c r="P131" s="32" t="n">
        <v>17.8</v>
      </c>
      <c r="Q131" s="32" t="n">
        <v>42.35</v>
      </c>
      <c r="R131" s="31" t="inlineStr">
        <is>
          <t>Earnings / Momentum Support</t>
        </is>
      </c>
      <c r="S131" s="31" t="inlineStr">
        <is>
          <t>Nifty Realty</t>
        </is>
      </c>
      <c r="T131" s="32" t="inlineStr"/>
      <c r="U131" s="32" t="inlineStr"/>
      <c r="V131" s="32" t="inlineStr"/>
      <c r="W131" s="32" t="inlineStr"/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0 to 20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1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Less than 12%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IF(B132=0,"",RANK(B132,$B$2:$B$135,0))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3" t="inlineStr">
        <is>
          <t>TRENT</t>
        </is>
      </c>
      <c r="D132" s="33" t="inlineStr">
        <is>
          <t>Trent Limited</t>
        </is>
      </c>
      <c r="E132" s="31" t="inlineStr">
        <is>
          <t>consumer discretionary</t>
        </is>
      </c>
      <c r="F132" s="31" t="inlineStr">
        <is>
          <t>trading</t>
        </is>
      </c>
      <c r="G132" s="31" t="inlineStr">
        <is>
          <t>largecap</t>
        </is>
      </c>
      <c r="H132" s="32" t="n">
        <v>153373.61</v>
      </c>
      <c r="I132" s="32" t="n">
        <v>2918.2</v>
      </c>
      <c r="J132" s="32" t="n">
        <v>1.46</v>
      </c>
      <c r="K132" s="32" t="n">
        <v>753581</v>
      </c>
      <c r="L132" s="31" t="n">
        <v>1</v>
      </c>
      <c r="M132" s="31" t="inlineStr">
        <is>
          <t>Underperforming</t>
        </is>
      </c>
      <c r="N132" s="32">
        <f>IF(M132="Underperforming",-5,IF(L132&gt;=95,15,IF(L132&gt;=90,10,IF(L132&gt;=80,5,0))))</f>
        <v/>
      </c>
      <c r="O132" s="32" t="n">
        <v>49.62</v>
      </c>
      <c r="P132" s="32" t="n">
        <v>6.8</v>
      </c>
      <c r="Q132" s="32" t="n">
        <v>2445.95</v>
      </c>
      <c r="R132" s="31" t="inlineStr">
        <is>
          <t>Volume Spike / Accumulation</t>
        </is>
      </c>
      <c r="S132" s="31" t="inlineStr">
        <is>
          <t>Nifty 50</t>
        </is>
      </c>
      <c r="T132" s="32" t="n">
        <v>-10.93</v>
      </c>
      <c r="U132" s="32" t="n">
        <v>-37.7</v>
      </c>
      <c r="V132" s="32" t="n">
        <v>-30.05</v>
      </c>
      <c r="W132" s="32" t="n">
        <v>-6.51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0 to 20</t>
        </is>
      </c>
      <c r="AY132" s="31">
        <f>IF(AX132="Above 40",20,IF(AX132="20 to 40",10,IF(AX132="0 to 20",-5,0)))</f>
        <v/>
      </c>
      <c r="AZ132" s="31" t="inlineStr">
        <is>
          <t>Below 45</t>
        </is>
      </c>
      <c r="BA132" s="31">
        <f>IF(AZ132="Between 50 to 75",10,IF(AZ132="Above 75",0,0))</f>
        <v/>
      </c>
      <c r="BB132" s="31" t="inlineStr">
        <is>
          <t>Stage 4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IF(B133=0,"",RANK(B133,$B$2:$B$135,0))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ISGEC</t>
        </is>
      </c>
      <c r="D133" s="31" t="inlineStr">
        <is>
          <t>ISGEC Heavy Engineering  Ltd</t>
        </is>
      </c>
      <c r="E133" s="31" t="inlineStr">
        <is>
          <t>realty</t>
        </is>
      </c>
      <c r="F133" s="31" t="inlineStr">
        <is>
          <t>engineering - turnkey services</t>
        </is>
      </c>
      <c r="G133" s="31" t="inlineStr">
        <is>
          <t>midcap</t>
        </is>
      </c>
      <c r="H133" s="32" t="n">
        <v>6752.95</v>
      </c>
      <c r="I133" s="32" t="n">
        <v>909.7</v>
      </c>
      <c r="J133" s="32" t="n">
        <v>-0.95</v>
      </c>
      <c r="K133" s="32" t="n">
        <v>108132</v>
      </c>
      <c r="L133" s="31" t="inlineStr"/>
      <c r="M133" s="31" t="inlineStr"/>
      <c r="N133" s="32">
        <f>IF(M133="Underperforming",-5,IF(L133&gt;=95,15,IF(L133&gt;=90,10,IF(L133&gt;=80,5,0))))</f>
        <v/>
      </c>
      <c r="O133" s="32" t="n">
        <v>55.27</v>
      </c>
      <c r="P133" s="32" t="n">
        <v>18.95</v>
      </c>
      <c r="Q133" s="32" t="n">
        <v>720.65</v>
      </c>
      <c r="R133" s="31" t="inlineStr">
        <is>
          <t>Earnings / Momentum Support</t>
        </is>
      </c>
      <c r="S133" s="31" t="inlineStr">
        <is>
          <t>Nifty Realty</t>
        </is>
      </c>
      <c r="T133" s="32" t="inlineStr"/>
      <c r="U133" s="32" t="inlineStr"/>
      <c r="V133" s="32" t="inlineStr"/>
      <c r="W133" s="32" t="inlineStr"/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Headwind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0 to 20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1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Less than 12%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IF(B134=0,"",RANK(B134,$B$2:$B$135,0))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UNITEDPOLY</t>
        </is>
      </c>
      <c r="D134" s="31" t="inlineStr">
        <is>
          <t>United Polyfab Gujarat Ltd</t>
        </is>
      </c>
      <c r="E134" s="31" t="inlineStr">
        <is>
          <t>textiles</t>
        </is>
      </c>
      <c r="F134" s="31" t="inlineStr">
        <is>
          <t>textiles - products</t>
        </is>
      </c>
      <c r="G134" s="31" t="inlineStr">
        <is>
          <t>smallcap</t>
        </is>
      </c>
      <c r="H134" s="32" t="n">
        <v>1091.58</v>
      </c>
      <c r="I134" s="32" t="n">
        <v>50.12</v>
      </c>
      <c r="J134" s="32" t="n">
        <v>5.38</v>
      </c>
      <c r="K134" s="32" t="n">
        <v>1538149</v>
      </c>
      <c r="L134" s="31" t="n">
        <v>50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78.28</v>
      </c>
      <c r="P134" s="32" t="n">
        <v>29.05</v>
      </c>
      <c r="Q134" s="32" t="n">
        <v>36.96</v>
      </c>
      <c r="R134" s="31" t="inlineStr">
        <is>
          <t>Volume Spike &amp; Near 52W High Breakout</t>
        </is>
      </c>
      <c r="S134" s="31" t="inlineStr">
        <is>
          <t>Nifty 50</t>
        </is>
      </c>
      <c r="T134" s="32" t="n">
        <v>-10.93</v>
      </c>
      <c r="U134" s="32" t="n">
        <v>13.04</v>
      </c>
      <c r="V134" s="32" t="n">
        <v>26.91</v>
      </c>
      <c r="W134" s="32" t="n">
        <v>20.75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Oligopoly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Shallow Cyclical (2 to 3 Years Growth)</t>
        </is>
      </c>
      <c r="AG134" s="31">
        <f>IF(AF134="Structural (10 Years Consistency)",10,IF(AF134="Shallow Cyclical (2 to 3 years growth)",5,0))</f>
        <v/>
      </c>
      <c r="AH134" s="31" t="inlineStr">
        <is>
          <t>Yes due to Product Mix change or Operating Leverage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Volatile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Allocated capital in Non-core Areas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Above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3</t>
        </is>
      </c>
      <c r="BC134" s="31">
        <f>IF(BB134="Stage 2",20,IF(BB134="Stage 1",0,IF(BB134="Stage 3",5,IF(BB134="Stage 4",-5,0))))</f>
        <v/>
      </c>
      <c r="BD134" s="31" t="inlineStr">
        <is>
          <t>Negative Trend</t>
        </is>
      </c>
      <c r="BE134" s="31">
        <f>IF(BD134="Positive Trend",20,IF(BD134="Negative Trend",-10,0))</f>
        <v/>
      </c>
      <c r="BF134" s="31" t="inlineStr">
        <is>
          <t>Sideways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Overhead supply in last 2 years in last 2 years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More than 15%</t>
        </is>
      </c>
      <c r="CC134" s="31">
        <f>IF(CB134="More than 15%",-10,IF(CB134="Less than 15%",10,0))</f>
        <v/>
      </c>
      <c r="CD134" s="31" t="inlineStr">
        <is>
          <t>Yes Upto 10%</t>
        </is>
      </c>
      <c r="CE134" s="31">
        <f>IF(CD134="Yes, more than 10%",-10,IF(CD134="No",10,0))</f>
        <v/>
      </c>
    </row>
    <row r="135">
      <c r="A135" s="31">
        <f>IF(B135=0,"",RANK(B135,$B$2:$B$135,0))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GPPL</t>
        </is>
      </c>
      <c r="D135" s="31" t="inlineStr">
        <is>
          <t>Gujarat Pipavav Port Limited</t>
        </is>
      </c>
      <c r="E135" s="31" t="inlineStr">
        <is>
          <t>transportation</t>
        </is>
      </c>
      <c r="F135" s="31" t="inlineStr">
        <is>
          <t>miscellaneous</t>
        </is>
      </c>
      <c r="G135" s="31" t="inlineStr">
        <is>
          <t>midcap</t>
        </is>
      </c>
      <c r="H135" s="32" t="n">
        <v>8056.04</v>
      </c>
      <c r="I135" s="32" t="n">
        <v>167.9</v>
      </c>
      <c r="J135" s="32" t="n">
        <v>0.76</v>
      </c>
      <c r="K135" s="32" t="n">
        <v>803344</v>
      </c>
      <c r="L135" s="31" t="n">
        <v>15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64.56999999999999</v>
      </c>
      <c r="P135" s="32" t="n">
        <v>21.17</v>
      </c>
      <c r="Q135" s="32" t="n">
        <v>142.24</v>
      </c>
      <c r="R135" s="31" t="inlineStr">
        <is>
          <t>Earnings / Momentum Support</t>
        </is>
      </c>
      <c r="S135" s="31" t="inlineStr">
        <is>
          <t>Nifty 50</t>
        </is>
      </c>
      <c r="T135" s="32" t="n">
        <v>-10.93</v>
      </c>
      <c r="U135" s="32" t="n">
        <v>10.17</v>
      </c>
      <c r="V135" s="32" t="n">
        <v>23.7</v>
      </c>
      <c r="W135" s="32" t="n">
        <v>5.16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Oligopoly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Shallow Cyclical (2 to 3 Years Growth)</t>
        </is>
      </c>
      <c r="AG135" s="31">
        <f>IF(AF135="Structural (10 Years Consistency)",10,IF(AF135="Shallow Cyclical (2 to 3 years growth)",5,0))</f>
        <v/>
      </c>
      <c r="AH135" s="31" t="inlineStr">
        <is>
          <t>Yes due to Product Mix change or Operating Leverage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Volatile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Allocated capital in Non-core Areas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3</t>
        </is>
      </c>
      <c r="BC135" s="31">
        <f>IF(BB135="Stage 2",20,IF(BB135="Stage 1",0,IF(BB135="Stage 3",5,IF(BB135="Stage 4",-5,0))))</f>
        <v/>
      </c>
      <c r="BD135" s="31" t="inlineStr">
        <is>
          <t>Negative Trend</t>
        </is>
      </c>
      <c r="BE135" s="31">
        <f>IF(BD135="Positive Trend",20,IF(BD135="Negative Trend",-10,0))</f>
        <v/>
      </c>
      <c r="BF135" s="31" t="inlineStr">
        <is>
          <t>Sideways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Overhead supply in last 2 years in last 2 years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More than 15%</t>
        </is>
      </c>
      <c r="CC135" s="31">
        <f>IF(CB135="More than 15%",-10,IF(CB135="Less than 15%",10,0))</f>
        <v/>
      </c>
      <c r="CD135" s="31" t="inlineStr">
        <is>
          <t>Yes Upto 10%</t>
        </is>
      </c>
      <c r="CE135" s="31">
        <f>IF(CD135="Yes, more than 10%",-10,IF(CD135="No",10,0))</f>
        <v/>
      </c>
    </row>
  </sheetData>
  <autoFilter ref="A1:CE135"/>
  <conditionalFormatting sqref="B2:B13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3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3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3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3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3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3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3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3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3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3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3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3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3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3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3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3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3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3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3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3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3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3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3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3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3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3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3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3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3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13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35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135">
    <cfRule type="cellIs" priority="36" operator="equal" dxfId="3" stopIfTrue="1">
      <formula>"Underperforming"</formula>
    </cfRule>
  </conditionalFormatting>
  <conditionalFormatting sqref="N2:N135">
    <cfRule type="cellIs" priority="37" operator="equal" dxfId="3" stopIfTrue="1">
      <formula>-5</formula>
    </cfRule>
  </conditionalFormatting>
  <conditionalFormatting sqref="Q2:Q135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135" showDropDown="0" showInputMessage="0" showErrorMessage="0" allowBlank="1" type="list">
      <formula1>"Growing Industry,Stagnant Industry,Cyclical in an Upturn"</formula1>
    </dataValidation>
    <dataValidation sqref="Z2:Z13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135" showDropDown="0" showInputMessage="0" showErrorMessage="0" allowBlank="1" type="list">
      <formula1>"Yes,No"</formula1>
    </dataValidation>
    <dataValidation sqref="AD2:AD135" showDropDown="0" showInputMessage="0" showErrorMessage="0" allowBlank="1" type="list">
      <formula1>"Tailwind,Headwind"</formula1>
    </dataValidation>
    <dataValidation sqref="AF2:AF135" showDropDown="0" showInputMessage="0" showErrorMessage="0" allowBlank="1" type="list">
      <formula1>"Structural (10 Years Consistency),Shallow Cyclical (2 to 3 Years Growth),Cyclical"</formula1>
    </dataValidation>
    <dataValidation sqref="AH2:AH135" showDropDown="0" showInputMessage="0" showErrorMessage="0" allowBlank="1" type="list">
      <formula1>"Yes due to Product Mix change or Operating Leverage,Yes, these are peak margins,No"</formula1>
    </dataValidation>
    <dataValidation sqref="AJ2:AJ135" showDropDown="0" showInputMessage="0" showErrorMessage="0" allowBlank="1" type="list">
      <formula1>"Stable,Volatile"</formula1>
    </dataValidation>
    <dataValidation sqref="AL2:AL135" showDropDown="0" showInputMessage="0" showErrorMessage="0" allowBlank="1" type="list">
      <formula1>"Yes,No"</formula1>
    </dataValidation>
    <dataValidation sqref="AN2:AN135" showDropDown="0" showInputMessage="0" showErrorMessage="0" allowBlank="1" type="list">
      <formula1>"B2C,B2B,B2G"</formula1>
    </dataValidation>
    <dataValidation sqref="AP2:AP135" showDropDown="0" showInputMessage="0" showErrorMessage="0" allowBlank="1" type="list">
      <formula1>"Yes,No"</formula1>
    </dataValidation>
    <dataValidation sqref="AR2:AR135" showDropDown="0" showInputMessage="0" showErrorMessage="0" allowBlank="1" type="list">
      <formula1>"Fully Annuity,Higher Annuity, Lower One time,Higher One Time, Lower Annuity,Fully One Time"</formula1>
    </dataValidation>
    <dataValidation sqref="AT2:AT135" showDropDown="0" showInputMessage="0" showErrorMessage="0" allowBlank="1" type="list">
      <formula1>"Good,Allocated capital in Non-core Areas"</formula1>
    </dataValidation>
    <dataValidation sqref="AV2:AV135" showDropDown="0" showInputMessage="0" showErrorMessage="0" allowBlank="1" type="list">
      <formula1>"Yes for more than 2 years,Yes only for next 1 to 2 years,No"</formula1>
    </dataValidation>
    <dataValidation sqref="AX2:AX135" showDropDown="0" showInputMessage="0" showErrorMessage="0" allowBlank="1" type="list">
      <formula1>"Above 40,20 to 40,0 to 20"</formula1>
    </dataValidation>
    <dataValidation sqref="AZ2:AZ135" showDropDown="0" showInputMessage="0" showErrorMessage="0" allowBlank="1" type="list">
      <formula1>"Between 50 to 75,Above 75,Below 45"</formula1>
    </dataValidation>
    <dataValidation sqref="BB2:BB135" showDropDown="0" showInputMessage="0" showErrorMessage="0" allowBlank="1" type="list">
      <formula1>"Stage 1,Stage 2,Stage 3,Stage 4"</formula1>
    </dataValidation>
    <dataValidation sqref="BD2:BD135" showDropDown="0" showInputMessage="0" showErrorMessage="0" allowBlank="1" type="list">
      <formula1>"Positive Trend,Negative Trend"</formula1>
    </dataValidation>
    <dataValidation sqref="BF2:BF135" showDropDown="0" showInputMessage="0" showErrorMessage="0" allowBlank="1" type="list">
      <formula1>"Uptrend,Sideways,Downtrend"</formula1>
    </dataValidation>
    <dataValidation sqref="BH2:BH135" showDropDown="0" showInputMessage="0" showErrorMessage="0" allowBlank="1" type="list">
      <formula1>"Uptrend,Sideways,Downtrend"</formula1>
    </dataValidation>
    <dataValidation sqref="BJ2:BJ13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135" showDropDown="0" showInputMessage="0" showErrorMessage="0" allowBlank="1" type="list">
      <formula1>"Yes,No"</formula1>
    </dataValidation>
    <dataValidation sqref="BN2:BN135" showDropDown="0" showInputMessage="0" showErrorMessage="0" allowBlank="1" type="list">
      <formula1>"More than 20%,Between 12 to 20%,Less than 12%"</formula1>
    </dataValidation>
    <dataValidation sqref="BP2:BP135" showDropDown="0" showInputMessage="0" showErrorMessage="0" allowBlank="1" type="list">
      <formula1>"Yes,No"</formula1>
    </dataValidation>
    <dataValidation sqref="BR2:BR135" showDropDown="0" showInputMessage="0" showErrorMessage="0" allowBlank="1" type="list">
      <formula1>"Yes,No"</formula1>
    </dataValidation>
    <dataValidation sqref="BT2:BT135" showDropDown="0" showInputMessage="0" showErrorMessage="0" allowBlank="1" type="list">
      <formula1>"Above 2,Between 1.5 to 2,Less than 1.5"</formula1>
    </dataValidation>
    <dataValidation sqref="BV2:BV135" showDropDown="0" showInputMessage="0" showErrorMessage="0" allowBlank="1" type="list">
      <formula1>"Above 70%,Between 50% to 70%,Less than 50%,Less than 50% and Borrowings are increasing,Negative"</formula1>
    </dataValidation>
    <dataValidation sqref="BX2:BX135" showDropDown="0" showInputMessage="0" showErrorMessage="0" allowBlank="1" type="list">
      <formula1>"More than 1.2,Between 0.7 to 1.2,Less than 0.7"</formula1>
    </dataValidation>
    <dataValidation sqref="BZ2:BZ135" showDropDown="0" showInputMessage="0" showErrorMessage="0" allowBlank="1" type="list">
      <formula1>"Yes,No"</formula1>
    </dataValidation>
    <dataValidation sqref="CB2:CB135" showDropDown="0" showInputMessage="0" showErrorMessage="0" allowBlank="1" type="list">
      <formula1>"More than 15%,Less than 15%"</formula1>
    </dataValidation>
    <dataValidation sqref="CD2:CD13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1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IF(B2=0,"",RANK(B2,$B$2:$B$17,0))</f>
        <v/>
      </c>
      <c r="B2" s="32">
        <f>SUM(N2,Y2,AA2,AC2,AE2,AG2,AI2,AK2,AM2,AO2,AQ2,AS2,AU2,AW2,AY2,BA2,BC2,BE2,BG2,BI2,BK2,BM2,BO2,BQ2,BS2,BU2,BW2,BY2,CA2)</f>
        <v/>
      </c>
      <c r="C2" s="31" t="inlineStr">
        <is>
          <t>CUB</t>
        </is>
      </c>
      <c r="D2" s="31" t="inlineStr">
        <is>
          <t>City Union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largecap</t>
        </is>
      </c>
      <c r="H2" s="32" t="n">
        <v>21804.25</v>
      </c>
      <c r="I2" s="32" t="n">
        <v>231.42</v>
      </c>
      <c r="J2" s="32" t="n">
        <v>5.16</v>
      </c>
      <c r="K2" s="32" t="n">
        <v>3671884</v>
      </c>
      <c r="L2" s="31" t="n">
        <v>24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59.69</v>
      </c>
      <c r="P2" s="32" t="n">
        <v>45.89</v>
      </c>
      <c r="Q2" s="32" t="n">
        <v>180.86</v>
      </c>
      <c r="R2" s="31" t="inlineStr">
        <is>
          <t>Near 52W High Breakout</t>
        </is>
      </c>
      <c r="S2" s="31" t="inlineStr">
        <is>
          <t>Nifty Bank</t>
        </is>
      </c>
      <c r="T2" s="32" t="n">
        <v>-2.39</v>
      </c>
      <c r="U2" s="32" t="n">
        <v>44.98</v>
      </c>
      <c r="V2" s="32" t="n">
        <v>48.53</v>
      </c>
      <c r="W2" s="32" t="n">
        <v>8.99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IF(B3=0,"",RANK(B3,$B$2:$B$17,0))</f>
        <v/>
      </c>
      <c r="B3" s="32">
        <f>SUM(N3,Y3,AA3,AC3,AE3,AG3,AI3,AK3,AM3,AO3,AQ3,AS3,AU3,AW3,AY3,BA3,BC3,BE3,BG3,BI3,BK3,BM3,BO3,BQ3,BS3,BU3,BW3,BY3,CA3)</f>
        <v/>
      </c>
      <c r="C3" s="31" t="inlineStr">
        <is>
          <t>KARURVYSYA</t>
        </is>
      </c>
      <c r="D3" s="31" t="inlineStr">
        <is>
          <t>Karur Vysya Bank Limited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largecap</t>
        </is>
      </c>
      <c r="H3" s="32" t="n">
        <v>31822.74</v>
      </c>
      <c r="I3" s="32" t="n">
        <v>339.9</v>
      </c>
      <c r="J3" s="32" t="n">
        <v>3.25</v>
      </c>
      <c r="K3" s="32" t="n">
        <v>2923419</v>
      </c>
      <c r="L3" s="31" t="n">
        <v>33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62.09</v>
      </c>
      <c r="P3" s="32" t="n">
        <v>30.76</v>
      </c>
      <c r="Q3" s="32" t="n">
        <v>291.37</v>
      </c>
      <c r="R3" s="31" t="inlineStr">
        <is>
          <t>Near 52W High Breakout</t>
        </is>
      </c>
      <c r="S3" s="31" t="inlineStr">
        <is>
          <t>Nifty Bank</t>
        </is>
      </c>
      <c r="T3" s="32" t="n">
        <v>-2.39</v>
      </c>
      <c r="U3" s="32" t="n">
        <v>51.17</v>
      </c>
      <c r="V3" s="32" t="n">
        <v>54.88</v>
      </c>
      <c r="W3" s="32" t="n">
        <v>11.17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IF(B4=0,"",RANK(B4,$B$2:$B$17,0))</f>
        <v/>
      </c>
      <c r="B4" s="32">
        <f>SUM(N4,Y4,AA4,AC4,AE4,AG4,AI4,AK4,AM4,AO4,AQ4,AS4,AU4,AW4,AY4,BA4,BC4,BE4,BG4,BI4,BK4,BM4,BO4,BQ4,BS4,BU4,BW4,BY4,CA4)</f>
        <v/>
      </c>
      <c r="C4" s="31" t="inlineStr">
        <is>
          <t>MANBA</t>
        </is>
      </c>
      <c r="D4" s="31" t="inlineStr">
        <is>
          <t>Manba Finance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737.62</v>
      </c>
      <c r="I4" s="32" t="n">
        <v>141.56</v>
      </c>
      <c r="J4" s="32" t="n">
        <v>-3.58</v>
      </c>
      <c r="K4" s="32" t="n">
        <v>160279</v>
      </c>
      <c r="L4" s="31" t="n">
        <v>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64.75</v>
      </c>
      <c r="P4" s="32" t="n">
        <v>39.55</v>
      </c>
      <c r="Q4" s="32" t="n">
        <v>112.48</v>
      </c>
      <c r="R4" s="31" t="inlineStr">
        <is>
          <t>Near 52W High Breakout</t>
        </is>
      </c>
      <c r="S4" s="31" t="inlineStr">
        <is>
          <t>Nifty Bank</t>
        </is>
      </c>
      <c r="T4" s="32" t="n">
        <v>-2.39</v>
      </c>
      <c r="U4" s="32" t="n">
        <v>6.53</v>
      </c>
      <c r="V4" s="32" t="n">
        <v>9.140000000000001</v>
      </c>
      <c r="W4" s="32" t="n">
        <v>2.87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IF(B5=0,"",RANK(B5,$B$2:$B$17,0))</f>
        <v/>
      </c>
      <c r="B5" s="32">
        <f>SUM(N5,Y5,AA5,AC5,AE5,AG5,AI5,AK5,AM5,AO5,AQ5,AS5,AU5,AW5,AY5,BA5,BC5,BE5,BG5,BI5,BK5,BM5,BO5,BQ5,BS5,BU5,BW5,BY5,CA5)</f>
        <v/>
      </c>
      <c r="C5" s="31" t="inlineStr">
        <is>
          <t>SMCGLOBAL</t>
        </is>
      </c>
      <c r="D5" s="31" t="inlineStr">
        <is>
          <t>SMC Global Securities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smallcap</t>
        </is>
      </c>
      <c r="H5" s="32" t="n">
        <v>2257.96</v>
      </c>
      <c r="I5" s="32" t="n">
        <v>115.95</v>
      </c>
      <c r="J5" s="32" t="n">
        <v>7.53</v>
      </c>
      <c r="K5" s="32" t="n">
        <v>82142124</v>
      </c>
      <c r="L5" s="31" t="n">
        <v>61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77.09</v>
      </c>
      <c r="P5" s="32" t="n">
        <v>38.58</v>
      </c>
      <c r="Q5" s="32" t="n">
        <v>87.47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-2.39</v>
      </c>
      <c r="U5" s="32" t="n">
        <v>68.94</v>
      </c>
      <c r="V5" s="32" t="n">
        <v>73.08</v>
      </c>
      <c r="W5" s="32" t="n">
        <v>25.38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IF(B6=0,"",RANK(B6,$B$2:$B$17,0))</f>
        <v/>
      </c>
      <c r="B6" s="32">
        <f>SUM(N6,Y6,AA6,AC6,AE6,AG6,AI6,AK6,AM6,AO6,AQ6,AS6,AU6,AW6,AY6,BA6,BC6,BE6,BG6,BI6,BK6,BM6,BO6,BQ6,BS6,BU6,BW6,BY6,CA6)</f>
        <v/>
      </c>
      <c r="C6" s="31" t="inlineStr">
        <is>
          <t>SGFIN</t>
        </is>
      </c>
      <c r="D6" s="31" t="inlineStr">
        <is>
          <t>SG Finserve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smallcap</t>
        </is>
      </c>
      <c r="H6" s="32" t="n">
        <v>4256.16</v>
      </c>
      <c r="I6" s="32" t="n">
        <v>676.05</v>
      </c>
      <c r="J6" s="32" t="n">
        <v>4.67</v>
      </c>
      <c r="K6" s="32" t="n">
        <v>844383</v>
      </c>
      <c r="L6" s="31" t="n">
        <v>38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61.02</v>
      </c>
      <c r="P6" s="32" t="n">
        <v>31.59</v>
      </c>
      <c r="Q6" s="32" t="n">
        <v>526.49</v>
      </c>
      <c r="R6" s="31" t="inlineStr">
        <is>
          <t>Volume Spike &amp; Near 52W High Breakout</t>
        </is>
      </c>
      <c r="S6" s="31" t="inlineStr">
        <is>
          <t>Nifty Bank</t>
        </is>
      </c>
      <c r="T6" s="32" t="n">
        <v>-2.39</v>
      </c>
      <c r="U6" s="32" t="n">
        <v>84.18000000000001</v>
      </c>
      <c r="V6" s="32" t="n">
        <v>88.69</v>
      </c>
      <c r="W6" s="32" t="n">
        <v>14.89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IF(B7=0,"",RANK(B7,$B$2:$B$17,0))</f>
        <v/>
      </c>
      <c r="B7" s="32">
        <f>SUM(N7,Y7,AA7,AC7,AE7,AG7,AI7,AK7,AM7,AO7,AQ7,AS7,AU7,AW7,AY7,BA7,BC7,BE7,BG7,BI7,BK7,BM7,BO7,BQ7,BS7,BU7,BW7,BY7,CA7)</f>
        <v/>
      </c>
      <c r="C7" s="31" t="inlineStr">
        <is>
          <t>RBLBANK</t>
        </is>
      </c>
      <c r="D7" s="31" t="inlineStr">
        <is>
          <t>Rbl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largecap</t>
        </is>
      </c>
      <c r="H7" s="32" t="n">
        <v>62050.72</v>
      </c>
      <c r="I7" s="32" t="n">
        <v>418</v>
      </c>
      <c r="J7" s="32" t="n">
        <v>4.32</v>
      </c>
      <c r="K7" s="32" t="n">
        <v>3772524</v>
      </c>
      <c r="L7" s="31" t="n">
        <v>29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67.66</v>
      </c>
      <c r="P7" s="32" t="n">
        <v>34.92</v>
      </c>
      <c r="Q7" s="32" t="n">
        <v>355.58</v>
      </c>
      <c r="R7" s="31" t="inlineStr">
        <is>
          <t>Near 52W High Breakout</t>
        </is>
      </c>
      <c r="S7" s="31" t="inlineStr">
        <is>
          <t>Nifty Bank</t>
        </is>
      </c>
      <c r="T7" s="32" t="n">
        <v>-2.39</v>
      </c>
      <c r="U7" s="32" t="n">
        <v>43.72</v>
      </c>
      <c r="V7" s="32" t="n">
        <v>47.24</v>
      </c>
      <c r="W7" s="32" t="n">
        <v>9.710000000000001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less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IF(B8=0,"",RANK(B8,$B$2:$B$17,0))</f>
        <v/>
      </c>
      <c r="B8" s="32">
        <f>SUM(N8,Y8,AA8,AC8,AE8,AG8,AI8,AK8,AM8,AO8,AQ8,AS8,AU8,AW8,AY8,BA8,BC8,BE8,BG8,BI8,BK8,BM8,BO8,BQ8,BS8,BU8,BW8,BY8,CA8)</f>
        <v/>
      </c>
      <c r="C8" s="31" t="inlineStr">
        <is>
          <t>KOTAKBANK</t>
        </is>
      </c>
      <c r="D8" s="31" t="inlineStr">
        <is>
          <t>Kotak Mahindra Bank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largecap</t>
        </is>
      </c>
      <c r="H8" s="32" t="n">
        <v>432681.85</v>
      </c>
      <c r="I8" s="32" t="n">
        <v>441</v>
      </c>
      <c r="J8" s="32" t="n">
        <v>1.38</v>
      </c>
      <c r="K8" s="32" t="n">
        <v>31536992</v>
      </c>
      <c r="L8" s="31" t="n">
        <v>13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64.59</v>
      </c>
      <c r="P8" s="32" t="n">
        <v>14.26</v>
      </c>
      <c r="Q8" s="32" t="n">
        <v>381.78</v>
      </c>
      <c r="R8" s="31" t="inlineStr">
        <is>
          <t>Volume Spike &amp; Near 52W High Breakout</t>
        </is>
      </c>
      <c r="S8" s="31" t="inlineStr">
        <is>
          <t>Nifty Bank</t>
        </is>
      </c>
      <c r="T8" s="32" t="n">
        <v>-2.39</v>
      </c>
      <c r="U8" s="32" t="n">
        <v>2.73</v>
      </c>
      <c r="V8" s="32" t="n">
        <v>5.25</v>
      </c>
      <c r="W8" s="32" t="n">
        <v>4.35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0 to 20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IF(B9=0,"",RANK(B9,$B$2:$B$17,0))</f>
        <v/>
      </c>
      <c r="B9" s="32">
        <f>SUM(N9,Y9,AA9,AC9,AE9,AG9,AI9,AK9,AM9,AO9,AQ9,AS9,AU9,AW9,AY9,BA9,BC9,BE9,BG9,BI9,BK9,BM9,BO9,BQ9,BS9,BU9,BW9,BY9,CA9)</f>
        <v/>
      </c>
      <c r="C9" s="33" t="inlineStr">
        <is>
          <t>ARIHANTCAP</t>
        </is>
      </c>
      <c r="D9" s="33" t="inlineStr">
        <is>
          <t>Arihant Capital Markets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1048.12</v>
      </c>
      <c r="I9" s="32" t="n">
        <v>96.19</v>
      </c>
      <c r="J9" s="32" t="n">
        <v>0.6</v>
      </c>
      <c r="K9" s="32" t="n">
        <v>496996</v>
      </c>
      <c r="L9" s="31" t="n">
        <v>10</v>
      </c>
      <c r="M9" s="31" t="inlineStr">
        <is>
          <t>Underperforming</t>
        </is>
      </c>
      <c r="N9" s="32">
        <f>IF(M9="Underperforming",-5,IF(L9&gt;=95,15,IF(L9&gt;=90,10,IF(L9&gt;=80,5,0))))</f>
        <v/>
      </c>
      <c r="O9" s="32" t="n">
        <v>67.66</v>
      </c>
      <c r="P9" s="32" t="n">
        <v>20.64</v>
      </c>
      <c r="Q9" s="32" t="n">
        <v>73.84</v>
      </c>
      <c r="R9" s="31" t="inlineStr">
        <is>
          <t>Earnings / Momentum Support</t>
        </is>
      </c>
      <c r="S9" s="31" t="inlineStr">
        <is>
          <t>Nifty Bank</t>
        </is>
      </c>
      <c r="T9" s="32" t="n">
        <v>-2.39</v>
      </c>
      <c r="U9" s="32" t="n">
        <v>-14.68</v>
      </c>
      <c r="V9" s="32" t="n">
        <v>-12.59</v>
      </c>
      <c r="W9" s="32" t="n">
        <v>4.26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IF(B10=0,"",RANK(B10,$B$2:$B$17,0))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TFCILTD</t>
        </is>
      </c>
      <c r="D10" s="31" t="inlineStr">
        <is>
          <t>Tourism Finance Corporation Of India Limited</t>
        </is>
      </c>
      <c r="E10" s="31" t="inlineStr">
        <is>
          <t>financials</t>
        </is>
      </c>
      <c r="F10" s="31" t="inlineStr">
        <is>
          <t>finance - term-lending institutions</t>
        </is>
      </c>
      <c r="G10" s="31" t="inlineStr">
        <is>
          <t>midcap</t>
        </is>
      </c>
      <c r="H10" s="32" t="n">
        <v>6789.56</v>
      </c>
      <c r="I10" s="32" t="n">
        <v>147.05</v>
      </c>
      <c r="J10" s="32" t="n">
        <v>0.27</v>
      </c>
      <c r="K10" s="32" t="n">
        <v>27675622</v>
      </c>
      <c r="L10" s="31" t="n">
        <v>88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82.69</v>
      </c>
      <c r="P10" s="32" t="n">
        <v>74.28</v>
      </c>
      <c r="Q10" s="32" t="n">
        <v>116.76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-2.39</v>
      </c>
      <c r="U10" s="32" t="n">
        <v>100.16</v>
      </c>
      <c r="V10" s="32" t="n">
        <v>105.06</v>
      </c>
      <c r="W10" s="32" t="n">
        <v>39.3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above 5x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Above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IF(B11=0,"",RANK(B11,$B$2:$B$17,0))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DHANBANK</t>
        </is>
      </c>
      <c r="D11" s="31" t="inlineStr">
        <is>
          <t>Dhanlaxmi Bank Limited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smallcap</t>
        </is>
      </c>
      <c r="H11" s="32" t="n">
        <v>1288.69</v>
      </c>
      <c r="I11" s="32" t="n">
        <v>33.96</v>
      </c>
      <c r="J11" s="32" t="n">
        <v>4.01</v>
      </c>
      <c r="K11" s="32" t="n">
        <v>3865722</v>
      </c>
      <c r="L11" s="31" t="n">
        <v>16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58</v>
      </c>
      <c r="P11" s="32" t="n">
        <v>24.83</v>
      </c>
      <c r="Q11" s="32" t="n">
        <v>25.7</v>
      </c>
      <c r="R11" s="31" t="inlineStr">
        <is>
          <t>Volume Spike &amp; Near 52W High Breakout</t>
        </is>
      </c>
      <c r="S11" s="31" t="inlineStr">
        <is>
          <t>Nifty Bank</t>
        </is>
      </c>
      <c r="T11" s="32" t="n">
        <v>-2.39</v>
      </c>
      <c r="U11" s="32" t="n">
        <v>30.41</v>
      </c>
      <c r="V11" s="32" t="n">
        <v>33.61</v>
      </c>
      <c r="W11" s="32" t="n">
        <v>5.73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1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IF(B12=0,"",RANK(B12,$B$2:$B$17,0))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PNB</t>
        </is>
      </c>
      <c r="D12" s="31" t="inlineStr">
        <is>
          <t>Punjab National Bank Ltd</t>
        </is>
      </c>
      <c r="E12" s="31" t="inlineStr">
        <is>
          <t>bank</t>
        </is>
      </c>
      <c r="F12" s="31" t="inlineStr">
        <is>
          <t>banks - public sector</t>
        </is>
      </c>
      <c r="G12" s="31" t="inlineStr">
        <is>
          <t>largecap</t>
        </is>
      </c>
      <c r="H12" s="32" t="n">
        <v>132502.14</v>
      </c>
      <c r="I12" s="32" t="n">
        <v>116.98</v>
      </c>
      <c r="J12" s="32" t="n">
        <v>1.47</v>
      </c>
      <c r="K12" s="32" t="n">
        <v>12666514</v>
      </c>
      <c r="L12" s="31" t="n">
        <v>8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56.38</v>
      </c>
      <c r="P12" s="32" t="n">
        <v>11.4</v>
      </c>
      <c r="Q12" s="32" t="n">
        <v>101.75</v>
      </c>
      <c r="R12" s="31" t="inlineStr">
        <is>
          <t>Earnings / Momentum Support</t>
        </is>
      </c>
      <c r="S12" s="31" t="inlineStr">
        <is>
          <t>Nifty Bank</t>
        </is>
      </c>
      <c r="T12" s="32" t="n">
        <v>-2.39</v>
      </c>
      <c r="U12" s="32" t="n">
        <v>2.68</v>
      </c>
      <c r="V12" s="32" t="n">
        <v>5.19</v>
      </c>
      <c r="W12" s="32" t="n">
        <v>2.95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0 to 20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IF(B13=0,"",RANK(B13,$B$2:$B$17,0))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GCSL</t>
        </is>
      </c>
      <c r="D13" s="31" t="inlineStr">
        <is>
          <t>Gretex Corporate Services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1744.75</v>
      </c>
      <c r="I13" s="32" t="n">
        <v>701</v>
      </c>
      <c r="J13" s="32" t="n">
        <v>0.47</v>
      </c>
      <c r="K13" s="32" t="n">
        <v>325976</v>
      </c>
      <c r="L13" s="31" t="n">
        <v>82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81.81999999999999</v>
      </c>
      <c r="P13" s="32" t="n">
        <v>34.82</v>
      </c>
      <c r="Q13" s="32" t="n">
        <v>571.03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-2.39</v>
      </c>
      <c r="U13" s="32" t="n">
        <v>204.08</v>
      </c>
      <c r="V13" s="32" t="n">
        <v>211.52</v>
      </c>
      <c r="W13" s="32" t="n">
        <v>35.57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above 5x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Above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IF(B14=0,"",RANK(B14,$B$2:$B$17,0))</f>
        <v/>
      </c>
      <c r="B14" s="32">
        <f>SUM(N14,Y14,AA14,AC14,AE14,AG14,AI14,AK14,AM14,AO14,AQ14,AS14,AU14,AW14,AY14,BA14,BC14,BE14,BG14,BI14,BK14,BM14,BO14,BQ14,BS14,BU14,BW14,BY14,CA14)</f>
        <v/>
      </c>
      <c r="C14" s="33" t="inlineStr">
        <is>
          <t>PRIMESECU</t>
        </is>
      </c>
      <c r="D14" s="33" t="inlineStr">
        <is>
          <t>Prime Securities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1006.33</v>
      </c>
      <c r="I14" s="32" t="n">
        <v>299.45</v>
      </c>
      <c r="J14" s="32" t="n">
        <v>0.99</v>
      </c>
      <c r="K14" s="32" t="n">
        <v>43248</v>
      </c>
      <c r="L14" s="31" t="n">
        <v>3</v>
      </c>
      <c r="M14" s="31" t="inlineStr">
        <is>
          <t>Underperforming</t>
        </is>
      </c>
      <c r="N14" s="32">
        <f>IF(M14="Underperforming",-5,IF(L14&gt;=95,15,IF(L14&gt;=90,10,IF(L14&gt;=80,5,0))))</f>
        <v/>
      </c>
      <c r="O14" s="32" t="n">
        <v>56.58</v>
      </c>
      <c r="P14" s="32" t="n">
        <v>33.57</v>
      </c>
      <c r="Q14" s="32" t="n">
        <v>238.11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-2.39</v>
      </c>
      <c r="U14" s="32" t="n">
        <v>-3.22</v>
      </c>
      <c r="V14" s="32" t="n">
        <v>-0.85</v>
      </c>
      <c r="W14" s="32" t="n">
        <v>0.85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IF(B15=0,"",RANK(B15,$B$2:$B$17,0))</f>
        <v/>
      </c>
      <c r="B15" s="32">
        <f>SUM(N15,Y15,AA15,AC15,AE15,AG15,AI15,AK15,AM15,AO15,AQ15,AS15,AU15,AW15,AY15,BA15,BC15,BE15,BG15,BI15,BK15,BM15,BO15,BQ15,BS15,BU15,BW15,BY15,CA15)</f>
        <v/>
      </c>
      <c r="C15" s="33" t="inlineStr">
        <is>
          <t>VHL</t>
        </is>
      </c>
      <c r="D15" s="33" t="inlineStr">
        <is>
          <t>Vardhman Holdings Limited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1142.19</v>
      </c>
      <c r="I15" s="32" t="n">
        <v>3650</v>
      </c>
      <c r="J15" s="32" t="n">
        <v>1.99</v>
      </c>
      <c r="K15" s="32" t="n">
        <v>2153</v>
      </c>
      <c r="L15" s="31" t="n">
        <v>1</v>
      </c>
      <c r="M15" s="31" t="inlineStr">
        <is>
          <t>Underperforming</t>
        </is>
      </c>
      <c r="N15" s="32">
        <f>IF(M15="Underperforming",-5,IF(L15&gt;=95,15,IF(L15&gt;=90,10,IF(L15&gt;=80,5,0))))</f>
        <v/>
      </c>
      <c r="O15" s="32" t="n">
        <v>57.27</v>
      </c>
      <c r="P15" s="32" t="n">
        <v>6.94</v>
      </c>
      <c r="Q15" s="32" t="n">
        <v>3016.47</v>
      </c>
      <c r="R15" s="31" t="inlineStr">
        <is>
          <t>Volume Spike / Accumulation</t>
        </is>
      </c>
      <c r="S15" s="31" t="inlineStr">
        <is>
          <t>Nifty Bank</t>
        </is>
      </c>
      <c r="T15" s="32" t="n">
        <v>-2.39</v>
      </c>
      <c r="U15" s="32" t="n">
        <v>-6.14</v>
      </c>
      <c r="V15" s="32" t="n">
        <v>-3.85</v>
      </c>
      <c r="W15" s="32" t="n">
        <v>-0.45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1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IF(B16=0,"",RANK(B16,$B$2:$B$17,0))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PNBHOUSING</t>
        </is>
      </c>
      <c r="D16" s="31" t="inlineStr">
        <is>
          <t>Pnb Housing Finance Limited</t>
        </is>
      </c>
      <c r="E16" s="31" t="inlineStr">
        <is>
          <t>financials</t>
        </is>
      </c>
      <c r="F16" s="31" t="inlineStr">
        <is>
          <t>finance - housing</t>
        </is>
      </c>
      <c r="G16" s="31" t="inlineStr">
        <is>
          <t>largecap</t>
        </is>
      </c>
      <c r="H16" s="32" t="n">
        <v>29967.84</v>
      </c>
      <c r="I16" s="32" t="n">
        <v>1158</v>
      </c>
      <c r="J16" s="32" t="n">
        <v>0.7</v>
      </c>
      <c r="K16" s="32" t="n">
        <v>833012</v>
      </c>
      <c r="L16" s="31" t="n">
        <v>21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62.07</v>
      </c>
      <c r="P16" s="32" t="n">
        <v>32.71</v>
      </c>
      <c r="Q16" s="32" t="n">
        <v>970.53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-2.39</v>
      </c>
      <c r="U16" s="32" t="n">
        <v>36.72</v>
      </c>
      <c r="V16" s="32" t="n">
        <v>40.07</v>
      </c>
      <c r="W16" s="32" t="n">
        <v>8.289999999999999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less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IF(B17=0,"",RANK(B17,$B$2:$B$17,0))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LICHSGFIN</t>
        </is>
      </c>
      <c r="D17" s="31" t="inlineStr">
        <is>
          <t>Lic Housing Finance Limited</t>
        </is>
      </c>
      <c r="E17" s="31" t="inlineStr">
        <is>
          <t>financials</t>
        </is>
      </c>
      <c r="F17" s="31" t="inlineStr">
        <is>
          <t>finance - housing</t>
        </is>
      </c>
      <c r="G17" s="31" t="inlineStr">
        <is>
          <t>largecap</t>
        </is>
      </c>
      <c r="H17" s="32" t="n">
        <v>29538.38</v>
      </c>
      <c r="I17" s="32" t="n">
        <v>551.65</v>
      </c>
      <c r="J17" s="32" t="n">
        <v>2.73</v>
      </c>
      <c r="K17" s="32" t="n">
        <v>5310443</v>
      </c>
      <c r="L17" s="31" t="n">
        <v>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53.95</v>
      </c>
      <c r="P17" s="32" t="n">
        <v>12.99</v>
      </c>
      <c r="Q17" s="32" t="n">
        <v>459.11</v>
      </c>
      <c r="R17" s="31" t="inlineStr">
        <is>
          <t>Volume Spike &amp; Near 52W High Breakout</t>
        </is>
      </c>
      <c r="S17" s="31" t="inlineStr">
        <is>
          <t>Nifty Bank</t>
        </is>
      </c>
      <c r="T17" s="32" t="n">
        <v>-2.39</v>
      </c>
      <c r="U17" s="32" t="n">
        <v>-1.01</v>
      </c>
      <c r="V17" s="32" t="n">
        <v>1.42</v>
      </c>
      <c r="W17" s="32" t="n">
        <v>0.36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</sheetData>
  <autoFilter ref="A1:CA17"/>
  <conditionalFormatting sqref="B2:B1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17">
    <cfRule type="cellIs" priority="34" operator="equal" dxfId="3" stopIfTrue="1">
      <formula>"Underperforming"</formula>
    </cfRule>
  </conditionalFormatting>
  <conditionalFormatting sqref="N2:N17">
    <cfRule type="cellIs" priority="35" operator="equal" dxfId="3" stopIfTrue="1">
      <formula>-5</formula>
    </cfRule>
  </conditionalFormatting>
  <conditionalFormatting sqref="Q2:Q17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17" showDropDown="0" showInputMessage="0" showErrorMessage="0" allowBlank="1" type="list">
      <formula1>"Growing Industry,Stagnant Industry,Cyclical in an Upturn"</formula1>
    </dataValidation>
    <dataValidation sqref="Z2:Z17" showDropDown="0" showInputMessage="0" showErrorMessage="0" allowBlank="1" type="list">
      <formula1>"Fragmented with Low ROE,Fragmented with High ROE,Highly Cyclical"</formula1>
    </dataValidation>
    <dataValidation sqref="AB2:AB17" showDropDown="0" showInputMessage="0" showErrorMessage="0" allowBlank="1" type="list">
      <formula1>"Yes,No"</formula1>
    </dataValidation>
    <dataValidation sqref="AD2:AD17" showDropDown="0" showInputMessage="0" showErrorMessage="0" allowBlank="1" type="list">
      <formula1>"Tailwind,Headwind"</formula1>
    </dataValidation>
    <dataValidation sqref="AF2:AF1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7" showDropDown="0" showInputMessage="0" showErrorMessage="0" allowBlank="1" type="list">
      <formula1>"Yes,No"</formula1>
    </dataValidation>
    <dataValidation sqref="AJ2:AJ17" showDropDown="0" showInputMessage="0" showErrorMessage="0" allowBlank="1" type="list">
      <formula1>"Yes,No,Not Applicable"</formula1>
    </dataValidation>
    <dataValidation sqref="AL2:AL17" showDropDown="0" showInputMessage="0" showErrorMessage="0" allowBlank="1" type="list">
      <formula1>"Yes,No"</formula1>
    </dataValidation>
    <dataValidation sqref="AN2:AN17" showDropDown="0" showInputMessage="0" showErrorMessage="0" allowBlank="1" type="list">
      <formula1>"Yes,No"</formula1>
    </dataValidation>
    <dataValidation sqref="AP2:AP17" showDropDown="0" showInputMessage="0" showErrorMessage="0" allowBlank="1" type="list">
      <formula1>"Yes,No"</formula1>
    </dataValidation>
    <dataValidation sqref="AR2:AR17" showDropDown="0" showInputMessage="0" showErrorMessage="0" allowBlank="1" type="list">
      <formula1>"Yes,No"</formula1>
    </dataValidation>
    <dataValidation sqref="AT2:AT17" showDropDown="0" showInputMessage="0" showErrorMessage="0" allowBlank="1" type="list">
      <formula1>"No,Yes"</formula1>
    </dataValidation>
    <dataValidation sqref="AV2:AV17" showDropDown="0" showInputMessage="0" showErrorMessage="0" allowBlank="1" type="list">
      <formula1>"No,Yes"</formula1>
    </dataValidation>
    <dataValidation sqref="AX2:AX17" showDropDown="0" showInputMessage="0" showErrorMessage="0" allowBlank="1" type="list">
      <formula1>"No,Yes CEO Resignation,Yes CEO Retirement"</formula1>
    </dataValidation>
    <dataValidation sqref="AZ2:AZ17" showDropDown="0" showInputMessage="0" showErrorMessage="0" allowBlank="1" type="list">
      <formula1>"No,Yes"</formula1>
    </dataValidation>
    <dataValidation sqref="BB2:BB17" showDropDown="0" showInputMessage="0" showErrorMessage="0" allowBlank="1" type="list">
      <formula1>"No,Yes"</formula1>
    </dataValidation>
    <dataValidation sqref="BD2:BD17" showDropDown="0" showInputMessage="0" showErrorMessage="0" allowBlank="1" type="list">
      <formula1>"Yes,No"</formula1>
    </dataValidation>
    <dataValidation sqref="BF2:BF17" showDropDown="0" showInputMessage="0" showErrorMessage="0" allowBlank="1" type="list">
      <formula1>"Yes,No"</formula1>
    </dataValidation>
    <dataValidation sqref="BH2:BH17" showDropDown="0" showInputMessage="0" showErrorMessage="0" allowBlank="1" type="list">
      <formula1>"Yes,No"</formula1>
    </dataValidation>
    <dataValidation sqref="BJ2:BJ1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7" showDropDown="0" showInputMessage="0" showErrorMessage="0" allowBlank="1" type="list">
      <formula1>"Above 40,20 to 40,0 to 20"</formula1>
    </dataValidation>
    <dataValidation sqref="BN2:BN17" showDropDown="0" showInputMessage="0" showErrorMessage="0" allowBlank="1" type="list">
      <formula1>"Between 50 to 75,Above 75,Below 45"</formula1>
    </dataValidation>
    <dataValidation sqref="BP2:BP17" showDropDown="0" showInputMessage="0" showErrorMessage="0" allowBlank="1" type="list">
      <formula1>"Stage 1,Stage 2,Stage 3,Stage 4"</formula1>
    </dataValidation>
    <dataValidation sqref="BR2:BR17" showDropDown="0" showInputMessage="0" showErrorMessage="0" allowBlank="1" type="list">
      <formula1>"Positive Trend,Negative Trend"</formula1>
    </dataValidation>
    <dataValidation sqref="BT2:BT17" showDropDown="0" showInputMessage="0" showErrorMessage="0" allowBlank="1" type="list">
      <formula1>"Uptrend,Sideways,Downtrend"</formula1>
    </dataValidation>
    <dataValidation sqref="BV2:BV17" showDropDown="0" showInputMessage="0" showErrorMessage="0" allowBlank="1" type="list">
      <formula1>"Uptrend,Sideways,Downtrend"</formula1>
    </dataValidation>
    <dataValidation sqref="BX2:BX1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1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IF(B2=0,"",RANK(B2,$B$2:$B$21,0))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136.4</v>
      </c>
      <c r="E2" s="32" t="inlineStr">
        <is>
          <t>5%</t>
        </is>
      </c>
      <c r="F2" s="32" t="n">
        <v>50000</v>
      </c>
      <c r="G2" s="32" t="n">
        <v>486</v>
      </c>
      <c r="H2" s="31" t="inlineStr">
        <is>
          <t>PREMIERPOL</t>
        </is>
      </c>
      <c r="I2" s="31" t="inlineStr">
        <is>
          <t>Premier Polyfilm Limited</t>
        </is>
      </c>
      <c r="J2" s="31" t="inlineStr">
        <is>
          <t>plastic products</t>
        </is>
      </c>
      <c r="K2" s="31" t="inlineStr">
        <is>
          <t>plastics products</t>
        </is>
      </c>
      <c r="L2" s="31" t="inlineStr">
        <is>
          <t>smallcap</t>
        </is>
      </c>
      <c r="M2" s="32" t="n">
        <v>1029.09</v>
      </c>
      <c r="N2" s="32" t="n">
        <v>102.85</v>
      </c>
      <c r="O2" s="32" t="n">
        <v>4.68</v>
      </c>
      <c r="P2" s="32" t="n">
        <v>656892</v>
      </c>
      <c r="Q2" s="31" t="n">
        <v>79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68.27</v>
      </c>
      <c r="U2" s="32" t="n">
        <v>58.98</v>
      </c>
      <c r="V2" s="32" t="n">
        <v>69.25</v>
      </c>
      <c r="W2" s="31" t="inlineStr">
        <is>
          <t>Volume Spike &amp; Near 52W High Breakout</t>
        </is>
      </c>
      <c r="X2" s="31" t="inlineStr">
        <is>
          <t>Nifty 50</t>
        </is>
      </c>
      <c r="Y2" s="32" t="n">
        <v>-10.93</v>
      </c>
      <c r="Z2" s="32" t="n">
        <v>130.3</v>
      </c>
      <c r="AA2" s="32" t="n">
        <v>158.58</v>
      </c>
      <c r="AB2" s="32" t="n">
        <v>33.39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IF(B3=0,"",RANK(B3,$B$2:$B$21,0))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139.9</v>
      </c>
      <c r="E3" s="32" t="inlineStr">
        <is>
          <t>5%</t>
        </is>
      </c>
      <c r="F3" s="32" t="n">
        <v>50000</v>
      </c>
      <c r="G3" s="32" t="n">
        <v>228</v>
      </c>
      <c r="H3" s="31" t="inlineStr">
        <is>
          <t>OCCLLTD</t>
        </is>
      </c>
      <c r="I3" s="31" t="inlineStr">
        <is>
          <t>OCCL Ltd</t>
        </is>
      </c>
      <c r="J3" s="31" t="inlineStr">
        <is>
          <t>chemicals</t>
        </is>
      </c>
      <c r="K3" s="31" t="inlineStr">
        <is>
          <t>chemicals</t>
        </is>
      </c>
      <c r="L3" s="31" t="inlineStr">
        <is>
          <t>smallcap</t>
        </is>
      </c>
      <c r="M3" s="32" t="n">
        <v>1040.77</v>
      </c>
      <c r="N3" s="32" t="n">
        <v>218.54</v>
      </c>
      <c r="O3" s="32" t="n">
        <v>4.89</v>
      </c>
      <c r="P3" s="32" t="n">
        <v>192171</v>
      </c>
      <c r="Q3" s="31" t="n">
        <v>76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81.45999999999999</v>
      </c>
      <c r="U3" s="32" t="n">
        <v>50.02</v>
      </c>
      <c r="V3" s="32" t="n">
        <v>167.24</v>
      </c>
      <c r="W3" s="31" t="inlineStr">
        <is>
          <t>Volume Spike &amp; Near 52W High Breakout</t>
        </is>
      </c>
      <c r="X3" s="31" t="inlineStr">
        <is>
          <t>Nifty 50</t>
        </is>
      </c>
      <c r="Y3" s="32" t="n">
        <v>-10.93</v>
      </c>
      <c r="Z3" s="32" t="n">
        <v>74.54000000000001</v>
      </c>
      <c r="AA3" s="32" t="n">
        <v>95.97</v>
      </c>
      <c r="AB3" s="32" t="n">
        <v>32.41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IF(B4=0,"",RANK(B4,$B$2:$B$21,0))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137.6</v>
      </c>
      <c r="E4" s="32" t="inlineStr">
        <is>
          <t>5%</t>
        </is>
      </c>
      <c r="F4" s="32" t="n">
        <v>50000</v>
      </c>
      <c r="G4" s="32" t="n">
        <v>131</v>
      </c>
      <c r="H4" s="31" t="inlineStr">
        <is>
          <t>SHANTIGOLD</t>
        </is>
      </c>
      <c r="I4" s="31" t="inlineStr">
        <is>
          <t>Shanti Gold International Ltd</t>
        </is>
      </c>
      <c r="J4" s="31" t="inlineStr">
        <is>
          <t>consumer discretionary</t>
        </is>
      </c>
      <c r="K4" s="31" t="inlineStr">
        <is>
          <t>diamond cutting / jewellery</t>
        </is>
      </c>
      <c r="L4" s="31" t="inlineStr">
        <is>
          <t>smallcap</t>
        </is>
      </c>
      <c r="M4" s="32" t="n">
        <v>2690.87</v>
      </c>
      <c r="N4" s="32" t="n">
        <v>380.55</v>
      </c>
      <c r="O4" s="32" t="n">
        <v>8.529999999999999</v>
      </c>
      <c r="P4" s="32" t="n">
        <v>10493143</v>
      </c>
      <c r="Q4" s="31" t="n">
        <v>75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75.91</v>
      </c>
      <c r="U4" s="32" t="n">
        <v>44.2</v>
      </c>
      <c r="V4" s="32" t="n">
        <v>282.6</v>
      </c>
      <c r="W4" s="31" t="inlineStr">
        <is>
          <t>Volume Spike &amp; Near 52W High Breakout</t>
        </is>
      </c>
      <c r="X4" s="31" t="inlineStr">
        <is>
          <t>Nifty 50</t>
        </is>
      </c>
      <c r="Y4" s="32" t="n">
        <v>-10.93</v>
      </c>
      <c r="Z4" s="32" t="n">
        <v>77.72</v>
      </c>
      <c r="AA4" s="32" t="n">
        <v>99.54000000000001</v>
      </c>
      <c r="AB4" s="32" t="n">
        <v>31.98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IF(B5=0,"",RANK(B5,$B$2:$B$21,0))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134.2</v>
      </c>
      <c r="E5" s="32" t="inlineStr">
        <is>
          <t>5%</t>
        </is>
      </c>
      <c r="F5" s="32" t="n">
        <v>50000</v>
      </c>
      <c r="G5" s="32" t="n">
        <v>1365</v>
      </c>
      <c r="H5" s="31" t="inlineStr">
        <is>
          <t>IBULLSLTD</t>
        </is>
      </c>
      <c r="I5" s="31" t="inlineStr">
        <is>
          <t>Indiabulls Limited</t>
        </is>
      </c>
      <c r="J5" s="31" t="inlineStr">
        <is>
          <t>miscellaneous</t>
        </is>
      </c>
      <c r="K5" s="31" t="inlineStr">
        <is>
          <t>diversified - medium / small</t>
        </is>
      </c>
      <c r="L5" s="31" t="inlineStr">
        <is>
          <t>midcap</t>
        </is>
      </c>
      <c r="M5" s="32" t="n">
        <v>8125.45</v>
      </c>
      <c r="N5" s="32" t="n">
        <v>36.62</v>
      </c>
      <c r="O5" s="32" t="n">
        <v>4.99</v>
      </c>
      <c r="P5" s="32" t="n">
        <v>36655938</v>
      </c>
      <c r="Q5" s="31" t="n">
        <v>75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73.44</v>
      </c>
      <c r="U5" s="32" t="n">
        <v>39.98</v>
      </c>
      <c r="V5" s="32" t="n">
        <v>25.83</v>
      </c>
      <c r="W5" s="31" t="inlineStr">
        <is>
          <t>Volume Spike &amp; Near 52W High Breakout</t>
        </is>
      </c>
      <c r="X5" s="31" t="inlineStr">
        <is>
          <t>Nifty 50</t>
        </is>
      </c>
      <c r="Y5" s="32" t="n">
        <v>-10.93</v>
      </c>
      <c r="Z5" s="32" t="n">
        <v>112.29</v>
      </c>
      <c r="AA5" s="32" t="n">
        <v>138.35</v>
      </c>
      <c r="AB5" s="32" t="n">
        <v>32.05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20 to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IF(B6=0,"",RANK(B6,$B$2:$B$21,0))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</v>
      </c>
      <c r="E6" s="32" t="inlineStr">
        <is>
          <t>5%</t>
        </is>
      </c>
      <c r="F6" s="32" t="n">
        <v>50000</v>
      </c>
      <c r="G6" s="32" t="n">
        <v>142</v>
      </c>
      <c r="H6" s="31" t="inlineStr">
        <is>
          <t>HITECHCORP</t>
        </is>
      </c>
      <c r="I6" s="31" t="inlineStr">
        <is>
          <t>Hitech Corporation</t>
        </is>
      </c>
      <c r="J6" s="31" t="inlineStr">
        <is>
          <t>industrials</t>
        </is>
      </c>
      <c r="K6" s="31" t="inlineStr">
        <is>
          <t>packaging</t>
        </is>
      </c>
      <c r="L6" s="31" t="inlineStr">
        <is>
          <t>smallcap</t>
        </is>
      </c>
      <c r="M6" s="32" t="n">
        <v>602.09</v>
      </c>
      <c r="N6" s="32" t="n">
        <v>350.8</v>
      </c>
      <c r="O6" s="32" t="n">
        <v>0.07000000000000001</v>
      </c>
      <c r="P6" s="32" t="n">
        <v>46271</v>
      </c>
      <c r="Q6" s="31" t="n">
        <v>56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80.65000000000001</v>
      </c>
      <c r="U6" s="32" t="n">
        <v>65.58</v>
      </c>
      <c r="V6" s="32" t="n">
        <v>296.98</v>
      </c>
      <c r="W6" s="31" t="inlineStr">
        <is>
          <t>Volume Spike &amp; Near 52W High Breakout</t>
        </is>
      </c>
      <c r="X6" s="31" t="inlineStr">
        <is>
          <t>Nifty 50</t>
        </is>
      </c>
      <c r="Y6" s="32" t="n">
        <v>-10.93</v>
      </c>
      <c r="Z6" s="32" t="n">
        <v>78.98999999999999</v>
      </c>
      <c r="AA6" s="32" t="n">
        <v>100.97</v>
      </c>
      <c r="AB6" s="32" t="n">
        <v>22.69</v>
      </c>
      <c r="AC6" s="31" t="inlineStr">
        <is>
          <t>Cyclical in an Upturn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IF(B7=0,"",RANK(B7,$B$2:$B$21,0))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138.2</v>
      </c>
      <c r="E7" s="32" t="inlineStr">
        <is>
          <t>5%</t>
        </is>
      </c>
      <c r="F7" s="32" t="n">
        <v>50000</v>
      </c>
      <c r="G7" s="32" t="n">
        <v>11</v>
      </c>
      <c r="H7" s="31" t="inlineStr">
        <is>
          <t>CPPLUS</t>
        </is>
      </c>
      <c r="I7" s="31" t="inlineStr">
        <is>
          <t>Aditya Infotech Ltd</t>
        </is>
      </c>
      <c r="J7" s="31" t="inlineStr">
        <is>
          <t>consumer discretionary</t>
        </is>
      </c>
      <c r="K7" s="31" t="inlineStr">
        <is>
          <t>trading</t>
        </is>
      </c>
      <c r="L7" s="31" t="inlineStr">
        <is>
          <t>largecap</t>
        </is>
      </c>
      <c r="M7" s="32" t="n">
        <v>48709.87</v>
      </c>
      <c r="N7" s="32" t="n">
        <v>4185.2</v>
      </c>
      <c r="O7" s="32" t="n">
        <v>5.36</v>
      </c>
      <c r="P7" s="32" t="n">
        <v>887678</v>
      </c>
      <c r="Q7" s="31" t="n">
        <v>74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70.09999999999999</v>
      </c>
      <c r="U7" s="32" t="n">
        <v>44.04</v>
      </c>
      <c r="V7" s="32" t="n">
        <v>3138.16</v>
      </c>
      <c r="W7" s="31" t="inlineStr">
        <is>
          <t>Volume Spike &amp; Near 52W High Breakout</t>
        </is>
      </c>
      <c r="X7" s="31" t="inlineStr">
        <is>
          <t>Nifty 50</t>
        </is>
      </c>
      <c r="Y7" s="32" t="n">
        <v>-10.93</v>
      </c>
      <c r="Z7" s="32" t="n">
        <v>200.97</v>
      </c>
      <c r="AA7" s="32" t="n">
        <v>237.92</v>
      </c>
      <c r="AB7" s="32" t="n">
        <v>31.56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IF(B8=0,"",RANK(B8,$B$2:$B$21,0))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138.1</v>
      </c>
      <c r="E8" s="32" t="inlineStr">
        <is>
          <t>5%</t>
        </is>
      </c>
      <c r="F8" s="32" t="n">
        <v>50000</v>
      </c>
      <c r="G8" s="32" t="n">
        <v>21</v>
      </c>
      <c r="H8" s="31" t="inlineStr">
        <is>
          <t>DPABHUSHAN</t>
        </is>
      </c>
      <c r="I8" s="31" t="inlineStr">
        <is>
          <t>D.P. Abhushan Ltd</t>
        </is>
      </c>
      <c r="J8" s="31" t="inlineStr">
        <is>
          <t>consumer discretionary</t>
        </is>
      </c>
      <c r="K8" s="31" t="inlineStr">
        <is>
          <t>trading</t>
        </is>
      </c>
      <c r="L8" s="31" t="inlineStr">
        <is>
          <t>midcap</t>
        </is>
      </c>
      <c r="M8" s="32" t="n">
        <v>5156.6</v>
      </c>
      <c r="N8" s="32" t="n">
        <v>2363.8</v>
      </c>
      <c r="O8" s="32" t="n">
        <v>4.64</v>
      </c>
      <c r="P8" s="32" t="n">
        <v>295689</v>
      </c>
      <c r="Q8" s="31" t="n">
        <v>84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82.09</v>
      </c>
      <c r="U8" s="32" t="n">
        <v>39.19</v>
      </c>
      <c r="V8" s="32" t="n">
        <v>1780.91</v>
      </c>
      <c r="W8" s="31" t="inlineStr">
        <is>
          <t>Volume Spike &amp; Near 52W High Breakout</t>
        </is>
      </c>
      <c r="X8" s="31" t="inlineStr">
        <is>
          <t>Nifty 50</t>
        </is>
      </c>
      <c r="Y8" s="32" t="n">
        <v>-10.93</v>
      </c>
      <c r="Z8" s="32" t="n">
        <v>65.65000000000001</v>
      </c>
      <c r="AA8" s="32" t="n">
        <v>85.98999999999999</v>
      </c>
      <c r="AB8" s="32" t="n">
        <v>36.13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IF(B9=0,"",RANK(B9,$B$2:$B$21,0))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115.4</v>
      </c>
      <c r="E9" s="32" t="inlineStr">
        <is>
          <t>5%</t>
        </is>
      </c>
      <c r="F9" s="32" t="n">
        <v>50000</v>
      </c>
      <c r="G9" s="32" t="n">
        <v>3376</v>
      </c>
      <c r="H9" s="31" t="inlineStr">
        <is>
          <t>PCJEWELLER</t>
        </is>
      </c>
      <c r="I9" s="31" t="inlineStr">
        <is>
          <t>Pc Jeweller Limited</t>
        </is>
      </c>
      <c r="J9" s="31" t="inlineStr">
        <is>
          <t>consumer discretionary</t>
        </is>
      </c>
      <c r="K9" s="31" t="inlineStr">
        <is>
          <t>diamond cutting / jewellery</t>
        </is>
      </c>
      <c r="L9" s="31" t="inlineStr">
        <is>
          <t>midcap</t>
        </is>
      </c>
      <c r="M9" s="32" t="n">
        <v>13497.64</v>
      </c>
      <c r="N9" s="32" t="n">
        <v>14.81</v>
      </c>
      <c r="O9" s="32" t="n">
        <v>6.55</v>
      </c>
      <c r="P9" s="32" t="n">
        <v>895898449</v>
      </c>
      <c r="Q9" s="31" t="n">
        <v>38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67.79000000000001</v>
      </c>
      <c r="U9" s="32" t="n">
        <v>36.48</v>
      </c>
      <c r="V9" s="32" t="n">
        <v>10.4</v>
      </c>
      <c r="W9" s="31" t="inlineStr">
        <is>
          <t>Near 52W High Breakout</t>
        </is>
      </c>
      <c r="X9" s="31" t="inlineStr">
        <is>
          <t>Nifty 50</t>
        </is>
      </c>
      <c r="Y9" s="32" t="n">
        <v>-10.93</v>
      </c>
      <c r="Z9" s="32" t="n">
        <v>15.34</v>
      </c>
      <c r="AA9" s="32" t="n">
        <v>29.5</v>
      </c>
      <c r="AB9" s="32" t="n">
        <v>14.92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20 to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Close to 52 week high or retracement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Less than 1.5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IF(B10=0,"",RANK(B10,$B$2:$B$21,0))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ATH Momentum</t>
        </is>
      </c>
      <c r="D10" s="32" t="n">
        <v>73.5</v>
      </c>
      <c r="E10" s="32" t="inlineStr">
        <is>
          <t>4%</t>
        </is>
      </c>
      <c r="F10" s="32" t="n">
        <v>40000</v>
      </c>
      <c r="G10" s="32" t="n">
        <v>1</v>
      </c>
      <c r="H10" s="31" t="inlineStr">
        <is>
          <t>PTCIL</t>
        </is>
      </c>
      <c r="I10" s="31" t="inlineStr">
        <is>
          <t>PTC Industries Ltd</t>
        </is>
      </c>
      <c r="J10" s="31" t="inlineStr">
        <is>
          <t>castings, forgings &amp; fasteners</t>
        </is>
      </c>
      <c r="K10" s="31" t="inlineStr">
        <is>
          <t>castings &amp; forgings</t>
        </is>
      </c>
      <c r="L10" s="31" t="inlineStr">
        <is>
          <t>largecap</t>
        </is>
      </c>
      <c r="M10" s="32" t="n">
        <v>36686.77</v>
      </c>
      <c r="N10" s="32" t="n">
        <v>24535</v>
      </c>
      <c r="O10" s="32" t="n">
        <v>0.27</v>
      </c>
      <c r="P10" s="32" t="n">
        <v>28898</v>
      </c>
      <c r="Q10" s="31" t="n">
        <v>46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72.05</v>
      </c>
      <c r="U10" s="32" t="n">
        <v>43.36</v>
      </c>
      <c r="V10" s="32" t="n">
        <v>19717.08</v>
      </c>
      <c r="W10" s="31" t="inlineStr">
        <is>
          <t>Near 52W High Breakout</t>
        </is>
      </c>
      <c r="X10" s="31" t="inlineStr">
        <is>
          <t>Nifty 50</t>
        </is>
      </c>
      <c r="Y10" s="32" t="n">
        <v>-10.93</v>
      </c>
      <c r="Z10" s="32" t="n">
        <v>51.01</v>
      </c>
      <c r="AA10" s="32" t="n">
        <v>69.55</v>
      </c>
      <c r="AB10" s="32" t="n">
        <v>17.81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IF(B11=0,"",RANK(B11,$B$2:$B$21,0))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139.5</v>
      </c>
      <c r="E11" s="32" t="inlineStr">
        <is>
          <t>5%</t>
        </is>
      </c>
      <c r="F11" s="32" t="n">
        <v>50000</v>
      </c>
      <c r="G11" s="32" t="n">
        <v>136</v>
      </c>
      <c r="H11" s="31" t="inlineStr">
        <is>
          <t>CUPID</t>
        </is>
      </c>
      <c r="I11" s="31" t="inlineStr">
        <is>
          <t>Cupid Limited</t>
        </is>
      </c>
      <c r="J11" s="31" t="inlineStr">
        <is>
          <t>fmcg</t>
        </is>
      </c>
      <c r="K11" s="31" t="inlineStr">
        <is>
          <t>personal care - indian</t>
        </is>
      </c>
      <c r="L11" s="31" t="inlineStr">
        <is>
          <t>largecap</t>
        </is>
      </c>
      <c r="M11" s="32" t="n">
        <v>47957.32</v>
      </c>
      <c r="N11" s="32" t="n">
        <v>366.1</v>
      </c>
      <c r="O11" s="32" t="n">
        <v>2.65</v>
      </c>
      <c r="P11" s="32" t="n">
        <v>33720165</v>
      </c>
      <c r="Q11" s="31" t="inlineStr"/>
      <c r="R11" s="31" t="inlineStr"/>
      <c r="S11" s="32">
        <f>IF(R11="Underperforming",-5,IF(Q11&gt;=95,15,IF(Q11&gt;=90,10,IF(Q11&gt;=80,5,0))))</f>
        <v/>
      </c>
      <c r="T11" s="32" t="n">
        <v>87</v>
      </c>
      <c r="U11" s="32" t="n">
        <v>66.42</v>
      </c>
      <c r="V11" s="32" t="n">
        <v>280.65</v>
      </c>
      <c r="W11" s="31" t="inlineStr">
        <is>
          <t>Near 52W High Breakout</t>
        </is>
      </c>
      <c r="X11" s="31" t="inlineStr">
        <is>
          <t>Nifty FMCG</t>
        </is>
      </c>
      <c r="Y11" s="32" t="inlineStr"/>
      <c r="Z11" s="32" t="inlineStr"/>
      <c r="AA11" s="32" t="inlineStr"/>
      <c r="AB11" s="32" t="inlineStr"/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B2C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IF(B12=0,"",RANK(B12,$B$2:$B$21,0))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137.7</v>
      </c>
      <c r="E12" s="32" t="inlineStr">
        <is>
          <t>5%</t>
        </is>
      </c>
      <c r="F12" s="32" t="n">
        <v>50000</v>
      </c>
      <c r="G12" s="32" t="n">
        <v>332</v>
      </c>
      <c r="H12" s="31" t="inlineStr">
        <is>
          <t>ZIMLAB</t>
        </is>
      </c>
      <c r="I12" s="31" t="inlineStr">
        <is>
          <t>Zim Laboratories Ltd</t>
        </is>
      </c>
      <c r="J12" s="31" t="inlineStr">
        <is>
          <t>healthcare</t>
        </is>
      </c>
      <c r="K12" s="31" t="inlineStr">
        <is>
          <t>pharmaceuticals - indian - bulk drugs &amp; formln</t>
        </is>
      </c>
      <c r="L12" s="31" t="inlineStr">
        <is>
          <t>smallcap</t>
        </is>
      </c>
      <c r="M12" s="32" t="n">
        <v>752.52</v>
      </c>
      <c r="N12" s="32" t="n">
        <v>150.47</v>
      </c>
      <c r="O12" s="32" t="n">
        <v>7.07</v>
      </c>
      <c r="P12" s="32" t="n">
        <v>554208</v>
      </c>
      <c r="Q12" s="31" t="n">
        <v>60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74.40000000000001</v>
      </c>
      <c r="U12" s="32" t="n">
        <v>57.78</v>
      </c>
      <c r="V12" s="32" t="n">
        <v>110.61</v>
      </c>
      <c r="W12" s="31" t="inlineStr">
        <is>
          <t>Volume Spike &amp; Near 52W High Breakout</t>
        </is>
      </c>
      <c r="X12" s="31" t="inlineStr">
        <is>
          <t>Nifty Pharma</t>
        </is>
      </c>
      <c r="Y12" s="32" t="n">
        <v>16.85</v>
      </c>
      <c r="Z12" s="32" t="n">
        <v>111.3</v>
      </c>
      <c r="AA12" s="32" t="n">
        <v>80.83</v>
      </c>
      <c r="AB12" s="32" t="n">
        <v>24.62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Yes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IF(B13=0,"",RANK(B13,$B$2:$B$21,0))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134.5</v>
      </c>
      <c r="E13" s="32" t="inlineStr">
        <is>
          <t>5%</t>
        </is>
      </c>
      <c r="F13" s="32" t="n">
        <v>50000</v>
      </c>
      <c r="G13" s="32" t="n">
        <v>353</v>
      </c>
      <c r="H13" s="31" t="inlineStr">
        <is>
          <t>DBOL</t>
        </is>
      </c>
      <c r="I13" s="31" t="inlineStr">
        <is>
          <t>Dhampur Bio Organics Ltd</t>
        </is>
      </c>
      <c r="J13" s="31" t="inlineStr">
        <is>
          <t>fmcg</t>
        </is>
      </c>
      <c r="K13" s="31" t="inlineStr">
        <is>
          <t>sugar</t>
        </is>
      </c>
      <c r="L13" s="31" t="inlineStr">
        <is>
          <t>smallcap</t>
        </is>
      </c>
      <c r="M13" s="32" t="n">
        <v>932.28</v>
      </c>
      <c r="N13" s="32" t="n">
        <v>141.33</v>
      </c>
      <c r="O13" s="32" t="n">
        <v>0.64</v>
      </c>
      <c r="P13" s="32" t="n">
        <v>757711</v>
      </c>
      <c r="Q13" s="31" t="inlineStr"/>
      <c r="R13" s="31" t="inlineStr"/>
      <c r="S13" s="32">
        <f>IF(R13="Underperforming",-5,IF(Q13&gt;=95,15,IF(Q13&gt;=90,10,IF(Q13&gt;=80,5,0))))</f>
        <v/>
      </c>
      <c r="T13" s="32" t="n">
        <v>67.26000000000001</v>
      </c>
      <c r="U13" s="32" t="n">
        <v>35.26</v>
      </c>
      <c r="V13" s="32" t="n">
        <v>103.64</v>
      </c>
      <c r="W13" s="31" t="inlineStr">
        <is>
          <t>Volume Spike &amp; Near 52W High Breakout</t>
        </is>
      </c>
      <c r="X13" s="31" t="inlineStr">
        <is>
          <t>Nifty FMCG</t>
        </is>
      </c>
      <c r="Y13" s="32" t="inlineStr"/>
      <c r="Z13" s="32" t="inlineStr"/>
      <c r="AA13" s="32" t="inlineStr"/>
      <c r="AB13" s="32" t="inlineStr"/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B2C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Between 0.7 to 1.2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IF(B14=0,"",RANK(B14,$B$2:$B$21,0))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ATH Momentum</t>
        </is>
      </c>
      <c r="D14" s="32" t="n">
        <v>73.59999999999999</v>
      </c>
      <c r="E14" s="32" t="inlineStr">
        <is>
          <t>4%</t>
        </is>
      </c>
      <c r="F14" s="32" t="n">
        <v>40000</v>
      </c>
      <c r="G14" s="32" t="n">
        <v>19</v>
      </c>
      <c r="H14" s="31" t="inlineStr">
        <is>
          <t>LAURUSLABS</t>
        </is>
      </c>
      <c r="I14" s="31" t="inlineStr">
        <is>
          <t>Laurus Labs Limited</t>
        </is>
      </c>
      <c r="J14" s="31" t="inlineStr">
        <is>
          <t>healthcare</t>
        </is>
      </c>
      <c r="K14" s="31" t="inlineStr">
        <is>
          <t>pharmaceuticals - indian - bulk drugs &amp; formln</t>
        </is>
      </c>
      <c r="L14" s="31" t="inlineStr">
        <is>
          <t>largecap</t>
        </is>
      </c>
      <c r="M14" s="32" t="n">
        <v>107936.46</v>
      </c>
      <c r="N14" s="32" t="n">
        <v>2036.6</v>
      </c>
      <c r="O14" s="32" t="n">
        <v>1.94</v>
      </c>
      <c r="P14" s="32" t="n">
        <v>1358268</v>
      </c>
      <c r="Q14" s="31" t="n">
        <v>63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76.94</v>
      </c>
      <c r="U14" s="32" t="n">
        <v>77.5</v>
      </c>
      <c r="V14" s="32" t="n">
        <v>1740.79</v>
      </c>
      <c r="W14" s="31" t="inlineStr">
        <is>
          <t>Near 52W High Breakout</t>
        </is>
      </c>
      <c r="X14" s="31" t="inlineStr">
        <is>
          <t>Nifty Pharma</t>
        </is>
      </c>
      <c r="Y14" s="32" t="n">
        <v>16.85</v>
      </c>
      <c r="Z14" s="32" t="n">
        <v>132.71</v>
      </c>
      <c r="AA14" s="32" t="n">
        <v>99.15000000000001</v>
      </c>
      <c r="AB14" s="32" t="n">
        <v>26.01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Yes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Annuity, Lower One Time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IF(B15=0,"",RANK(B15,$B$2:$B$21,0))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140</v>
      </c>
      <c r="E15" s="32" t="inlineStr">
        <is>
          <t>5%</t>
        </is>
      </c>
      <c r="F15" s="32" t="n">
        <v>50000</v>
      </c>
      <c r="G15" s="32" t="n">
        <v>61</v>
      </c>
      <c r="H15" s="31" t="inlineStr">
        <is>
          <t>SHREEJISPG</t>
        </is>
      </c>
      <c r="I15" s="31" t="inlineStr">
        <is>
          <t>Shreeji Shipping Global Ltd</t>
        </is>
      </c>
      <c r="J15" s="31" t="inlineStr">
        <is>
          <t>transportation</t>
        </is>
      </c>
      <c r="K15" s="31" t="inlineStr">
        <is>
          <t>shipping</t>
        </is>
      </c>
      <c r="L15" s="31" t="inlineStr">
        <is>
          <t>midcap</t>
        </is>
      </c>
      <c r="M15" s="32" t="n">
        <v>13045.68</v>
      </c>
      <c r="N15" s="32" t="n">
        <v>811.8</v>
      </c>
      <c r="O15" s="32" t="n">
        <v>1.38</v>
      </c>
      <c r="P15" s="32" t="n">
        <v>1365619</v>
      </c>
      <c r="Q15" s="31" t="n">
        <v>87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85.23</v>
      </c>
      <c r="U15" s="32" t="n">
        <v>56.88</v>
      </c>
      <c r="V15" s="32" t="n">
        <v>681.6799999999999</v>
      </c>
      <c r="W15" s="31" t="inlineStr">
        <is>
          <t>Near 52W High Breakout</t>
        </is>
      </c>
      <c r="X15" s="31" t="inlineStr">
        <is>
          <t>Nifty 50</t>
        </is>
      </c>
      <c r="Y15" s="32" t="n">
        <v>-10.93</v>
      </c>
      <c r="Z15" s="32" t="n">
        <v>222.62</v>
      </c>
      <c r="AA15" s="32" t="n">
        <v>262.23</v>
      </c>
      <c r="AB15" s="32" t="n">
        <v>38.96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IF(B16=0,"",RANK(B16,$B$2:$B$21,0))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138.4</v>
      </c>
      <c r="E16" s="32" t="inlineStr">
        <is>
          <t>5%</t>
        </is>
      </c>
      <c r="F16" s="32" t="n">
        <v>50000</v>
      </c>
      <c r="G16" s="32" t="n">
        <v>54</v>
      </c>
      <c r="H16" s="31" t="inlineStr">
        <is>
          <t>SKYGOLD</t>
        </is>
      </c>
      <c r="I16" s="31" t="inlineStr">
        <is>
          <t>Sky Gold Ltd</t>
        </is>
      </c>
      <c r="J16" s="31" t="inlineStr">
        <is>
          <t>consumer discretionary</t>
        </is>
      </c>
      <c r="K16" s="31" t="inlineStr">
        <is>
          <t>diamond cutting / jewellery</t>
        </is>
      </c>
      <c r="L16" s="31" t="inlineStr">
        <is>
          <t>midcap</t>
        </is>
      </c>
      <c r="M16" s="32" t="n">
        <v>13698.6</v>
      </c>
      <c r="N16" s="32" t="n">
        <v>921</v>
      </c>
      <c r="O16" s="32" t="n">
        <v>4.13</v>
      </c>
      <c r="P16" s="32" t="n">
        <v>2291187</v>
      </c>
      <c r="Q16" s="31" t="n">
        <v>81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78.83</v>
      </c>
      <c r="U16" s="32" t="n">
        <v>68.67</v>
      </c>
      <c r="V16" s="32" t="n">
        <v>707.26</v>
      </c>
      <c r="W16" s="31" t="inlineStr">
        <is>
          <t>Volume Spike &amp; Near 52W High Breakout</t>
        </is>
      </c>
      <c r="X16" s="31" t="inlineStr">
        <is>
          <t>Nifty 50</t>
        </is>
      </c>
      <c r="Y16" s="32" t="n">
        <v>-10.93</v>
      </c>
      <c r="Z16" s="32" t="n">
        <v>168.79</v>
      </c>
      <c r="AA16" s="32" t="n">
        <v>201.79</v>
      </c>
      <c r="AB16" s="32" t="n">
        <v>33.87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Between 0.7 to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IF(B17=0,"",RANK(B17,$B$2:$B$21,0))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136.6</v>
      </c>
      <c r="E17" s="32" t="inlineStr">
        <is>
          <t>5%</t>
        </is>
      </c>
      <c r="F17" s="32" t="n">
        <v>50000</v>
      </c>
      <c r="G17" s="32" t="n">
        <v>52</v>
      </c>
      <c r="H17" s="31" t="inlineStr">
        <is>
          <t>AVADHSUGAR</t>
        </is>
      </c>
      <c r="I17" s="31" t="inlineStr">
        <is>
          <t>Avadh Sugar &amp; Energy</t>
        </is>
      </c>
      <c r="J17" s="31" t="inlineStr">
        <is>
          <t>fmcg</t>
        </is>
      </c>
      <c r="K17" s="31" t="inlineStr">
        <is>
          <t>sugar</t>
        </is>
      </c>
      <c r="L17" s="31" t="inlineStr">
        <is>
          <t>smallcap</t>
        </is>
      </c>
      <c r="M17" s="32" t="n">
        <v>1880.83</v>
      </c>
      <c r="N17" s="32" t="n">
        <v>945.75</v>
      </c>
      <c r="O17" s="32" t="n">
        <v>0.66</v>
      </c>
      <c r="P17" s="32" t="n">
        <v>125036</v>
      </c>
      <c r="Q17" s="31" t="inlineStr"/>
      <c r="R17" s="31" t="inlineStr"/>
      <c r="S17" s="32">
        <f>IF(R17="Underperforming",-5,IF(Q17&gt;=95,15,IF(Q17&gt;=90,10,IF(Q17&gt;=80,5,0))))</f>
        <v/>
      </c>
      <c r="T17" s="32" t="n">
        <v>76.54000000000001</v>
      </c>
      <c r="U17" s="32" t="n">
        <v>58.25</v>
      </c>
      <c r="V17" s="32" t="n">
        <v>707.04</v>
      </c>
      <c r="W17" s="31" t="inlineStr">
        <is>
          <t>Near 52W High Breakout</t>
        </is>
      </c>
      <c r="X17" s="31" t="inlineStr">
        <is>
          <t>Nifty FMCG</t>
        </is>
      </c>
      <c r="Y17" s="32" t="inlineStr"/>
      <c r="Z17" s="32" t="inlineStr"/>
      <c r="AA17" s="32" t="inlineStr"/>
      <c r="AB17" s="32" t="inlineStr"/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B2C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More than 1.2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IF(B18=0,"",RANK(B18,$B$2:$B$21,0))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138.5</v>
      </c>
      <c r="E18" s="32" t="inlineStr">
        <is>
          <t>5%</t>
        </is>
      </c>
      <c r="F18" s="32" t="n">
        <v>50000</v>
      </c>
      <c r="G18" s="32" t="n">
        <v>80</v>
      </c>
      <c r="H18" s="31" t="inlineStr">
        <is>
          <t>PANACHE</t>
        </is>
      </c>
      <c r="I18" s="31" t="inlineStr">
        <is>
          <t>Panache Digilife Ltd</t>
        </is>
      </c>
      <c r="J18" s="31" t="inlineStr">
        <is>
          <t>i.t</t>
        </is>
      </c>
      <c r="K18" s="31" t="inlineStr">
        <is>
          <t>computers - hardware</t>
        </is>
      </c>
      <c r="L18" s="31" t="inlineStr">
        <is>
          <t>smallcap</t>
        </is>
      </c>
      <c r="M18" s="32" t="n">
        <v>943.63</v>
      </c>
      <c r="N18" s="32" t="n">
        <v>617.8</v>
      </c>
      <c r="O18" s="32" t="n">
        <v>4.85</v>
      </c>
      <c r="P18" s="32" t="n">
        <v>34608</v>
      </c>
      <c r="Q18" s="31" t="n">
        <v>47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77.98</v>
      </c>
      <c r="U18" s="32" t="n">
        <v>39.79</v>
      </c>
      <c r="V18" s="32" t="n">
        <v>493.98</v>
      </c>
      <c r="W18" s="31" t="inlineStr">
        <is>
          <t>Volume Spike &amp; Near 52W High Breakout</t>
        </is>
      </c>
      <c r="X18" s="31" t="inlineStr">
        <is>
          <t>Nifty IT</t>
        </is>
      </c>
      <c r="Y18" s="32" t="n">
        <v>-19.75</v>
      </c>
      <c r="Z18" s="32" t="n">
        <v>38.52</v>
      </c>
      <c r="AA18" s="32" t="n">
        <v>72.62</v>
      </c>
      <c r="AB18" s="32" t="n">
        <v>18.49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IF(B19=0,"",RANK(B19,$B$2:$B$21,0))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138.2</v>
      </c>
      <c r="E19" s="32" t="inlineStr">
        <is>
          <t>5%</t>
        </is>
      </c>
      <c r="F19" s="32" t="n">
        <v>50000</v>
      </c>
      <c r="G19" s="32" t="n">
        <v>622</v>
      </c>
      <c r="H19" s="31" t="inlineStr">
        <is>
          <t>ONEPOINT</t>
        </is>
      </c>
      <c r="I19" s="31" t="inlineStr">
        <is>
          <t>One Point One Solutions Ltd</t>
        </is>
      </c>
      <c r="J19" s="31" t="inlineStr">
        <is>
          <t>i.t</t>
        </is>
      </c>
      <c r="K19" s="31" t="inlineStr">
        <is>
          <t>computers - software - medium / small</t>
        </is>
      </c>
      <c r="L19" s="31" t="inlineStr">
        <is>
          <t>smallcap</t>
        </is>
      </c>
      <c r="M19" s="32" t="n">
        <v>2062.74</v>
      </c>
      <c r="N19" s="32" t="n">
        <v>80.36</v>
      </c>
      <c r="O19" s="32" t="n">
        <v>2.43</v>
      </c>
      <c r="P19" s="32" t="n">
        <v>5768618</v>
      </c>
      <c r="Q19" s="31" t="n">
        <v>52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76.51000000000001</v>
      </c>
      <c r="U19" s="32" t="n">
        <v>19.26</v>
      </c>
      <c r="V19" s="32" t="n">
        <v>63.57</v>
      </c>
      <c r="W19" s="31" t="inlineStr">
        <is>
          <t>Volume Spike &amp; Near 52W High Breakout</t>
        </is>
      </c>
      <c r="X19" s="31" t="inlineStr">
        <is>
          <t>Nifty IT</t>
        </is>
      </c>
      <c r="Y19" s="32" t="n">
        <v>-19.75</v>
      </c>
      <c r="Z19" s="32" t="n">
        <v>61.66</v>
      </c>
      <c r="AA19" s="32" t="n">
        <v>101.45</v>
      </c>
      <c r="AB19" s="32" t="n">
        <v>21.43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Annuity, Lower One Time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0 to 20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Less than 1.5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IF(B20=0,"",RANK(B20,$B$2:$B$21,0))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ATH Momentum</t>
        </is>
      </c>
      <c r="D20" s="32" t="n">
        <v>72.5</v>
      </c>
      <c r="E20" s="32" t="inlineStr">
        <is>
          <t>4%</t>
        </is>
      </c>
      <c r="F20" s="32" t="n">
        <v>40000</v>
      </c>
      <c r="G20" s="32" t="n">
        <v>281</v>
      </c>
      <c r="H20" s="31" t="inlineStr">
        <is>
          <t>GLOBAL</t>
        </is>
      </c>
      <c r="I20" s="31" t="inlineStr">
        <is>
          <t>Global Education Ltd</t>
        </is>
      </c>
      <c r="J20" s="31" t="inlineStr">
        <is>
          <t>services</t>
        </is>
      </c>
      <c r="K20" s="31" t="inlineStr">
        <is>
          <t>miscellaneous</t>
        </is>
      </c>
      <c r="L20" s="31" t="inlineStr">
        <is>
          <t>smallcap</t>
        </is>
      </c>
      <c r="M20" s="32" t="n">
        <v>719.8</v>
      </c>
      <c r="N20" s="32" t="n">
        <v>142.2</v>
      </c>
      <c r="O20" s="32" t="n">
        <v>0.5600000000000001</v>
      </c>
      <c r="P20" s="32" t="n">
        <v>114393</v>
      </c>
      <c r="Q20" s="31" t="n">
        <v>67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78.22</v>
      </c>
      <c r="U20" s="32" t="n">
        <v>33.35</v>
      </c>
      <c r="V20" s="32" t="n">
        <v>110.34</v>
      </c>
      <c r="W20" s="31" t="inlineStr">
        <is>
          <t>Near 52W High Breakout</t>
        </is>
      </c>
      <c r="X20" s="31" t="inlineStr">
        <is>
          <t>Nifty 50</t>
        </is>
      </c>
      <c r="Y20" s="32" t="n">
        <v>-10.93</v>
      </c>
      <c r="Z20" s="32" t="n">
        <v>132.22</v>
      </c>
      <c r="AA20" s="32" t="n">
        <v>160.73</v>
      </c>
      <c r="AB20" s="32" t="n">
        <v>27.35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Above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No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Less than 50%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IF(B21=0,"",RANK(B21,$B$2:$B$21,0))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136.4</v>
      </c>
      <c r="E21" s="32" t="inlineStr">
        <is>
          <t>5%</t>
        </is>
      </c>
      <c r="F21" s="32" t="n">
        <v>50000</v>
      </c>
      <c r="G21" s="32" t="n">
        <v>997</v>
      </c>
      <c r="H21" s="31" t="inlineStr">
        <is>
          <t>UNITEDPOLY</t>
        </is>
      </c>
      <c r="I21" s="31" t="inlineStr">
        <is>
          <t>United Polyfab Gujarat Ltd</t>
        </is>
      </c>
      <c r="J21" s="31" t="inlineStr">
        <is>
          <t>textiles</t>
        </is>
      </c>
      <c r="K21" s="31" t="inlineStr">
        <is>
          <t>textiles - products</t>
        </is>
      </c>
      <c r="L21" s="31" t="inlineStr">
        <is>
          <t>smallcap</t>
        </is>
      </c>
      <c r="M21" s="32" t="n">
        <v>1091.58</v>
      </c>
      <c r="N21" s="32" t="n">
        <v>50.12</v>
      </c>
      <c r="O21" s="32" t="n">
        <v>5.38</v>
      </c>
      <c r="P21" s="32" t="n">
        <v>1538149</v>
      </c>
      <c r="Q21" s="31" t="n">
        <v>50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78.28</v>
      </c>
      <c r="U21" s="32" t="n">
        <v>29.05</v>
      </c>
      <c r="V21" s="32" t="n">
        <v>36.96</v>
      </c>
      <c r="W21" s="31" t="inlineStr">
        <is>
          <t>Volume Spike &amp; Near 52W High Breakout</t>
        </is>
      </c>
      <c r="X21" s="31" t="inlineStr">
        <is>
          <t>Nifty 50</t>
        </is>
      </c>
      <c r="Y21" s="32" t="n">
        <v>-10.93</v>
      </c>
      <c r="Z21" s="32" t="n">
        <v>13.04</v>
      </c>
      <c r="AA21" s="32" t="n">
        <v>26.91</v>
      </c>
      <c r="AB21" s="32" t="n">
        <v>20.75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Oligopoly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Shallow Cyclical (2 to 3 Years Growth)</t>
        </is>
      </c>
      <c r="AL21" s="31">
        <f>IF(AK21="Structural (10 Years Consistency)",10,IF(AK21="Shallow Cyclical (2 to 3 years growth)",5,0))</f>
        <v/>
      </c>
      <c r="AM21" s="31" t="inlineStr">
        <is>
          <t>Yes due to Product Mix change or Operating Leverage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Volatile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Allocated capital in Non-core Areas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Above 40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3</t>
        </is>
      </c>
      <c r="BH21" s="31">
        <f>IF(BG21="Stage 2",20,IF(BG21="Stage 1",0,IF(BG21="Stage 3",5,IF(BG21="Stage 4",-5,0))))</f>
        <v/>
      </c>
      <c r="BI21" s="31" t="inlineStr">
        <is>
          <t>Negative Trend</t>
        </is>
      </c>
      <c r="BJ21" s="31">
        <f>IF(BI21="Positive Trend",20,IF(BI21="Negative Trend",-10,0))</f>
        <v/>
      </c>
      <c r="BK21" s="31" t="inlineStr">
        <is>
          <t>Sideways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Overhead supply in last 2 years in last 2 years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No</t>
        </is>
      </c>
      <c r="BX21" s="31">
        <f>IF(BW21="NO",5,0)</f>
        <v/>
      </c>
      <c r="BY21" s="31" t="inlineStr">
        <is>
          <t>Less than 1.5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More than 15%</t>
        </is>
      </c>
      <c r="CH21" s="31">
        <f>IF(CG21="More than 15%",-10,IF(CG21="Less than 15%",10,0))</f>
        <v/>
      </c>
      <c r="CI21" s="31" t="inlineStr">
        <is>
          <t>Yes Upto 10%</t>
        </is>
      </c>
      <c r="CJ21" s="31">
        <f>IF(CI21="Yes, more than 10%",-10,IF(CI21="No",10,0))</f>
        <v/>
      </c>
    </row>
  </sheetData>
  <autoFilter ref="A1:CJ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1">
    <cfRule type="cellIs" priority="36" operator="equal" dxfId="3" stopIfTrue="1">
      <formula>"Underperforming"</formula>
    </cfRule>
  </conditionalFormatting>
  <conditionalFormatting sqref="S2:S21">
    <cfRule type="cellIs" priority="37" operator="equal" dxfId="3" stopIfTrue="1">
      <formula>-5</formula>
    </cfRule>
  </conditionalFormatting>
  <conditionalFormatting sqref="V2:V21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1" showDropDown="0" showInputMessage="0" showErrorMessage="0" allowBlank="1" type="list">
      <formula1>"Growing Industry,Stagnant Industry,Cyclical in an Upturn"</formula1>
    </dataValidation>
    <dataValidation sqref="AE2:AE2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1" showDropDown="0" showInputMessage="0" showErrorMessage="0" allowBlank="1" type="list">
      <formula1>"Yes,No"</formula1>
    </dataValidation>
    <dataValidation sqref="AI2:AI21" showDropDown="0" showInputMessage="0" showErrorMessage="0" allowBlank="1" type="list">
      <formula1>"Tailwind,Headwind"</formula1>
    </dataValidation>
    <dataValidation sqref="AK2:AK21" showDropDown="0" showInputMessage="0" showErrorMessage="0" allowBlank="1" type="list">
      <formula1>"Structural (10 Years Consistency),Shallow Cyclical (2 to 3 Years Growth),Cyclical"</formula1>
    </dataValidation>
    <dataValidation sqref="AM2:AM21" showDropDown="0" showInputMessage="0" showErrorMessage="0" allowBlank="1" type="list">
      <formula1>"Yes due to Product Mix change or Operating Leverage,Yes, these are peak margins,No"</formula1>
    </dataValidation>
    <dataValidation sqref="AO2:AO21" showDropDown="0" showInputMessage="0" showErrorMessage="0" allowBlank="1" type="list">
      <formula1>"Stable,Volatile"</formula1>
    </dataValidation>
    <dataValidation sqref="AQ2:AQ21" showDropDown="0" showInputMessage="0" showErrorMessage="0" allowBlank="1" type="list">
      <formula1>"Yes,No"</formula1>
    </dataValidation>
    <dataValidation sqref="AS2:AS21" showDropDown="0" showInputMessage="0" showErrorMessage="0" allowBlank="1" type="list">
      <formula1>"B2C,B2B,B2G"</formula1>
    </dataValidation>
    <dataValidation sqref="AU2:AU21" showDropDown="0" showInputMessage="0" showErrorMessage="0" allowBlank="1" type="list">
      <formula1>"Yes,No"</formula1>
    </dataValidation>
    <dataValidation sqref="AW2:AW21" showDropDown="0" showInputMessage="0" showErrorMessage="0" allowBlank="1" type="list">
      <formula1>"Fully Annuity,Higher Annuity, Lower One time,Higher One Time, Lower Annuity,Fully One Time"</formula1>
    </dataValidation>
    <dataValidation sqref="AY2:AY21" showDropDown="0" showInputMessage="0" showErrorMessage="0" allowBlank="1" type="list">
      <formula1>"Good,Allocated capital in Non-core Areas"</formula1>
    </dataValidation>
    <dataValidation sqref="BA2:BA21" showDropDown="0" showInputMessage="0" showErrorMessage="0" allowBlank="1" type="list">
      <formula1>"Yes for more than 2 years,Yes only for next 1 to 2 years,No"</formula1>
    </dataValidation>
    <dataValidation sqref="BC2:BC21" showDropDown="0" showInputMessage="0" showErrorMessage="0" allowBlank="1" type="list">
      <formula1>"Above 40,20 to 40,0 to 20"</formula1>
    </dataValidation>
    <dataValidation sqref="BE2:BE21" showDropDown="0" showInputMessage="0" showErrorMessage="0" allowBlank="1" type="list">
      <formula1>"Between 50 to 75,Above 75,Below 45"</formula1>
    </dataValidation>
    <dataValidation sqref="BG2:BG21" showDropDown="0" showInputMessage="0" showErrorMessage="0" allowBlank="1" type="list">
      <formula1>"Stage 1,Stage 2,Stage 3,Stage 4"</formula1>
    </dataValidation>
    <dataValidation sqref="BI2:BI21" showDropDown="0" showInputMessage="0" showErrorMessage="0" allowBlank="1" type="list">
      <formula1>"Positive Trend,Negative Trend"</formula1>
    </dataValidation>
    <dataValidation sqref="BK2:BK21" showDropDown="0" showInputMessage="0" showErrorMessage="0" allowBlank="1" type="list">
      <formula1>"Uptrend,Sideways,Downtrend"</formula1>
    </dataValidation>
    <dataValidation sqref="BM2:BM21" showDropDown="0" showInputMessage="0" showErrorMessage="0" allowBlank="1" type="list">
      <formula1>"Uptrend,Sideways,Downtrend"</formula1>
    </dataValidation>
    <dataValidation sqref="BO2:BO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1" showDropDown="0" showInputMessage="0" showErrorMessage="0" allowBlank="1" type="list">
      <formula1>"Yes,No"</formula1>
    </dataValidation>
    <dataValidation sqref="BS2:BS21" showDropDown="0" showInputMessage="0" showErrorMessage="0" allowBlank="1" type="list">
      <formula1>"More than 20%,Between 12 to 20%,Less than 12%"</formula1>
    </dataValidation>
    <dataValidation sqref="BU2:BU21" showDropDown="0" showInputMessage="0" showErrorMessage="0" allowBlank="1" type="list">
      <formula1>"Yes,No"</formula1>
    </dataValidation>
    <dataValidation sqref="BW2:BW21" showDropDown="0" showInputMessage="0" showErrorMessage="0" allowBlank="1" type="list">
      <formula1>"Yes,No"</formula1>
    </dataValidation>
    <dataValidation sqref="BY2:BY21" showDropDown="0" showInputMessage="0" showErrorMessage="0" allowBlank="1" type="list">
      <formula1>"Above 2,Between 1.5 to 2,Less than 1.5"</formula1>
    </dataValidation>
    <dataValidation sqref="CA2:CA21" showDropDown="0" showInputMessage="0" showErrorMessage="0" allowBlank="1" type="list">
      <formula1>"Above 70%,Between 50% to 70%,Less than 50%,Less than 50% and Borrowings are increasing,Negative"</formula1>
    </dataValidation>
    <dataValidation sqref="CC2:CC21" showDropDown="0" showInputMessage="0" showErrorMessage="0" allowBlank="1" type="list">
      <formula1>"More than 1.2,Between 0.7 to 1.2,Less than 0.7"</formula1>
    </dataValidation>
    <dataValidation sqref="CE2:CE21" showDropDown="0" showInputMessage="0" showErrorMessage="0" allowBlank="1" type="list">
      <formula1>"Yes,No"</formula1>
    </dataValidation>
    <dataValidation sqref="CG2:CG21" showDropDown="0" showInputMessage="0" showErrorMessage="0" allowBlank="1" type="list">
      <formula1>"More than 15%,Less than 15%"</formula1>
    </dataValidation>
    <dataValidation sqref="CI2:CI2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IF(B2=0,"",RANK(B2,$B$2:$B$3,0))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133.5</v>
      </c>
      <c r="E2" s="32" t="inlineStr">
        <is>
          <t>5%</t>
        </is>
      </c>
      <c r="F2" s="32" t="n">
        <v>50000</v>
      </c>
      <c r="G2" s="32" t="n">
        <v>431</v>
      </c>
      <c r="H2" s="31" t="inlineStr">
        <is>
          <t>SMCGLOBAL</t>
        </is>
      </c>
      <c r="I2" s="31" t="inlineStr">
        <is>
          <t>SMC Global Securities Ltd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smallcap</t>
        </is>
      </c>
      <c r="M2" s="32" t="n">
        <v>2257.96</v>
      </c>
      <c r="N2" s="32" t="n">
        <v>115.95</v>
      </c>
      <c r="O2" s="32" t="n">
        <v>7.53</v>
      </c>
      <c r="P2" s="32" t="n">
        <v>82142124</v>
      </c>
      <c r="Q2" s="31" t="n">
        <v>61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77.09</v>
      </c>
      <c r="U2" s="32" t="n">
        <v>38.58</v>
      </c>
      <c r="V2" s="32" t="n">
        <v>87.47</v>
      </c>
      <c r="W2" s="31" t="inlineStr">
        <is>
          <t>Volume Spike &amp; Near 52W High Breakout</t>
        </is>
      </c>
      <c r="X2" s="31" t="inlineStr">
        <is>
          <t>Nifty Bank</t>
        </is>
      </c>
      <c r="Y2" s="32" t="n">
        <v>-2.39</v>
      </c>
      <c r="Z2" s="32" t="n">
        <v>68.94</v>
      </c>
      <c r="AA2" s="32" t="n">
        <v>73.08</v>
      </c>
      <c r="AB2" s="32" t="n">
        <v>25.38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IF(B3=0,"",RANK(B3,$B$2:$B$3,0))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139.4</v>
      </c>
      <c r="E3" s="32" t="inlineStr">
        <is>
          <t>5%</t>
        </is>
      </c>
      <c r="F3" s="32" t="n">
        <v>50000</v>
      </c>
      <c r="G3" s="32" t="n">
        <v>71</v>
      </c>
      <c r="H3" s="31" t="inlineStr">
        <is>
          <t>GCSL</t>
        </is>
      </c>
      <c r="I3" s="31" t="inlineStr">
        <is>
          <t>Gretex Corporate Services Ltd</t>
        </is>
      </c>
      <c r="J3" s="31" t="inlineStr">
        <is>
          <t>financials</t>
        </is>
      </c>
      <c r="K3" s="31" t="inlineStr">
        <is>
          <t>finance &amp; investments</t>
        </is>
      </c>
      <c r="L3" s="31" t="inlineStr">
        <is>
          <t>smallcap</t>
        </is>
      </c>
      <c r="M3" s="32" t="n">
        <v>1744.75</v>
      </c>
      <c r="N3" s="32" t="n">
        <v>701</v>
      </c>
      <c r="O3" s="32" t="n">
        <v>0.47</v>
      </c>
      <c r="P3" s="32" t="n">
        <v>325976</v>
      </c>
      <c r="Q3" s="31" t="n">
        <v>82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81.81999999999999</v>
      </c>
      <c r="U3" s="32" t="n">
        <v>34.82</v>
      </c>
      <c r="V3" s="32" t="n">
        <v>571.03</v>
      </c>
      <c r="W3" s="31" t="inlineStr">
        <is>
          <t>Near 52W High Breakout</t>
        </is>
      </c>
      <c r="X3" s="31" t="inlineStr">
        <is>
          <t>Nifty Bank</t>
        </is>
      </c>
      <c r="Y3" s="32" t="n">
        <v>-2.39</v>
      </c>
      <c r="Z3" s="32" t="n">
        <v>204.08</v>
      </c>
      <c r="AA3" s="32" t="n">
        <v>211.52</v>
      </c>
      <c r="AB3" s="32" t="n">
        <v>35.57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above 5x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Above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</sheetData>
  <autoFilter ref="A1:CF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3">
    <cfRule type="cellIs" priority="34" operator="equal" dxfId="3" stopIfTrue="1">
      <formula>"Underperforming"</formula>
    </cfRule>
  </conditionalFormatting>
  <conditionalFormatting sqref="S2:S3">
    <cfRule type="cellIs" priority="35" operator="equal" dxfId="3" stopIfTrue="1">
      <formula>-5</formula>
    </cfRule>
  </conditionalFormatting>
  <conditionalFormatting sqref="V2:V3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3" showDropDown="0" showInputMessage="0" showErrorMessage="0" allowBlank="1" type="list">
      <formula1>"Growing Industry,Stagnant Industry,Cyclical in an Upturn"</formula1>
    </dataValidation>
    <dataValidation sqref="AE2:AE3" showDropDown="0" showInputMessage="0" showErrorMessage="0" allowBlank="1" type="list">
      <formula1>"Fragmented with Low ROE,Fragmented with High ROE,Highly Cyclical"</formula1>
    </dataValidation>
    <dataValidation sqref="AG2:AG3" showDropDown="0" showInputMessage="0" showErrorMessage="0" allowBlank="1" type="list">
      <formula1>"Yes,No"</formula1>
    </dataValidation>
    <dataValidation sqref="AI2:AI3" showDropDown="0" showInputMessage="0" showErrorMessage="0" allowBlank="1" type="list">
      <formula1>"Tailwind,Headwind"</formula1>
    </dataValidation>
    <dataValidation sqref="AK2:AK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3" showDropDown="0" showInputMessage="0" showErrorMessage="0" allowBlank="1" type="list">
      <formula1>"Yes,No"</formula1>
    </dataValidation>
    <dataValidation sqref="AO2:AO3" showDropDown="0" showInputMessage="0" showErrorMessage="0" allowBlank="1" type="list">
      <formula1>"Yes,No,Not Applicable"</formula1>
    </dataValidation>
    <dataValidation sqref="AQ2:AQ3" showDropDown="0" showInputMessage="0" showErrorMessage="0" allowBlank="1" type="list">
      <formula1>"Yes,No"</formula1>
    </dataValidation>
    <dataValidation sqref="AS2:AS3" showDropDown="0" showInputMessage="0" showErrorMessage="0" allowBlank="1" type="list">
      <formula1>"Yes,No"</formula1>
    </dataValidation>
    <dataValidation sqref="AU2:AU3" showDropDown="0" showInputMessage="0" showErrorMessage="0" allowBlank="1" type="list">
      <formula1>"Yes,No"</formula1>
    </dataValidation>
    <dataValidation sqref="AW2:AW3" showDropDown="0" showInputMessage="0" showErrorMessage="0" allowBlank="1" type="list">
      <formula1>"Yes,No"</formula1>
    </dataValidation>
    <dataValidation sqref="AY2:AY3" showDropDown="0" showInputMessage="0" showErrorMessage="0" allowBlank="1" type="list">
      <formula1>"No,Yes"</formula1>
    </dataValidation>
    <dataValidation sqref="BA2:BA3" showDropDown="0" showInputMessage="0" showErrorMessage="0" allowBlank="1" type="list">
      <formula1>"No,Yes"</formula1>
    </dataValidation>
    <dataValidation sqref="BC2:BC3" showDropDown="0" showInputMessage="0" showErrorMessage="0" allowBlank="1" type="list">
      <formula1>"No,Yes CEO Resignation,Yes CEO Retirement"</formula1>
    </dataValidation>
    <dataValidation sqref="BE2:BE3" showDropDown="0" showInputMessage="0" showErrorMessage="0" allowBlank="1" type="list">
      <formula1>"No,Yes"</formula1>
    </dataValidation>
    <dataValidation sqref="BG2:BG3" showDropDown="0" showInputMessage="0" showErrorMessage="0" allowBlank="1" type="list">
      <formula1>"No,Yes"</formula1>
    </dataValidation>
    <dataValidation sqref="BI2:BI3" showDropDown="0" showInputMessage="0" showErrorMessage="0" allowBlank="1" type="list">
      <formula1>"Yes,No"</formula1>
    </dataValidation>
    <dataValidation sqref="BK2:BK3" showDropDown="0" showInputMessage="0" showErrorMessage="0" allowBlank="1" type="list">
      <formula1>"Yes,No"</formula1>
    </dataValidation>
    <dataValidation sqref="BM2:BM3" showDropDown="0" showInputMessage="0" showErrorMessage="0" allowBlank="1" type="list">
      <formula1>"Yes,No"</formula1>
    </dataValidation>
    <dataValidation sqref="BO2:BO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3" showDropDown="0" showInputMessage="0" showErrorMessage="0" allowBlank="1" type="list">
      <formula1>"Above 40,20 to 40,0 to 20"</formula1>
    </dataValidation>
    <dataValidation sqref="BS2:BS3" showDropDown="0" showInputMessage="0" showErrorMessage="0" allowBlank="1" type="list">
      <formula1>"Between 50 to 75,Above 75,Below 45"</formula1>
    </dataValidation>
    <dataValidation sqref="BU2:BU3" showDropDown="0" showInputMessage="0" showErrorMessage="0" allowBlank="1" type="list">
      <formula1>"Stage 1,Stage 2,Stage 3,Stage 4"</formula1>
    </dataValidation>
    <dataValidation sqref="BW2:BW3" showDropDown="0" showInputMessage="0" showErrorMessage="0" allowBlank="1" type="list">
      <formula1>"Positive Trend,Negative Trend"</formula1>
    </dataValidation>
    <dataValidation sqref="BY2:BY3" showDropDown="0" showInputMessage="0" showErrorMessage="0" allowBlank="1" type="list">
      <formula1>"Uptrend,Sideways,Downtrend"</formula1>
    </dataValidation>
    <dataValidation sqref="CA2:CA3" showDropDown="0" showInputMessage="0" showErrorMessage="0" allowBlank="1" type="list">
      <formula1>"Uptrend,Sideways,Downtrend"</formula1>
    </dataValidation>
    <dataValidation sqref="CC2:CC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6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IF(B2=0,"",RANK(B2,$B$2:$B$97,0))</f>
        <v/>
      </c>
      <c r="B2" s="32">
        <f>SUM(N2,Y2,AA2,AC2,AE2,AG2,AI2,AK2,AM2,AO2,AQ2,AS2,AU2,AW2,AY2,BA2,BC2,BE2,BG2,BI2,BK2,BM2,BO2,BQ2,BS2,BU2,BW2,BY2,CA2,CC2,CE2,CG2)</f>
        <v/>
      </c>
      <c r="C2" s="34" t="inlineStr">
        <is>
          <t>AXISOL</t>
        </is>
      </c>
      <c r="D2" s="34" t="inlineStr">
        <is>
          <t>Axis Solutions Ltd</t>
        </is>
      </c>
      <c r="E2" s="31" t="inlineStr">
        <is>
          <t>Industrials</t>
        </is>
      </c>
      <c r="F2" s="31" t="inlineStr">
        <is>
          <t>Engineering Light General</t>
        </is>
      </c>
      <c r="G2" s="31" t="inlineStr">
        <is>
          <t>smallcap</t>
        </is>
      </c>
      <c r="H2" s="32" t="n">
        <v>2962.51</v>
      </c>
      <c r="I2" s="32" t="n">
        <v>626.85</v>
      </c>
      <c r="J2" s="32" t="n">
        <v>-1.99</v>
      </c>
      <c r="K2" s="32" t="n">
        <v>0</v>
      </c>
      <c r="L2" s="31" t="n">
        <v>99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74.54000000000001</v>
      </c>
      <c r="P2" s="32" t="n">
        <v>64.22</v>
      </c>
      <c r="Q2" s="32" t="n">
        <v>510.45</v>
      </c>
      <c r="R2" s="31" t="inlineStr">
        <is>
          <t>Volume Spike &amp; Near 52W High Breakout</t>
        </is>
      </c>
      <c r="S2" s="31" t="inlineStr">
        <is>
          <t>Nifty 50</t>
        </is>
      </c>
      <c r="T2" s="32" t="n">
        <v>-10.93</v>
      </c>
      <c r="U2" s="32" t="n">
        <v>1335.54</v>
      </c>
      <c r="V2" s="32" t="n">
        <v>1511.79</v>
      </c>
      <c r="W2" s="32" t="n">
        <v>104.49</v>
      </c>
      <c r="X2" s="31" t="inlineStr">
        <is>
          <t>Cyclical in an Upturn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18</t>
        </is>
      </c>
      <c r="CG2" s="31">
        <f>IF(CF2&gt;20,10,IF(CF2&gt;=10,5,2))</f>
        <v/>
      </c>
    </row>
    <row r="3">
      <c r="A3" s="31">
        <f>IF(B3=0,"",RANK(B3,$B$2:$B$97,0))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PREMIERPOL</t>
        </is>
      </c>
      <c r="D3" s="31" t="inlineStr">
        <is>
          <t>Premier Polyfilm Ltd</t>
        </is>
      </c>
      <c r="E3" s="31" t="inlineStr">
        <is>
          <t>plastic products</t>
        </is>
      </c>
      <c r="F3" s="31" t="inlineStr">
        <is>
          <t>Plastics Sheets and Films</t>
        </is>
      </c>
      <c r="G3" s="31" t="inlineStr">
        <is>
          <t>smallcap</t>
        </is>
      </c>
      <c r="H3" s="32" t="n">
        <v>1084.08</v>
      </c>
      <c r="I3" s="32" t="n">
        <v>103.5</v>
      </c>
      <c r="J3" s="32" t="n">
        <v>5.34</v>
      </c>
      <c r="K3" s="32" t="n">
        <v>0</v>
      </c>
      <c r="L3" s="31" t="n">
        <v>79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68.27</v>
      </c>
      <c r="P3" s="32" t="n">
        <v>58.98</v>
      </c>
      <c r="Q3" s="32" t="n">
        <v>69.25</v>
      </c>
      <c r="R3" s="31" t="inlineStr">
        <is>
          <t>Volume Spike &amp; Near 52W High Breakout</t>
        </is>
      </c>
      <c r="S3" s="31" t="inlineStr">
        <is>
          <t>Nifty 50</t>
        </is>
      </c>
      <c r="T3" s="32" t="n">
        <v>-10.93</v>
      </c>
      <c r="U3" s="32" t="n">
        <v>130.3</v>
      </c>
      <c r="V3" s="32" t="n">
        <v>158.58</v>
      </c>
      <c r="W3" s="32" t="n">
        <v>33.39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22</t>
        </is>
      </c>
      <c r="CG3" s="31">
        <f>IF(CF3&gt;20,10,IF(CF3&gt;=10,5,2))</f>
        <v/>
      </c>
    </row>
    <row r="4">
      <c r="A4" s="31">
        <f>IF(B4=0,"",RANK(B4,$B$2:$B$97,0))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FCL</t>
        </is>
      </c>
      <c r="D4" s="31" t="inlineStr">
        <is>
          <t>Fineotex Chemical Ltd</t>
        </is>
      </c>
      <c r="E4" s="31" t="inlineStr">
        <is>
          <t>chemicals</t>
        </is>
      </c>
      <c r="F4" s="31" t="inlineStr">
        <is>
          <t>Specialty Chemicals</t>
        </is>
      </c>
      <c r="G4" s="31" t="inlineStr">
        <is>
          <t>midcap</t>
        </is>
      </c>
      <c r="H4" s="32" t="n">
        <v>6800.69</v>
      </c>
      <c r="I4" s="32" t="n">
        <v>58.4</v>
      </c>
      <c r="J4" s="32" t="n">
        <v>4.3</v>
      </c>
      <c r="K4" s="32" t="n">
        <v>0</v>
      </c>
      <c r="L4" s="31" t="n">
        <v>80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72.45999999999999</v>
      </c>
      <c r="P4" s="32" t="n">
        <v>49.04</v>
      </c>
      <c r="Q4" s="32" t="n">
        <v>44.19</v>
      </c>
      <c r="R4" s="31" t="inlineStr">
        <is>
          <t>Near 52W High Breakout</t>
        </is>
      </c>
      <c r="S4" s="31" t="inlineStr">
        <is>
          <t>Nifty 50</t>
        </is>
      </c>
      <c r="T4" s="32" t="n">
        <v>-10.93</v>
      </c>
      <c r="U4" s="32" t="n">
        <v>137.05</v>
      </c>
      <c r="V4" s="32" t="n">
        <v>166.16</v>
      </c>
      <c r="W4" s="32" t="n">
        <v>33.48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21</t>
        </is>
      </c>
      <c r="CG4" s="31">
        <f>IF(CF4&gt;20,10,IF(CF4&gt;=10,5,2))</f>
        <v/>
      </c>
    </row>
    <row r="5">
      <c r="A5" s="31">
        <f>IF(B5=0,"",RANK(B5,$B$2:$B$97,0))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KINGFA</t>
        </is>
      </c>
      <c r="D5" s="31" t="inlineStr">
        <is>
          <t>Kingfa Science &amp; Technology (India) Ltd</t>
        </is>
      </c>
      <c r="E5" s="31" t="inlineStr">
        <is>
          <t>plastic products</t>
        </is>
      </c>
      <c r="F5" s="31" t="inlineStr">
        <is>
          <t>Plastics Plastic and Plastic Products</t>
        </is>
      </c>
      <c r="G5" s="31" t="inlineStr">
        <is>
          <t>midcap</t>
        </is>
      </c>
      <c r="H5" s="32" t="n">
        <v>8927.65</v>
      </c>
      <c r="I5" s="32" t="n">
        <v>6588</v>
      </c>
      <c r="J5" s="32" t="n">
        <v>-3.17</v>
      </c>
      <c r="K5" s="32" t="n">
        <v>0</v>
      </c>
      <c r="L5" s="31" t="n">
        <v>36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72.09999999999999</v>
      </c>
      <c r="P5" s="32" t="n">
        <v>45.04</v>
      </c>
      <c r="Q5" s="32" t="n">
        <v>5299.78</v>
      </c>
      <c r="R5" s="31" t="inlineStr">
        <is>
          <t>Near 52W High Breakout</t>
        </is>
      </c>
      <c r="S5" s="31" t="inlineStr">
        <is>
          <t>Nifty 50</t>
        </is>
      </c>
      <c r="T5" s="32" t="n">
        <v>-10.93</v>
      </c>
      <c r="U5" s="32" t="n">
        <v>42.16</v>
      </c>
      <c r="V5" s="32" t="n">
        <v>59.61</v>
      </c>
      <c r="W5" s="32" t="n">
        <v>13.85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20</t>
        </is>
      </c>
      <c r="CG5" s="31">
        <f>IF(CF5&gt;20,10,IF(CF5&gt;=10,5,2))</f>
        <v/>
      </c>
    </row>
    <row r="6">
      <c r="A6" s="31">
        <f>IF(B6=0,"",RANK(B6,$B$2:$B$97,0))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PGIL</t>
        </is>
      </c>
      <c r="D6" s="31" t="inlineStr">
        <is>
          <t>Pearl Global Industries Ltd</t>
        </is>
      </c>
      <c r="E6" s="31" t="inlineStr">
        <is>
          <t>readymade garments/apparels</t>
        </is>
      </c>
      <c r="F6" s="31" t="inlineStr">
        <is>
          <t>Textiles Readymade Apparel</t>
        </is>
      </c>
      <c r="G6" s="31" t="inlineStr">
        <is>
          <t>midcap</t>
        </is>
      </c>
      <c r="H6" s="32" t="n">
        <v>11824.78</v>
      </c>
      <c r="I6" s="32" t="n">
        <v>1280</v>
      </c>
      <c r="J6" s="32" t="n">
        <v>0.61</v>
      </c>
      <c r="K6" s="32" t="n">
        <v>0</v>
      </c>
      <c r="L6" s="31" t="n">
        <v>51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66.72</v>
      </c>
      <c r="P6" s="32" t="n">
        <v>59.01</v>
      </c>
      <c r="Q6" s="32" t="n">
        <v>1018.76</v>
      </c>
      <c r="R6" s="31" t="inlineStr">
        <is>
          <t>Near 52W High Breakout</t>
        </is>
      </c>
      <c r="S6" s="31" t="inlineStr">
        <is>
          <t>Nifty 50</t>
        </is>
      </c>
      <c r="T6" s="32" t="n">
        <v>-10.93</v>
      </c>
      <c r="U6" s="32" t="n">
        <v>98.55</v>
      </c>
      <c r="V6" s="32" t="n">
        <v>122.93</v>
      </c>
      <c r="W6" s="32" t="n">
        <v>21.07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20</t>
        </is>
      </c>
      <c r="CG6" s="31">
        <f>IF(CF6&gt;20,10,IF(CF6&gt;=10,5,2))</f>
        <v/>
      </c>
    </row>
    <row r="7">
      <c r="A7" s="31">
        <f>IF(B7=0,"",RANK(B7,$B$2:$B$97,0))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TIMEX</t>
        </is>
      </c>
      <c r="D7" s="31" t="inlineStr">
        <is>
          <t>Timex Group India Ltd</t>
        </is>
      </c>
      <c r="E7" s="31" t="inlineStr">
        <is>
          <t>Consumer Cyclical</t>
        </is>
      </c>
      <c r="F7" s="31" t="inlineStr">
        <is>
          <t>Watches</t>
        </is>
      </c>
      <c r="G7" s="31" t="inlineStr">
        <is>
          <t>midcap</t>
        </is>
      </c>
      <c r="H7" s="32" t="n">
        <v>7320.39</v>
      </c>
      <c r="I7" s="32" t="n">
        <v>725.15</v>
      </c>
      <c r="J7" s="32" t="n">
        <v>2.15</v>
      </c>
      <c r="K7" s="32" t="n">
        <v>0</v>
      </c>
      <c r="L7" s="31" t="n">
        <v>64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72.31</v>
      </c>
      <c r="P7" s="32" t="n">
        <v>60.3</v>
      </c>
      <c r="Q7" s="32" t="n">
        <v>551.2</v>
      </c>
      <c r="R7" s="31" t="inlineStr">
        <is>
          <t>Near 52W High Breakout</t>
        </is>
      </c>
      <c r="S7" s="31" t="inlineStr">
        <is>
          <t>Nifty 50</t>
        </is>
      </c>
      <c r="T7" s="32" t="n">
        <v>-10.93</v>
      </c>
      <c r="U7" s="32" t="n">
        <v>79.72</v>
      </c>
      <c r="V7" s="32" t="n">
        <v>101.78</v>
      </c>
      <c r="W7" s="32" t="n">
        <v>26.09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19</t>
        </is>
      </c>
      <c r="CG7" s="31">
        <f>IF(CF7&gt;20,10,IF(CF7&gt;=10,5,2))</f>
        <v/>
      </c>
    </row>
    <row r="8">
      <c r="A8" s="31">
        <f>IF(B8=0,"",RANK(B8,$B$2:$B$97,0))</f>
        <v/>
      </c>
      <c r="B8" s="32">
        <f>SUM(N8,Y8,AA8,AC8,AE8,AG8,AI8,AK8,AM8,AO8,AQ8,AS8,AU8,AW8,AY8,BA8,BC8,BE8,BG8,BI8,BK8,BM8,BO8,BQ8,BS8,BU8,BW8,BY8,CA8,CC8,CE8,CG8)</f>
        <v/>
      </c>
      <c r="C8" s="34" t="inlineStr">
        <is>
          <t>MODINSU</t>
        </is>
      </c>
      <c r="D8" s="34" t="inlineStr">
        <is>
          <t>Modern Insulators Ltd</t>
        </is>
      </c>
      <c r="E8" s="31" t="inlineStr">
        <is>
          <t>Technology</t>
        </is>
      </c>
      <c r="F8" s="31" t="inlineStr">
        <is>
          <t>Capital Goods Electric General</t>
        </is>
      </c>
      <c r="G8" s="31" t="inlineStr">
        <is>
          <t>smallcap</t>
        </is>
      </c>
      <c r="H8" s="32" t="n">
        <v>2546.95</v>
      </c>
      <c r="I8" s="32" t="n">
        <v>540.25</v>
      </c>
      <c r="J8" s="32" t="n">
        <v>4.99</v>
      </c>
      <c r="K8" s="32" t="n">
        <v>0</v>
      </c>
      <c r="L8" s="31" t="n">
        <v>86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64.48</v>
      </c>
      <c r="P8" s="32" t="n">
        <v>27.47</v>
      </c>
      <c r="Q8" s="32" t="n">
        <v>364.42</v>
      </c>
      <c r="R8" s="31" t="inlineStr">
        <is>
          <t>Volume Spike &amp; Near 52W High Breakout</t>
        </is>
      </c>
      <c r="S8" s="31" t="inlineStr">
        <is>
          <t>Nifty 50</t>
        </is>
      </c>
      <c r="T8" s="32" t="n">
        <v>-10.93</v>
      </c>
      <c r="U8" s="32" t="n">
        <v>328.77</v>
      </c>
      <c r="V8" s="32" t="n">
        <v>381.41</v>
      </c>
      <c r="W8" s="32" t="n">
        <v>38.82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20 to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22</t>
        </is>
      </c>
      <c r="CG8" s="31">
        <f>IF(CF8&gt;20,10,IF(CF8&gt;=10,5,2))</f>
        <v/>
      </c>
    </row>
    <row r="9">
      <c r="A9" s="31">
        <f>IF(B9=0,"",RANK(B9,$B$2:$B$97,0))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AVTNPL</t>
        </is>
      </c>
      <c r="D9" s="31" t="inlineStr">
        <is>
          <t>AVT Natural Products Ltd</t>
        </is>
      </c>
      <c r="E9" s="31" t="inlineStr">
        <is>
          <t>fmcg</t>
        </is>
      </c>
      <c r="F9" s="31" t="inlineStr">
        <is>
          <t>Natural Extracts and Food Ingredients</t>
        </is>
      </c>
      <c r="G9" s="31" t="inlineStr">
        <is>
          <t>smallcap</t>
        </is>
      </c>
      <c r="H9" s="32" t="n">
        <v>1449.74</v>
      </c>
      <c r="I9" s="32" t="n">
        <v>95.2</v>
      </c>
      <c r="J9" s="32" t="n">
        <v>11.41</v>
      </c>
      <c r="K9" s="32" t="n">
        <v>0</v>
      </c>
      <c r="L9" s="31" t="inlineStr"/>
      <c r="M9" s="31" t="inlineStr"/>
      <c r="N9" s="32">
        <f>IF(M9="Underperforming",-5,IF(L9&gt;=95,15,IF(L9&gt;=90,10,IF(L9&gt;=80,5,0))))</f>
        <v/>
      </c>
      <c r="O9" s="32" t="n">
        <v>68.65000000000001</v>
      </c>
      <c r="P9" s="32" t="n">
        <v>51.86</v>
      </c>
      <c r="Q9" s="32" t="n">
        <v>71.38</v>
      </c>
      <c r="R9" s="31" t="inlineStr">
        <is>
          <t>Volume Spike &amp; Near 52W High Breakout</t>
        </is>
      </c>
      <c r="S9" s="31" t="inlineStr">
        <is>
          <t>Nifty FMCG</t>
        </is>
      </c>
      <c r="T9" s="32" t="inlineStr"/>
      <c r="U9" s="32" t="inlineStr"/>
      <c r="V9" s="32" t="inlineStr"/>
      <c r="W9" s="32" t="inlineStr"/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20</t>
        </is>
      </c>
      <c r="CG9" s="31">
        <f>IF(CF9&gt;20,10,IF(CF9&gt;=10,5,2))</f>
        <v/>
      </c>
    </row>
    <row r="10">
      <c r="A10" s="31">
        <f>IF(B10=0,"",RANK(B10,$B$2:$B$97,0))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4" t="inlineStr">
        <is>
          <t>PRADPME</t>
        </is>
      </c>
      <c r="D10" s="34" t="inlineStr">
        <is>
          <t>Pradeep Metals Ltd</t>
        </is>
      </c>
      <c r="E10" s="31" t="inlineStr">
        <is>
          <t>Industrials</t>
        </is>
      </c>
      <c r="F10" s="31" t="inlineStr">
        <is>
          <t>Forgings</t>
        </is>
      </c>
      <c r="G10" s="31" t="inlineStr">
        <is>
          <t>smallcap</t>
        </is>
      </c>
      <c r="H10" s="32" t="n">
        <v>1099.93</v>
      </c>
      <c r="I10" s="32" t="n">
        <v>636.9</v>
      </c>
      <c r="J10" s="32" t="n">
        <v>7.88</v>
      </c>
      <c r="K10" s="32" t="n">
        <v>0</v>
      </c>
      <c r="L10" s="31" t="inlineStr"/>
      <c r="M10" s="31" t="inlineStr"/>
      <c r="N10" s="32">
        <f>IF(M10="Underperforming",-5,IF(L10&gt;=95,15,IF(L10&gt;=90,10,IF(L10&gt;=80,5,0))))</f>
        <v/>
      </c>
      <c r="O10" s="32" t="n">
        <v>67.73</v>
      </c>
      <c r="P10" s="32" t="n">
        <v>42.54</v>
      </c>
      <c r="Q10" s="32" t="n">
        <v>454.72</v>
      </c>
      <c r="R10" s="31" t="inlineStr">
        <is>
          <t>Volume Spike &amp; Near 52W High Breakout</t>
        </is>
      </c>
      <c r="S10" s="31" t="inlineStr">
        <is>
          <t>Nifty Metal</t>
        </is>
      </c>
      <c r="T10" s="32" t="inlineStr"/>
      <c r="U10" s="32" t="inlineStr"/>
      <c r="V10" s="32" t="inlineStr"/>
      <c r="W10" s="32" t="inlineStr"/>
      <c r="X10" s="31" t="inlineStr">
        <is>
          <t>Cyclical in an Upturn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17</t>
        </is>
      </c>
      <c r="CG10" s="31">
        <f>IF(CF10&gt;20,10,IF(CF10&gt;=10,5,2))</f>
        <v/>
      </c>
    </row>
    <row r="11">
      <c r="A11" s="31">
        <f>IF(B11=0,"",RANK(B11,$B$2:$B$97,0))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GLAND</t>
        </is>
      </c>
      <c r="D11" s="34" t="inlineStr">
        <is>
          <t>Gland Pharma Ltd</t>
        </is>
      </c>
      <c r="E11" s="31" t="inlineStr">
        <is>
          <t>healthcare</t>
        </is>
      </c>
      <c r="F11" s="31" t="inlineStr">
        <is>
          <t>Pharma Formulations</t>
        </is>
      </c>
      <c r="G11" s="31" t="inlineStr">
        <is>
          <t>largecap</t>
        </is>
      </c>
      <c r="H11" s="32" t="n">
        <v>50460.32</v>
      </c>
      <c r="I11" s="32" t="n">
        <v>3058</v>
      </c>
      <c r="J11" s="32" t="n">
        <v>-0.6899999999999999</v>
      </c>
      <c r="K11" s="32" t="n">
        <v>0</v>
      </c>
      <c r="L11" s="31" t="n">
        <v>43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73.40000000000001</v>
      </c>
      <c r="P11" s="32" t="n">
        <v>62.96</v>
      </c>
      <c r="Q11" s="32" t="n">
        <v>2507.99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16.85</v>
      </c>
      <c r="U11" s="32" t="n">
        <v>60.39</v>
      </c>
      <c r="V11" s="32" t="n">
        <v>37.26</v>
      </c>
      <c r="W11" s="32" t="n">
        <v>16.44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16</t>
        </is>
      </c>
      <c r="CG11" s="31">
        <f>IF(CF11&gt;20,10,IF(CF11&gt;=10,5,2))</f>
        <v/>
      </c>
    </row>
    <row r="12">
      <c r="A12" s="31">
        <f>IF(B12=0,"",RANK(B12,$B$2:$B$97,0))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4" t="inlineStr">
        <is>
          <t>IBULLSLTD</t>
        </is>
      </c>
      <c r="D12" s="34" t="inlineStr">
        <is>
          <t>Indiabulls Limited</t>
        </is>
      </c>
      <c r="E12" s="31" t="inlineStr">
        <is>
          <t>miscellaneous</t>
        </is>
      </c>
      <c r="F12" s="31" t="inlineStr">
        <is>
          <t>Diversified</t>
        </is>
      </c>
      <c r="G12" s="31" t="inlineStr">
        <is>
          <t>midcap</t>
        </is>
      </c>
      <c r="H12" s="32" t="n">
        <v>8538.200000000001</v>
      </c>
      <c r="I12" s="32" t="n">
        <v>36.61</v>
      </c>
      <c r="J12" s="32" t="n">
        <v>4.96</v>
      </c>
      <c r="K12" s="32" t="n">
        <v>0</v>
      </c>
      <c r="L12" s="31" t="n">
        <v>75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73.44</v>
      </c>
      <c r="P12" s="32" t="n">
        <v>39.98</v>
      </c>
      <c r="Q12" s="32" t="n">
        <v>25.83</v>
      </c>
      <c r="R12" s="31" t="inlineStr">
        <is>
          <t>Volume Spike &amp; Near 52W High Breakout</t>
        </is>
      </c>
      <c r="S12" s="31" t="inlineStr">
        <is>
          <t>Nifty 50</t>
        </is>
      </c>
      <c r="T12" s="32" t="n">
        <v>-10.93</v>
      </c>
      <c r="U12" s="32" t="n">
        <v>112.29</v>
      </c>
      <c r="V12" s="32" t="n">
        <v>138.35</v>
      </c>
      <c r="W12" s="32" t="n">
        <v>32.05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23</t>
        </is>
      </c>
      <c r="CG12" s="31">
        <f>IF(CF12&gt;20,10,IF(CF12&gt;=10,5,2))</f>
        <v/>
      </c>
    </row>
    <row r="13">
      <c r="A13" s="31">
        <f>IF(B13=0,"",RANK(B13,$B$2:$B$97,0))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SHANTIGOLD</t>
        </is>
      </c>
      <c r="D13" s="31" t="inlineStr">
        <is>
          <t>Shanti Gold International Ltd</t>
        </is>
      </c>
      <c r="E13" s="31" t="inlineStr">
        <is>
          <t>consumer discretionary</t>
        </is>
      </c>
      <c r="F13" s="31" t="inlineStr">
        <is>
          <t>Diamond Gems and Jewellery</t>
        </is>
      </c>
      <c r="G13" s="31" t="inlineStr">
        <is>
          <t>smallcap</t>
        </is>
      </c>
      <c r="H13" s="32" t="n">
        <v>2923.77</v>
      </c>
      <c r="I13" s="32" t="n">
        <v>381</v>
      </c>
      <c r="J13" s="32" t="n">
        <v>8.66</v>
      </c>
      <c r="K13" s="32" t="n">
        <v>0</v>
      </c>
      <c r="L13" s="31" t="n">
        <v>75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75.91</v>
      </c>
      <c r="P13" s="32" t="n">
        <v>44.2</v>
      </c>
      <c r="Q13" s="32" t="n">
        <v>282.6</v>
      </c>
      <c r="R13" s="31" t="inlineStr">
        <is>
          <t>Volume Spike &amp; Near 52W High Breakout</t>
        </is>
      </c>
      <c r="S13" s="31" t="inlineStr">
        <is>
          <t>Nifty 50</t>
        </is>
      </c>
      <c r="T13" s="32" t="n">
        <v>-10.93</v>
      </c>
      <c r="U13" s="32" t="n">
        <v>77.72</v>
      </c>
      <c r="V13" s="32" t="n">
        <v>99.54000000000001</v>
      </c>
      <c r="W13" s="32" t="n">
        <v>31.98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23</t>
        </is>
      </c>
      <c r="CG13" s="31">
        <f>IF(CF13&gt;20,10,IF(CF13&gt;=10,5,2))</f>
        <v/>
      </c>
    </row>
    <row r="14">
      <c r="A14" s="31">
        <f>IF(B14=0,"",RANK(B14,$B$2:$B$97,0))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THELEELA</t>
        </is>
      </c>
      <c r="D14" s="31" t="inlineStr">
        <is>
          <t>Leela Palaces Hotels &amp; Resorts Ltd</t>
        </is>
      </c>
      <c r="E14" s="31" t="inlineStr">
        <is>
          <t>services</t>
        </is>
      </c>
      <c r="F14" s="31" t="inlineStr">
        <is>
          <t>Hotels</t>
        </is>
      </c>
      <c r="G14" s="31" t="inlineStr">
        <is>
          <t>midcap</t>
        </is>
      </c>
      <c r="H14" s="32" t="n">
        <v>19636.72</v>
      </c>
      <c r="I14" s="32" t="n">
        <v>588</v>
      </c>
      <c r="J14" s="32" t="n">
        <v>0.18</v>
      </c>
      <c r="K14" s="32" t="n">
        <v>0</v>
      </c>
      <c r="L14" s="31" t="n">
        <v>26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71.98999999999999</v>
      </c>
      <c r="P14" s="32" t="n">
        <v>42.32</v>
      </c>
      <c r="Q14" s="32" t="n">
        <v>476.91</v>
      </c>
      <c r="R14" s="31" t="inlineStr">
        <is>
          <t>Near 52W High Breakout</t>
        </is>
      </c>
      <c r="S14" s="31" t="inlineStr">
        <is>
          <t>Nifty 50</t>
        </is>
      </c>
      <c r="T14" s="32" t="n">
        <v>-10.93</v>
      </c>
      <c r="U14" s="32" t="n">
        <v>29.73</v>
      </c>
      <c r="V14" s="32" t="n">
        <v>45.66</v>
      </c>
      <c r="W14" s="32" t="n">
        <v>9.210000000000001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21</t>
        </is>
      </c>
      <c r="CG14" s="31">
        <f>IF(CF14&gt;20,10,IF(CF14&gt;=10,5,2))</f>
        <v/>
      </c>
    </row>
    <row r="15">
      <c r="A15" s="31">
        <f>IF(B15=0,"",RANK(B15,$B$2:$B$97,0))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4" t="inlineStr">
        <is>
          <t>OCCLLTD</t>
        </is>
      </c>
      <c r="D15" s="34" t="inlineStr">
        <is>
          <t>OCCL Ltd</t>
        </is>
      </c>
      <c r="E15" s="31" t="inlineStr">
        <is>
          <t>chemicals</t>
        </is>
      </c>
      <c r="F15" s="31" t="inlineStr">
        <is>
          <t>Chemicals Organic</t>
        </is>
      </c>
      <c r="G15" s="31" t="inlineStr">
        <is>
          <t>smallcap</t>
        </is>
      </c>
      <c r="H15" s="32" t="n">
        <v>1079.83</v>
      </c>
      <c r="I15" s="32" t="n">
        <v>216.18</v>
      </c>
      <c r="J15" s="32" t="n">
        <v>3.75</v>
      </c>
      <c r="K15" s="32" t="n">
        <v>0</v>
      </c>
      <c r="L15" s="31" t="n">
        <v>76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81.45999999999999</v>
      </c>
      <c r="P15" s="32" t="n">
        <v>50.02</v>
      </c>
      <c r="Q15" s="32" t="n">
        <v>167.24</v>
      </c>
      <c r="R15" s="31" t="inlineStr">
        <is>
          <t>Volume Spike &amp; Near 52W High Breakout</t>
        </is>
      </c>
      <c r="S15" s="31" t="inlineStr">
        <is>
          <t>Nifty 50</t>
        </is>
      </c>
      <c r="T15" s="32" t="n">
        <v>-10.93</v>
      </c>
      <c r="U15" s="32" t="n">
        <v>74.54000000000001</v>
      </c>
      <c r="V15" s="32" t="n">
        <v>95.97</v>
      </c>
      <c r="W15" s="32" t="n">
        <v>32.41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19</t>
        </is>
      </c>
      <c r="CG15" s="31">
        <f>IF(CF15&gt;20,10,IF(CF15&gt;=10,5,2))</f>
        <v/>
      </c>
    </row>
    <row r="16">
      <c r="A16" s="31">
        <f>IF(B16=0,"",RANK(B16,$B$2:$B$97,0))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VALIANTORG</t>
        </is>
      </c>
      <c r="D16" s="31" t="inlineStr">
        <is>
          <t>Valiant Organics Ltd</t>
        </is>
      </c>
      <c r="E16" s="31" t="inlineStr">
        <is>
          <t>chemicals</t>
        </is>
      </c>
      <c r="F16" s="31" t="inlineStr">
        <is>
          <t>Chemicals Organic</t>
        </is>
      </c>
      <c r="G16" s="31" t="inlineStr">
        <is>
          <t>smallcap</t>
        </is>
      </c>
      <c r="H16" s="32" t="n">
        <v>1322.95</v>
      </c>
      <c r="I16" s="32" t="n">
        <v>471.9</v>
      </c>
      <c r="J16" s="32" t="n">
        <v>4.73</v>
      </c>
      <c r="K16" s="32" t="n">
        <v>0</v>
      </c>
      <c r="L16" s="31" t="n">
        <v>61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73.06999999999999</v>
      </c>
      <c r="P16" s="32" t="n">
        <v>47.79</v>
      </c>
      <c r="Q16" s="32" t="n">
        <v>343.8</v>
      </c>
      <c r="R16" s="31" t="inlineStr">
        <is>
          <t>Volume Spike &amp; Near 52W High Breakout</t>
        </is>
      </c>
      <c r="S16" s="31" t="inlineStr">
        <is>
          <t>Nifty 50</t>
        </is>
      </c>
      <c r="T16" s="32" t="n">
        <v>-10.93</v>
      </c>
      <c r="U16" s="32" t="n">
        <v>47.77</v>
      </c>
      <c r="V16" s="32" t="n">
        <v>65.91</v>
      </c>
      <c r="W16" s="32" t="n">
        <v>24.94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18</t>
        </is>
      </c>
      <c r="CG16" s="31">
        <f>IF(CF16&gt;20,10,IF(CF16&gt;=10,5,2))</f>
        <v/>
      </c>
    </row>
    <row r="17">
      <c r="A17" s="31">
        <f>IF(B17=0,"",RANK(B17,$B$2:$B$97,0))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NRBBEARING</t>
        </is>
      </c>
      <c r="D17" s="31" t="inlineStr">
        <is>
          <t>NRB Bearings Ltd</t>
        </is>
      </c>
      <c r="E17" s="31" t="inlineStr">
        <is>
          <t>Consumer Cyclical</t>
        </is>
      </c>
      <c r="F17" s="31" t="inlineStr">
        <is>
          <t>Bearings</t>
        </is>
      </c>
      <c r="G17" s="31" t="inlineStr">
        <is>
          <t>midcap</t>
        </is>
      </c>
      <c r="H17" s="32" t="n">
        <v>5050.64</v>
      </c>
      <c r="I17" s="32" t="n">
        <v>521.1</v>
      </c>
      <c r="J17" s="32" t="n">
        <v>2.14</v>
      </c>
      <c r="K17" s="32" t="n">
        <v>0</v>
      </c>
      <c r="L17" s="31" t="inlineStr"/>
      <c r="M17" s="31" t="inlineStr"/>
      <c r="N17" s="32">
        <f>IF(M17="Underperforming",-5,IF(L17&gt;=95,15,IF(L17&gt;=90,10,IF(L17&gt;=80,5,0))))</f>
        <v/>
      </c>
      <c r="O17" s="32" t="n">
        <v>70.41</v>
      </c>
      <c r="P17" s="32" t="n">
        <v>50.3</v>
      </c>
      <c r="Q17" s="32" t="n">
        <v>415.64</v>
      </c>
      <c r="R17" s="31" t="inlineStr">
        <is>
          <t>Near 52W High Breakout</t>
        </is>
      </c>
      <c r="S17" s="31" t="inlineStr">
        <is>
          <t>Nifty Auto</t>
        </is>
      </c>
      <c r="T17" s="32" t="inlineStr"/>
      <c r="U17" s="32" t="inlineStr"/>
      <c r="V17" s="32" t="inlineStr"/>
      <c r="W17" s="32" t="inlineStr"/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Between 12 to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16</t>
        </is>
      </c>
      <c r="CG17" s="31">
        <f>IF(CF17&gt;20,10,IF(CF17&gt;=10,5,2))</f>
        <v/>
      </c>
    </row>
    <row r="18">
      <c r="A18" s="31">
        <f>IF(B18=0,"",RANK(B18,$B$2:$B$97,0))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RPTECH</t>
        </is>
      </c>
      <c r="D18" s="31" t="inlineStr">
        <is>
          <t>Rashi Peripherals Ltd</t>
        </is>
      </c>
      <c r="E18" s="31" t="inlineStr">
        <is>
          <t>Technology</t>
        </is>
      </c>
      <c r="F18" s="31" t="inlineStr">
        <is>
          <t>Trading</t>
        </is>
      </c>
      <c r="G18" s="31" t="inlineStr">
        <is>
          <t>midcap</t>
        </is>
      </c>
      <c r="H18" s="32" t="n">
        <v>5913.43</v>
      </c>
      <c r="I18" s="32" t="n">
        <v>890.5</v>
      </c>
      <c r="J18" s="32" t="n">
        <v>-0.92</v>
      </c>
      <c r="K18" s="32" t="n">
        <v>0</v>
      </c>
      <c r="L18" s="31" t="n">
        <v>66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65.78</v>
      </c>
      <c r="P18" s="32" t="n">
        <v>68.18000000000001</v>
      </c>
      <c r="Q18" s="32" t="n">
        <v>699.45</v>
      </c>
      <c r="R18" s="31" t="inlineStr">
        <is>
          <t>Earnings / Momentum Support</t>
        </is>
      </c>
      <c r="S18" s="31" t="inlineStr">
        <is>
          <t>Nifty 50</t>
        </is>
      </c>
      <c r="T18" s="32" t="n">
        <v>-10.93</v>
      </c>
      <c r="U18" s="32" t="n">
        <v>155.48</v>
      </c>
      <c r="V18" s="32" t="n">
        <v>186.84</v>
      </c>
      <c r="W18" s="32" t="n">
        <v>27.33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19</t>
        </is>
      </c>
      <c r="CG18" s="31">
        <f>IF(CF18&gt;20,10,IF(CF18&gt;=10,5,2))</f>
        <v/>
      </c>
    </row>
    <row r="19">
      <c r="A19" s="31">
        <f>IF(B19=0,"",RANK(B19,$B$2:$B$97,0))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DPABHUSHAN</t>
        </is>
      </c>
      <c r="D19" s="31" t="inlineStr">
        <is>
          <t>DP Abhushan Ltd</t>
        </is>
      </c>
      <c r="E19" s="31" t="inlineStr">
        <is>
          <t>consumer discretionary</t>
        </is>
      </c>
      <c r="F19" s="31" t="inlineStr">
        <is>
          <t>Diamond Gems and Jewellery</t>
        </is>
      </c>
      <c r="G19" s="31" t="inlineStr">
        <is>
          <t>midcap</t>
        </is>
      </c>
      <c r="H19" s="32" t="n">
        <v>5357.26</v>
      </c>
      <c r="I19" s="32" t="n">
        <v>2346.8</v>
      </c>
      <c r="J19" s="32" t="n">
        <v>3.89</v>
      </c>
      <c r="K19" s="32" t="n">
        <v>0</v>
      </c>
      <c r="L19" s="31" t="n">
        <v>84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82.09</v>
      </c>
      <c r="P19" s="32" t="n">
        <v>39.19</v>
      </c>
      <c r="Q19" s="32" t="n">
        <v>1780.91</v>
      </c>
      <c r="R19" s="31" t="inlineStr">
        <is>
          <t>Volume Spike &amp; Near 52W High Breakout</t>
        </is>
      </c>
      <c r="S19" s="31" t="inlineStr">
        <is>
          <t>Nifty 50</t>
        </is>
      </c>
      <c r="T19" s="32" t="n">
        <v>-10.93</v>
      </c>
      <c r="U19" s="32" t="n">
        <v>65.65000000000001</v>
      </c>
      <c r="V19" s="32" t="n">
        <v>85.98999999999999</v>
      </c>
      <c r="W19" s="32" t="n">
        <v>36.13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30</t>
        </is>
      </c>
      <c r="CG19" s="31">
        <f>IF(CF19&gt;20,10,IF(CF19&gt;=10,5,2))</f>
        <v/>
      </c>
    </row>
    <row r="20">
      <c r="A20" s="31">
        <f>IF(B20=0,"",RANK(B20,$B$2:$B$97,0))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HIIL</t>
        </is>
      </c>
      <c r="D20" s="31" t="inlineStr">
        <is>
          <t>Hindusthan Insulators &amp; Industries Ltd</t>
        </is>
      </c>
      <c r="E20" s="31" t="inlineStr">
        <is>
          <t>Industrials</t>
        </is>
      </c>
      <c r="F20" s="31" t="inlineStr">
        <is>
          <t>Electric Equipment General</t>
        </is>
      </c>
      <c r="G20" s="31" t="inlineStr">
        <is>
          <t>smallcap</t>
        </is>
      </c>
      <c r="H20" s="32" t="n">
        <v>1233.34</v>
      </c>
      <c r="I20" s="32" t="n">
        <v>569.85</v>
      </c>
      <c r="J20" s="32" t="n">
        <v>2</v>
      </c>
      <c r="K20" s="32" t="n">
        <v>0</v>
      </c>
      <c r="L20" s="31" t="n">
        <v>92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96.5</v>
      </c>
      <c r="P20" s="32" t="n">
        <v>84.77</v>
      </c>
      <c r="Q20" s="32" t="n">
        <v>524.16</v>
      </c>
      <c r="R20" s="31" t="inlineStr">
        <is>
          <t>Near 52W High Breakout</t>
        </is>
      </c>
      <c r="S20" s="31" t="inlineStr">
        <is>
          <t>Nifty 50</t>
        </is>
      </c>
      <c r="T20" s="32" t="n">
        <v>-10.93</v>
      </c>
      <c r="U20" s="32" t="n">
        <v>290.2</v>
      </c>
      <c r="V20" s="32" t="n">
        <v>338.1</v>
      </c>
      <c r="W20" s="32" t="n">
        <v>42.04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25</t>
        </is>
      </c>
      <c r="CG20" s="31">
        <f>IF(CF20&gt;20,10,IF(CF20&gt;=10,5,2))</f>
        <v/>
      </c>
    </row>
    <row r="21">
      <c r="A21" s="31">
        <f>IF(B21=0,"",RANK(B21,$B$2:$B$97,0))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LOTUSDEV</t>
        </is>
      </c>
      <c r="D21" s="31" t="inlineStr">
        <is>
          <t>Sri Lotus Developers &amp; Realty Ltd</t>
        </is>
      </c>
      <c r="E21" s="31" t="inlineStr">
        <is>
          <t>realty</t>
        </is>
      </c>
      <c r="F21" s="31" t="inlineStr">
        <is>
          <t>Construction Factories and Offices and Commercial</t>
        </is>
      </c>
      <c r="G21" s="31" t="inlineStr">
        <is>
          <t>midcap</t>
        </is>
      </c>
      <c r="H21" s="32" t="n">
        <v>11741.59</v>
      </c>
      <c r="I21" s="32" t="n">
        <v>240.25</v>
      </c>
      <c r="J21" s="32" t="n">
        <v>2.79</v>
      </c>
      <c r="K21" s="32" t="n">
        <v>0</v>
      </c>
      <c r="L21" s="31" t="inlineStr"/>
      <c r="M21" s="31" t="inlineStr"/>
      <c r="N21" s="32">
        <f>IF(M21="Underperforming",-5,IF(L21&gt;=95,15,IF(L21&gt;=90,10,IF(L21&gt;=80,5,0))))</f>
        <v/>
      </c>
      <c r="O21" s="32" t="n">
        <v>72.67</v>
      </c>
      <c r="P21" s="32" t="n">
        <v>33.1</v>
      </c>
      <c r="Q21" s="32" t="n">
        <v>183.83</v>
      </c>
      <c r="R21" s="31" t="inlineStr">
        <is>
          <t>Near 52W High Breakout</t>
        </is>
      </c>
      <c r="S21" s="31" t="inlineStr">
        <is>
          <t>Nifty Realty</t>
        </is>
      </c>
      <c r="T21" s="32" t="inlineStr"/>
      <c r="U21" s="32" t="inlineStr"/>
      <c r="V21" s="32" t="inlineStr"/>
      <c r="W21" s="32" t="inlineStr"/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20</t>
        </is>
      </c>
      <c r="CG21" s="31">
        <f>IF(CF21&gt;20,10,IF(CF21&gt;=10,5,2))</f>
        <v/>
      </c>
    </row>
    <row r="22">
      <c r="A22" s="31">
        <f>IF(B22=0,"",RANK(B22,$B$2:$B$97,0))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4" t="inlineStr">
        <is>
          <t>AETHER</t>
        </is>
      </c>
      <c r="D22" s="34" t="inlineStr">
        <is>
          <t>Aether Industries Ltd</t>
        </is>
      </c>
      <c r="E22" s="31" t="inlineStr">
        <is>
          <t>chemicals</t>
        </is>
      </c>
      <c r="F22" s="31" t="inlineStr">
        <is>
          <t>Specialty Chemicals</t>
        </is>
      </c>
      <c r="G22" s="31" t="inlineStr">
        <is>
          <t>largecap</t>
        </is>
      </c>
      <c r="H22" s="32" t="n">
        <v>23304.43</v>
      </c>
      <c r="I22" s="32" t="n">
        <v>1755.8</v>
      </c>
      <c r="J22" s="32" t="n">
        <v>0.67</v>
      </c>
      <c r="K22" s="32" t="n">
        <v>0</v>
      </c>
      <c r="L22" s="31" t="n">
        <v>54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68.44</v>
      </c>
      <c r="P22" s="32" t="n">
        <v>61.3</v>
      </c>
      <c r="Q22" s="32" t="n">
        <v>1402.97</v>
      </c>
      <c r="R22" s="31" t="inlineStr">
        <is>
          <t>Volume Spike &amp; Near 52W High Breakout</t>
        </is>
      </c>
      <c r="S22" s="31" t="inlineStr">
        <is>
          <t>Nifty 50</t>
        </is>
      </c>
      <c r="T22" s="32" t="n">
        <v>-10.93</v>
      </c>
      <c r="U22" s="32" t="n">
        <v>133.02</v>
      </c>
      <c r="V22" s="32" t="n">
        <v>161.63</v>
      </c>
      <c r="W22" s="32" t="n">
        <v>22.23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19</t>
        </is>
      </c>
      <c r="CG22" s="31">
        <f>IF(CF22&gt;20,10,IF(CF22&gt;=10,5,2))</f>
        <v/>
      </c>
    </row>
    <row r="23">
      <c r="A23" s="31">
        <f>IF(B23=0,"",RANK(B23,$B$2:$B$97,0))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DELTACORP</t>
        </is>
      </c>
      <c r="D23" s="31" t="inlineStr">
        <is>
          <t>Delta Corp Ltd</t>
        </is>
      </c>
      <c r="E23" s="31" t="inlineStr">
        <is>
          <t>miscellaneous</t>
        </is>
      </c>
      <c r="F23" s="31" t="inlineStr">
        <is>
          <t>Miscellaneous</t>
        </is>
      </c>
      <c r="G23" s="31" t="inlineStr">
        <is>
          <t>smallcap</t>
        </is>
      </c>
      <c r="H23" s="32" t="n">
        <v>2179.66</v>
      </c>
      <c r="I23" s="32" t="n">
        <v>81.40000000000001</v>
      </c>
      <c r="J23" s="32" t="n">
        <v>3.93</v>
      </c>
      <c r="K23" s="32" t="n">
        <v>0</v>
      </c>
      <c r="L23" s="31" t="n">
        <v>19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65.42</v>
      </c>
      <c r="P23" s="32" t="n">
        <v>24.88</v>
      </c>
      <c r="Q23" s="32" t="n">
        <v>57.1</v>
      </c>
      <c r="R23" s="31" t="inlineStr">
        <is>
          <t>Volume Spike &amp; Near 52W High Breakout</t>
        </is>
      </c>
      <c r="S23" s="31" t="inlineStr">
        <is>
          <t>Nifty 50</t>
        </is>
      </c>
      <c r="T23" s="32" t="n">
        <v>-10.93</v>
      </c>
      <c r="U23" s="32" t="n">
        <v>3.35</v>
      </c>
      <c r="V23" s="32" t="n">
        <v>16.04</v>
      </c>
      <c r="W23" s="32" t="n">
        <v>7.04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19</t>
        </is>
      </c>
      <c r="CG23" s="31">
        <f>IF(CF23&gt;20,10,IF(CF23&gt;=10,5,2))</f>
        <v/>
      </c>
    </row>
    <row r="24">
      <c r="A24" s="31">
        <f>IF(B24=0,"",RANK(B24,$B$2:$B$97,0))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MARINE</t>
        </is>
      </c>
      <c r="D24" s="31" t="inlineStr">
        <is>
          <t>Marine Electricals (India) Ltd</t>
        </is>
      </c>
      <c r="E24" s="31" t="inlineStr">
        <is>
          <t>industrials</t>
        </is>
      </c>
      <c r="F24" s="31" t="inlineStr">
        <is>
          <t>Shipping Proxy</t>
        </is>
      </c>
      <c r="G24" s="31" t="inlineStr">
        <is>
          <t>midcap</t>
        </is>
      </c>
      <c r="H24" s="32" t="n">
        <v>6368.87</v>
      </c>
      <c r="I24" s="32" t="n">
        <v>455.1</v>
      </c>
      <c r="J24" s="32" t="n">
        <v>0.55</v>
      </c>
      <c r="K24" s="32" t="n">
        <v>0</v>
      </c>
      <c r="L24" s="31" t="n">
        <v>83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74.06999999999999</v>
      </c>
      <c r="P24" s="32" t="n">
        <v>49.9</v>
      </c>
      <c r="Q24" s="32" t="n">
        <v>329.31</v>
      </c>
      <c r="R24" s="31" t="inlineStr">
        <is>
          <t>Near 52W High Breakout</t>
        </is>
      </c>
      <c r="S24" s="31" t="inlineStr">
        <is>
          <t>Nifty 50</t>
        </is>
      </c>
      <c r="T24" s="32" t="n">
        <v>-10.93</v>
      </c>
      <c r="U24" s="32" t="n">
        <v>116.34</v>
      </c>
      <c r="V24" s="32" t="n">
        <v>142.9</v>
      </c>
      <c r="W24" s="32" t="n">
        <v>35.65</v>
      </c>
      <c r="X24" s="31" t="inlineStr">
        <is>
          <t>Cyclical in an Upturn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17</t>
        </is>
      </c>
      <c r="CG24" s="31">
        <f>IF(CF24&gt;20,10,IF(CF24&gt;=10,5,2))</f>
        <v/>
      </c>
    </row>
    <row r="25">
      <c r="A25" s="31">
        <f>IF(B25=0,"",RANK(B25,$B$2:$B$97,0))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4" t="inlineStr">
        <is>
          <t>CPPLUS</t>
        </is>
      </c>
      <c r="D25" s="34" t="inlineStr">
        <is>
          <t>Aditya Infotech Ltd</t>
        </is>
      </c>
      <c r="E25" s="31" t="inlineStr">
        <is>
          <t>consumer discretionary</t>
        </is>
      </c>
      <c r="F25" s="31" t="inlineStr">
        <is>
          <t>CCTV Camera</t>
        </is>
      </c>
      <c r="G25" s="31" t="inlineStr">
        <is>
          <t>largecap</t>
        </is>
      </c>
      <c r="H25" s="32" t="n">
        <v>52046.55</v>
      </c>
      <c r="I25" s="32" t="n">
        <v>4244.3</v>
      </c>
      <c r="J25" s="32" t="n">
        <v>6.85</v>
      </c>
      <c r="K25" s="32" t="n">
        <v>0</v>
      </c>
      <c r="L25" s="31" t="n">
        <v>74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70.09999999999999</v>
      </c>
      <c r="P25" s="32" t="n">
        <v>44.04</v>
      </c>
      <c r="Q25" s="32" t="n">
        <v>3138.16</v>
      </c>
      <c r="R25" s="31" t="inlineStr">
        <is>
          <t>Volume Spike &amp; Near 52W High Breakout</t>
        </is>
      </c>
      <c r="S25" s="31" t="inlineStr">
        <is>
          <t>Nifty 50</t>
        </is>
      </c>
      <c r="T25" s="32" t="n">
        <v>-10.93</v>
      </c>
      <c r="U25" s="32" t="n">
        <v>200.97</v>
      </c>
      <c r="V25" s="32" t="n">
        <v>237.92</v>
      </c>
      <c r="W25" s="32" t="n">
        <v>31.56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17</t>
        </is>
      </c>
      <c r="CG25" s="31">
        <f>IF(CF25&gt;20,10,IF(CF25&gt;=10,5,2))</f>
        <v/>
      </c>
    </row>
    <row r="26">
      <c r="A26" s="31">
        <f>IF(B26=0,"",RANK(B26,$B$2:$B$97,0))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AIMTRON</t>
        </is>
      </c>
      <c r="D26" s="31" t="inlineStr">
        <is>
          <t>Aimtron Electronics Ltd</t>
        </is>
      </c>
      <c r="E26" s="31" t="inlineStr">
        <is>
          <t>unknown</t>
        </is>
      </c>
      <c r="F26" s="31" t="inlineStr">
        <is>
          <t>EMS</t>
        </is>
      </c>
      <c r="G26" s="31" t="inlineStr">
        <is>
          <t>smallcap</t>
        </is>
      </c>
      <c r="H26" s="32" t="n">
        <v>3701.55</v>
      </c>
      <c r="I26" s="32" t="n">
        <v>1739.9</v>
      </c>
      <c r="J26" s="32" t="n">
        <v>-2.71</v>
      </c>
      <c r="K26" s="32" t="n">
        <v>0</v>
      </c>
      <c r="L26" s="31" t="n">
        <v>70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66.03</v>
      </c>
      <c r="P26" s="32" t="n">
        <v>65.09</v>
      </c>
      <c r="Q26" s="32" t="n">
        <v>1403.43</v>
      </c>
      <c r="R26" s="31" t="inlineStr">
        <is>
          <t>Earnings / Momentum Support</t>
        </is>
      </c>
      <c r="S26" s="31" t="inlineStr">
        <is>
          <t>Nifty 50</t>
        </is>
      </c>
      <c r="T26" s="32" t="n">
        <v>-10.93</v>
      </c>
      <c r="U26" s="32" t="n">
        <v>162.95</v>
      </c>
      <c r="V26" s="32" t="n">
        <v>195.23</v>
      </c>
      <c r="W26" s="32" t="n">
        <v>28.55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16</t>
        </is>
      </c>
      <c r="CG26" s="31">
        <f>IF(CF26&gt;20,10,IF(CF26&gt;=10,5,2))</f>
        <v/>
      </c>
    </row>
    <row r="27">
      <c r="A27" s="31">
        <f>IF(B27=0,"",RANK(B27,$B$2:$B$97,0))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SYRMA</t>
        </is>
      </c>
      <c r="D27" s="31" t="inlineStr">
        <is>
          <t>Syrma SGS Technology Ltd</t>
        </is>
      </c>
      <c r="E27" s="31" t="inlineStr">
        <is>
          <t>consumer discretionary</t>
        </is>
      </c>
      <c r="F27" s="31" t="inlineStr">
        <is>
          <t>EMS</t>
        </is>
      </c>
      <c r="G27" s="31" t="inlineStr">
        <is>
          <t>largecap</t>
        </is>
      </c>
      <c r="H27" s="32" t="n">
        <v>33236.26</v>
      </c>
      <c r="I27" s="32" t="n">
        <v>1723.6</v>
      </c>
      <c r="J27" s="32" t="n">
        <v>2.54</v>
      </c>
      <c r="K27" s="32" t="n">
        <v>0</v>
      </c>
      <c r="L27" s="31" t="n">
        <v>53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75.34</v>
      </c>
      <c r="P27" s="32" t="n">
        <v>59.46</v>
      </c>
      <c r="Q27" s="32" t="n">
        <v>1341.24</v>
      </c>
      <c r="R27" s="31" t="inlineStr">
        <is>
          <t>Near 52W High Breakout</t>
        </is>
      </c>
      <c r="S27" s="31" t="inlineStr">
        <is>
          <t>Nifty 50</t>
        </is>
      </c>
      <c r="T27" s="32" t="n">
        <v>-10.93</v>
      </c>
      <c r="U27" s="32" t="n">
        <v>104.07</v>
      </c>
      <c r="V27" s="32" t="n">
        <v>129.13</v>
      </c>
      <c r="W27" s="32" t="n">
        <v>22.11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16</t>
        </is>
      </c>
      <c r="CG27" s="31">
        <f>IF(CF27&gt;20,10,IF(CF27&gt;=10,5,2))</f>
        <v/>
      </c>
    </row>
    <row r="28">
      <c r="A28" s="31">
        <f>IF(B28=0,"",RANK(B28,$B$2:$B$97,0))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MBECL</t>
        </is>
      </c>
      <c r="D28" s="31" t="inlineStr">
        <is>
          <t>McNally Bharat Engineering Company Ltd</t>
        </is>
      </c>
      <c r="E28" s="31" t="inlineStr">
        <is>
          <t>realty</t>
        </is>
      </c>
      <c r="F28" s="31" t="inlineStr">
        <is>
          <t>Engineering Turnkey Services</t>
        </is>
      </c>
      <c r="G28" s="31" t="inlineStr">
        <is>
          <t>smallcap</t>
        </is>
      </c>
      <c r="H28" s="32" t="n">
        <v>1549.5</v>
      </c>
      <c r="I28" s="32" t="n">
        <v>464.85</v>
      </c>
      <c r="J28" s="32" t="n">
        <v>-1.99</v>
      </c>
      <c r="K28" s="32" t="n">
        <v>0</v>
      </c>
      <c r="L28" s="31" t="inlineStr"/>
      <c r="M28" s="31" t="inlineStr"/>
      <c r="N28" s="32">
        <f>IF(M28="Underperforming",-5,IF(L28&gt;=95,15,IF(L28&gt;=90,10,IF(L28&gt;=80,5,0))))</f>
        <v/>
      </c>
      <c r="O28" s="32" t="n">
        <v>91.76000000000001</v>
      </c>
      <c r="P28" s="32" t="n">
        <v>74.89</v>
      </c>
      <c r="Q28" s="32" t="n">
        <v>413.47</v>
      </c>
      <c r="R28" s="31" t="inlineStr">
        <is>
          <t>Volume Spike / Accumulation</t>
        </is>
      </c>
      <c r="S28" s="31" t="inlineStr">
        <is>
          <t>Nifty Realty</t>
        </is>
      </c>
      <c r="T28" s="32" t="inlineStr"/>
      <c r="U28" s="32" t="inlineStr"/>
      <c r="V28" s="32" t="inlineStr"/>
      <c r="W28" s="32" t="inlineStr"/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16</t>
        </is>
      </c>
      <c r="CG28" s="31">
        <f>IF(CF28&gt;20,10,IF(CF28&gt;=10,5,2))</f>
        <v/>
      </c>
    </row>
    <row r="29">
      <c r="A29" s="31">
        <f>IF(B29=0,"",RANK(B29,$B$2:$B$97,0))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4" t="inlineStr">
        <is>
          <t>PCJEWELLER</t>
        </is>
      </c>
      <c r="D29" s="34" t="inlineStr">
        <is>
          <t>PC Jeweller Ltd</t>
        </is>
      </c>
      <c r="E29" s="31" t="inlineStr">
        <is>
          <t>consumer discretionary</t>
        </is>
      </c>
      <c r="F29" s="31" t="inlineStr">
        <is>
          <t>Diamond Gems and Jewellery</t>
        </is>
      </c>
      <c r="G29" s="31" t="inlineStr">
        <is>
          <t>midcap</t>
        </is>
      </c>
      <c r="H29" s="32" t="n">
        <v>14466.44</v>
      </c>
      <c r="I29" s="32" t="n">
        <v>14.75</v>
      </c>
      <c r="J29" s="32" t="n">
        <v>6.12</v>
      </c>
      <c r="K29" s="32" t="n">
        <v>0</v>
      </c>
      <c r="L29" s="31" t="n">
        <v>38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67.79000000000001</v>
      </c>
      <c r="P29" s="32" t="n">
        <v>36.48</v>
      </c>
      <c r="Q29" s="32" t="n">
        <v>10.4</v>
      </c>
      <c r="R29" s="31" t="inlineStr">
        <is>
          <t>Near 52W High Breakout</t>
        </is>
      </c>
      <c r="S29" s="31" t="inlineStr">
        <is>
          <t>Nifty 50</t>
        </is>
      </c>
      <c r="T29" s="32" t="n">
        <v>-10.93</v>
      </c>
      <c r="U29" s="32" t="n">
        <v>15.34</v>
      </c>
      <c r="V29" s="32" t="n">
        <v>29.5</v>
      </c>
      <c r="W29" s="32" t="n">
        <v>14.92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16</t>
        </is>
      </c>
      <c r="CG29" s="31">
        <f>IF(CF29&gt;20,10,IF(CF29&gt;=10,5,2))</f>
        <v/>
      </c>
    </row>
    <row r="30">
      <c r="A30" s="31">
        <f>IF(B30=0,"",RANK(B30,$B$2:$B$97,0))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4" t="inlineStr">
        <is>
          <t>PTCIL</t>
        </is>
      </c>
      <c r="D30" s="34" t="inlineStr">
        <is>
          <t>PTC Industries Ltd</t>
        </is>
      </c>
      <c r="E30" s="31" t="inlineStr">
        <is>
          <t>castings, forgings &amp; fasteners</t>
        </is>
      </c>
      <c r="F30" s="31" t="inlineStr">
        <is>
          <t>Castings Steel and Alloy</t>
        </is>
      </c>
      <c r="G30" s="31" t="inlineStr">
        <is>
          <t>largecap</t>
        </is>
      </c>
      <c r="H30" s="32" t="n">
        <v>36844.19</v>
      </c>
      <c r="I30" s="32" t="n">
        <v>24575</v>
      </c>
      <c r="J30" s="32" t="n">
        <v>0.43</v>
      </c>
      <c r="K30" s="32" t="n">
        <v>0</v>
      </c>
      <c r="L30" s="31" t="n">
        <v>46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72.05</v>
      </c>
      <c r="P30" s="32" t="n">
        <v>43.36</v>
      </c>
      <c r="Q30" s="32" t="n">
        <v>19717.08</v>
      </c>
      <c r="R30" s="31" t="inlineStr">
        <is>
          <t>Near 52W High Breakout</t>
        </is>
      </c>
      <c r="S30" s="31" t="inlineStr">
        <is>
          <t>Nifty 50</t>
        </is>
      </c>
      <c r="T30" s="32" t="n">
        <v>-10.93</v>
      </c>
      <c r="U30" s="32" t="n">
        <v>51.01</v>
      </c>
      <c r="V30" s="32" t="n">
        <v>69.55</v>
      </c>
      <c r="W30" s="32" t="n">
        <v>17.81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15</t>
        </is>
      </c>
      <c r="CG30" s="31">
        <f>IF(CF30&gt;20,10,IF(CF30&gt;=10,5,2))</f>
        <v/>
      </c>
    </row>
    <row r="31">
      <c r="A31" s="31">
        <f>IF(B31=0,"",RANK(B31,$B$2:$B$97,0))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CUPID</t>
        </is>
      </c>
      <c r="D31" s="31" t="inlineStr">
        <is>
          <t>Cupid Ltd</t>
        </is>
      </c>
      <c r="E31" s="31" t="inlineStr">
        <is>
          <t>fmcg</t>
        </is>
      </c>
      <c r="F31" s="31" t="inlineStr">
        <is>
          <t>Contraceptives and Protectives</t>
        </is>
      </c>
      <c r="G31" s="31" t="inlineStr">
        <is>
          <t>largecap</t>
        </is>
      </c>
      <c r="H31" s="32" t="n">
        <v>49402.83</v>
      </c>
      <c r="I31" s="32" t="n">
        <v>367.4</v>
      </c>
      <c r="J31" s="32" t="n">
        <v>3.01</v>
      </c>
      <c r="K31" s="32" t="n">
        <v>0</v>
      </c>
      <c r="L31" s="31" t="inlineStr"/>
      <c r="M31" s="31" t="inlineStr"/>
      <c r="N31" s="32">
        <f>IF(M31="Underperforming",-5,IF(L31&gt;=95,15,IF(L31&gt;=90,10,IF(L31&gt;=80,5,0))))</f>
        <v/>
      </c>
      <c r="O31" s="32" t="n">
        <v>87</v>
      </c>
      <c r="P31" s="32" t="n">
        <v>66.42</v>
      </c>
      <c r="Q31" s="32" t="n">
        <v>280.65</v>
      </c>
      <c r="R31" s="31" t="inlineStr">
        <is>
          <t>Near 52W High Breakout</t>
        </is>
      </c>
      <c r="S31" s="31" t="inlineStr">
        <is>
          <t>Nifty FMCG</t>
        </is>
      </c>
      <c r="T31" s="32" t="inlineStr"/>
      <c r="U31" s="32" t="inlineStr"/>
      <c r="V31" s="32" t="inlineStr"/>
      <c r="W31" s="32" t="inlineStr"/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B2C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22</t>
        </is>
      </c>
      <c r="CG31" s="31">
        <f>IF(CF31&gt;20,10,IF(CF31&gt;=10,5,2))</f>
        <v/>
      </c>
    </row>
    <row r="32">
      <c r="A32" s="31">
        <f>IF(B32=0,"",RANK(B32,$B$2:$B$97,0))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SHUKRAPHAR</t>
        </is>
      </c>
      <c r="D32" s="31" t="inlineStr">
        <is>
          <t>Shukra Pharmaceuticals Ltd</t>
        </is>
      </c>
      <c r="E32" s="31" t="inlineStr">
        <is>
          <t>Healthcare</t>
        </is>
      </c>
      <c r="F32" s="31" t="inlineStr">
        <is>
          <t>Pharma Others</t>
        </is>
      </c>
      <c r="G32" s="31" t="inlineStr">
        <is>
          <t>smallcap</t>
        </is>
      </c>
      <c r="H32" s="32" t="n">
        <v>2964.9</v>
      </c>
      <c r="I32" s="32" t="n">
        <v>67</v>
      </c>
      <c r="J32" s="32" t="n">
        <v>0.09</v>
      </c>
      <c r="K32" s="32" t="n">
        <v>0</v>
      </c>
      <c r="L32" s="31" t="n">
        <v>90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79.98</v>
      </c>
      <c r="P32" s="32" t="n">
        <v>42.08</v>
      </c>
      <c r="Q32" s="32" t="n">
        <v>47.82</v>
      </c>
      <c r="R32" s="31" t="inlineStr">
        <is>
          <t>Volume Spike &amp; Near 52W High Breakout</t>
        </is>
      </c>
      <c r="S32" s="31" t="inlineStr">
        <is>
          <t>Nifty Pharma</t>
        </is>
      </c>
      <c r="T32" s="32" t="n">
        <v>16.85</v>
      </c>
      <c r="U32" s="32" t="n">
        <v>98.58</v>
      </c>
      <c r="V32" s="32" t="n">
        <v>69.95</v>
      </c>
      <c r="W32" s="32" t="n">
        <v>40.5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18</t>
        </is>
      </c>
      <c r="CG32" s="31">
        <f>IF(CF32&gt;20,10,IF(CF32&gt;=10,5,2))</f>
        <v/>
      </c>
    </row>
    <row r="33">
      <c r="A33" s="31">
        <f>IF(B33=0,"",RANK(B33,$B$2:$B$97,0))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KRISHANA</t>
        </is>
      </c>
      <c r="D33" s="31" t="inlineStr">
        <is>
          <t>Krishana Phoschem Ltd</t>
        </is>
      </c>
      <c r="E33" s="31" t="inlineStr">
        <is>
          <t>chemicals</t>
        </is>
      </c>
      <c r="F33" s="31" t="inlineStr">
        <is>
          <t>Fertilisers</t>
        </is>
      </c>
      <c r="G33" s="31" t="inlineStr">
        <is>
          <t>midcap</t>
        </is>
      </c>
      <c r="H33" s="32" t="n">
        <v>6120</v>
      </c>
      <c r="I33" s="32" t="n">
        <v>197.97</v>
      </c>
      <c r="J33" s="32" t="n">
        <v>4.92</v>
      </c>
      <c r="K33" s="32" t="n">
        <v>0</v>
      </c>
      <c r="L33" s="31" t="n">
        <v>52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70.76000000000001</v>
      </c>
      <c r="P33" s="32" t="n">
        <v>52.17</v>
      </c>
      <c r="Q33" s="32" t="n">
        <v>152.92</v>
      </c>
      <c r="R33" s="31" t="inlineStr">
        <is>
          <t>Volume Spike &amp; Near 52W High Breakout</t>
        </is>
      </c>
      <c r="S33" s="31" t="inlineStr">
        <is>
          <t>Nifty 50</t>
        </is>
      </c>
      <c r="T33" s="32" t="n">
        <v>-10.93</v>
      </c>
      <c r="U33" s="32" t="n">
        <v>72.89</v>
      </c>
      <c r="V33" s="32" t="n">
        <v>94.12</v>
      </c>
      <c r="W33" s="32" t="n">
        <v>21.15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More than 1.2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19</t>
        </is>
      </c>
      <c r="CG33" s="31">
        <f>IF(CF33&gt;20,10,IF(CF33&gt;=10,5,2))</f>
        <v/>
      </c>
    </row>
    <row r="34">
      <c r="A34" s="31">
        <f>IF(B34=0,"",RANK(B34,$B$2:$B$97,0))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AZAD</t>
        </is>
      </c>
      <c r="D34" s="31" t="inlineStr">
        <is>
          <t>Azad Engineering Ltd</t>
        </is>
      </c>
      <c r="E34" s="31" t="inlineStr">
        <is>
          <t>Industrials</t>
        </is>
      </c>
      <c r="F34" s="31" t="inlineStr">
        <is>
          <t>Aerospace and Defence Equipment</t>
        </is>
      </c>
      <c r="G34" s="31" t="inlineStr">
        <is>
          <t>midcap</t>
        </is>
      </c>
      <c r="H34" s="32" t="n">
        <v>18883.7</v>
      </c>
      <c r="I34" s="32" t="n">
        <v>2924</v>
      </c>
      <c r="J34" s="32" t="n">
        <v>1.4</v>
      </c>
      <c r="K34" s="32" t="n">
        <v>0</v>
      </c>
      <c r="L34" s="31" t="n">
        <v>44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68.04000000000001</v>
      </c>
      <c r="P34" s="32" t="n">
        <v>44.67</v>
      </c>
      <c r="Q34" s="32" t="n">
        <v>2191.15</v>
      </c>
      <c r="R34" s="31" t="inlineStr">
        <is>
          <t>Near 52W High Breakout</t>
        </is>
      </c>
      <c r="S34" s="31" t="inlineStr">
        <is>
          <t>Nifty 50</t>
        </is>
      </c>
      <c r="T34" s="32" t="n">
        <v>-10.93</v>
      </c>
      <c r="U34" s="32" t="n">
        <v>75.72</v>
      </c>
      <c r="V34" s="32" t="n">
        <v>97.29000000000001</v>
      </c>
      <c r="W34" s="32" t="n">
        <v>16.72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18</t>
        </is>
      </c>
      <c r="CG34" s="31">
        <f>IF(CF34&gt;20,10,IF(CF34&gt;=10,5,2))</f>
        <v/>
      </c>
    </row>
    <row r="35">
      <c r="A35" s="31">
        <f>IF(B35=0,"",RANK(B35,$B$2:$B$97,0))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4" t="inlineStr">
        <is>
          <t>DIACABS</t>
        </is>
      </c>
      <c r="D35" s="34" t="inlineStr">
        <is>
          <t>Diamond Power Infrastructure Ltd</t>
        </is>
      </c>
      <c r="E35" s="31" t="inlineStr">
        <is>
          <t>industrials</t>
        </is>
      </c>
      <c r="F35" s="31" t="inlineStr">
        <is>
          <t>Cables Power</t>
        </is>
      </c>
      <c r="G35" s="31" t="inlineStr">
        <is>
          <t>largecap</t>
        </is>
      </c>
      <c r="H35" s="32" t="n">
        <v>22965.93</v>
      </c>
      <c r="I35" s="32" t="n">
        <v>384</v>
      </c>
      <c r="J35" s="32" t="n">
        <v>3.25</v>
      </c>
      <c r="K35" s="32" t="n">
        <v>0</v>
      </c>
      <c r="L35" s="31" t="inlineStr"/>
      <c r="M35" s="31" t="inlineStr"/>
      <c r="N35" s="32">
        <f>IF(M35="Underperforming",-5,IF(L35&gt;=95,15,IF(L35&gt;=90,10,IF(L35&gt;=80,5,0))))</f>
        <v/>
      </c>
      <c r="O35" s="32" t="n">
        <v>74.17</v>
      </c>
      <c r="P35" s="32" t="n">
        <v>67.33</v>
      </c>
      <c r="Q35" s="32" t="n">
        <v>285.62</v>
      </c>
      <c r="R35" s="31" t="inlineStr">
        <is>
          <t>Near 52W High Breakout</t>
        </is>
      </c>
      <c r="S35" s="31" t="inlineStr">
        <is>
          <t>Nifty Energy</t>
        </is>
      </c>
      <c r="T35" s="32" t="inlineStr"/>
      <c r="U35" s="32" t="inlineStr"/>
      <c r="V35" s="32" t="inlineStr"/>
      <c r="W35" s="32" t="inlineStr"/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17</t>
        </is>
      </c>
      <c r="CG35" s="31">
        <f>IF(CF35&gt;20,10,IF(CF35&gt;=10,5,2))</f>
        <v/>
      </c>
    </row>
    <row r="36">
      <c r="A36" s="31">
        <f>IF(B36=0,"",RANK(B36,$B$2:$B$97,0))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TBZ</t>
        </is>
      </c>
      <c r="D36" s="31" t="inlineStr">
        <is>
          <t>Tribhovandas Bhimji Zaveri Ltd</t>
        </is>
      </c>
      <c r="E36" s="31" t="inlineStr">
        <is>
          <t>consumer discretionary</t>
        </is>
      </c>
      <c r="F36" s="31" t="inlineStr">
        <is>
          <t>Diamond Gems and Jewellery</t>
        </is>
      </c>
      <c r="G36" s="31" t="inlineStr">
        <is>
          <t>smallcap</t>
        </is>
      </c>
      <c r="H36" s="32" t="n">
        <v>3970.14</v>
      </c>
      <c r="I36" s="32" t="n">
        <v>594.95</v>
      </c>
      <c r="J36" s="32" t="n">
        <v>4.99</v>
      </c>
      <c r="K36" s="32" t="n">
        <v>0</v>
      </c>
      <c r="L36" s="31" t="n">
        <v>97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80.5</v>
      </c>
      <c r="P36" s="32" t="n">
        <v>65.14</v>
      </c>
      <c r="Q36" s="32" t="n">
        <v>489.01</v>
      </c>
      <c r="R36" s="31" t="inlineStr">
        <is>
          <t>Earnings / Momentum Support</t>
        </is>
      </c>
      <c r="S36" s="31" t="inlineStr">
        <is>
          <t>Nifty 50</t>
        </is>
      </c>
      <c r="T36" s="32" t="n">
        <v>-10.93</v>
      </c>
      <c r="U36" s="32" t="n">
        <v>223.87</v>
      </c>
      <c r="V36" s="32" t="n">
        <v>263.63</v>
      </c>
      <c r="W36" s="32" t="n">
        <v>72.23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Between 0.7 to 1.2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16</t>
        </is>
      </c>
      <c r="CG36" s="31">
        <f>IF(CF36&gt;20,10,IF(CF36&gt;=10,5,2))</f>
        <v/>
      </c>
    </row>
    <row r="37">
      <c r="A37" s="31">
        <f>IF(B37=0,"",RANK(B37,$B$2:$B$97,0))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4" t="inlineStr">
        <is>
          <t>WELSPUNLIV</t>
        </is>
      </c>
      <c r="D37" s="34" t="inlineStr">
        <is>
          <t>Welspun Living Ltd</t>
        </is>
      </c>
      <c r="E37" s="31" t="inlineStr">
        <is>
          <t>textiles</t>
        </is>
      </c>
      <c r="F37" s="31" t="inlineStr">
        <is>
          <t>Textiles Home Textile</t>
        </is>
      </c>
      <c r="G37" s="31" t="inlineStr">
        <is>
          <t>largecap</t>
        </is>
      </c>
      <c r="H37" s="32" t="n">
        <v>21163.4</v>
      </c>
      <c r="I37" s="32" t="n">
        <v>224.01</v>
      </c>
      <c r="J37" s="32" t="n">
        <v>-0.47</v>
      </c>
      <c r="K37" s="32" t="n">
        <v>0</v>
      </c>
      <c r="L37" s="31" t="n">
        <v>50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72.7</v>
      </c>
      <c r="P37" s="32" t="n">
        <v>46.39</v>
      </c>
      <c r="Q37" s="32" t="n">
        <v>191.08</v>
      </c>
      <c r="R37" s="31" t="inlineStr">
        <is>
          <t>Earnings / Momentum Support</t>
        </is>
      </c>
      <c r="S37" s="31" t="inlineStr">
        <is>
          <t>Nifty 50</t>
        </is>
      </c>
      <c r="T37" s="32" t="n">
        <v>-10.93</v>
      </c>
      <c r="U37" s="32" t="n">
        <v>82.36</v>
      </c>
      <c r="V37" s="32" t="n">
        <v>104.75</v>
      </c>
      <c r="W37" s="32" t="n">
        <v>20.93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15</t>
        </is>
      </c>
      <c r="CG37" s="31">
        <f>IF(CF37&gt;20,10,IF(CF37&gt;=10,5,2))</f>
        <v/>
      </c>
    </row>
    <row r="38">
      <c r="A38" s="31">
        <f>IF(B38=0,"",RANK(B38,$B$2:$B$97,0))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HFCL</t>
        </is>
      </c>
      <c r="D38" s="31" t="inlineStr">
        <is>
          <t>HFCL Ltd</t>
        </is>
      </c>
      <c r="E38" s="31" t="inlineStr">
        <is>
          <t>telecom</t>
        </is>
      </c>
      <c r="F38" s="31" t="inlineStr">
        <is>
          <t>Telecommunications Equipment</t>
        </is>
      </c>
      <c r="G38" s="31" t="inlineStr">
        <is>
          <t>largecap</t>
        </is>
      </c>
      <c r="H38" s="32" t="n">
        <v>39950.25</v>
      </c>
      <c r="I38" s="32" t="n">
        <v>261.01</v>
      </c>
      <c r="J38" s="32" t="n">
        <v>1.05</v>
      </c>
      <c r="K38" s="32" t="n">
        <v>0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71.40000000000001</v>
      </c>
      <c r="P38" s="32" t="n">
        <v>49.86</v>
      </c>
      <c r="Q38" s="32" t="n">
        <v>186.02</v>
      </c>
      <c r="R38" s="31" t="inlineStr">
        <is>
          <t>Near 52W High Breakout</t>
        </is>
      </c>
      <c r="S38" s="31" t="inlineStr">
        <is>
          <t>Nifty Infra</t>
        </is>
      </c>
      <c r="T38" s="32" t="inlineStr"/>
      <c r="U38" s="32" t="inlineStr"/>
      <c r="V38" s="32" t="inlineStr"/>
      <c r="W38" s="32" t="inlineStr"/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Oligopoly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15</t>
        </is>
      </c>
      <c r="CG38" s="31">
        <f>IF(CF38&gt;20,10,IF(CF38&gt;=10,5,2))</f>
        <v/>
      </c>
    </row>
    <row r="39">
      <c r="A39" s="31">
        <f>IF(B39=0,"",RANK(B39,$B$2:$B$97,0))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4" t="inlineStr">
        <is>
          <t>SHILPAMED</t>
        </is>
      </c>
      <c r="D39" s="34" t="inlineStr">
        <is>
          <t>Shilpa Medicare Ltd</t>
        </is>
      </c>
      <c r="E39" s="31" t="inlineStr">
        <is>
          <t>healthcare</t>
        </is>
      </c>
      <c r="F39" s="31" t="inlineStr">
        <is>
          <t>Pharma API</t>
        </is>
      </c>
      <c r="G39" s="31" t="inlineStr">
        <is>
          <t>largecap</t>
        </is>
      </c>
      <c r="H39" s="32" t="n">
        <v>20058.87</v>
      </c>
      <c r="I39" s="32" t="n">
        <v>1025.6</v>
      </c>
      <c r="J39" s="32" t="n">
        <v>0.03</v>
      </c>
      <c r="K39" s="32" t="n">
        <v>0</v>
      </c>
      <c r="L39" s="31" t="n">
        <v>89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83.22</v>
      </c>
      <c r="P39" s="32" t="n">
        <v>83.45</v>
      </c>
      <c r="Q39" s="32" t="n">
        <v>848.99</v>
      </c>
      <c r="R39" s="31" t="inlineStr">
        <is>
          <t>Near 52W High Breakout</t>
        </is>
      </c>
      <c r="S39" s="31" t="inlineStr">
        <is>
          <t>Nifty Pharma</t>
        </is>
      </c>
      <c r="T39" s="32" t="n">
        <v>16.85</v>
      </c>
      <c r="U39" s="32" t="n">
        <v>178.72</v>
      </c>
      <c r="V39" s="32" t="n">
        <v>138.53</v>
      </c>
      <c r="W39" s="32" t="n">
        <v>39.36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16</t>
        </is>
      </c>
      <c r="CG39" s="31">
        <f>IF(CF39&gt;20,10,IF(CF39&gt;=10,5,2))</f>
        <v/>
      </c>
    </row>
    <row r="40">
      <c r="A40" s="31">
        <f>IF(B40=0,"",RANK(B40,$B$2:$B$97,0))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KMEW</t>
        </is>
      </c>
      <c r="D40" s="31" t="inlineStr">
        <is>
          <t>Knowledge Marine &amp; Engineering Works Ltd</t>
        </is>
      </c>
      <c r="E40" s="31" t="inlineStr">
        <is>
          <t>transportation</t>
        </is>
      </c>
      <c r="F40" s="31" t="inlineStr">
        <is>
          <t>Shipping</t>
        </is>
      </c>
      <c r="G40" s="31" t="inlineStr">
        <is>
          <t>midcap</t>
        </is>
      </c>
      <c r="H40" s="32" t="n">
        <v>8092.36</v>
      </c>
      <c r="I40" s="32" t="n">
        <v>3190.45</v>
      </c>
      <c r="J40" s="32" t="n">
        <v>-2.08</v>
      </c>
      <c r="K40" s="32" t="n">
        <v>0</v>
      </c>
      <c r="L40" s="31" t="n">
        <v>71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77.73</v>
      </c>
      <c r="P40" s="32" t="n">
        <v>58.64</v>
      </c>
      <c r="Q40" s="32" t="n">
        <v>2336.24</v>
      </c>
      <c r="R40" s="31" t="inlineStr">
        <is>
          <t>Near 52W High Breakout</t>
        </is>
      </c>
      <c r="S40" s="31" t="inlineStr">
        <is>
          <t>Nifty 50</t>
        </is>
      </c>
      <c r="T40" s="32" t="n">
        <v>-10.93</v>
      </c>
      <c r="U40" s="32" t="n">
        <v>170.2</v>
      </c>
      <c r="V40" s="32" t="n">
        <v>203.37</v>
      </c>
      <c r="W40" s="32" t="n">
        <v>29.78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22</t>
        </is>
      </c>
      <c r="CG40" s="31">
        <f>IF(CF40&gt;20,10,IF(CF40&gt;=10,5,2))</f>
        <v/>
      </c>
    </row>
    <row r="41">
      <c r="A41" s="31">
        <f>IF(B41=0,"",RANK(B41,$B$2:$B$97,0))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BHEL</t>
        </is>
      </c>
      <c r="D41" s="31" t="inlineStr">
        <is>
          <t>Bharat Heavy Electricals Ltd</t>
        </is>
      </c>
      <c r="E41" s="31" t="inlineStr">
        <is>
          <t>Industrials</t>
        </is>
      </c>
      <c r="F41" s="31" t="inlineStr">
        <is>
          <t>Capital Goods Engineering Heavy</t>
        </is>
      </c>
      <c r="G41" s="31" t="inlineStr">
        <is>
          <t>largecap</t>
        </is>
      </c>
      <c r="H41" s="32" t="n">
        <v>150982.27</v>
      </c>
      <c r="I41" s="32" t="n">
        <v>433.6</v>
      </c>
      <c r="J41" s="32" t="n">
        <v>0.93</v>
      </c>
      <c r="K41" s="32" t="n">
        <v>0</v>
      </c>
      <c r="L41" s="31" t="n">
        <v>40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63.34</v>
      </c>
      <c r="P41" s="32" t="n">
        <v>35.85</v>
      </c>
      <c r="Q41" s="32" t="n">
        <v>355.21</v>
      </c>
      <c r="R41" s="31" t="inlineStr">
        <is>
          <t>Volume Spike &amp; Near 52W High Breakout</t>
        </is>
      </c>
      <c r="S41" s="31" t="inlineStr">
        <is>
          <t>Nifty 50</t>
        </is>
      </c>
      <c r="T41" s="32" t="n">
        <v>-10.93</v>
      </c>
      <c r="U41" s="32" t="n">
        <v>81.52</v>
      </c>
      <c r="V41" s="32" t="n">
        <v>103.81</v>
      </c>
      <c r="W41" s="32" t="n">
        <v>15.44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Between 1.5 to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19</t>
        </is>
      </c>
      <c r="CG41" s="31">
        <f>IF(CF41&gt;20,10,IF(CF41&gt;=10,5,2))</f>
        <v/>
      </c>
    </row>
    <row r="42">
      <c r="A42" s="31">
        <f>IF(B42=0,"",RANK(B42,$B$2:$B$97,0))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BHAGERIA</t>
        </is>
      </c>
      <c r="D42" s="31" t="inlineStr">
        <is>
          <t>Bhageria Industries Ltd</t>
        </is>
      </c>
      <c r="E42" s="31" t="inlineStr">
        <is>
          <t>chemicals</t>
        </is>
      </c>
      <c r="F42" s="31" t="inlineStr">
        <is>
          <t>Dyes and Pigments</t>
        </is>
      </c>
      <c r="G42" s="31" t="inlineStr">
        <is>
          <t>smallcap</t>
        </is>
      </c>
      <c r="H42" s="32" t="n">
        <v>1593.23</v>
      </c>
      <c r="I42" s="32" t="n">
        <v>365.05</v>
      </c>
      <c r="J42" s="32" t="n">
        <v>-0.53</v>
      </c>
      <c r="K42" s="32" t="n">
        <v>0</v>
      </c>
      <c r="L42" s="31" t="n">
        <v>79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73.98999999999999</v>
      </c>
      <c r="P42" s="32" t="n">
        <v>46.3</v>
      </c>
      <c r="Q42" s="32" t="n">
        <v>298.26</v>
      </c>
      <c r="R42" s="31" t="inlineStr">
        <is>
          <t>Earnings / Momentum Support</t>
        </is>
      </c>
      <c r="S42" s="31" t="inlineStr">
        <is>
          <t>Nifty 50</t>
        </is>
      </c>
      <c r="T42" s="32" t="n">
        <v>-10.93</v>
      </c>
      <c r="U42" s="32" t="n">
        <v>98.84999999999999</v>
      </c>
      <c r="V42" s="32" t="n">
        <v>123.26</v>
      </c>
      <c r="W42" s="32" t="n">
        <v>33.16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18</t>
        </is>
      </c>
      <c r="CG42" s="31">
        <f>IF(CF42&gt;20,10,IF(CF42&gt;=10,5,2))</f>
        <v/>
      </c>
    </row>
    <row r="43">
      <c r="A43" s="31">
        <f>IF(B43=0,"",RANK(B43,$B$2:$B$97,0))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4" t="inlineStr">
        <is>
          <t>GALAXYSURF</t>
        </is>
      </c>
      <c r="D43" s="34" t="inlineStr">
        <is>
          <t>Galaxy Surfactants Ltd</t>
        </is>
      </c>
      <c r="E43" s="31" t="inlineStr">
        <is>
          <t>chemicals</t>
        </is>
      </c>
      <c r="F43" s="31" t="inlineStr">
        <is>
          <t>Specialty Chemicals</t>
        </is>
      </c>
      <c r="G43" s="31" t="inlineStr">
        <is>
          <t>midcap</t>
        </is>
      </c>
      <c r="H43" s="32" t="n">
        <v>8899.139999999999</v>
      </c>
      <c r="I43" s="32" t="n">
        <v>2510</v>
      </c>
      <c r="J43" s="32" t="n">
        <v>4.29</v>
      </c>
      <c r="K43" s="32" t="n">
        <v>0</v>
      </c>
      <c r="L43" s="31" t="n">
        <v>22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67.26000000000001</v>
      </c>
      <c r="P43" s="32" t="n">
        <v>31.77</v>
      </c>
      <c r="Q43" s="32" t="n">
        <v>1970.52</v>
      </c>
      <c r="R43" s="31" t="inlineStr">
        <is>
          <t>Near 52W High Breakout</t>
        </is>
      </c>
      <c r="S43" s="31" t="inlineStr">
        <is>
          <t>Nifty 50</t>
        </is>
      </c>
      <c r="T43" s="32" t="n">
        <v>-10.93</v>
      </c>
      <c r="U43" s="32" t="n">
        <v>12.19</v>
      </c>
      <c r="V43" s="32" t="n">
        <v>25.96</v>
      </c>
      <c r="W43" s="32" t="n">
        <v>8.529999999999999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16</t>
        </is>
      </c>
      <c r="CG43" s="31">
        <f>IF(CF43&gt;20,10,IF(CF43&gt;=10,5,2))</f>
        <v/>
      </c>
    </row>
    <row r="44">
      <c r="A44" s="31">
        <f>IF(B44=0,"",RANK(B44,$B$2:$B$97,0))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4" t="inlineStr">
        <is>
          <t>MAYURUNIQ</t>
        </is>
      </c>
      <c r="D44" s="34" t="inlineStr">
        <is>
          <t>Mayur Uniquoters Ltd</t>
        </is>
      </c>
      <c r="E44" s="31" t="inlineStr">
        <is>
          <t>consumer discretionary</t>
        </is>
      </c>
      <c r="F44" s="31" t="inlineStr">
        <is>
          <t>Plastics Plastic and Plastic Products</t>
        </is>
      </c>
      <c r="G44" s="31" t="inlineStr">
        <is>
          <t>smallcap</t>
        </is>
      </c>
      <c r="H44" s="32" t="n">
        <v>3450.14</v>
      </c>
      <c r="I44" s="32" t="n">
        <v>794</v>
      </c>
      <c r="J44" s="32" t="n">
        <v>5.88</v>
      </c>
      <c r="K44" s="32" t="n">
        <v>0</v>
      </c>
      <c r="L44" s="31" t="n">
        <v>31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60.18</v>
      </c>
      <c r="P44" s="32" t="n">
        <v>39.17</v>
      </c>
      <c r="Q44" s="32" t="n">
        <v>628.58</v>
      </c>
      <c r="R44" s="31" t="inlineStr">
        <is>
          <t>Earnings / Momentum Support</t>
        </is>
      </c>
      <c r="S44" s="31" t="inlineStr">
        <is>
          <t>Nifty 50</t>
        </is>
      </c>
      <c r="T44" s="32" t="n">
        <v>-10.93</v>
      </c>
      <c r="U44" s="32" t="n">
        <v>61.66</v>
      </c>
      <c r="V44" s="32" t="n">
        <v>81.5</v>
      </c>
      <c r="W44" s="32" t="n">
        <v>10.74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15</t>
        </is>
      </c>
      <c r="CG44" s="31">
        <f>IF(CF44&gt;20,10,IF(CF44&gt;=10,5,2))</f>
        <v/>
      </c>
    </row>
    <row r="45">
      <c r="A45" s="31">
        <f>IF(B45=0,"",RANK(B45,$B$2:$B$97,0))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4" t="inlineStr">
        <is>
          <t>PNGSREVA</t>
        </is>
      </c>
      <c r="D45" s="34" t="inlineStr">
        <is>
          <t>PNGS Reva Diamond Jewellery Limited</t>
        </is>
      </c>
      <c r="E45" s="31" t="inlineStr">
        <is>
          <t>Consumer Cyclical</t>
        </is>
      </c>
      <c r="F45" s="31" t="inlineStr">
        <is>
          <t>Diamond Gems and Jewellery</t>
        </is>
      </c>
      <c r="G45" s="31" t="inlineStr">
        <is>
          <t>smallcap</t>
        </is>
      </c>
      <c r="H45" s="32" t="n">
        <v>2187.19</v>
      </c>
      <c r="I45" s="32" t="n">
        <v>690</v>
      </c>
      <c r="J45" s="32" t="n">
        <v>-1.7</v>
      </c>
      <c r="K45" s="32" t="n">
        <v>0</v>
      </c>
      <c r="L45" s="31" t="n">
        <v>47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72.45999999999999</v>
      </c>
      <c r="P45" s="32" t="n">
        <v>52.4</v>
      </c>
      <c r="Q45" s="32" t="n">
        <v>472.05</v>
      </c>
      <c r="R45" s="31" t="inlineStr">
        <is>
          <t>Volume Spike &amp; Near 52W High Breakout</t>
        </is>
      </c>
      <c r="S45" s="31" t="inlineStr">
        <is>
          <t>Nifty 50</t>
        </is>
      </c>
      <c r="T45" s="32" t="n">
        <v>-7.89</v>
      </c>
      <c r="U45" s="32" t="n">
        <v>74.51000000000001</v>
      </c>
      <c r="V45" s="32" t="n">
        <v>89.47</v>
      </c>
      <c r="W45" s="32" t="n">
        <v>17.94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B2C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1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15</t>
        </is>
      </c>
      <c r="CG45" s="31">
        <f>IF(CF45&gt;20,10,IF(CF45&gt;=10,5,2))</f>
        <v/>
      </c>
    </row>
    <row r="46">
      <c r="A46" s="31">
        <f>IF(B46=0,"",RANK(B46,$B$2:$B$97,0))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4" t="inlineStr">
        <is>
          <t>COFORGE</t>
        </is>
      </c>
      <c r="D46" s="34" t="inlineStr">
        <is>
          <t>Coforge Ltd</t>
        </is>
      </c>
      <c r="E46" s="31" t="inlineStr">
        <is>
          <t>i.t</t>
        </is>
      </c>
      <c r="F46" s="31" t="inlineStr">
        <is>
          <t>IT Services</t>
        </is>
      </c>
      <c r="G46" s="31" t="inlineStr">
        <is>
          <t>largecap</t>
        </is>
      </c>
      <c r="H46" s="32" t="n">
        <v>82755.17999999999</v>
      </c>
      <c r="I46" s="32" t="n">
        <v>1867.9</v>
      </c>
      <c r="J46" s="32" t="n">
        <v>2.95</v>
      </c>
      <c r="K46" s="32" t="n">
        <v>0</v>
      </c>
      <c r="L46" s="31" t="n">
        <v>22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62.01</v>
      </c>
      <c r="P46" s="32" t="n">
        <v>21.82</v>
      </c>
      <c r="Q46" s="32" t="n">
        <v>1637.19</v>
      </c>
      <c r="R46" s="31" t="inlineStr">
        <is>
          <t>Earnings / Momentum Support</t>
        </is>
      </c>
      <c r="S46" s="31" t="inlineStr">
        <is>
          <t>Nifty IT</t>
        </is>
      </c>
      <c r="T46" s="32" t="n">
        <v>-19.75</v>
      </c>
      <c r="U46" s="32" t="n">
        <v>9.210000000000001</v>
      </c>
      <c r="V46" s="32" t="n">
        <v>36.09</v>
      </c>
      <c r="W46" s="32" t="n">
        <v>8.529999999999999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15</t>
        </is>
      </c>
      <c r="CG46" s="31">
        <f>IF(CF46&gt;20,10,IF(CF46&gt;=10,5,2))</f>
        <v/>
      </c>
    </row>
    <row r="47">
      <c r="A47" s="31">
        <f>IF(B47=0,"",RANK(B47,$B$2:$B$97,0))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4" t="inlineStr">
        <is>
          <t>JGCHEM</t>
        </is>
      </c>
      <c r="D47" s="34" t="inlineStr">
        <is>
          <t>JGChemicals Ltd</t>
        </is>
      </c>
      <c r="E47" s="31" t="inlineStr">
        <is>
          <t>Basic Materials</t>
        </is>
      </c>
      <c r="F47" s="31" t="inlineStr">
        <is>
          <t>Chemicals Inorganic</t>
        </is>
      </c>
      <c r="G47" s="31" t="inlineStr">
        <is>
          <t>smallcap</t>
        </is>
      </c>
      <c r="H47" s="32" t="n">
        <v>2455.4</v>
      </c>
      <c r="I47" s="32" t="n">
        <v>626.6</v>
      </c>
      <c r="J47" s="32" t="n">
        <v>-1.89</v>
      </c>
      <c r="K47" s="32" t="n">
        <v>0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70.09</v>
      </c>
      <c r="P47" s="32" t="n">
        <v>48.51</v>
      </c>
      <c r="Q47" s="32" t="n">
        <v>476.54</v>
      </c>
      <c r="R47" s="31" t="inlineStr">
        <is>
          <t>Near 52W High Breakout</t>
        </is>
      </c>
      <c r="S47" s="31" t="inlineStr">
        <is>
          <t>Nifty Metal</t>
        </is>
      </c>
      <c r="T47" s="32" t="inlineStr"/>
      <c r="U47" s="32" t="inlineStr"/>
      <c r="V47" s="32" t="inlineStr"/>
      <c r="W47" s="32" t="inlineStr"/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Cyclical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Volatile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15</t>
        </is>
      </c>
      <c r="CG47" s="31">
        <f>IF(CF47&gt;20,10,IF(CF47&gt;=10,5,2))</f>
        <v/>
      </c>
    </row>
    <row r="48">
      <c r="A48" s="31">
        <f>IF(B48=0,"",RANK(B48,$B$2:$B$97,0))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KMCSHIL</t>
        </is>
      </c>
      <c r="D48" s="31" t="inlineStr">
        <is>
          <t>KMC Speciality Hospitals (India) Ltd</t>
        </is>
      </c>
      <c r="E48" s="31" t="inlineStr">
        <is>
          <t>Healthcare</t>
        </is>
      </c>
      <c r="F48" s="31" t="inlineStr">
        <is>
          <t>Hospitals</t>
        </is>
      </c>
      <c r="G48" s="31" t="inlineStr">
        <is>
          <t>smallcap</t>
        </is>
      </c>
      <c r="H48" s="32" t="n">
        <v>2743.91</v>
      </c>
      <c r="I48" s="32" t="n">
        <v>168.25</v>
      </c>
      <c r="J48" s="32" t="n">
        <v>-5.13</v>
      </c>
      <c r="K48" s="32" t="n">
        <v>0</v>
      </c>
      <c r="L48" s="31" t="n">
        <v>63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79.25</v>
      </c>
      <c r="P48" s="32" t="n">
        <v>51.71</v>
      </c>
      <c r="Q48" s="32" t="n">
        <v>130.76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16.85</v>
      </c>
      <c r="U48" s="32" t="n">
        <v>137.96</v>
      </c>
      <c r="V48" s="32" t="n">
        <v>103.64</v>
      </c>
      <c r="W48" s="32" t="n">
        <v>25.63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20</t>
        </is>
      </c>
      <c r="CG48" s="31">
        <f>IF(CF48&gt;20,10,IF(CF48&gt;=10,5,2))</f>
        <v/>
      </c>
    </row>
    <row r="49">
      <c r="A49" s="31">
        <f>IF(B49=0,"",RANK(B49,$B$2:$B$97,0))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LAURUSLABS</t>
        </is>
      </c>
      <c r="D49" s="31" t="inlineStr">
        <is>
          <t>Laurus Labs Ltd</t>
        </is>
      </c>
      <c r="E49" s="31" t="inlineStr">
        <is>
          <t>healthcare</t>
        </is>
      </c>
      <c r="F49" s="31" t="inlineStr">
        <is>
          <t>Pharma API</t>
        </is>
      </c>
      <c r="G49" s="31" t="inlineStr">
        <is>
          <t>largecap</t>
        </is>
      </c>
      <c r="H49" s="32" t="n">
        <v>110039.99</v>
      </c>
      <c r="I49" s="32" t="n">
        <v>2036.6</v>
      </c>
      <c r="J49" s="32" t="n">
        <v>1.94</v>
      </c>
      <c r="K49" s="32" t="n">
        <v>0</v>
      </c>
      <c r="L49" s="31" t="n">
        <v>63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76.94</v>
      </c>
      <c r="P49" s="32" t="n">
        <v>77.5</v>
      </c>
      <c r="Q49" s="32" t="n">
        <v>1740.79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16.85</v>
      </c>
      <c r="U49" s="32" t="n">
        <v>132.71</v>
      </c>
      <c r="V49" s="32" t="n">
        <v>99.15000000000001</v>
      </c>
      <c r="W49" s="32" t="n">
        <v>26.01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18</t>
        </is>
      </c>
      <c r="CG49" s="31">
        <f>IF(CF49&gt;20,10,IF(CF49&gt;=10,5,2))</f>
        <v/>
      </c>
    </row>
    <row r="50">
      <c r="A50" s="31">
        <f>IF(B50=0,"",RANK(B50,$B$2:$B$97,0))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VALIANT</t>
        </is>
      </c>
      <c r="D50" s="31" t="inlineStr">
        <is>
          <t>Valiant Communications Ltd</t>
        </is>
      </c>
      <c r="E50" s="31" t="inlineStr">
        <is>
          <t>Technology</t>
        </is>
      </c>
      <c r="F50" s="31" t="inlineStr">
        <is>
          <t>Telecommunications Equipment</t>
        </is>
      </c>
      <c r="G50" s="31" t="inlineStr">
        <is>
          <t>smallcap</t>
        </is>
      </c>
      <c r="H50" s="32" t="n">
        <v>1987.66</v>
      </c>
      <c r="I50" s="32" t="n">
        <v>1700</v>
      </c>
      <c r="J50" s="32" t="n">
        <v>-0.4</v>
      </c>
      <c r="K50" s="32" t="n">
        <v>0</v>
      </c>
      <c r="L50" s="31" t="n">
        <v>73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77.90000000000001</v>
      </c>
      <c r="P50" s="32" t="n">
        <v>32.35</v>
      </c>
      <c r="Q50" s="32" t="n">
        <v>1165.23</v>
      </c>
      <c r="R50" s="31" t="inlineStr">
        <is>
          <t>Near 52W High Breakout</t>
        </is>
      </c>
      <c r="S50" s="31" t="inlineStr">
        <is>
          <t>Nifty 50</t>
        </is>
      </c>
      <c r="T50" s="32" t="n">
        <v>-10.93</v>
      </c>
      <c r="U50" s="32" t="n">
        <v>130.09</v>
      </c>
      <c r="V50" s="32" t="n">
        <v>158.33</v>
      </c>
      <c r="W50" s="32" t="n">
        <v>31.13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Oligopoly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17</t>
        </is>
      </c>
      <c r="CG50" s="31">
        <f>IF(CF50&gt;20,10,IF(CF50&gt;=10,5,2))</f>
        <v/>
      </c>
    </row>
    <row r="51">
      <c r="A51" s="31">
        <f>IF(B51=0,"",RANK(B51,$B$2:$B$97,0))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VIKRAMTH</t>
        </is>
      </c>
      <c r="D51" s="31" t="inlineStr">
        <is>
          <t>Vikram Thermo (India) Ltd</t>
        </is>
      </c>
      <c r="E51" s="31" t="inlineStr">
        <is>
          <t>Healthcare</t>
        </is>
      </c>
      <c r="F51" s="31" t="inlineStr">
        <is>
          <t>Specialty Chemicals</t>
        </is>
      </c>
      <c r="G51" s="31" t="inlineStr">
        <is>
          <t>smallcap</t>
        </is>
      </c>
      <c r="H51" s="32" t="n">
        <v>1210.41</v>
      </c>
      <c r="I51" s="32" t="n">
        <v>386</v>
      </c>
      <c r="J51" s="32" t="n">
        <v>4.37</v>
      </c>
      <c r="K51" s="32" t="n">
        <v>0</v>
      </c>
      <c r="L51" s="31" t="n">
        <v>78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76.43000000000001</v>
      </c>
      <c r="P51" s="32" t="n">
        <v>70.44</v>
      </c>
      <c r="Q51" s="32" t="n">
        <v>318.85</v>
      </c>
      <c r="R51" s="31" t="inlineStr">
        <is>
          <t>Earnings / Momentum Support</t>
        </is>
      </c>
      <c r="S51" s="31" t="inlineStr">
        <is>
          <t>Nifty Pharma</t>
        </is>
      </c>
      <c r="T51" s="32" t="n">
        <v>16.85</v>
      </c>
      <c r="U51" s="32" t="n">
        <v>131.87</v>
      </c>
      <c r="V51" s="32" t="n">
        <v>98.44</v>
      </c>
      <c r="W51" s="32" t="n">
        <v>32.93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16</t>
        </is>
      </c>
      <c r="CG51" s="31">
        <f>IF(CF51&gt;20,10,IF(CF51&gt;=10,5,2))</f>
        <v/>
      </c>
    </row>
    <row r="52">
      <c r="A52" s="31">
        <f>IF(B52=0,"",RANK(B52,$B$2:$B$97,0))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4" t="inlineStr">
        <is>
          <t>AVALON</t>
        </is>
      </c>
      <c r="D52" s="34" t="inlineStr">
        <is>
          <t>Avalon Technologies Ltd</t>
        </is>
      </c>
      <c r="E52" s="31" t="inlineStr">
        <is>
          <t>Technology</t>
        </is>
      </c>
      <c r="F52" s="31" t="inlineStr">
        <is>
          <t>EMS</t>
        </is>
      </c>
      <c r="G52" s="31" t="inlineStr">
        <is>
          <t>midcap</t>
        </is>
      </c>
      <c r="H52" s="32" t="n">
        <v>15389.62</v>
      </c>
      <c r="I52" s="32" t="n">
        <v>2301</v>
      </c>
      <c r="J52" s="32" t="n">
        <v>-0.04</v>
      </c>
      <c r="K52" s="32" t="n">
        <v>0</v>
      </c>
      <c r="L52" s="31" t="n">
        <v>58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70.17</v>
      </c>
      <c r="P52" s="32" t="n">
        <v>49.69</v>
      </c>
      <c r="Q52" s="32" t="n">
        <v>1874.28</v>
      </c>
      <c r="R52" s="31" t="inlineStr">
        <is>
          <t>Earnings / Momentum Support</t>
        </is>
      </c>
      <c r="S52" s="31" t="inlineStr">
        <is>
          <t>Nifty 50</t>
        </is>
      </c>
      <c r="T52" s="32" t="n">
        <v>-10.93</v>
      </c>
      <c r="U52" s="32" t="n">
        <v>86.97</v>
      </c>
      <c r="V52" s="32" t="n">
        <v>109.93</v>
      </c>
      <c r="W52" s="32" t="n">
        <v>23.58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15</t>
        </is>
      </c>
      <c r="CG52" s="31">
        <f>IF(CF52&gt;20,10,IF(CF52&gt;=10,5,2))</f>
        <v/>
      </c>
    </row>
    <row r="53">
      <c r="A53" s="31">
        <f>IF(B53=0,"",RANK(B53,$B$2:$B$97,0))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SKYGOLD</t>
        </is>
      </c>
      <c r="D53" s="31" t="inlineStr">
        <is>
          <t>Sky Gold &amp; Diamonds Ltd</t>
        </is>
      </c>
      <c r="E53" s="31" t="inlineStr">
        <is>
          <t>consumer discretionary</t>
        </is>
      </c>
      <c r="F53" s="31" t="inlineStr">
        <is>
          <t>Diamond Gems and Jewellery</t>
        </is>
      </c>
      <c r="G53" s="31" t="inlineStr">
        <is>
          <t>midcap</t>
        </is>
      </c>
      <c r="H53" s="32" t="n">
        <v>14217.42</v>
      </c>
      <c r="I53" s="32" t="n">
        <v>918</v>
      </c>
      <c r="J53" s="32" t="n">
        <v>3.79</v>
      </c>
      <c r="K53" s="32" t="n">
        <v>0</v>
      </c>
      <c r="L53" s="31" t="n">
        <v>81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78.83</v>
      </c>
      <c r="P53" s="32" t="n">
        <v>68.67</v>
      </c>
      <c r="Q53" s="32" t="n">
        <v>707.26</v>
      </c>
      <c r="R53" s="31" t="inlineStr">
        <is>
          <t>Volume Spike &amp; Near 52W High Breakout</t>
        </is>
      </c>
      <c r="S53" s="31" t="inlineStr">
        <is>
          <t>Nifty 50</t>
        </is>
      </c>
      <c r="T53" s="32" t="n">
        <v>-10.93</v>
      </c>
      <c r="U53" s="32" t="n">
        <v>168.79</v>
      </c>
      <c r="V53" s="32" t="n">
        <v>201.79</v>
      </c>
      <c r="W53" s="32" t="n">
        <v>33.87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Between 0.7 to 1.2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30</t>
        </is>
      </c>
      <c r="CG53" s="31">
        <f>IF(CF53&gt;20,10,IF(CF53&gt;=10,5,2))</f>
        <v/>
      </c>
    </row>
    <row r="54">
      <c r="A54" s="31">
        <f>IF(B54=0,"",RANK(B54,$B$2:$B$97,0))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4" t="inlineStr">
        <is>
          <t>SUNTV</t>
        </is>
      </c>
      <c r="D54" s="34" t="inlineStr">
        <is>
          <t>Sun TV Network Ltd</t>
        </is>
      </c>
      <c r="E54" s="31" t="inlineStr">
        <is>
          <t>media</t>
        </is>
      </c>
      <c r="F54" s="31" t="inlineStr">
        <is>
          <t>Entertainment and Media</t>
        </is>
      </c>
      <c r="G54" s="31" t="inlineStr">
        <is>
          <t>largecap</t>
        </is>
      </c>
      <c r="H54" s="32" t="n">
        <v>25024.37</v>
      </c>
      <c r="I54" s="32" t="n">
        <v>635</v>
      </c>
      <c r="J54" s="32" t="n">
        <v>3.39</v>
      </c>
      <c r="K54" s="32" t="n">
        <v>0</v>
      </c>
      <c r="L54" s="31" t="n">
        <v>25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68.42</v>
      </c>
      <c r="P54" s="32" t="n">
        <v>20.71</v>
      </c>
      <c r="Q54" s="32" t="n">
        <v>499.81</v>
      </c>
      <c r="R54" s="31" t="inlineStr">
        <is>
          <t>Near 52W High Breakout</t>
        </is>
      </c>
      <c r="S54" s="31" t="inlineStr">
        <is>
          <t>Nifty IT</t>
        </is>
      </c>
      <c r="T54" s="32" t="n">
        <v>-19.75</v>
      </c>
      <c r="U54" s="32" t="n">
        <v>12.68</v>
      </c>
      <c r="V54" s="32" t="n">
        <v>40.42</v>
      </c>
      <c r="W54" s="32" t="n">
        <v>9.17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Between 12 to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18</t>
        </is>
      </c>
      <c r="CG54" s="31">
        <f>IF(CF54&gt;20,10,IF(CF54&gt;=10,5,2))</f>
        <v/>
      </c>
    </row>
    <row r="55">
      <c r="A55" s="31">
        <f>IF(B55=0,"",RANK(B55,$B$2:$B$97,0))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4" t="inlineStr">
        <is>
          <t>KABRAEXTRU</t>
        </is>
      </c>
      <c r="D55" s="34" t="inlineStr">
        <is>
          <t>Kabra Extrusion Technik Ltd</t>
        </is>
      </c>
      <c r="E55" s="31" t="inlineStr">
        <is>
          <t>industrials</t>
        </is>
      </c>
      <c r="F55" s="31" t="inlineStr">
        <is>
          <t>Capital Goods Engineering Heavy</t>
        </is>
      </c>
      <c r="G55" s="31" t="inlineStr">
        <is>
          <t>smallcap</t>
        </is>
      </c>
      <c r="H55" s="32" t="n">
        <v>2797.83</v>
      </c>
      <c r="I55" s="32" t="n">
        <v>800</v>
      </c>
      <c r="J55" s="32" t="n">
        <v>3.75</v>
      </c>
      <c r="K55" s="32" t="n">
        <v>0</v>
      </c>
      <c r="L55" s="31" t="n">
        <v>98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76.59999999999999</v>
      </c>
      <c r="P55" s="32" t="n">
        <v>74.59</v>
      </c>
      <c r="Q55" s="32" t="n">
        <v>620.37</v>
      </c>
      <c r="R55" s="31" t="inlineStr">
        <is>
          <t>Earnings / Momentum Support</t>
        </is>
      </c>
      <c r="S55" s="31" t="inlineStr">
        <is>
          <t>Nifty 50</t>
        </is>
      </c>
      <c r="T55" s="32" t="n">
        <v>-10.93</v>
      </c>
      <c r="U55" s="32" t="n">
        <v>214.4</v>
      </c>
      <c r="V55" s="32" t="n">
        <v>253</v>
      </c>
      <c r="W55" s="32" t="n">
        <v>72.36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15</t>
        </is>
      </c>
      <c r="CG55" s="31">
        <f>IF(CF55&gt;20,10,IF(CF55&gt;=10,5,2))</f>
        <v/>
      </c>
    </row>
    <row r="56">
      <c r="A56" s="31">
        <f>IF(B56=0,"",RANK(B56,$B$2:$B$97,0))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JAMNAAUTO</t>
        </is>
      </c>
      <c r="D56" s="31" t="inlineStr">
        <is>
          <t>Jamna Auto Industries Ltd</t>
        </is>
      </c>
      <c r="E56" s="31" t="inlineStr">
        <is>
          <t>auto</t>
        </is>
      </c>
      <c r="F56" s="31" t="inlineStr">
        <is>
          <t>Auto Springs</t>
        </is>
      </c>
      <c r="G56" s="31" t="inlineStr">
        <is>
          <t>midcap</t>
        </is>
      </c>
      <c r="H56" s="32" t="n">
        <v>5731.79</v>
      </c>
      <c r="I56" s="32" t="n">
        <v>143.3</v>
      </c>
      <c r="J56" s="32" t="n">
        <v>-3.14</v>
      </c>
      <c r="K56" s="32" t="n">
        <v>0</v>
      </c>
      <c r="L56" s="31" t="inlineStr"/>
      <c r="M56" s="31" t="inlineStr"/>
      <c r="N56" s="32">
        <f>IF(M56="Underperforming",-5,IF(L56&gt;=95,15,IF(L56&gt;=90,10,IF(L56&gt;=80,5,0))))</f>
        <v/>
      </c>
      <c r="O56" s="32" t="n">
        <v>58.01</v>
      </c>
      <c r="P56" s="32" t="n">
        <v>34.31</v>
      </c>
      <c r="Q56" s="32" t="n">
        <v>105.09</v>
      </c>
      <c r="R56" s="31" t="inlineStr">
        <is>
          <t>Volume Spike &amp; Near 52W High Breakout</t>
        </is>
      </c>
      <c r="S56" s="31" t="inlineStr">
        <is>
          <t>Nifty Auto</t>
        </is>
      </c>
      <c r="T56" s="32" t="inlineStr"/>
      <c r="U56" s="32" t="inlineStr"/>
      <c r="V56" s="32" t="inlineStr"/>
      <c r="W56" s="32" t="inlineStr"/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Less than 12%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14</t>
        </is>
      </c>
      <c r="CG56" s="31">
        <f>IF(CF56&gt;20,10,IF(CF56&gt;=10,5,2))</f>
        <v/>
      </c>
    </row>
    <row r="57">
      <c r="A57" s="31">
        <f>IF(B57=0,"",RANK(B57,$B$2:$B$97,0))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4" t="inlineStr">
        <is>
          <t>AVADHSUGAR</t>
        </is>
      </c>
      <c r="D57" s="34" t="inlineStr">
        <is>
          <t>Avadh Sugar &amp; Energy Ltd</t>
        </is>
      </c>
      <c r="E57" s="31" t="inlineStr">
        <is>
          <t>fmcg</t>
        </is>
      </c>
      <c r="F57" s="31" t="inlineStr">
        <is>
          <t>Sugar</t>
        </is>
      </c>
      <c r="G57" s="31" t="inlineStr">
        <is>
          <t>smallcap</t>
        </is>
      </c>
      <c r="H57" s="32" t="n">
        <v>1889.34</v>
      </c>
      <c r="I57" s="32" t="n">
        <v>943.8</v>
      </c>
      <c r="J57" s="32" t="n">
        <v>0.45</v>
      </c>
      <c r="K57" s="32" t="n">
        <v>0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76.54000000000001</v>
      </c>
      <c r="P57" s="32" t="n">
        <v>58.25</v>
      </c>
      <c r="Q57" s="32" t="n">
        <v>707.04</v>
      </c>
      <c r="R57" s="31" t="inlineStr">
        <is>
          <t>Near 52W High Breakout</t>
        </is>
      </c>
      <c r="S57" s="31" t="inlineStr">
        <is>
          <t>Nifty FMCG</t>
        </is>
      </c>
      <c r="T57" s="32" t="inlineStr"/>
      <c r="U57" s="32" t="inlineStr"/>
      <c r="V57" s="32" t="inlineStr"/>
      <c r="W57" s="32" t="inlineStr"/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B2C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More than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16</t>
        </is>
      </c>
      <c r="CG57" s="31">
        <f>IF(CF57&gt;20,10,IF(CF57&gt;=10,5,2))</f>
        <v/>
      </c>
    </row>
    <row r="58">
      <c r="A58" s="31">
        <f>IF(B58=0,"",RANK(B58,$B$2:$B$97,0))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GANDHAR</t>
        </is>
      </c>
      <c r="D58" s="31" t="inlineStr">
        <is>
          <t>Gandhar Oil Refinery (India) Ltd</t>
        </is>
      </c>
      <c r="E58" s="31" t="inlineStr">
        <is>
          <t>energy</t>
        </is>
      </c>
      <c r="F58" s="31" t="inlineStr">
        <is>
          <t>Refineries</t>
        </is>
      </c>
      <c r="G58" s="31" t="inlineStr">
        <is>
          <t>smallcap</t>
        </is>
      </c>
      <c r="H58" s="32" t="n">
        <v>2888.21</v>
      </c>
      <c r="I58" s="32" t="n">
        <v>295.05</v>
      </c>
      <c r="J58" s="32" t="n">
        <v>-0.47</v>
      </c>
      <c r="K58" s="32" t="n">
        <v>0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71.75</v>
      </c>
      <c r="P58" s="32" t="n">
        <v>78.27</v>
      </c>
      <c r="Q58" s="32" t="n">
        <v>227.97</v>
      </c>
      <c r="R58" s="31" t="inlineStr">
        <is>
          <t>Near 52W High Breakout</t>
        </is>
      </c>
      <c r="S58" s="31" t="inlineStr">
        <is>
          <t>Nifty Energy</t>
        </is>
      </c>
      <c r="T58" s="32" t="inlineStr"/>
      <c r="U58" s="32" t="inlineStr"/>
      <c r="V58" s="32" t="inlineStr"/>
      <c r="W58" s="32" t="inlineStr"/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Oligopoly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Cyclical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Volatile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Between 1.5 to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22</t>
        </is>
      </c>
      <c r="CG58" s="31">
        <f>IF(CF58&gt;20,10,IF(CF58&gt;=10,5,2))</f>
        <v/>
      </c>
    </row>
    <row r="59">
      <c r="A59" s="31">
        <f>IF(B59=0,"",RANK(B59,$B$2:$B$97,0))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SAMBHV</t>
        </is>
      </c>
      <c r="D59" s="31" t="inlineStr">
        <is>
          <t>Sambhv Steel Tubes Ltd</t>
        </is>
      </c>
      <c r="E59" s="31" t="inlineStr">
        <is>
          <t>metals &amp; mining</t>
        </is>
      </c>
      <c r="F59" s="31" t="inlineStr">
        <is>
          <t>Steel Tubes and Pipes</t>
        </is>
      </c>
      <c r="G59" s="31" t="inlineStr">
        <is>
          <t>smallcap</t>
        </is>
      </c>
      <c r="H59" s="32" t="n">
        <v>4729.48</v>
      </c>
      <c r="I59" s="32" t="n">
        <v>160.5</v>
      </c>
      <c r="J59" s="32" t="n">
        <v>2.03</v>
      </c>
      <c r="K59" s="32" t="n">
        <v>0</v>
      </c>
      <c r="L59" s="31" t="inlineStr"/>
      <c r="M59" s="31" t="inlineStr"/>
      <c r="N59" s="32">
        <f>IF(M59="Underperforming",-5,IF(L59&gt;=95,15,IF(L59&gt;=90,10,IF(L59&gt;=80,5,0))))</f>
        <v/>
      </c>
      <c r="O59" s="32" t="n">
        <v>77.8</v>
      </c>
      <c r="P59" s="32" t="n">
        <v>49.27</v>
      </c>
      <c r="Q59" s="32" t="n">
        <v>124.65</v>
      </c>
      <c r="R59" s="31" t="inlineStr">
        <is>
          <t>Near 52W High Breakout</t>
        </is>
      </c>
      <c r="S59" s="31" t="inlineStr">
        <is>
          <t>Nifty Metal</t>
        </is>
      </c>
      <c r="T59" s="32" t="inlineStr"/>
      <c r="U59" s="32" t="inlineStr"/>
      <c r="V59" s="32" t="inlineStr"/>
      <c r="W59" s="32" t="inlineStr"/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Cyclical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Volatile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21</t>
        </is>
      </c>
      <c r="CG59" s="31">
        <f>IF(CF59&gt;20,10,IF(CF59&gt;=10,5,2))</f>
        <v/>
      </c>
    </row>
    <row r="60">
      <c r="A60" s="31">
        <f>IF(B60=0,"",RANK(B60,$B$2:$B$97,0))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MUKANDLTD</t>
        </is>
      </c>
      <c r="D60" s="31" t="inlineStr">
        <is>
          <t>Mukand Ltd</t>
        </is>
      </c>
      <c r="E60" s="31" t="inlineStr">
        <is>
          <t>metals &amp; mining</t>
        </is>
      </c>
      <c r="F60" s="31" t="inlineStr">
        <is>
          <t>Steel</t>
        </is>
      </c>
      <c r="G60" s="31" t="inlineStr">
        <is>
          <t>smallcap</t>
        </is>
      </c>
      <c r="H60" s="32" t="n">
        <v>2556.13</v>
      </c>
      <c r="I60" s="32" t="n">
        <v>176.9</v>
      </c>
      <c r="J60" s="32" t="n">
        <v>1.5</v>
      </c>
      <c r="K60" s="32" t="n">
        <v>0</v>
      </c>
      <c r="L60" s="31" t="inlineStr"/>
      <c r="M60" s="31" t="inlineStr"/>
      <c r="N60" s="32">
        <f>IF(M60="Underperforming",-5,IF(L60&gt;=95,15,IF(L60&gt;=90,10,IF(L60&gt;=80,5,0))))</f>
        <v/>
      </c>
      <c r="O60" s="32" t="n">
        <v>72.66</v>
      </c>
      <c r="P60" s="32" t="n">
        <v>42.95</v>
      </c>
      <c r="Q60" s="32" t="n">
        <v>138.16</v>
      </c>
      <c r="R60" s="31" t="inlineStr">
        <is>
          <t>Volume Spike &amp; Near 52W High Breakout</t>
        </is>
      </c>
      <c r="S60" s="31" t="inlineStr">
        <is>
          <t>Nifty Metal</t>
        </is>
      </c>
      <c r="T60" s="32" t="inlineStr"/>
      <c r="U60" s="32" t="inlineStr"/>
      <c r="V60" s="32" t="inlineStr"/>
      <c r="W60" s="32" t="inlineStr"/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Cyclical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Volatile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20</t>
        </is>
      </c>
      <c r="CG60" s="31">
        <f>IF(CF60&gt;20,10,IF(CF60&gt;=10,5,2))</f>
        <v/>
      </c>
    </row>
    <row r="61">
      <c r="A61" s="31">
        <f>IF(B61=0,"",RANK(B61,$B$2:$B$97,0))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4" t="inlineStr">
        <is>
          <t>MMP</t>
        </is>
      </c>
      <c r="D61" s="34" t="inlineStr">
        <is>
          <t>MMP Industries Ltd</t>
        </is>
      </c>
      <c r="E61" s="31" t="inlineStr">
        <is>
          <t>metals &amp; mining</t>
        </is>
      </c>
      <c r="F61" s="31" t="inlineStr">
        <is>
          <t>Aluminium Products</t>
        </is>
      </c>
      <c r="G61" s="31" t="inlineStr">
        <is>
          <t>smallcap</t>
        </is>
      </c>
      <c r="H61" s="32" t="n">
        <v>1282.83</v>
      </c>
      <c r="I61" s="32" t="n">
        <v>505</v>
      </c>
      <c r="J61" s="32" t="n">
        <v>4.5</v>
      </c>
      <c r="K61" s="32" t="n">
        <v>0</v>
      </c>
      <c r="L61" s="31" t="inlineStr"/>
      <c r="M61" s="31" t="inlineStr"/>
      <c r="N61" s="32">
        <f>IF(M61="Underperforming",-5,IF(L61&gt;=95,15,IF(L61&gt;=90,10,IF(L61&gt;=80,5,0))))</f>
        <v/>
      </c>
      <c r="O61" s="32" t="n">
        <v>82.01000000000001</v>
      </c>
      <c r="P61" s="32" t="n">
        <v>62.05</v>
      </c>
      <c r="Q61" s="32" t="n">
        <v>374.17</v>
      </c>
      <c r="R61" s="31" t="inlineStr">
        <is>
          <t>Near 52W High Breakout</t>
        </is>
      </c>
      <c r="S61" s="31" t="inlineStr">
        <is>
          <t>Nifty Metal</t>
        </is>
      </c>
      <c r="T61" s="32" t="inlineStr"/>
      <c r="U61" s="32" t="inlineStr"/>
      <c r="V61" s="32" t="inlineStr"/>
      <c r="W61" s="32" t="inlineStr"/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Cyclical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Volatile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18</t>
        </is>
      </c>
      <c r="CG61" s="31">
        <f>IF(CF61&gt;20,10,IF(CF61&gt;=10,5,2))</f>
        <v/>
      </c>
    </row>
    <row r="62">
      <c r="A62" s="31">
        <f>IF(B62=0,"",RANK(B62,$B$2:$B$97,0))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DYNAMATECH</t>
        </is>
      </c>
      <c r="D62" s="31" t="inlineStr">
        <is>
          <t>Dynamatic Technologies Ltd</t>
        </is>
      </c>
      <c r="E62" s="31" t="inlineStr">
        <is>
          <t>aerospace &amp; defence</t>
        </is>
      </c>
      <c r="F62" s="31" t="inlineStr">
        <is>
          <t>Aerospace and Defence Equipment</t>
        </is>
      </c>
      <c r="G62" s="31" t="inlineStr">
        <is>
          <t>midcap</t>
        </is>
      </c>
      <c r="H62" s="32" t="n">
        <v>9165.049999999999</v>
      </c>
      <c r="I62" s="32" t="n">
        <v>13495</v>
      </c>
      <c r="J62" s="32" t="n">
        <v>0.78</v>
      </c>
      <c r="K62" s="32" t="n">
        <v>0</v>
      </c>
      <c r="L62" s="31" t="n">
        <v>43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66.23999999999999</v>
      </c>
      <c r="P62" s="32" t="n">
        <v>32.58</v>
      </c>
      <c r="Q62" s="32" t="n">
        <v>10508.07</v>
      </c>
      <c r="R62" s="31" t="inlineStr">
        <is>
          <t>Near 52W High Breakout</t>
        </is>
      </c>
      <c r="S62" s="31" t="inlineStr">
        <is>
          <t>Nifty 50</t>
        </is>
      </c>
      <c r="T62" s="32" t="n">
        <v>-10.93</v>
      </c>
      <c r="U62" s="32" t="n">
        <v>71.06</v>
      </c>
      <c r="V62" s="32" t="n">
        <v>92.06</v>
      </c>
      <c r="W62" s="32" t="n">
        <v>16.65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15</t>
        </is>
      </c>
      <c r="CG62" s="31">
        <f>IF(CF62&gt;20,10,IF(CF62&gt;=10,5,2))</f>
        <v/>
      </c>
    </row>
    <row r="63">
      <c r="A63" s="31">
        <f>IF(B63=0,"",RANK(B63,$B$2:$B$97,0))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MACPOWER</t>
        </is>
      </c>
      <c r="D63" s="31" t="inlineStr">
        <is>
          <t>Macpower CNC Machines Ltd</t>
        </is>
      </c>
      <c r="E63" s="31" t="inlineStr">
        <is>
          <t>Industrials</t>
        </is>
      </c>
      <c r="F63" s="31" t="inlineStr">
        <is>
          <t>CNC Machines</t>
        </is>
      </c>
      <c r="G63" s="31" t="inlineStr">
        <is>
          <t>smallcap</t>
        </is>
      </c>
      <c r="H63" s="32" t="n">
        <v>1919.8</v>
      </c>
      <c r="I63" s="32" t="n">
        <v>1919</v>
      </c>
      <c r="J63" s="32" t="n">
        <v>-3.13</v>
      </c>
      <c r="K63" s="32" t="n">
        <v>0</v>
      </c>
      <c r="L63" s="31" t="n">
        <v>65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62.42</v>
      </c>
      <c r="P63" s="32" t="n">
        <v>55.07</v>
      </c>
      <c r="Q63" s="32" t="n">
        <v>1490.68</v>
      </c>
      <c r="R63" s="31" t="inlineStr">
        <is>
          <t>Earnings / Momentum Support</t>
        </is>
      </c>
      <c r="S63" s="31" t="inlineStr">
        <is>
          <t>Nifty 50</t>
        </is>
      </c>
      <c r="T63" s="32" t="n">
        <v>-10.93</v>
      </c>
      <c r="U63" s="32" t="n">
        <v>125.62</v>
      </c>
      <c r="V63" s="32" t="n">
        <v>153.32</v>
      </c>
      <c r="W63" s="32" t="n">
        <v>26.4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15</t>
        </is>
      </c>
      <c r="CG63" s="31">
        <f>IF(CF63&gt;20,10,IF(CF63&gt;=10,5,2))</f>
        <v/>
      </c>
    </row>
    <row r="64">
      <c r="A64" s="31">
        <f>IF(B64=0,"",RANK(B64,$B$2:$B$97,0))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KPL</t>
        </is>
      </c>
      <c r="D64" s="31" t="inlineStr">
        <is>
          <t>Kwality Pharmaceuticals Ltd</t>
        </is>
      </c>
      <c r="E64" s="31" t="inlineStr">
        <is>
          <t>Healthcare</t>
        </is>
      </c>
      <c r="F64" s="31" t="inlineStr">
        <is>
          <t>Pharma Formulations</t>
        </is>
      </c>
      <c r="G64" s="31" t="inlineStr">
        <is>
          <t>smallcap</t>
        </is>
      </c>
      <c r="H64" s="32" t="n">
        <v>3710.58</v>
      </c>
      <c r="I64" s="32" t="n">
        <v>3576.05</v>
      </c>
      <c r="J64" s="32" t="n">
        <v>1.3</v>
      </c>
      <c r="K64" s="32" t="n">
        <v>0</v>
      </c>
      <c r="L64" s="31" t="n">
        <v>91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71.37</v>
      </c>
      <c r="P64" s="32" t="n">
        <v>68.42</v>
      </c>
      <c r="Q64" s="32" t="n">
        <v>2675.79</v>
      </c>
      <c r="R64" s="31" t="inlineStr">
        <is>
          <t>Near 52W High Breakout</t>
        </is>
      </c>
      <c r="S64" s="31" t="inlineStr">
        <is>
          <t>Nifty Pharma</t>
        </is>
      </c>
      <c r="T64" s="32" t="n">
        <v>16.85</v>
      </c>
      <c r="U64" s="32" t="n">
        <v>308.73</v>
      </c>
      <c r="V64" s="32" t="n">
        <v>249.79</v>
      </c>
      <c r="W64" s="32" t="n">
        <v>41.73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19</t>
        </is>
      </c>
      <c r="CG64" s="31">
        <f>IF(CF64&gt;20,10,IF(CF64&gt;=10,5,2))</f>
        <v/>
      </c>
    </row>
    <row r="65">
      <c r="A65" s="31">
        <f>IF(B65=0,"",RANK(B65,$B$2:$B$97,0))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ONEPOINT</t>
        </is>
      </c>
      <c r="D65" s="31" t="inlineStr">
        <is>
          <t>One Point One Solutions Ltd</t>
        </is>
      </c>
      <c r="E65" s="31" t="inlineStr">
        <is>
          <t>i.t</t>
        </is>
      </c>
      <c r="F65" s="31" t="inlineStr">
        <is>
          <t>IT Enabled Services</t>
        </is>
      </c>
      <c r="G65" s="31" t="inlineStr">
        <is>
          <t>smallcap</t>
        </is>
      </c>
      <c r="H65" s="32" t="n">
        <v>2116.64</v>
      </c>
      <c r="I65" s="32" t="n">
        <v>80.5</v>
      </c>
      <c r="J65" s="32" t="n">
        <v>2.61</v>
      </c>
      <c r="K65" s="32" t="n">
        <v>0</v>
      </c>
      <c r="L65" s="31" t="n">
        <v>52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76.51000000000001</v>
      </c>
      <c r="P65" s="32" t="n">
        <v>19.26</v>
      </c>
      <c r="Q65" s="32" t="n">
        <v>63.57</v>
      </c>
      <c r="R65" s="31" t="inlineStr">
        <is>
          <t>Volume Spike &amp; Near 52W High Breakout</t>
        </is>
      </c>
      <c r="S65" s="31" t="inlineStr">
        <is>
          <t>Nifty IT</t>
        </is>
      </c>
      <c r="T65" s="32" t="n">
        <v>-19.75</v>
      </c>
      <c r="U65" s="32" t="n">
        <v>61.66</v>
      </c>
      <c r="V65" s="32" t="n">
        <v>101.45</v>
      </c>
      <c r="W65" s="32" t="n">
        <v>21.43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0 to 20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22</t>
        </is>
      </c>
      <c r="CG65" s="31">
        <f>IF(CF65&gt;20,10,IF(CF65&gt;=10,5,2))</f>
        <v/>
      </c>
    </row>
    <row r="66">
      <c r="A66" s="31">
        <f>IF(B66=0,"",RANK(B66,$B$2:$B$97,0))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4" t="inlineStr">
        <is>
          <t>SOTL</t>
        </is>
      </c>
      <c r="D66" s="34" t="inlineStr">
        <is>
          <t>Savita Oil Technologies Ltd</t>
        </is>
      </c>
      <c r="E66" s="31" t="inlineStr">
        <is>
          <t>energy</t>
        </is>
      </c>
      <c r="F66" s="31" t="inlineStr">
        <is>
          <t>Petrochemicals Others</t>
        </is>
      </c>
      <c r="G66" s="31" t="inlineStr">
        <is>
          <t>midcap</t>
        </is>
      </c>
      <c r="H66" s="32" t="n">
        <v>5251.73</v>
      </c>
      <c r="I66" s="32" t="n">
        <v>766</v>
      </c>
      <c r="J66" s="32" t="n">
        <v>0.24</v>
      </c>
      <c r="K66" s="32" t="n">
        <v>0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68.45</v>
      </c>
      <c r="P66" s="32" t="n">
        <v>65.31999999999999</v>
      </c>
      <c r="Q66" s="32" t="n">
        <v>520.38</v>
      </c>
      <c r="R66" s="31" t="inlineStr">
        <is>
          <t>Near 52W High Breakout</t>
        </is>
      </c>
      <c r="S66" s="31" t="inlineStr">
        <is>
          <t>Nifty Energy</t>
        </is>
      </c>
      <c r="T66" s="32" t="inlineStr"/>
      <c r="U66" s="32" t="inlineStr"/>
      <c r="V66" s="32" t="inlineStr"/>
      <c r="W66" s="32" t="inlineStr"/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Oligopoly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Cyclical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Volatile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20</t>
        </is>
      </c>
      <c r="CG66" s="31">
        <f>IF(CF66&gt;20,10,IF(CF66&gt;=10,5,2))</f>
        <v/>
      </c>
    </row>
    <row r="67">
      <c r="A67" s="31">
        <f>IF(B67=0,"",RANK(B67,$B$2:$B$97,0))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AEGISLOG</t>
        </is>
      </c>
      <c r="D67" s="31" t="inlineStr">
        <is>
          <t>Aegis Logistics Ltd</t>
        </is>
      </c>
      <c r="E67" s="31" t="inlineStr">
        <is>
          <t>Energy</t>
        </is>
      </c>
      <c r="F67" s="31" t="inlineStr">
        <is>
          <t>Logistics</t>
        </is>
      </c>
      <c r="G67" s="31" t="inlineStr">
        <is>
          <t>largecap</t>
        </is>
      </c>
      <c r="H67" s="32" t="n">
        <v>48683.7</v>
      </c>
      <c r="I67" s="32" t="n">
        <v>1387</v>
      </c>
      <c r="J67" s="32" t="n">
        <v>0.34</v>
      </c>
      <c r="K67" s="32" t="n">
        <v>0</v>
      </c>
      <c r="L67" s="31" t="inlineStr"/>
      <c r="M67" s="31" t="inlineStr"/>
      <c r="N67" s="32">
        <f>IF(M67="Underperforming",-5,IF(L67&gt;=95,15,IF(L67&gt;=90,10,IF(L67&gt;=80,5,0))))</f>
        <v/>
      </c>
      <c r="O67" s="32" t="n">
        <v>64.34</v>
      </c>
      <c r="P67" s="32" t="n">
        <v>56.78</v>
      </c>
      <c r="Q67" s="32" t="n">
        <v>1015.92</v>
      </c>
      <c r="R67" s="31" t="inlineStr">
        <is>
          <t>Near 52W High Breakout</t>
        </is>
      </c>
      <c r="S67" s="31" t="inlineStr">
        <is>
          <t>Nifty Energy</t>
        </is>
      </c>
      <c r="T67" s="32" t="inlineStr"/>
      <c r="U67" s="32" t="inlineStr"/>
      <c r="V67" s="32" t="inlineStr"/>
      <c r="W67" s="32" t="inlineStr"/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Oligopoly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Cyclical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Volatile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19</t>
        </is>
      </c>
      <c r="CG67" s="31">
        <f>IF(CF67&gt;20,10,IF(CF67&gt;=10,5,2))</f>
        <v/>
      </c>
    </row>
    <row r="68">
      <c r="A68" s="31">
        <f>IF(B68=0,"",RANK(B68,$B$2:$B$97,0))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ENGINERSIN</t>
        </is>
      </c>
      <c r="D68" s="31" t="inlineStr">
        <is>
          <t>Engineers India Ltd</t>
        </is>
      </c>
      <c r="E68" s="31" t="inlineStr">
        <is>
          <t>Industrials</t>
        </is>
      </c>
      <c r="F68" s="31" t="inlineStr">
        <is>
          <t>Infra Engineering General</t>
        </is>
      </c>
      <c r="G68" s="31" t="inlineStr">
        <is>
          <t>midcap</t>
        </is>
      </c>
      <c r="H68" s="32" t="n">
        <v>16481.89</v>
      </c>
      <c r="I68" s="32" t="n">
        <v>293.25</v>
      </c>
      <c r="J68" s="32" t="n">
        <v>1.47</v>
      </c>
      <c r="K68" s="32" t="n">
        <v>0</v>
      </c>
      <c r="L68" s="31" t="inlineStr"/>
      <c r="M68" s="31" t="inlineStr"/>
      <c r="N68" s="32">
        <f>IF(M68="Underperforming",-5,IF(L68&gt;=95,15,IF(L68&gt;=90,10,IF(L68&gt;=80,5,0))))</f>
        <v/>
      </c>
      <c r="O68" s="32" t="n">
        <v>63.54</v>
      </c>
      <c r="P68" s="32" t="n">
        <v>21.26</v>
      </c>
      <c r="Q68" s="32" t="n">
        <v>246.87</v>
      </c>
      <c r="R68" s="31" t="inlineStr">
        <is>
          <t>Earnings / Momentum Support</t>
        </is>
      </c>
      <c r="S68" s="31" t="inlineStr">
        <is>
          <t>Nifty Infra</t>
        </is>
      </c>
      <c r="T68" s="32" t="inlineStr"/>
      <c r="U68" s="32" t="inlineStr"/>
      <c r="V68" s="32" t="inlineStr"/>
      <c r="W68" s="32" t="inlineStr"/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17</t>
        </is>
      </c>
      <c r="CG68" s="31">
        <f>IF(CF68&gt;20,10,IF(CF68&gt;=10,5,2))</f>
        <v/>
      </c>
    </row>
    <row r="69">
      <c r="A69" s="31">
        <f>IF(B69=0,"",RANK(B69,$B$2:$B$97,0))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TATVA</t>
        </is>
      </c>
      <c r="D69" s="31" t="inlineStr">
        <is>
          <t>Tatva Chintan Pharma Chem Ltd</t>
        </is>
      </c>
      <c r="E69" s="31" t="inlineStr">
        <is>
          <t>Basic Materials</t>
        </is>
      </c>
      <c r="F69" s="31" t="inlineStr">
        <is>
          <t>Specialty Chemicals</t>
        </is>
      </c>
      <c r="G69" s="31" t="inlineStr">
        <is>
          <t>smallcap</t>
        </is>
      </c>
      <c r="H69" s="32" t="n">
        <v>4234.2</v>
      </c>
      <c r="I69" s="32" t="n">
        <v>1810.1</v>
      </c>
      <c r="J69" s="32" t="n">
        <v>-2.45</v>
      </c>
      <c r="K69" s="32" t="n">
        <v>0</v>
      </c>
      <c r="L69" s="31" t="n">
        <v>49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66.52</v>
      </c>
      <c r="P69" s="32" t="n">
        <v>42.31</v>
      </c>
      <c r="Q69" s="32" t="n">
        <v>1322.58</v>
      </c>
      <c r="R69" s="31" t="inlineStr">
        <is>
          <t>Volume Spike &amp; Near 52W High Breakout</t>
        </is>
      </c>
      <c r="S69" s="31" t="inlineStr">
        <is>
          <t>Nifty 50</t>
        </is>
      </c>
      <c r="T69" s="32" t="n">
        <v>-10.93</v>
      </c>
      <c r="U69" s="32" t="n">
        <v>69</v>
      </c>
      <c r="V69" s="32" t="n">
        <v>89.75</v>
      </c>
      <c r="W69" s="32" t="n">
        <v>19.24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Cyclical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Volatile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16</t>
        </is>
      </c>
      <c r="CG69" s="31">
        <f>IF(CF69&gt;20,10,IF(CF69&gt;=10,5,2))</f>
        <v/>
      </c>
    </row>
    <row r="70">
      <c r="A70" s="31">
        <f>IF(B70=0,"",RANK(B70,$B$2:$B$97,0))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WHEELS</t>
        </is>
      </c>
      <c r="D70" s="31" t="inlineStr">
        <is>
          <t>Wheels India Ltd</t>
        </is>
      </c>
      <c r="E70" s="31" t="inlineStr">
        <is>
          <t>auto</t>
        </is>
      </c>
      <c r="F70" s="31" t="inlineStr">
        <is>
          <t>Auto Wheels</t>
        </is>
      </c>
      <c r="G70" s="31" t="inlineStr">
        <is>
          <t>midcap</t>
        </is>
      </c>
      <c r="H70" s="32" t="n">
        <v>5931.21</v>
      </c>
      <c r="I70" s="32" t="n">
        <v>2208</v>
      </c>
      <c r="J70" s="32" t="n">
        <v>-0.01</v>
      </c>
      <c r="K70" s="32" t="n">
        <v>0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73.17</v>
      </c>
      <c r="P70" s="32" t="n">
        <v>60.26</v>
      </c>
      <c r="Q70" s="32" t="n">
        <v>1693.52</v>
      </c>
      <c r="R70" s="31" t="inlineStr">
        <is>
          <t>Near 52W High Breakout</t>
        </is>
      </c>
      <c r="S70" s="31" t="inlineStr">
        <is>
          <t>Nifty Auto</t>
        </is>
      </c>
      <c r="T70" s="32" t="inlineStr"/>
      <c r="U70" s="32" t="inlineStr"/>
      <c r="V70" s="32" t="inlineStr"/>
      <c r="W70" s="32" t="inlineStr"/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16</t>
        </is>
      </c>
      <c r="CG70" s="31">
        <f>IF(CF70&gt;20,10,IF(CF70&gt;=10,5,2))</f>
        <v/>
      </c>
    </row>
    <row r="71">
      <c r="A71" s="31">
        <f>IF(B71=0,"",RANK(B71,$B$2:$B$97,0))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YASHHV</t>
        </is>
      </c>
      <c r="D71" s="31" t="inlineStr">
        <is>
          <t>Yash Highvoltage Ltd</t>
        </is>
      </c>
      <c r="E71" s="31" t="inlineStr">
        <is>
          <t>Industrials</t>
        </is>
      </c>
      <c r="F71" s="31" t="inlineStr">
        <is>
          <t>Electric Equipment General</t>
        </is>
      </c>
      <c r="G71" s="31" t="inlineStr">
        <is>
          <t>smallcap</t>
        </is>
      </c>
      <c r="H71" s="32" t="n">
        <v>3526.75</v>
      </c>
      <c r="I71" s="32" t="n">
        <v>1180</v>
      </c>
      <c r="J71" s="32" t="n">
        <v>2.62</v>
      </c>
      <c r="K71" s="32" t="n">
        <v>0</v>
      </c>
      <c r="L71" s="31" t="n">
        <v>69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78.42</v>
      </c>
      <c r="P71" s="32" t="n">
        <v>63.57</v>
      </c>
      <c r="Q71" s="32" t="n">
        <v>901.36</v>
      </c>
      <c r="R71" s="31" t="inlineStr">
        <is>
          <t>Near 52W High Breakout</t>
        </is>
      </c>
      <c r="S71" s="31" t="inlineStr">
        <is>
          <t>Nifty 50</t>
        </is>
      </c>
      <c r="T71" s="32" t="n">
        <v>-10.93</v>
      </c>
      <c r="U71" s="32" t="n">
        <v>124.23</v>
      </c>
      <c r="V71" s="32" t="n">
        <v>151.76</v>
      </c>
      <c r="W71" s="32" t="n">
        <v>28.32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Less than 50%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15</t>
        </is>
      </c>
      <c r="CG71" s="31">
        <f>IF(CF71&gt;20,10,IF(CF71&gt;=10,5,2))</f>
        <v/>
      </c>
    </row>
    <row r="72">
      <c r="A72" s="31">
        <f>IF(B72=0,"",RANK(B72,$B$2:$B$97,0))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PVRINOX</t>
        </is>
      </c>
      <c r="D72" s="34" t="inlineStr">
        <is>
          <t>PVR Inox Ltd</t>
        </is>
      </c>
      <c r="E72" s="31" t="inlineStr">
        <is>
          <t>media</t>
        </is>
      </c>
      <c r="F72" s="31" t="inlineStr">
        <is>
          <t>Entertainment and Media</t>
        </is>
      </c>
      <c r="G72" s="31" t="inlineStr">
        <is>
          <t>midcap</t>
        </is>
      </c>
      <c r="H72" s="32" t="n">
        <v>13069.43</v>
      </c>
      <c r="I72" s="32" t="n">
        <v>1330.9</v>
      </c>
      <c r="J72" s="32" t="n">
        <v>1.66</v>
      </c>
      <c r="K72" s="32" t="n">
        <v>0</v>
      </c>
      <c r="L72" s="31" t="n">
        <v>33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69.12</v>
      </c>
      <c r="P72" s="32" t="n">
        <v>34.51</v>
      </c>
      <c r="Q72" s="32" t="n">
        <v>1075.2</v>
      </c>
      <c r="R72" s="31" t="inlineStr">
        <is>
          <t>Volume Spike &amp; Near 52W High Breakout</t>
        </is>
      </c>
      <c r="S72" s="31" t="inlineStr">
        <is>
          <t>Nifty IT</t>
        </is>
      </c>
      <c r="T72" s="32" t="n">
        <v>-19.75</v>
      </c>
      <c r="U72" s="32" t="n">
        <v>21.76</v>
      </c>
      <c r="V72" s="32" t="n">
        <v>51.73</v>
      </c>
      <c r="W72" s="32" t="n">
        <v>11.42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15</t>
        </is>
      </c>
      <c r="CG72" s="31">
        <f>IF(CF72&gt;20,10,IF(CF72&gt;=10,5,2))</f>
        <v/>
      </c>
    </row>
    <row r="73">
      <c r="A73" s="31">
        <f>IF(B73=0,"",RANK(B73,$B$2:$B$97,0))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MMWL</t>
        </is>
      </c>
      <c r="D73" s="34" t="inlineStr">
        <is>
          <t>Media Matrix Worldwide Ltd</t>
        </is>
      </c>
      <c r="E73" s="31" t="inlineStr">
        <is>
          <t>Communication Services</t>
        </is>
      </c>
      <c r="F73" s="31" t="inlineStr">
        <is>
          <t>Technology Distribution</t>
        </is>
      </c>
      <c r="G73" s="31" t="inlineStr">
        <is>
          <t>smallcap</t>
        </is>
      </c>
      <c r="H73" s="32" t="n">
        <v>2334.58</v>
      </c>
      <c r="I73" s="32" t="n">
        <v>20.61</v>
      </c>
      <c r="J73" s="32" t="n">
        <v>3.31</v>
      </c>
      <c r="K73" s="32" t="n">
        <v>0</v>
      </c>
      <c r="L73" s="31" t="n">
        <v>70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75.12</v>
      </c>
      <c r="P73" s="32" t="n">
        <v>36.29</v>
      </c>
      <c r="Q73" s="32" t="n">
        <v>14.92</v>
      </c>
      <c r="R73" s="31" t="inlineStr">
        <is>
          <t>Volume Spike &amp; Near 52W High Breakout</t>
        </is>
      </c>
      <c r="S73" s="31" t="inlineStr">
        <is>
          <t>Nifty 50</t>
        </is>
      </c>
      <c r="T73" s="32" t="n">
        <v>-10.93</v>
      </c>
      <c r="U73" s="32" t="n">
        <v>94.98999999999999</v>
      </c>
      <c r="V73" s="32" t="n">
        <v>118.93</v>
      </c>
      <c r="W73" s="32" t="n">
        <v>28.86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Between 0.7 to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17</t>
        </is>
      </c>
      <c r="CG73" s="31">
        <f>IF(CF73&gt;20,10,IF(CF73&gt;=10,5,2))</f>
        <v/>
      </c>
    </row>
    <row r="74">
      <c r="A74" s="31">
        <f>IF(B74=0,"",RANK(B74,$B$2:$B$97,0))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INOVSYNTH</t>
        </is>
      </c>
      <c r="D74" s="31" t="inlineStr">
        <is>
          <t>Innovassynth Technologies (India) Ltd</t>
        </is>
      </c>
      <c r="E74" s="31" t="inlineStr">
        <is>
          <t>Basic Materials</t>
        </is>
      </c>
      <c r="F74" s="31" t="inlineStr">
        <is>
          <t>Specialty Chemicals</t>
        </is>
      </c>
      <c r="G74" s="31" t="inlineStr">
        <is>
          <t>smallcap</t>
        </is>
      </c>
      <c r="H74" s="32" t="n">
        <v>1578.63</v>
      </c>
      <c r="I74" s="32" t="n">
        <v>170</v>
      </c>
      <c r="J74" s="32" t="n">
        <v>1.98</v>
      </c>
      <c r="K74" s="32" t="n">
        <v>0</v>
      </c>
      <c r="L74" s="31" t="n">
        <v>59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87.58</v>
      </c>
      <c r="P74" s="32" t="n">
        <v>58.75</v>
      </c>
      <c r="Q74" s="32" t="n">
        <v>149.53</v>
      </c>
      <c r="R74" s="31" t="inlineStr">
        <is>
          <t>Volume Spike &amp; Near 52W High Breakout</t>
        </is>
      </c>
      <c r="S74" s="31" t="inlineStr">
        <is>
          <t>Nifty 50</t>
        </is>
      </c>
      <c r="T74" s="32" t="n">
        <v>-10.93</v>
      </c>
      <c r="U74" s="32" t="n">
        <v>89.09999999999999</v>
      </c>
      <c r="V74" s="32" t="n">
        <v>112.32</v>
      </c>
      <c r="W74" s="32" t="n">
        <v>23.86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Between 0.7 to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20</t>
        </is>
      </c>
      <c r="CG74" s="31">
        <f>IF(CF74&gt;20,10,IF(CF74&gt;=10,5,2))</f>
        <v/>
      </c>
    </row>
    <row r="75">
      <c r="A75" s="31">
        <f>IF(B75=0,"",RANK(B75,$B$2:$B$97,0))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STLTECH</t>
        </is>
      </c>
      <c r="D75" s="31" t="inlineStr">
        <is>
          <t>Sterlite Technologies Ltd</t>
        </is>
      </c>
      <c r="E75" s="31" t="inlineStr">
        <is>
          <t>industrials</t>
        </is>
      </c>
      <c r="F75" s="31" t="inlineStr">
        <is>
          <t>Cables Telecom</t>
        </is>
      </c>
      <c r="G75" s="31" t="inlineStr">
        <is>
          <t>largecap</t>
        </is>
      </c>
      <c r="H75" s="32" t="n">
        <v>51822.13</v>
      </c>
      <c r="I75" s="32" t="n">
        <v>1008.1</v>
      </c>
      <c r="J75" s="32" t="n">
        <v>-0.34</v>
      </c>
      <c r="K75" s="32" t="n">
        <v>0</v>
      </c>
      <c r="L75" s="31" t="inlineStr"/>
      <c r="M75" s="31" t="inlineStr"/>
      <c r="N75" s="32">
        <f>IF(M75="Underperforming",-5,IF(L75&gt;=95,15,IF(L75&gt;=90,10,IF(L75&gt;=80,5,0))))</f>
        <v/>
      </c>
      <c r="O75" s="32" t="n">
        <v>80.01000000000001</v>
      </c>
      <c r="P75" s="32" t="n">
        <v>71.38</v>
      </c>
      <c r="Q75" s="32" t="n">
        <v>748.92</v>
      </c>
      <c r="R75" s="31" t="inlineStr">
        <is>
          <t>Near 52W High Breakout</t>
        </is>
      </c>
      <c r="S75" s="31" t="inlineStr">
        <is>
          <t>Nifty Infra</t>
        </is>
      </c>
      <c r="T75" s="32" t="inlineStr"/>
      <c r="U75" s="32" t="inlineStr"/>
      <c r="V75" s="32" t="inlineStr"/>
      <c r="W75" s="32" t="inlineStr"/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Oligopoly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20</t>
        </is>
      </c>
      <c r="CG75" s="31">
        <f>IF(CF75&gt;20,10,IF(CF75&gt;=10,5,2))</f>
        <v/>
      </c>
    </row>
    <row r="76">
      <c r="A76" s="31">
        <f>IF(B76=0,"",RANK(B76,$B$2:$B$97,0))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RAMRAT</t>
        </is>
      </c>
      <c r="D76" s="31" t="inlineStr">
        <is>
          <t>Ram Ratna Wires Ltd</t>
        </is>
      </c>
      <c r="E76" s="31" t="inlineStr">
        <is>
          <t>Industrials</t>
        </is>
      </c>
      <c r="F76" s="31" t="inlineStr">
        <is>
          <t>Copper Wires</t>
        </is>
      </c>
      <c r="G76" s="31" t="inlineStr">
        <is>
          <t>midcap</t>
        </is>
      </c>
      <c r="H76" s="32" t="n">
        <v>5458.59</v>
      </c>
      <c r="I76" s="32" t="n">
        <v>584.75</v>
      </c>
      <c r="J76" s="32" t="n">
        <v>-4.32</v>
      </c>
      <c r="K76" s="32" t="n">
        <v>0</v>
      </c>
      <c r="L76" s="31" t="n">
        <v>55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67.61</v>
      </c>
      <c r="P76" s="32" t="n">
        <v>51.25</v>
      </c>
      <c r="Q76" s="32" t="n">
        <v>461.11</v>
      </c>
      <c r="R76" s="31" t="inlineStr">
        <is>
          <t>Earnings / Momentum Support</t>
        </is>
      </c>
      <c r="S76" s="31" t="inlineStr">
        <is>
          <t>Nifty 50</t>
        </is>
      </c>
      <c r="T76" s="32" t="n">
        <v>-10.93</v>
      </c>
      <c r="U76" s="32" t="n">
        <v>85.92</v>
      </c>
      <c r="V76" s="32" t="n">
        <v>108.75</v>
      </c>
      <c r="W76" s="32" t="n">
        <v>22.54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16</t>
        </is>
      </c>
      <c r="CG76" s="31">
        <f>IF(CF76&gt;20,10,IF(CF76&gt;=10,5,2))</f>
        <v/>
      </c>
    </row>
    <row r="77">
      <c r="A77" s="31">
        <f>IF(B77=0,"",RANK(B77,$B$2:$B$97,0))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4" t="inlineStr">
        <is>
          <t>HONASA</t>
        </is>
      </c>
      <c r="D77" s="34" t="inlineStr">
        <is>
          <t>Honasa Consumer Ltd</t>
        </is>
      </c>
      <c r="E77" s="31" t="inlineStr">
        <is>
          <t>Consumer Defensive</t>
        </is>
      </c>
      <c r="F77" s="31" t="inlineStr">
        <is>
          <t>New age Platform E Retail</t>
        </is>
      </c>
      <c r="G77" s="31" t="inlineStr">
        <is>
          <t>midcap</t>
        </is>
      </c>
      <c r="H77" s="32" t="n">
        <v>15275.86</v>
      </c>
      <c r="I77" s="32" t="n">
        <v>468.55</v>
      </c>
      <c r="J77" s="32" t="n">
        <v>0.22</v>
      </c>
      <c r="K77" s="32" t="n">
        <v>0</v>
      </c>
      <c r="L77" s="31" t="n">
        <v>32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60.55</v>
      </c>
      <c r="P77" s="32" t="n">
        <v>53.41</v>
      </c>
      <c r="Q77" s="32" t="n">
        <v>394.27</v>
      </c>
      <c r="R77" s="31" t="inlineStr">
        <is>
          <t>Volume Spike / Accumulation</t>
        </is>
      </c>
      <c r="S77" s="31" t="inlineStr">
        <is>
          <t>Nifty 50</t>
        </is>
      </c>
      <c r="T77" s="32" t="n">
        <v>-10.93</v>
      </c>
      <c r="U77" s="32" t="n">
        <v>61.6</v>
      </c>
      <c r="V77" s="32" t="n">
        <v>81.44</v>
      </c>
      <c r="W77" s="32" t="n">
        <v>10.99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B2C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15</t>
        </is>
      </c>
      <c r="CG77" s="31">
        <f>IF(CF77&gt;20,10,IF(CF77&gt;=10,5,2))</f>
        <v/>
      </c>
    </row>
    <row r="78">
      <c r="A78" s="31">
        <f>IF(B78=0,"",RANK(B78,$B$2:$B$97,0))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ASMTEC</t>
        </is>
      </c>
      <c r="D78" s="31" t="inlineStr">
        <is>
          <t>ASM Technologies Ltd</t>
        </is>
      </c>
      <c r="E78" s="31" t="inlineStr">
        <is>
          <t>Technology</t>
        </is>
      </c>
      <c r="F78" s="31" t="inlineStr">
        <is>
          <t>IT Services</t>
        </is>
      </c>
      <c r="G78" s="31" t="inlineStr">
        <is>
          <t>midcap</t>
        </is>
      </c>
      <c r="H78" s="32" t="n">
        <v>9773.059999999999</v>
      </c>
      <c r="I78" s="32" t="n">
        <v>6700</v>
      </c>
      <c r="J78" s="32" t="n">
        <v>-0.46</v>
      </c>
      <c r="K78" s="32" t="n">
        <v>0</v>
      </c>
      <c r="L78" s="31" t="n">
        <v>68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75.54000000000001</v>
      </c>
      <c r="P78" s="32" t="n">
        <v>59.89</v>
      </c>
      <c r="Q78" s="32" t="n">
        <v>5193.59</v>
      </c>
      <c r="R78" s="31" t="inlineStr">
        <is>
          <t>Near 52W High Breakout</t>
        </is>
      </c>
      <c r="S78" s="31" t="inlineStr">
        <is>
          <t>Nifty 50</t>
        </is>
      </c>
      <c r="T78" s="32" t="n">
        <v>-10.93</v>
      </c>
      <c r="U78" s="32" t="n">
        <v>77.69</v>
      </c>
      <c r="V78" s="32" t="n">
        <v>99.5</v>
      </c>
      <c r="W78" s="32" t="n">
        <v>28.15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Between 1.5 to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17</t>
        </is>
      </c>
      <c r="CG78" s="31">
        <f>IF(CF78&gt;20,10,IF(CF78&gt;=10,5,2))</f>
        <v/>
      </c>
    </row>
    <row r="79">
      <c r="A79" s="31">
        <f>IF(B79=0,"",RANK(B79,$B$2:$B$97,0))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NYKAA</t>
        </is>
      </c>
      <c r="D79" s="31" t="inlineStr">
        <is>
          <t>FSN E-Commerce Ventures Ltd</t>
        </is>
      </c>
      <c r="E79" s="31" t="inlineStr">
        <is>
          <t>i.t</t>
        </is>
      </c>
      <c r="F79" s="31" t="inlineStr">
        <is>
          <t>New age Platform E Retail</t>
        </is>
      </c>
      <c r="G79" s="31" t="inlineStr">
        <is>
          <t>largecap</t>
        </is>
      </c>
      <c r="H79" s="32" t="n">
        <v>98245.31</v>
      </c>
      <c r="I79" s="32" t="n">
        <v>343</v>
      </c>
      <c r="J79" s="32" t="n">
        <v>3.22</v>
      </c>
      <c r="K79" s="32" t="n">
        <v>0</v>
      </c>
      <c r="L79" s="31" t="n">
        <v>18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66.11</v>
      </c>
      <c r="P79" s="32" t="n">
        <v>50.22</v>
      </c>
      <c r="Q79" s="32" t="n">
        <v>291.93</v>
      </c>
      <c r="R79" s="31" t="inlineStr">
        <is>
          <t>Near 52W High Breakout</t>
        </is>
      </c>
      <c r="S79" s="31" t="inlineStr">
        <is>
          <t>Nifty IT</t>
        </is>
      </c>
      <c r="T79" s="32" t="n">
        <v>-19.75</v>
      </c>
      <c r="U79" s="32" t="n">
        <v>29.34</v>
      </c>
      <c r="V79" s="32" t="n">
        <v>61.18</v>
      </c>
      <c r="W79" s="32" t="n">
        <v>6.59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B2C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17</t>
        </is>
      </c>
      <c r="CG79" s="31">
        <f>IF(CF79&gt;20,10,IF(CF79&gt;=10,5,2))</f>
        <v/>
      </c>
    </row>
    <row r="80">
      <c r="A80" s="31">
        <f>IF(B80=0,"",RANK(B80,$B$2:$B$97,0))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MODISONLTD</t>
        </is>
      </c>
      <c r="D80" s="31" t="inlineStr">
        <is>
          <t>Modison Ltd</t>
        </is>
      </c>
      <c r="E80" s="31" t="inlineStr">
        <is>
          <t>Industrials</t>
        </is>
      </c>
      <c r="F80" s="31" t="inlineStr">
        <is>
          <t>Capital Goods Electric General</t>
        </is>
      </c>
      <c r="G80" s="31" t="inlineStr">
        <is>
          <t>smallcap</t>
        </is>
      </c>
      <c r="H80" s="32" t="n">
        <v>1541.38</v>
      </c>
      <c r="I80" s="32" t="n">
        <v>475</v>
      </c>
      <c r="J80" s="32" t="n">
        <v>2.28</v>
      </c>
      <c r="K80" s="32" t="n">
        <v>0</v>
      </c>
      <c r="L80" s="31" t="n">
        <v>93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70.06</v>
      </c>
      <c r="P80" s="32" t="n">
        <v>56.72</v>
      </c>
      <c r="Q80" s="32" t="n">
        <v>355.84</v>
      </c>
      <c r="R80" s="31" t="inlineStr">
        <is>
          <t>Earnings / Momentum Support</t>
        </is>
      </c>
      <c r="S80" s="31" t="inlineStr">
        <is>
          <t>Nifty 50</t>
        </is>
      </c>
      <c r="T80" s="32" t="n">
        <v>-10.93</v>
      </c>
      <c r="U80" s="32" t="n">
        <v>197.44</v>
      </c>
      <c r="V80" s="32" t="n">
        <v>233.96</v>
      </c>
      <c r="W80" s="32" t="n">
        <v>43.94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16</t>
        </is>
      </c>
      <c r="CG80" s="31">
        <f>IF(CF80&gt;20,10,IF(CF80&gt;=10,5,2))</f>
        <v/>
      </c>
    </row>
    <row r="81">
      <c r="A81" s="31">
        <f>IF(B81=0,"",RANK(B81,$B$2:$B$97,0))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4" t="inlineStr">
        <is>
          <t>SVRL</t>
        </is>
      </c>
      <c r="D81" s="34" t="inlineStr">
        <is>
          <t>Shri Venkatesh Refineries Ltd</t>
        </is>
      </c>
      <c r="E81" s="31" t="inlineStr">
        <is>
          <t>Consumer Defensive</t>
        </is>
      </c>
      <c r="F81" s="31" t="inlineStr">
        <is>
          <t>Solvent Extraction</t>
        </is>
      </c>
      <c r="G81" s="31" t="inlineStr">
        <is>
          <t>smallcap</t>
        </is>
      </c>
      <c r="H81" s="32" t="n">
        <v>1528.45</v>
      </c>
      <c r="I81" s="32" t="n">
        <v>691</v>
      </c>
      <c r="J81" s="32" t="n">
        <v>1.36</v>
      </c>
      <c r="K81" s="32" t="n">
        <v>0</v>
      </c>
      <c r="L81" s="31" t="n">
        <v>93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82.95</v>
      </c>
      <c r="P81" s="32" t="n">
        <v>61.44</v>
      </c>
      <c r="Q81" s="32" t="n">
        <v>530.41</v>
      </c>
      <c r="R81" s="31" t="inlineStr">
        <is>
          <t>Near 52W High Breakout</t>
        </is>
      </c>
      <c r="S81" s="31" t="inlineStr">
        <is>
          <t>Nifty 50</t>
        </is>
      </c>
      <c r="T81" s="32" t="n">
        <v>-10.93</v>
      </c>
      <c r="U81" s="32" t="n">
        <v>155.9</v>
      </c>
      <c r="V81" s="32" t="n">
        <v>187.32</v>
      </c>
      <c r="W81" s="32" t="n">
        <v>43.63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Negative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15</t>
        </is>
      </c>
      <c r="CG81" s="31">
        <f>IF(CF81&gt;20,10,IF(CF81&gt;=10,5,2))</f>
        <v/>
      </c>
    </row>
    <row r="82">
      <c r="A82" s="31">
        <f>IF(B82=0,"",RANK(B82,$B$2:$B$97,0))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ACCENTMIC</t>
        </is>
      </c>
      <c r="D82" s="31" t="inlineStr">
        <is>
          <t>Accent Microcell Ltd</t>
        </is>
      </c>
      <c r="E82" s="31" t="inlineStr">
        <is>
          <t>unknown</t>
        </is>
      </c>
      <c r="F82" s="31" t="inlineStr">
        <is>
          <t>Pharma Formulations</t>
        </is>
      </c>
      <c r="G82" s="31" t="inlineStr">
        <is>
          <t>smallcap</t>
        </is>
      </c>
      <c r="H82" s="32" t="n">
        <v>1550.29</v>
      </c>
      <c r="I82" s="32" t="n">
        <v>646.25</v>
      </c>
      <c r="J82" s="32" t="n">
        <v>0.1</v>
      </c>
      <c r="K82" s="32" t="n">
        <v>0</v>
      </c>
      <c r="L82" s="31" t="n">
        <v>66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67.75</v>
      </c>
      <c r="P82" s="32" t="n">
        <v>68.20999999999999</v>
      </c>
      <c r="Q82" s="32" t="n">
        <v>589.51</v>
      </c>
      <c r="R82" s="31" t="inlineStr">
        <is>
          <t>Earnings / Momentum Support</t>
        </is>
      </c>
      <c r="S82" s="31" t="inlineStr">
        <is>
          <t>Nifty 50</t>
        </is>
      </c>
      <c r="T82" s="32" t="n">
        <v>-10.93</v>
      </c>
      <c r="U82" s="32" t="n">
        <v>154.67</v>
      </c>
      <c r="V82" s="32" t="n">
        <v>185.94</v>
      </c>
      <c r="W82" s="32" t="n">
        <v>26.43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15</t>
        </is>
      </c>
      <c r="CG82" s="31">
        <f>IF(CF82&gt;20,10,IF(CF82&gt;=10,5,2))</f>
        <v/>
      </c>
    </row>
    <row r="83">
      <c r="A83" s="31">
        <f>IF(B83=0,"",RANK(B83,$B$2:$B$97,0))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SBC</t>
        </is>
      </c>
      <c r="D83" s="31" t="inlineStr">
        <is>
          <t>SBC Exports Ltd</t>
        </is>
      </c>
      <c r="E83" s="31" t="inlineStr">
        <is>
          <t>textiles</t>
        </is>
      </c>
      <c r="F83" s="31" t="inlineStr">
        <is>
          <t>Textiles Readymade Apparel</t>
        </is>
      </c>
      <c r="G83" s="31" t="inlineStr">
        <is>
          <t>smallcap</t>
        </is>
      </c>
      <c r="H83" s="32" t="n">
        <v>2977.62</v>
      </c>
      <c r="I83" s="32" t="n">
        <v>62.53</v>
      </c>
      <c r="J83" s="32" t="n">
        <v>-1.08</v>
      </c>
      <c r="K83" s="32" t="n">
        <v>0</v>
      </c>
      <c r="L83" s="31" t="n">
        <v>77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86.64</v>
      </c>
      <c r="P83" s="32" t="n">
        <v>32.35</v>
      </c>
      <c r="Q83" s="32" t="n">
        <v>51.3</v>
      </c>
      <c r="R83" s="31" t="inlineStr">
        <is>
          <t>Volume Spike &amp; Near 52W High Breakout</t>
        </is>
      </c>
      <c r="S83" s="31" t="inlineStr">
        <is>
          <t>Nifty 50</t>
        </is>
      </c>
      <c r="T83" s="32" t="n">
        <v>-10.93</v>
      </c>
      <c r="U83" s="32" t="n">
        <v>174.42</v>
      </c>
      <c r="V83" s="32" t="n">
        <v>208.11</v>
      </c>
      <c r="W83" s="32" t="n">
        <v>32.82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22</t>
        </is>
      </c>
      <c r="CG83" s="31">
        <f>IF(CF83&gt;20,10,IF(CF83&gt;=10,5,2))</f>
        <v/>
      </c>
    </row>
    <row r="84">
      <c r="A84" s="31">
        <f>IF(B84=0,"",RANK(B84,$B$2:$B$97,0))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BIRLACABLE</t>
        </is>
      </c>
      <c r="D84" s="31" t="inlineStr">
        <is>
          <t>Birla Cable Ltd</t>
        </is>
      </c>
      <c r="E84" s="31" t="inlineStr">
        <is>
          <t>industrials</t>
        </is>
      </c>
      <c r="F84" s="31" t="inlineStr">
        <is>
          <t>Cables Telecom</t>
        </is>
      </c>
      <c r="G84" s="31" t="inlineStr">
        <is>
          <t>smallcap</t>
        </is>
      </c>
      <c r="H84" s="32" t="n">
        <v>1155.6</v>
      </c>
      <c r="I84" s="32" t="n">
        <v>385.2</v>
      </c>
      <c r="J84" s="32" t="n">
        <v>4.99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71.78</v>
      </c>
      <c r="P84" s="32" t="n">
        <v>54.79</v>
      </c>
      <c r="Q84" s="32" t="n">
        <v>288.45</v>
      </c>
      <c r="R84" s="31" t="inlineStr">
        <is>
          <t>Earnings / Momentum Support</t>
        </is>
      </c>
      <c r="S84" s="31" t="inlineStr">
        <is>
          <t>Nifty Infra</t>
        </is>
      </c>
      <c r="T84" s="32" t="inlineStr"/>
      <c r="U84" s="32" t="inlineStr"/>
      <c r="V84" s="32" t="inlineStr"/>
      <c r="W84" s="32" t="inlineStr"/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Oligopoly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22</t>
        </is>
      </c>
      <c r="CG84" s="31">
        <f>IF(CF84&gt;20,10,IF(CF84&gt;=10,5,2))</f>
        <v/>
      </c>
    </row>
    <row r="85">
      <c r="A85" s="31">
        <f>IF(B85=0,"",RANK(B85,$B$2:$B$97,0))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RATNAVEER</t>
        </is>
      </c>
      <c r="D85" s="31" t="inlineStr">
        <is>
          <t>Ratnaveer Precision Engineering Ltd</t>
        </is>
      </c>
      <c r="E85" s="31" t="inlineStr">
        <is>
          <t>metals &amp; mining</t>
        </is>
      </c>
      <c r="F85" s="31" t="inlineStr">
        <is>
          <t>Stainless Steel</t>
        </is>
      </c>
      <c r="G85" s="31" t="inlineStr">
        <is>
          <t>smallcap</t>
        </is>
      </c>
      <c r="H85" s="32" t="n">
        <v>2878.67</v>
      </c>
      <c r="I85" s="32" t="n">
        <v>343</v>
      </c>
      <c r="J85" s="32" t="n">
        <v>3.52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81.29000000000001</v>
      </c>
      <c r="P85" s="32" t="n">
        <v>68.73999999999999</v>
      </c>
      <c r="Q85" s="32" t="n">
        <v>254.81</v>
      </c>
      <c r="R85" s="31" t="inlineStr">
        <is>
          <t>Near 52W High Breakout</t>
        </is>
      </c>
      <c r="S85" s="31" t="inlineStr">
        <is>
          <t>Nifty Metal</t>
        </is>
      </c>
      <c r="T85" s="32" t="inlineStr"/>
      <c r="U85" s="32" t="inlineStr"/>
      <c r="V85" s="32" t="inlineStr"/>
      <c r="W85" s="32" t="inlineStr"/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17</t>
        </is>
      </c>
      <c r="CG85" s="31">
        <f>IF(CF85&gt;20,10,IF(CF85&gt;=10,5,2))</f>
        <v/>
      </c>
    </row>
    <row r="86">
      <c r="A86" s="31">
        <f>IF(B86=0,"",RANK(B86,$B$2:$B$97,0))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SUNFLAG</t>
        </is>
      </c>
      <c r="D86" s="31" t="inlineStr">
        <is>
          <t>Sunflag Iron &amp; Steel Company Ltd</t>
        </is>
      </c>
      <c r="E86" s="31" t="inlineStr">
        <is>
          <t>metals &amp; mining</t>
        </is>
      </c>
      <c r="F86" s="31" t="inlineStr">
        <is>
          <t>Steel Products</t>
        </is>
      </c>
      <c r="G86" s="31" t="inlineStr">
        <is>
          <t>midcap</t>
        </is>
      </c>
      <c r="H86" s="32" t="n">
        <v>7875.59</v>
      </c>
      <c r="I86" s="32" t="n">
        <v>437</v>
      </c>
      <c r="J86" s="32" t="n">
        <v>-3.04</v>
      </c>
      <c r="K86" s="32" t="n">
        <v>0</v>
      </c>
      <c r="L86" s="31" t="inlineStr"/>
      <c r="M86" s="31" t="inlineStr"/>
      <c r="N86" s="32">
        <f>IF(M86="Underperforming",-5,IF(L86&gt;=95,15,IF(L86&gt;=90,10,IF(L86&gt;=80,5,0))))</f>
        <v/>
      </c>
      <c r="O86" s="32" t="n">
        <v>71.23999999999999</v>
      </c>
      <c r="P86" s="32" t="n">
        <v>35.1</v>
      </c>
      <c r="Q86" s="32" t="n">
        <v>329.92</v>
      </c>
      <c r="R86" s="31" t="inlineStr">
        <is>
          <t>Near 52W High Breakout</t>
        </is>
      </c>
      <c r="S86" s="31" t="inlineStr">
        <is>
          <t>Nifty Metal</t>
        </is>
      </c>
      <c r="T86" s="32" t="inlineStr"/>
      <c r="U86" s="32" t="inlineStr"/>
      <c r="V86" s="32" t="inlineStr"/>
      <c r="W86" s="32" t="inlineStr"/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Less than 12%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16</t>
        </is>
      </c>
      <c r="CG86" s="31">
        <f>IF(CF86&gt;20,10,IF(CF86&gt;=10,5,2))</f>
        <v/>
      </c>
    </row>
    <row r="87">
      <c r="A87" s="31">
        <f>IF(B87=0,"",RANK(B87,$B$2:$B$97,0))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VHLTD</t>
        </is>
      </c>
      <c r="D87" s="31" t="inlineStr">
        <is>
          <t>Viceroy Hotels Ltd</t>
        </is>
      </c>
      <c r="E87" s="31" t="inlineStr">
        <is>
          <t>services</t>
        </is>
      </c>
      <c r="F87" s="31" t="inlineStr">
        <is>
          <t>Hotels</t>
        </is>
      </c>
      <c r="G87" s="31" t="inlineStr">
        <is>
          <t>smallcap</t>
        </is>
      </c>
      <c r="H87" s="32" t="n">
        <v>1097.21</v>
      </c>
      <c r="I87" s="32" t="n">
        <v>142.9</v>
      </c>
      <c r="J87" s="32" t="n">
        <v>5</v>
      </c>
      <c r="K87" s="32" t="n">
        <v>0</v>
      </c>
      <c r="L87" s="31" t="n">
        <v>13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61.69</v>
      </c>
      <c r="P87" s="32" t="n">
        <v>16.71</v>
      </c>
      <c r="Q87" s="32" t="n">
        <v>109.96</v>
      </c>
      <c r="R87" s="31" t="inlineStr">
        <is>
          <t>Volume Spike &amp; Near 52W High Breakout</t>
        </is>
      </c>
      <c r="S87" s="31" t="inlineStr">
        <is>
          <t>Nifty 50</t>
        </is>
      </c>
      <c r="T87" s="32" t="n">
        <v>-10.93</v>
      </c>
      <c r="U87" s="32" t="n">
        <v>12.79</v>
      </c>
      <c r="V87" s="32" t="n">
        <v>26.63</v>
      </c>
      <c r="W87" s="32" t="n">
        <v>4.96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0 to 20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1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Between 0.7 to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14</t>
        </is>
      </c>
      <c r="CG87" s="31">
        <f>IF(CF87&gt;20,10,IF(CF87&gt;=10,5,2))</f>
        <v/>
      </c>
    </row>
    <row r="88">
      <c r="A88" s="31">
        <f>IF(B88=0,"",RANK(B88,$B$2:$B$97,0))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4" t="inlineStr">
        <is>
          <t>CHENNPETRO</t>
        </is>
      </c>
      <c r="D88" s="34" t="inlineStr">
        <is>
          <t>Chennai Petroleum Corporation Ltd</t>
        </is>
      </c>
      <c r="E88" s="31" t="inlineStr">
        <is>
          <t>Energy</t>
        </is>
      </c>
      <c r="F88" s="31" t="inlineStr">
        <is>
          <t>Refineries</t>
        </is>
      </c>
      <c r="G88" s="31" t="inlineStr">
        <is>
          <t>largecap</t>
        </is>
      </c>
      <c r="H88" s="32" t="n">
        <v>22149.08</v>
      </c>
      <c r="I88" s="32" t="n">
        <v>1487.4</v>
      </c>
      <c r="J88" s="32" t="n">
        <v>-2.85</v>
      </c>
      <c r="K88" s="32" t="n">
        <v>0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65.55</v>
      </c>
      <c r="P88" s="32" t="n">
        <v>63.76</v>
      </c>
      <c r="Q88" s="32" t="n">
        <v>1128.9</v>
      </c>
      <c r="R88" s="31" t="inlineStr">
        <is>
          <t>Volume Spike / Accumulation</t>
        </is>
      </c>
      <c r="S88" s="31" t="inlineStr">
        <is>
          <t>Nifty Energy</t>
        </is>
      </c>
      <c r="T88" s="32" t="inlineStr"/>
      <c r="U88" s="32" t="inlineStr"/>
      <c r="V88" s="32" t="inlineStr"/>
      <c r="W88" s="32" t="inlineStr"/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21</t>
        </is>
      </c>
      <c r="CG88" s="31">
        <f>IF(CF88&gt;20,10,IF(CF88&gt;=10,5,2))</f>
        <v/>
      </c>
    </row>
    <row r="89">
      <c r="A89" s="31">
        <f>IF(B89=0,"",RANK(B89,$B$2:$B$97,0))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TDPOWERSYS</t>
        </is>
      </c>
      <c r="D89" s="31" t="inlineStr">
        <is>
          <t>TD Power Systems Ltd</t>
        </is>
      </c>
      <c r="E89" s="31" t="inlineStr">
        <is>
          <t>industrials</t>
        </is>
      </c>
      <c r="F89" s="31" t="inlineStr">
        <is>
          <t>Capital Goods Gensets and Turbines</t>
        </is>
      </c>
      <c r="G89" s="31" t="inlineStr">
        <is>
          <t>largecap</t>
        </is>
      </c>
      <c r="H89" s="32" t="n">
        <v>24833.04</v>
      </c>
      <c r="I89" s="32" t="n">
        <v>791.6</v>
      </c>
      <c r="J89" s="32" t="n">
        <v>-0.24</v>
      </c>
      <c r="K89" s="32" t="n">
        <v>0</v>
      </c>
      <c r="L89" s="31" t="n">
        <v>72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68.29000000000001</v>
      </c>
      <c r="P89" s="32" t="n">
        <v>19.23</v>
      </c>
      <c r="Q89" s="32" t="n">
        <v>576.5700000000001</v>
      </c>
      <c r="R89" s="31" t="inlineStr">
        <is>
          <t>Volume Spike &amp; Near 52W High Breakout</t>
        </is>
      </c>
      <c r="S89" s="31" t="inlineStr">
        <is>
          <t>Nifty 50</t>
        </is>
      </c>
      <c r="T89" s="32" t="n">
        <v>-10.93</v>
      </c>
      <c r="U89" s="32" t="n">
        <v>164.99</v>
      </c>
      <c r="V89" s="32" t="n">
        <v>197.52</v>
      </c>
      <c r="W89" s="32" t="n">
        <v>30.08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19</t>
        </is>
      </c>
      <c r="CG89" s="31">
        <f>IF(CF89&gt;20,10,IF(CF89&gt;=10,5,2))</f>
        <v/>
      </c>
    </row>
    <row r="90">
      <c r="A90" s="31">
        <f>IF(B90=0,"",RANK(B90,$B$2:$B$97,0))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ANTELOPUS</t>
        </is>
      </c>
      <c r="D90" s="31" t="inlineStr">
        <is>
          <t>Antelopus Selan Energy Ltd</t>
        </is>
      </c>
      <c r="E90" s="31" t="inlineStr">
        <is>
          <t>Energy</t>
        </is>
      </c>
      <c r="F90" s="31" t="inlineStr">
        <is>
          <t>Oil Drilling and Exploration</t>
        </is>
      </c>
      <c r="G90" s="31" t="inlineStr">
        <is>
          <t>smallcap</t>
        </is>
      </c>
      <c r="H90" s="32" t="n">
        <v>3899.3</v>
      </c>
      <c r="I90" s="32" t="n">
        <v>1105</v>
      </c>
      <c r="J90" s="32" t="n">
        <v>-0.07000000000000001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63.69</v>
      </c>
      <c r="P90" s="32" t="n">
        <v>51.28</v>
      </c>
      <c r="Q90" s="32" t="n">
        <v>877.36</v>
      </c>
      <c r="R90" s="31" t="inlineStr">
        <is>
          <t>Earnings / Momentum Support</t>
        </is>
      </c>
      <c r="S90" s="31" t="inlineStr">
        <is>
          <t>Nifty Energy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20</t>
        </is>
      </c>
      <c r="CG90" s="31">
        <f>IF(CF90&gt;20,10,IF(CF90&gt;=10,5,2))</f>
        <v/>
      </c>
    </row>
    <row r="91">
      <c r="A91" s="31">
        <f>IF(B91=0,"",RANK(B91,$B$2:$B$97,0))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4" t="inlineStr">
        <is>
          <t>TRENT</t>
        </is>
      </c>
      <c r="D91" s="34" t="inlineStr">
        <is>
          <t>Trent Ltd</t>
        </is>
      </c>
      <c r="E91" s="31" t="inlineStr">
        <is>
          <t>consumer discretionary</t>
        </is>
      </c>
      <c r="F91" s="31" t="inlineStr">
        <is>
          <t>Textiles Readymade Apparel</t>
        </is>
      </c>
      <c r="G91" s="31" t="inlineStr">
        <is>
          <t>largecap</t>
        </is>
      </c>
      <c r="H91" s="32" t="n">
        <v>155607.85</v>
      </c>
      <c r="I91" s="32" t="n">
        <v>2918.2</v>
      </c>
      <c r="J91" s="32" t="n">
        <v>1.46</v>
      </c>
      <c r="K91" s="32" t="n">
        <v>0</v>
      </c>
      <c r="L91" s="31" t="n">
        <v>1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49.62</v>
      </c>
      <c r="P91" s="32" t="n">
        <v>6.8</v>
      </c>
      <c r="Q91" s="32" t="n">
        <v>2445.95</v>
      </c>
      <c r="R91" s="31" t="inlineStr">
        <is>
          <t>Volume Spike / Accumulation</t>
        </is>
      </c>
      <c r="S91" s="31" t="inlineStr">
        <is>
          <t>Nifty 50</t>
        </is>
      </c>
      <c r="T91" s="32" t="n">
        <v>-10.93</v>
      </c>
      <c r="U91" s="32" t="n">
        <v>-37.7</v>
      </c>
      <c r="V91" s="32" t="n">
        <v>-30.05</v>
      </c>
      <c r="W91" s="32" t="n">
        <v>-6.51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Below 45</t>
        </is>
      </c>
      <c r="BA91" s="31">
        <f>IF(AZ91="Between 50 to 75",10,IF(AZ91="Above 75",0,0))</f>
        <v/>
      </c>
      <c r="BB91" s="31" t="inlineStr">
        <is>
          <t>Stage 4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15</t>
        </is>
      </c>
      <c r="CG91" s="31">
        <f>IF(CF91&gt;20,10,IF(CF91&gt;=10,5,2))</f>
        <v/>
      </c>
    </row>
    <row r="92">
      <c r="A92" s="31">
        <f>IF(B92=0,"",RANK(B92,$B$2:$B$97,0))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UNITEDPOLY</t>
        </is>
      </c>
      <c r="D92" s="31" t="inlineStr">
        <is>
          <t>United Polyfab Gujarat Ltd</t>
        </is>
      </c>
      <c r="E92" s="31" t="inlineStr">
        <is>
          <t>textiles</t>
        </is>
      </c>
      <c r="F92" s="31" t="inlineStr">
        <is>
          <t>Textiles Others</t>
        </is>
      </c>
      <c r="G92" s="31" t="inlineStr">
        <is>
          <t>smallcap</t>
        </is>
      </c>
      <c r="H92" s="32" t="n">
        <v>1153.54</v>
      </c>
      <c r="I92" s="32" t="n">
        <v>50.26</v>
      </c>
      <c r="J92" s="32" t="n">
        <v>5.68</v>
      </c>
      <c r="K92" s="32" t="n">
        <v>0</v>
      </c>
      <c r="L92" s="31" t="n">
        <v>50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78.28</v>
      </c>
      <c r="P92" s="32" t="n">
        <v>29.05</v>
      </c>
      <c r="Q92" s="32" t="n">
        <v>36.96</v>
      </c>
      <c r="R92" s="31" t="inlineStr">
        <is>
          <t>Volume Spike &amp; Near 52W High Breakout</t>
        </is>
      </c>
      <c r="S92" s="31" t="inlineStr">
        <is>
          <t>Nifty 50</t>
        </is>
      </c>
      <c r="T92" s="32" t="n">
        <v>-10.93</v>
      </c>
      <c r="U92" s="32" t="n">
        <v>13.04</v>
      </c>
      <c r="V92" s="32" t="n">
        <v>26.91</v>
      </c>
      <c r="W92" s="32" t="n">
        <v>20.75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Oligopoly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Shallow Cyclical (2 to 3 Years Growth)</t>
        </is>
      </c>
      <c r="AG92" s="31">
        <f>IF(AF92="Structural (10 Years Consistency)",10,IF(AF92="Shallow Cyclical (2 to 3 years growth)",5,0))</f>
        <v/>
      </c>
      <c r="AH92" s="31" t="inlineStr">
        <is>
          <t>Yes due to Product Mix change or Operating Leverage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Allocated capital in Non-core Areas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Sideways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Overhead supply in last 2 years in last 2 years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More than 15%</t>
        </is>
      </c>
      <c r="CC92" s="31">
        <f>IF(CB92="More than 15%",-10,IF(CB92="Less than 15%",10,0))</f>
        <v/>
      </c>
      <c r="CD92" s="31" t="inlineStr">
        <is>
          <t>Yes Upto 10%</t>
        </is>
      </c>
      <c r="CE92" s="31">
        <f>IF(CD92="Yes, more than 10%",-10,IF(CD92="No",10,0))</f>
        <v/>
      </c>
      <c r="CF92" s="31" t="inlineStr">
        <is>
          <t>20</t>
        </is>
      </c>
      <c r="CG92" s="31">
        <f>IF(CF92&gt;20,10,IF(CF92&gt;=10,5,2))</f>
        <v/>
      </c>
    </row>
    <row r="93">
      <c r="A93" s="31">
        <f>IF(B93=0,"",RANK(B93,$B$2:$B$97,0))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UTSSAV</t>
        </is>
      </c>
      <c r="D93" s="31" t="inlineStr">
        <is>
          <t>Utssav CZ Gold Jewels Ltd</t>
        </is>
      </c>
      <c r="E93" s="31" t="inlineStr">
        <is>
          <t>unknown</t>
        </is>
      </c>
      <c r="F93" s="31" t="inlineStr">
        <is>
          <t>Diamond Gems and Jewellery</t>
        </is>
      </c>
      <c r="G93" s="31" t="inlineStr">
        <is>
          <t>smallcap</t>
        </is>
      </c>
      <c r="H93" s="32" t="n">
        <v>2013.94</v>
      </c>
      <c r="I93" s="32" t="n">
        <v>834</v>
      </c>
      <c r="J93" s="32" t="n">
        <v>-0.84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inlineStr"/>
      <c r="P93" s="32" t="inlineStr"/>
      <c r="Q93" s="32" t="inlineStr"/>
      <c r="R93" s="31" t="inlineStr"/>
      <c r="S93" s="31" t="inlineStr"/>
      <c r="T93" s="32" t="inlineStr"/>
      <c r="U93" s="32" t="inlineStr"/>
      <c r="V93" s="32" t="inlineStr"/>
      <c r="W93" s="32" t="inlineStr"/>
      <c r="X93" s="31" t="n"/>
      <c r="Y93" s="31">
        <f>IF(X93="Growing Industry",10,IF(X93="Cyclical in an Upturn",5,0))</f>
        <v/>
      </c>
      <c r="Z93" s="31" t="n"/>
      <c r="AA93" s="31">
        <f>IF(Z93="Monopoly",10,IF(Z93="Oligopoly",5,IF(Z93="Duopoly that cooperate",10,IF(Z93="Duopoly that compete",5,IF(Z93="Too many players with High ROCE",5,0)))))</f>
        <v/>
      </c>
      <c r="AB93" s="31" t="n"/>
      <c r="AC93" s="31">
        <f>IF(AB93="No",5,0)</f>
        <v/>
      </c>
      <c r="AD93" s="31" t="n"/>
      <c r="AE93" s="31">
        <f>IF(AD93="Tailwind",10,0)</f>
        <v/>
      </c>
      <c r="AF93" s="31" t="n"/>
      <c r="AG93" s="31">
        <f>IF(AF93="Structural (10 Years Consistency)",10,IF(AF93="Shallow Cyclical (2 to 3 years growth)",5,0))</f>
        <v/>
      </c>
      <c r="AH93" s="31" t="n"/>
      <c r="AI93" s="31">
        <f>IF(AH93="Yes due to Product Mix change or Operating Leverage",10,IF(AH93="Yes, these are peak margins",-5,IF(AH93="No",5,0)))</f>
        <v/>
      </c>
      <c r="AJ93" s="31" t="n"/>
      <c r="AK93" s="31">
        <f>IF(AJ93="Stable",10,0)</f>
        <v/>
      </c>
      <c r="AL93" s="31" t="n"/>
      <c r="AM93" s="31">
        <f>IF(AL93="Yes",10,0)</f>
        <v/>
      </c>
      <c r="AN93" s="31" t="n"/>
      <c r="AO93" s="31">
        <f>IF(AN93="B2C",10,IF(AN93="B2B",5,0))</f>
        <v/>
      </c>
      <c r="AP93" s="31" t="n"/>
      <c r="AQ93" s="31">
        <f>IF(AP93="Yes",10,0)</f>
        <v/>
      </c>
      <c r="AR93" s="31" t="n"/>
      <c r="AS93" s="31">
        <f>IF(AR93="Fully Annuity",10,IF(AR93="Higher Annuity, Lower One Time",5,IF(AR93="Higher One Time, Lower Annuity",3,0)))</f>
        <v/>
      </c>
      <c r="AT93" s="31" t="n"/>
      <c r="AU93" s="31">
        <f>IF(AT93="Good",10,0)</f>
        <v/>
      </c>
      <c r="AV93" s="31" t="n"/>
      <c r="AW93" s="31">
        <f>IF(AV93="Yes for more than 2 years",10,IF(AV93="Yes only for next 1 to 2 years",5,0))</f>
        <v/>
      </c>
      <c r="AX93" s="31" t="n"/>
      <c r="AY93" s="31">
        <f>IF(AX93="Above 40",20,IF(AX93="20 to 40",10,IF(AX93="0 to 20",-5,0)))</f>
        <v/>
      </c>
      <c r="AZ93" s="31" t="n"/>
      <c r="BA93" s="31">
        <f>IF(AZ93="Between 50 to 75",10,IF(AZ93="Above 75",0,0))</f>
        <v/>
      </c>
      <c r="BB93" s="31" t="n"/>
      <c r="BC93" s="31">
        <f>IF(BB93="Stage 2",20,IF(BB93="Stage 1",0,IF(BB93="Stage 3",5,IF(BB93="Stage 4",-5,0))))</f>
        <v/>
      </c>
      <c r="BD93" s="31" t="n"/>
      <c r="BE93" s="31">
        <f>IF(BD93="Positive Trend",20,IF(BD93="Negative Trend",-10,0))</f>
        <v/>
      </c>
      <c r="BF93" s="31" t="n"/>
      <c r="BG93" s="31">
        <f>IF(BF93="Uptrend",10,IF(BF93="Sideways",5,0))</f>
        <v/>
      </c>
      <c r="BH93" s="31" t="n"/>
      <c r="BI93" s="31">
        <f>IF(BH93="Uptrend",10,IF(BH93="Sideways",5,0))</f>
        <v/>
      </c>
      <c r="BJ93" s="31" t="n"/>
      <c r="BK93" s="31">
        <f>IF(BJ93="Overhead supply in last 2 years in last 2 years",-5,IF(BJ93="Close to 52 week high or retracement",5,IF(BJ93="Blue sky scenario",10,IF(BJ93="Long term Downtrend",-10,0))))</f>
        <v/>
      </c>
      <c r="BL93" s="31" t="n"/>
      <c r="BM93" s="31">
        <f>IF(BL93="Yes",10,0)</f>
        <v/>
      </c>
      <c r="BN93" s="31" t="n"/>
      <c r="BO93" s="31">
        <f>IF(BN93="More than 20%",10,IF(BN93="Between 12 to 20%",5,IF(BN93="Less than 12%",0,0)))</f>
        <v/>
      </c>
      <c r="BP93" s="31" t="n"/>
      <c r="BQ93" s="31">
        <f>IF(BP93="No",10,0)</f>
        <v/>
      </c>
      <c r="BR93" s="31" t="n"/>
      <c r="BS93" s="31">
        <f>IF(BR93="NO",5,0)</f>
        <v/>
      </c>
      <c r="BT93" s="31" t="n"/>
      <c r="BU93" s="31">
        <f>IF(BT93="Above 2",0,IF(BT93="Between 1.5 to 2",5,IF(BT93="Less than 1.5",10,0)))</f>
        <v/>
      </c>
      <c r="BV93" s="31" t="n"/>
      <c r="BW93" s="31">
        <f>IF(BV93="Above 70%",10,IF(BV93="Between 50% to 70%",5,IF(BV93="Less than 50%",0,IF(BV93="Negative",-10,IF(BV93="Less than 50% and Borrowings are increasing",-5,0)))))</f>
        <v/>
      </c>
      <c r="BX93" s="31" t="n"/>
      <c r="BY93" s="31">
        <f>IF(BX93="More than 1.2",-10,IF(BX93="Between 0.7 to 1.2",0,IF(BX93="Less than 0.7",10,0)))</f>
        <v/>
      </c>
      <c r="BZ93" s="31" t="n"/>
      <c r="CA93" s="31">
        <f>IF(BZ93="Yes",-10,0)</f>
        <v/>
      </c>
      <c r="CB93" s="31" t="n"/>
      <c r="CC93" s="31">
        <f>IF(CB93="More than 15%",-10,IF(CB93="Less than 15%",10,0))</f>
        <v/>
      </c>
      <c r="CD93" s="31" t="n"/>
      <c r="CE93" s="31">
        <f>IF(CD93="Yes, more than 10%",-10,IF(CD93="No",10,0))</f>
        <v/>
      </c>
      <c r="CF93" s="31" t="n"/>
      <c r="CG93" s="31">
        <f>IF(CF93&gt;20,10,IF(CF93&gt;=10,5,2))</f>
        <v/>
      </c>
    </row>
    <row r="94">
      <c r="A94" s="31">
        <f>IF(B94=0,"",RANK(B94,$B$2:$B$97,0))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SAHASRA</t>
        </is>
      </c>
      <c r="D94" s="31" t="inlineStr">
        <is>
          <t>Sahasra Electronic Solutions Ltd</t>
        </is>
      </c>
      <c r="E94" s="31" t="inlineStr">
        <is>
          <t>unknown</t>
        </is>
      </c>
      <c r="F94" s="31" t="inlineStr">
        <is>
          <t>Electronics Others</t>
        </is>
      </c>
      <c r="G94" s="31" t="inlineStr">
        <is>
          <t>smallcap</t>
        </is>
      </c>
      <c r="H94" s="32" t="n">
        <v>1179.66</v>
      </c>
      <c r="I94" s="32" t="n">
        <v>472</v>
      </c>
      <c r="J94" s="32" t="n">
        <v>-0.15</v>
      </c>
      <c r="K94" s="32" t="n">
        <v>0</v>
      </c>
      <c r="L94" s="31" t="inlineStr"/>
      <c r="M94" s="31" t="inlineStr"/>
      <c r="N94" s="32">
        <f>IF(M94="Underperforming",-5,IF(L94&gt;=95,15,IF(L94&gt;=90,10,IF(L94&gt;=80,5,0))))</f>
        <v/>
      </c>
      <c r="O94" s="32" t="inlineStr"/>
      <c r="P94" s="32" t="inlineStr"/>
      <c r="Q94" s="32" t="inlineStr"/>
      <c r="R94" s="31" t="inlineStr"/>
      <c r="S94" s="31" t="inlineStr"/>
      <c r="T94" s="32" t="inlineStr"/>
      <c r="U94" s="32" t="inlineStr"/>
      <c r="V94" s="32" t="inlineStr"/>
      <c r="W94" s="32" t="inlineStr"/>
      <c r="X94" s="31" t="n"/>
      <c r="Y94" s="31">
        <f>IF(X94="Growing Industry",10,IF(X94="Cyclical in an Upturn",5,0))</f>
        <v/>
      </c>
      <c r="Z94" s="31" t="n"/>
      <c r="AA94" s="31">
        <f>IF(Z94="Monopoly",10,IF(Z94="Oligopoly",5,IF(Z94="Duopoly that cooperate",10,IF(Z94="Duopoly that compete",5,IF(Z94="Too many players with High ROCE",5,0)))))</f>
        <v/>
      </c>
      <c r="AB94" s="31" t="n"/>
      <c r="AC94" s="31">
        <f>IF(AB94="No",5,0)</f>
        <v/>
      </c>
      <c r="AD94" s="31" t="n"/>
      <c r="AE94" s="31">
        <f>IF(AD94="Tailwind",10,0)</f>
        <v/>
      </c>
      <c r="AF94" s="31" t="n"/>
      <c r="AG94" s="31">
        <f>IF(AF94="Structural (10 Years Consistency)",10,IF(AF94="Shallow Cyclical (2 to 3 years growth)",5,0))</f>
        <v/>
      </c>
      <c r="AH94" s="31" t="n"/>
      <c r="AI94" s="31">
        <f>IF(AH94="Yes due to Product Mix change or Operating Leverage",10,IF(AH94="Yes, these are peak margins",-5,IF(AH94="No",5,0)))</f>
        <v/>
      </c>
      <c r="AJ94" s="31" t="n"/>
      <c r="AK94" s="31">
        <f>IF(AJ94="Stable",10,0)</f>
        <v/>
      </c>
      <c r="AL94" s="31" t="n"/>
      <c r="AM94" s="31">
        <f>IF(AL94="Yes",10,0)</f>
        <v/>
      </c>
      <c r="AN94" s="31" t="n"/>
      <c r="AO94" s="31">
        <f>IF(AN94="B2C",10,IF(AN94="B2B",5,0))</f>
        <v/>
      </c>
      <c r="AP94" s="31" t="n"/>
      <c r="AQ94" s="31">
        <f>IF(AP94="Yes",10,0)</f>
        <v/>
      </c>
      <c r="AR94" s="31" t="n"/>
      <c r="AS94" s="31">
        <f>IF(AR94="Fully Annuity",10,IF(AR94="Higher Annuity, Lower One Time",5,IF(AR94="Higher One Time, Lower Annuity",3,0)))</f>
        <v/>
      </c>
      <c r="AT94" s="31" t="n"/>
      <c r="AU94" s="31">
        <f>IF(AT94="Good",10,0)</f>
        <v/>
      </c>
      <c r="AV94" s="31" t="n"/>
      <c r="AW94" s="31">
        <f>IF(AV94="Yes for more than 2 years",10,IF(AV94="Yes only for next 1 to 2 years",5,0))</f>
        <v/>
      </c>
      <c r="AX94" s="31" t="n"/>
      <c r="AY94" s="31">
        <f>IF(AX94="Above 40",20,IF(AX94="20 to 40",10,IF(AX94="0 to 20",-5,0)))</f>
        <v/>
      </c>
      <c r="AZ94" s="31" t="n"/>
      <c r="BA94" s="31">
        <f>IF(AZ94="Between 50 to 75",10,IF(AZ94="Above 75",0,0))</f>
        <v/>
      </c>
      <c r="BB94" s="31" t="n"/>
      <c r="BC94" s="31">
        <f>IF(BB94="Stage 2",20,IF(BB94="Stage 1",0,IF(BB94="Stage 3",5,IF(BB94="Stage 4",-5,0))))</f>
        <v/>
      </c>
      <c r="BD94" s="31" t="n"/>
      <c r="BE94" s="31">
        <f>IF(BD94="Positive Trend",20,IF(BD94="Negative Trend",-10,0))</f>
        <v/>
      </c>
      <c r="BF94" s="31" t="n"/>
      <c r="BG94" s="31">
        <f>IF(BF94="Uptrend",10,IF(BF94="Sideways",5,0))</f>
        <v/>
      </c>
      <c r="BH94" s="31" t="n"/>
      <c r="BI94" s="31">
        <f>IF(BH94="Uptrend",10,IF(BH94="Sideways",5,0))</f>
        <v/>
      </c>
      <c r="BJ94" s="31" t="n"/>
      <c r="BK94" s="31">
        <f>IF(BJ94="Overhead supply in last 2 years in last 2 years",-5,IF(BJ94="Close to 52 week high or retracement",5,IF(BJ94="Blue sky scenario",10,IF(BJ94="Long term Downtrend",-10,0))))</f>
        <v/>
      </c>
      <c r="BL94" s="31" t="n"/>
      <c r="BM94" s="31">
        <f>IF(BL94="Yes",10,0)</f>
        <v/>
      </c>
      <c r="BN94" s="31" t="n"/>
      <c r="BO94" s="31">
        <f>IF(BN94="More than 20%",10,IF(BN94="Between 12 to 20%",5,IF(BN94="Less than 12%",0,0)))</f>
        <v/>
      </c>
      <c r="BP94" s="31" t="n"/>
      <c r="BQ94" s="31">
        <f>IF(BP94="No",10,0)</f>
        <v/>
      </c>
      <c r="BR94" s="31" t="n"/>
      <c r="BS94" s="31">
        <f>IF(BR94="NO",5,0)</f>
        <v/>
      </c>
      <c r="BT94" s="31" t="n"/>
      <c r="BU94" s="31">
        <f>IF(BT94="Above 2",0,IF(BT94="Between 1.5 to 2",5,IF(BT94="Less than 1.5",10,0)))</f>
        <v/>
      </c>
      <c r="BV94" s="31" t="n"/>
      <c r="BW94" s="31">
        <f>IF(BV94="Above 70%",10,IF(BV94="Between 50% to 70%",5,IF(BV94="Less than 50%",0,IF(BV94="Negative",-10,IF(BV94="Less than 50% and Borrowings are increasing",-5,0)))))</f>
        <v/>
      </c>
      <c r="BX94" s="31" t="n"/>
      <c r="BY94" s="31">
        <f>IF(BX94="More than 1.2",-10,IF(BX94="Between 0.7 to 1.2",0,IF(BX94="Less than 0.7",10,0)))</f>
        <v/>
      </c>
      <c r="BZ94" s="31" t="n"/>
      <c r="CA94" s="31">
        <f>IF(BZ94="Yes",-10,0)</f>
        <v/>
      </c>
      <c r="CB94" s="31" t="n"/>
      <c r="CC94" s="31">
        <f>IF(CB94="More than 15%",-10,IF(CB94="Less than 15%",10,0))</f>
        <v/>
      </c>
      <c r="CD94" s="31" t="n"/>
      <c r="CE94" s="31">
        <f>IF(CD94="Yes, more than 10%",-10,IF(CD94="No",10,0))</f>
        <v/>
      </c>
      <c r="CF94" s="31" t="n"/>
      <c r="CG94" s="31">
        <f>IF(CF94&gt;20,10,IF(CF94&gt;=10,5,2))</f>
        <v/>
      </c>
    </row>
    <row r="95">
      <c r="A95" s="31">
        <f>IF(B95=0,"",RANK(B95,$B$2:$B$97,0))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PRECWIRE</t>
        </is>
      </c>
      <c r="D95" s="31" t="inlineStr">
        <is>
          <t>Precision Wires India Ltd</t>
        </is>
      </c>
      <c r="E95" s="31" t="inlineStr">
        <is>
          <t>unknown</t>
        </is>
      </c>
      <c r="F95" s="31" t="inlineStr">
        <is>
          <t>Copper Wires</t>
        </is>
      </c>
      <c r="G95" s="31" t="inlineStr">
        <is>
          <t>midcap</t>
        </is>
      </c>
      <c r="H95" s="32" t="n">
        <v>8804.030000000001</v>
      </c>
      <c r="I95" s="32" t="n">
        <v>481.6</v>
      </c>
      <c r="J95" s="32" t="n">
        <v>-2.34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6">
      <c r="A96" s="31">
        <f>IF(B96=0,"",RANK(B96,$B$2:$B$97,0))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VINCOFE</t>
        </is>
      </c>
      <c r="D96" s="31" t="inlineStr">
        <is>
          <t>Vintage Coffee &amp; Beverages Ltd</t>
        </is>
      </c>
      <c r="E96" s="31" t="inlineStr">
        <is>
          <t>unknown</t>
        </is>
      </c>
      <c r="F96" s="31" t="inlineStr">
        <is>
          <t>FMCG Coffee</t>
        </is>
      </c>
      <c r="G96" s="31" t="inlineStr">
        <is>
          <t>smallcap</t>
        </is>
      </c>
      <c r="H96" s="32" t="n">
        <v>2559.15</v>
      </c>
      <c r="I96" s="32" t="n">
        <v>174.7</v>
      </c>
      <c r="J96" s="32" t="n">
        <v>-0.71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97">
      <c r="A97" s="31">
        <f>IF(B97=0,"",RANK(B97,$B$2:$B$97,0))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MANALIPETC</t>
        </is>
      </c>
      <c r="D97" s="31" t="inlineStr">
        <is>
          <t>Manali Petrochemicals Ltd</t>
        </is>
      </c>
      <c r="E97" s="31" t="inlineStr">
        <is>
          <t>unknown</t>
        </is>
      </c>
      <c r="F97" s="31" t="inlineStr">
        <is>
          <t>Petrochemicals Polymers</t>
        </is>
      </c>
      <c r="G97" s="31" t="inlineStr">
        <is>
          <t>smallcap</t>
        </is>
      </c>
      <c r="H97" s="32" t="n">
        <v>1471.28</v>
      </c>
      <c r="I97" s="32" t="n">
        <v>85.54000000000001</v>
      </c>
      <c r="J97" s="32" t="n">
        <v>-0.4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  <row r="101">
      <c r="A101" s="25" t="inlineStr">
        <is>
          <t>❌ REMOVED SCAN MATCH STOCKS (THIS WEEK)</t>
        </is>
      </c>
    </row>
    <row r="102">
      <c r="A102" s="35" t="inlineStr">
        <is>
          <t>Symbol</t>
        </is>
      </c>
      <c r="B102" s="35" t="inlineStr">
        <is>
          <t>Company Name</t>
        </is>
      </c>
      <c r="C102" s="35" t="inlineStr">
        <is>
          <t>Sector</t>
        </is>
      </c>
      <c r="D102" s="35" t="inlineStr">
        <is>
          <t>Date of Removal</t>
        </is>
      </c>
    </row>
    <row r="103">
      <c r="A103" s="36" t="inlineStr">
        <is>
          <t>AARTIPHARM</t>
        </is>
      </c>
      <c r="B103" s="37" t="inlineStr">
        <is>
          <t>AARTIPHARM</t>
        </is>
      </c>
      <c r="C103" s="37" t="inlineStr">
        <is>
          <t>unknown</t>
        </is>
      </c>
      <c r="D103" s="38" t="inlineStr">
        <is>
          <t>2026-10-08</t>
        </is>
      </c>
    </row>
    <row r="104">
      <c r="A104" s="36" t="inlineStr">
        <is>
          <t>ABDL</t>
        </is>
      </c>
      <c r="B104" s="37" t="inlineStr">
        <is>
          <t>Allied Blenders and Distillers Limited</t>
        </is>
      </c>
      <c r="C104" s="37" t="inlineStr">
        <is>
          <t>Consumer Defensive</t>
        </is>
      </c>
      <c r="D104" s="38" t="inlineStr">
        <is>
          <t>2026-10-09</t>
        </is>
      </c>
    </row>
    <row r="105">
      <c r="A105" s="36" t="inlineStr">
        <is>
          <t>ACE</t>
        </is>
      </c>
      <c r="B105" s="37" t="inlineStr">
        <is>
          <t>ACE</t>
        </is>
      </c>
      <c r="C105" s="37" t="inlineStr">
        <is>
          <t>unknown</t>
        </is>
      </c>
      <c r="D105" s="38" t="inlineStr">
        <is>
          <t>2026-10-08</t>
        </is>
      </c>
    </row>
    <row r="106">
      <c r="A106" s="36" t="inlineStr">
        <is>
          <t>ACMESOLAR</t>
        </is>
      </c>
      <c r="B106" s="37" t="inlineStr">
        <is>
          <t>ACMESOLAR</t>
        </is>
      </c>
      <c r="C106" s="37" t="inlineStr">
        <is>
          <t>unknown</t>
        </is>
      </c>
      <c r="D106" s="38" t="inlineStr">
        <is>
          <t>2026-10-07</t>
        </is>
      </c>
    </row>
    <row r="107">
      <c r="A107" s="36" t="inlineStr">
        <is>
          <t>AEROFLEX</t>
        </is>
      </c>
      <c r="B107" s="37" t="inlineStr">
        <is>
          <t>AEROFLEX</t>
        </is>
      </c>
      <c r="C107" s="37" t="inlineStr">
        <is>
          <t>unknown</t>
        </is>
      </c>
      <c r="D107" s="38" t="inlineStr">
        <is>
          <t>2026-10-08</t>
        </is>
      </c>
    </row>
    <row r="108">
      <c r="A108" s="36" t="inlineStr">
        <is>
          <t>AKUMS</t>
        </is>
      </c>
      <c r="B108" s="37" t="inlineStr">
        <is>
          <t>AKUMS</t>
        </is>
      </c>
      <c r="C108" s="37" t="inlineStr">
        <is>
          <t>unknown</t>
        </is>
      </c>
      <c r="D108" s="38" t="inlineStr">
        <is>
          <t>2026-10-09</t>
        </is>
      </c>
    </row>
    <row r="109">
      <c r="A109" s="36" t="inlineStr">
        <is>
          <t>ALGOQUANT</t>
        </is>
      </c>
      <c r="B109" s="37" t="inlineStr">
        <is>
          <t>ALGOQUANT</t>
        </is>
      </c>
      <c r="C109" s="37" t="inlineStr">
        <is>
          <t>unknown</t>
        </is>
      </c>
      <c r="D109" s="38" t="inlineStr">
        <is>
          <t>2026-10-09</t>
        </is>
      </c>
    </row>
    <row r="110">
      <c r="A110" s="36" t="inlineStr">
        <is>
          <t>ALICON</t>
        </is>
      </c>
      <c r="B110" s="37" t="inlineStr">
        <is>
          <t>Alicon Castalloy Limited</t>
        </is>
      </c>
      <c r="C110" s="37" t="inlineStr">
        <is>
          <t>Industrials</t>
        </is>
      </c>
      <c r="D110" s="38" t="inlineStr">
        <is>
          <t>2026-10-08</t>
        </is>
      </c>
    </row>
    <row r="111">
      <c r="A111" s="36" t="inlineStr">
        <is>
          <t>ARROWGREEN</t>
        </is>
      </c>
      <c r="B111" s="37" t="inlineStr">
        <is>
          <t>ARROWGREEN</t>
        </is>
      </c>
      <c r="C111" s="37" t="inlineStr">
        <is>
          <t>unknown</t>
        </is>
      </c>
      <c r="D111" s="38" t="inlineStr">
        <is>
          <t>2026-10-08</t>
        </is>
      </c>
    </row>
    <row r="112">
      <c r="A112" s="36" t="inlineStr">
        <is>
          <t>AXISCADES</t>
        </is>
      </c>
      <c r="B112" s="37" t="inlineStr">
        <is>
          <t>AXISCADES Technologies Limited</t>
        </is>
      </c>
      <c r="C112" s="37" t="inlineStr">
        <is>
          <t>Industrials</t>
        </is>
      </c>
      <c r="D112" s="38" t="inlineStr">
        <is>
          <t>2026-10-07</t>
        </is>
      </c>
    </row>
    <row r="113">
      <c r="A113" s="36" t="inlineStr">
        <is>
          <t>BHAGYANGR</t>
        </is>
      </c>
      <c r="B113" s="37" t="inlineStr">
        <is>
          <t>BHAGYANGR</t>
        </is>
      </c>
      <c r="C113" s="37" t="inlineStr">
        <is>
          <t>unknown</t>
        </is>
      </c>
      <c r="D113" s="38" t="inlineStr">
        <is>
          <t>2026-10-08</t>
        </is>
      </c>
    </row>
    <row r="114">
      <c r="A114" s="36" t="inlineStr">
        <is>
          <t>BODALCHEM</t>
        </is>
      </c>
      <c r="B114" s="37" t="inlineStr">
        <is>
          <t>BODALCHEM</t>
        </is>
      </c>
      <c r="C114" s="37" t="inlineStr">
        <is>
          <t>unknown</t>
        </is>
      </c>
      <c r="D114" s="38" t="inlineStr">
        <is>
          <t>2026-10-09</t>
        </is>
      </c>
    </row>
    <row r="115">
      <c r="A115" s="36" t="inlineStr">
        <is>
          <t>CASTROLIND</t>
        </is>
      </c>
      <c r="B115" s="37" t="inlineStr">
        <is>
          <t>CASTROLIND</t>
        </is>
      </c>
      <c r="C115" s="37" t="inlineStr">
        <is>
          <t>unknown</t>
        </is>
      </c>
      <c r="D115" s="38" t="inlineStr">
        <is>
          <t>2026-10-08</t>
        </is>
      </c>
    </row>
    <row r="116">
      <c r="A116" s="36" t="inlineStr">
        <is>
          <t>CFF</t>
        </is>
      </c>
      <c r="B116" s="37" t="inlineStr">
        <is>
          <t>CFF</t>
        </is>
      </c>
      <c r="C116" s="37" t="inlineStr">
        <is>
          <t>unknown</t>
        </is>
      </c>
      <c r="D116" s="38" t="inlineStr">
        <is>
          <t>2026-10-06</t>
        </is>
      </c>
    </row>
    <row r="117">
      <c r="A117" s="36" t="inlineStr">
        <is>
          <t>DEEPINDS</t>
        </is>
      </c>
      <c r="B117" s="37" t="inlineStr">
        <is>
          <t>DEEPINDS</t>
        </is>
      </c>
      <c r="C117" s="37" t="inlineStr">
        <is>
          <t>unknown</t>
        </is>
      </c>
      <c r="D117" s="38" t="inlineStr">
        <is>
          <t>2026-10-09</t>
        </is>
      </c>
    </row>
    <row r="118">
      <c r="A118" s="36" t="inlineStr">
        <is>
          <t>DIVISLAB</t>
        </is>
      </c>
      <c r="B118" s="37" t="inlineStr">
        <is>
          <t>DIVISLAB</t>
        </is>
      </c>
      <c r="C118" s="37" t="inlineStr">
        <is>
          <t>unknown</t>
        </is>
      </c>
      <c r="D118" s="38" t="inlineStr">
        <is>
          <t>2026-10-09</t>
        </is>
      </c>
    </row>
    <row r="119">
      <c r="A119" s="36" t="inlineStr">
        <is>
          <t>EBGNG</t>
        </is>
      </c>
      <c r="B119" s="37" t="inlineStr">
        <is>
          <t>EBGNG</t>
        </is>
      </c>
      <c r="C119" s="37" t="inlineStr">
        <is>
          <t>unknown</t>
        </is>
      </c>
      <c r="D119" s="38" t="inlineStr">
        <is>
          <t>2026-10-09</t>
        </is>
      </c>
    </row>
    <row r="120">
      <c r="A120" s="36" t="inlineStr">
        <is>
          <t>ELPROINTL</t>
        </is>
      </c>
      <c r="B120" s="37" t="inlineStr">
        <is>
          <t>ELPROINTL</t>
        </is>
      </c>
      <c r="C120" s="37" t="inlineStr">
        <is>
          <t>unknown</t>
        </is>
      </c>
      <c r="D120" s="38" t="inlineStr">
        <is>
          <t>2026-10-09</t>
        </is>
      </c>
    </row>
    <row r="121">
      <c r="A121" s="36" t="inlineStr">
        <is>
          <t>EMIL</t>
        </is>
      </c>
      <c r="B121" s="37" t="inlineStr">
        <is>
          <t>EMIL</t>
        </is>
      </c>
      <c r="C121" s="37" t="inlineStr">
        <is>
          <t>unknown</t>
        </is>
      </c>
      <c r="D121" s="38" t="inlineStr">
        <is>
          <t>2026-10-08</t>
        </is>
      </c>
    </row>
    <row r="122">
      <c r="A122" s="36" t="inlineStr">
        <is>
          <t>FERMENTA</t>
        </is>
      </c>
      <c r="B122" s="37" t="inlineStr">
        <is>
          <t>FERMENTA</t>
        </is>
      </c>
      <c r="C122" s="37" t="inlineStr">
        <is>
          <t>unknown</t>
        </is>
      </c>
      <c r="D122" s="38" t="inlineStr">
        <is>
          <t>2026-10-08</t>
        </is>
      </c>
    </row>
    <row r="123">
      <c r="A123" s="36" t="inlineStr">
        <is>
          <t>FILATEX</t>
        </is>
      </c>
      <c r="B123" s="37" t="inlineStr">
        <is>
          <t>Filatex India Limited</t>
        </is>
      </c>
      <c r="C123" s="37" t="inlineStr">
        <is>
          <t>Consumer Cyclical</t>
        </is>
      </c>
      <c r="D123" s="38" t="inlineStr">
        <is>
          <t>2026-10-07</t>
        </is>
      </c>
    </row>
    <row r="124">
      <c r="A124" s="36" t="inlineStr">
        <is>
          <t>FINCABLES</t>
        </is>
      </c>
      <c r="B124" s="37" t="inlineStr">
        <is>
          <t>FINCABLES</t>
        </is>
      </c>
      <c r="C124" s="37" t="inlineStr">
        <is>
          <t>unknown</t>
        </is>
      </c>
      <c r="D124" s="38" t="inlineStr">
        <is>
          <t>2026-10-09</t>
        </is>
      </c>
    </row>
    <row r="125">
      <c r="A125" s="36" t="inlineStr">
        <is>
          <t>GNA</t>
        </is>
      </c>
      <c r="B125" s="37" t="inlineStr">
        <is>
          <t>GNA</t>
        </is>
      </c>
      <c r="C125" s="37" t="inlineStr">
        <is>
          <t>unknown</t>
        </is>
      </c>
      <c r="D125" s="38" t="inlineStr">
        <is>
          <t>2026-10-09</t>
        </is>
      </c>
    </row>
    <row r="126">
      <c r="A126" s="36" t="inlineStr">
        <is>
          <t>GNFC</t>
        </is>
      </c>
      <c r="B126" s="37" t="inlineStr">
        <is>
          <t>GNFC</t>
        </is>
      </c>
      <c r="C126" s="37" t="inlineStr">
        <is>
          <t>unknown</t>
        </is>
      </c>
      <c r="D126" s="38" t="inlineStr">
        <is>
          <t>2026-10-08</t>
        </is>
      </c>
    </row>
    <row r="127">
      <c r="A127" s="36" t="inlineStr">
        <is>
          <t>IOLCP</t>
        </is>
      </c>
      <c r="B127" s="37" t="inlineStr">
        <is>
          <t>IOLCP</t>
        </is>
      </c>
      <c r="C127" s="37" t="inlineStr">
        <is>
          <t>unknown</t>
        </is>
      </c>
      <c r="D127" s="38" t="inlineStr">
        <is>
          <t>2026-10-07</t>
        </is>
      </c>
    </row>
    <row r="128">
      <c r="A128" s="36" t="inlineStr">
        <is>
          <t>JAMNAAUTO</t>
        </is>
      </c>
      <c r="B128" s="37" t="inlineStr">
        <is>
          <t>Jamna Auto Industries Limited</t>
        </is>
      </c>
      <c r="C128" s="37" t="inlineStr">
        <is>
          <t>Consumer Cyclical</t>
        </is>
      </c>
      <c r="D128" s="38" t="inlineStr">
        <is>
          <t>2026-10-09</t>
        </is>
      </c>
    </row>
    <row r="129">
      <c r="A129" s="36" t="inlineStr">
        <is>
          <t>JASH</t>
        </is>
      </c>
      <c r="B129" s="37" t="inlineStr">
        <is>
          <t>JASH</t>
        </is>
      </c>
      <c r="C129" s="37" t="inlineStr">
        <is>
          <t>unknown</t>
        </is>
      </c>
      <c r="D129" s="38" t="inlineStr">
        <is>
          <t>2026-10-07</t>
        </is>
      </c>
    </row>
    <row r="130">
      <c r="A130" s="36" t="inlineStr">
        <is>
          <t>JAYKAY</t>
        </is>
      </c>
      <c r="B130" s="37" t="inlineStr">
        <is>
          <t>JAYKAY</t>
        </is>
      </c>
      <c r="C130" s="37" t="inlineStr">
        <is>
          <t>unknown</t>
        </is>
      </c>
      <c r="D130" s="38" t="inlineStr">
        <is>
          <t>2026-10-09</t>
        </is>
      </c>
    </row>
    <row r="131">
      <c r="A131" s="36" t="inlineStr">
        <is>
          <t>KRISHNADEF</t>
        </is>
      </c>
      <c r="B131" s="37" t="inlineStr">
        <is>
          <t>KRISHNADEF</t>
        </is>
      </c>
      <c r="C131" s="37" t="inlineStr">
        <is>
          <t>unknown</t>
        </is>
      </c>
      <c r="D131" s="38" t="inlineStr">
        <is>
          <t>2026-10-07</t>
        </is>
      </c>
    </row>
    <row r="132">
      <c r="A132" s="36" t="inlineStr">
        <is>
          <t>LALPATHLAB</t>
        </is>
      </c>
      <c r="B132" s="37" t="inlineStr">
        <is>
          <t>LALPATHLAB</t>
        </is>
      </c>
      <c r="C132" s="37" t="inlineStr">
        <is>
          <t>unknown</t>
        </is>
      </c>
      <c r="D132" s="38" t="inlineStr">
        <is>
          <t>2026-10-06</t>
        </is>
      </c>
    </row>
    <row r="133">
      <c r="A133" s="36" t="inlineStr">
        <is>
          <t>LLOYDSENGG</t>
        </is>
      </c>
      <c r="B133" s="37" t="inlineStr">
        <is>
          <t>LLOYDSENGG</t>
        </is>
      </c>
      <c r="C133" s="37" t="inlineStr">
        <is>
          <t>unknown</t>
        </is>
      </c>
      <c r="D133" s="38" t="inlineStr">
        <is>
          <t>2026-10-08</t>
        </is>
      </c>
    </row>
    <row r="134">
      <c r="A134" s="36" t="inlineStr">
        <is>
          <t>MANINDS</t>
        </is>
      </c>
      <c r="B134" s="37" t="inlineStr">
        <is>
          <t>MANINDS</t>
        </is>
      </c>
      <c r="C134" s="37" t="inlineStr">
        <is>
          <t>unknown</t>
        </is>
      </c>
      <c r="D134" s="38" t="inlineStr">
        <is>
          <t>2026-10-08</t>
        </is>
      </c>
    </row>
    <row r="135">
      <c r="A135" s="36" t="inlineStr">
        <is>
          <t>MARKSANS</t>
        </is>
      </c>
      <c r="B135" s="37" t="inlineStr">
        <is>
          <t>MARKSANS</t>
        </is>
      </c>
      <c r="C135" s="37" t="inlineStr">
        <is>
          <t>unknown</t>
        </is>
      </c>
      <c r="D135" s="38" t="inlineStr">
        <is>
          <t>2026-10-08</t>
        </is>
      </c>
    </row>
    <row r="136">
      <c r="A136" s="36" t="inlineStr">
        <is>
          <t>MENONBE</t>
        </is>
      </c>
      <c r="B136" s="37" t="inlineStr">
        <is>
          <t>MENONBE</t>
        </is>
      </c>
      <c r="C136" s="37" t="inlineStr">
        <is>
          <t>unknown</t>
        </is>
      </c>
      <c r="D136" s="38" t="inlineStr">
        <is>
          <t>2026-10-09</t>
        </is>
      </c>
    </row>
    <row r="137">
      <c r="A137" s="36" t="inlineStr">
        <is>
          <t>MTARTECH</t>
        </is>
      </c>
      <c r="B137" s="37" t="inlineStr">
        <is>
          <t>MTAR Technologies Limited</t>
        </is>
      </c>
      <c r="C137" s="37" t="inlineStr">
        <is>
          <t>Industrials</t>
        </is>
      </c>
      <c r="D137" s="38" t="inlineStr">
        <is>
          <t>2026-10-09</t>
        </is>
      </c>
    </row>
    <row r="138">
      <c r="A138" s="36" t="inlineStr">
        <is>
          <t>NAVINFLUOR</t>
        </is>
      </c>
      <c r="B138" s="37" t="inlineStr">
        <is>
          <t>NAVINFLUOR</t>
        </is>
      </c>
      <c r="C138" s="37" t="inlineStr">
        <is>
          <t>unknown</t>
        </is>
      </c>
      <c r="D138" s="38" t="inlineStr">
        <is>
          <t>2026-10-07</t>
        </is>
      </c>
    </row>
    <row r="139">
      <c r="A139" s="36" t="inlineStr">
        <is>
          <t>NRL</t>
        </is>
      </c>
      <c r="B139" s="37" t="inlineStr">
        <is>
          <t>Nupur Recyclers Limited</t>
        </is>
      </c>
      <c r="C139" s="37" t="inlineStr">
        <is>
          <t>Industrials</t>
        </is>
      </c>
      <c r="D139" s="38" t="inlineStr">
        <is>
          <t>2026-10-09</t>
        </is>
      </c>
    </row>
    <row r="140">
      <c r="A140" s="36" t="inlineStr">
        <is>
          <t>OPTIEMUS</t>
        </is>
      </c>
      <c r="B140" s="37" t="inlineStr">
        <is>
          <t>Optiemus Infracom Limited</t>
        </is>
      </c>
      <c r="C140" s="37" t="inlineStr">
        <is>
          <t>Technology</t>
        </is>
      </c>
      <c r="D140" s="38" t="inlineStr">
        <is>
          <t>2026-10-08</t>
        </is>
      </c>
    </row>
    <row r="141">
      <c r="A141" s="36" t="inlineStr">
        <is>
          <t>PANAMAPET</t>
        </is>
      </c>
      <c r="B141" s="37" t="inlineStr">
        <is>
          <t>PANAMAPET</t>
        </is>
      </c>
      <c r="C141" s="37" t="inlineStr">
        <is>
          <t>unknown</t>
        </is>
      </c>
      <c r="D141" s="38" t="inlineStr">
        <is>
          <t>2026-10-08</t>
        </is>
      </c>
    </row>
    <row r="142">
      <c r="A142" s="36" t="inlineStr">
        <is>
          <t>PIXTRANS</t>
        </is>
      </c>
      <c r="B142" s="37" t="inlineStr">
        <is>
          <t>PIXTRANS</t>
        </is>
      </c>
      <c r="C142" s="37" t="inlineStr">
        <is>
          <t>unknown</t>
        </is>
      </c>
      <c r="D142" s="38" t="inlineStr">
        <is>
          <t>2026-10-06</t>
        </is>
      </c>
    </row>
    <row r="143">
      <c r="A143" s="36" t="inlineStr">
        <is>
          <t>PRECWIRE</t>
        </is>
      </c>
      <c r="B143" s="37" t="inlineStr">
        <is>
          <t>PRECWIRE</t>
        </is>
      </c>
      <c r="C143" s="37" t="inlineStr">
        <is>
          <t>unknown</t>
        </is>
      </c>
      <c r="D143" s="38" t="inlineStr">
        <is>
          <t>2026-10-09</t>
        </is>
      </c>
    </row>
    <row r="144">
      <c r="A144" s="36" t="inlineStr">
        <is>
          <t>QPOWER</t>
        </is>
      </c>
      <c r="B144" s="37" t="inlineStr">
        <is>
          <t>QPOWER</t>
        </is>
      </c>
      <c r="C144" s="37" t="inlineStr">
        <is>
          <t>unknown</t>
        </is>
      </c>
      <c r="D144" s="38" t="inlineStr">
        <is>
          <t>2026-10-09</t>
        </is>
      </c>
    </row>
    <row r="145">
      <c r="A145" s="36" t="inlineStr">
        <is>
          <t>RAYMOND</t>
        </is>
      </c>
      <c r="B145" s="37" t="inlineStr">
        <is>
          <t>Raymond Limited</t>
        </is>
      </c>
      <c r="C145" s="37" t="inlineStr">
        <is>
          <t>Industrials</t>
        </is>
      </c>
      <c r="D145" s="38" t="inlineStr">
        <is>
          <t>2026-10-07</t>
        </is>
      </c>
    </row>
    <row r="146">
      <c r="A146" s="36" t="inlineStr">
        <is>
          <t>RML</t>
        </is>
      </c>
      <c r="B146" s="37" t="inlineStr">
        <is>
          <t>RML</t>
        </is>
      </c>
      <c r="C146" s="37" t="inlineStr">
        <is>
          <t>unknown</t>
        </is>
      </c>
      <c r="D146" s="38" t="inlineStr">
        <is>
          <t>2026-10-06</t>
        </is>
      </c>
    </row>
    <row r="147">
      <c r="A147" s="36" t="inlineStr">
        <is>
          <t>SACHEEROME</t>
        </is>
      </c>
      <c r="B147" s="37" t="inlineStr">
        <is>
          <t>SACHEEROME</t>
        </is>
      </c>
      <c r="C147" s="37" t="inlineStr">
        <is>
          <t>unknown</t>
        </is>
      </c>
      <c r="D147" s="38" t="inlineStr">
        <is>
          <t>2026-10-07</t>
        </is>
      </c>
    </row>
    <row r="148">
      <c r="A148" s="36" t="inlineStr">
        <is>
          <t>SANSERA</t>
        </is>
      </c>
      <c r="B148" s="37" t="inlineStr">
        <is>
          <t>SANSERA</t>
        </is>
      </c>
      <c r="C148" s="37" t="inlineStr">
        <is>
          <t>unknown</t>
        </is>
      </c>
      <c r="D148" s="38" t="inlineStr">
        <is>
          <t>2026-10-08</t>
        </is>
      </c>
    </row>
    <row r="149">
      <c r="A149" s="36" t="inlineStr">
        <is>
          <t>SAPL</t>
        </is>
      </c>
      <c r="B149" s="37" t="inlineStr">
        <is>
          <t>SAPL</t>
        </is>
      </c>
      <c r="C149" s="37" t="inlineStr">
        <is>
          <t>unknown</t>
        </is>
      </c>
      <c r="D149" s="38" t="inlineStr">
        <is>
          <t>2026-10-06</t>
        </is>
      </c>
    </row>
    <row r="150">
      <c r="A150" s="36" t="inlineStr">
        <is>
          <t>SHADOWFAX</t>
        </is>
      </c>
      <c r="B150" s="37" t="inlineStr">
        <is>
          <t>SHADOWFAX</t>
        </is>
      </c>
      <c r="C150" s="37" t="inlineStr">
        <is>
          <t>unknown</t>
        </is>
      </c>
      <c r="D150" s="38" t="inlineStr">
        <is>
          <t>2026-10-06</t>
        </is>
      </c>
    </row>
    <row r="151">
      <c r="A151" s="36" t="inlineStr">
        <is>
          <t>SIGMAADV</t>
        </is>
      </c>
      <c r="B151" s="37" t="inlineStr">
        <is>
          <t>Sigma Advanced Systems Limited</t>
        </is>
      </c>
      <c r="C151" s="37" t="inlineStr">
        <is>
          <t>Industrials</t>
        </is>
      </c>
      <c r="D151" s="38" t="inlineStr">
        <is>
          <t>2026-10-06</t>
        </is>
      </c>
    </row>
    <row r="152">
      <c r="A152" s="36" t="inlineStr">
        <is>
          <t>SPECTRUM</t>
        </is>
      </c>
      <c r="B152" s="37" t="inlineStr">
        <is>
          <t>Spectrum Electrical Industries Limited</t>
        </is>
      </c>
      <c r="C152" s="37" t="inlineStr">
        <is>
          <t>Industrials</t>
        </is>
      </c>
      <c r="D152" s="38" t="inlineStr">
        <is>
          <t>2026-10-09</t>
        </is>
      </c>
    </row>
    <row r="153">
      <c r="A153" s="36" t="inlineStr">
        <is>
          <t>SSWL</t>
        </is>
      </c>
      <c r="B153" s="37" t="inlineStr">
        <is>
          <t>Steel Strips Wheels Limited</t>
        </is>
      </c>
      <c r="C153" s="37" t="inlineStr">
        <is>
          <t>Consumer Cyclical</t>
        </is>
      </c>
      <c r="D153" s="38" t="inlineStr">
        <is>
          <t>2026-10-06</t>
        </is>
      </c>
    </row>
    <row r="154">
      <c r="A154" s="36" t="inlineStr">
        <is>
          <t>SUNDROP</t>
        </is>
      </c>
      <c r="B154" s="37" t="inlineStr">
        <is>
          <t>SUNDROP</t>
        </is>
      </c>
      <c r="C154" s="37" t="inlineStr">
        <is>
          <t>unknown</t>
        </is>
      </c>
      <c r="D154" s="38" t="inlineStr">
        <is>
          <t>2026-10-06</t>
        </is>
      </c>
    </row>
    <row r="155">
      <c r="A155" s="36" t="inlineStr">
        <is>
          <t>SYNCOMF</t>
        </is>
      </c>
      <c r="B155" s="37" t="inlineStr">
        <is>
          <t>Syncom Formulations (India) Limited</t>
        </is>
      </c>
      <c r="C155" s="37" t="inlineStr">
        <is>
          <t>Healthcare</t>
        </is>
      </c>
      <c r="D155" s="38" t="inlineStr">
        <is>
          <t>2026-10-09</t>
        </is>
      </c>
    </row>
    <row r="156">
      <c r="A156" s="36" t="inlineStr">
        <is>
          <t>TEGA</t>
        </is>
      </c>
      <c r="B156" s="37" t="inlineStr">
        <is>
          <t>TEGA</t>
        </is>
      </c>
      <c r="C156" s="37" t="inlineStr">
        <is>
          <t>unknown</t>
        </is>
      </c>
      <c r="D156" s="38" t="inlineStr">
        <is>
          <t>2026-10-07</t>
        </is>
      </c>
    </row>
    <row r="157">
      <c r="A157" s="36" t="inlineStr">
        <is>
          <t>UNIFIED</t>
        </is>
      </c>
      <c r="B157" s="37" t="inlineStr">
        <is>
          <t>UNIFIED</t>
        </is>
      </c>
      <c r="C157" s="37" t="inlineStr">
        <is>
          <t>unknown</t>
        </is>
      </c>
      <c r="D157" s="38" t="inlineStr">
        <is>
          <t>2026-10-08</t>
        </is>
      </c>
    </row>
    <row r="158">
      <c r="A158" s="36" t="inlineStr">
        <is>
          <t>UNIMECH</t>
        </is>
      </c>
      <c r="B158" s="37" t="inlineStr">
        <is>
          <t>Unimech Aerospace and Manufacturing Limited</t>
        </is>
      </c>
      <c r="C158" s="37" t="inlineStr">
        <is>
          <t>Industrials</t>
        </is>
      </c>
      <c r="D158" s="38" t="inlineStr">
        <is>
          <t>2026-10-07</t>
        </is>
      </c>
    </row>
    <row r="159">
      <c r="A159" s="36" t="inlineStr">
        <is>
          <t>VENUSREM</t>
        </is>
      </c>
      <c r="B159" s="37" t="inlineStr">
        <is>
          <t>VENUSREM</t>
        </is>
      </c>
      <c r="C159" s="37" t="inlineStr">
        <is>
          <t>unknown</t>
        </is>
      </c>
      <c r="D159" s="38" t="inlineStr">
        <is>
          <t>2026-10-06</t>
        </is>
      </c>
    </row>
    <row r="160">
      <c r="A160" s="36" t="inlineStr">
        <is>
          <t>VINCOFE</t>
        </is>
      </c>
      <c r="B160" s="37" t="inlineStr">
        <is>
          <t>VINCOFE</t>
        </is>
      </c>
      <c r="C160" s="37" t="inlineStr">
        <is>
          <t>unknown</t>
        </is>
      </c>
      <c r="D160" s="38" t="inlineStr">
        <is>
          <t>2026-10-09</t>
        </is>
      </c>
    </row>
  </sheetData>
  <autoFilter ref="A1:CG97"/>
  <conditionalFormatting sqref="B2:B9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7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7">
    <cfRule type="cellIs" priority="37" operator="equal" dxfId="3" stopIfTrue="1">
      <formula>"Underperforming"</formula>
    </cfRule>
  </conditionalFormatting>
  <conditionalFormatting sqref="N2:N97">
    <cfRule type="cellIs" priority="38" operator="equal" dxfId="3" stopIfTrue="1">
      <formula>-5</formula>
    </cfRule>
  </conditionalFormatting>
  <conditionalFormatting sqref="Q2:Q97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7" showDropDown="0" showInputMessage="0" showErrorMessage="0" allowBlank="1" type="list">
      <formula1>"Growing Industry,Stagnant Industry,Cyclical in an Upturn"</formula1>
    </dataValidation>
    <dataValidation sqref="Z2:Z9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7" showDropDown="0" showInputMessage="0" showErrorMessage="0" allowBlank="1" type="list">
      <formula1>"Yes,No"</formula1>
    </dataValidation>
    <dataValidation sqref="AD2:AD97" showDropDown="0" showInputMessage="0" showErrorMessage="0" allowBlank="1" type="list">
      <formula1>"Tailwind,Headwind"</formula1>
    </dataValidation>
    <dataValidation sqref="AF2:AF97" showDropDown="0" showInputMessage="0" showErrorMessage="0" allowBlank="1" type="list">
      <formula1>"Structural (10 Years Consistency),Shallow Cyclical (2 to 3 Years Growth),Cyclical"</formula1>
    </dataValidation>
    <dataValidation sqref="AH2:AH97" showDropDown="0" showInputMessage="0" showErrorMessage="0" allowBlank="1" type="list">
      <formula1>"Yes due to Product Mix change or Operating Leverage,Yes, these are peak margins,No"</formula1>
    </dataValidation>
    <dataValidation sqref="AJ2:AJ97" showDropDown="0" showInputMessage="0" showErrorMessage="0" allowBlank="1" type="list">
      <formula1>"Stable,Volatile"</formula1>
    </dataValidation>
    <dataValidation sqref="AL2:AL97" showDropDown="0" showInputMessage="0" showErrorMessage="0" allowBlank="1" type="list">
      <formula1>"Yes,No"</formula1>
    </dataValidation>
    <dataValidation sqref="AN2:AN97" showDropDown="0" showInputMessage="0" showErrorMessage="0" allowBlank="1" type="list">
      <formula1>"B2C,B2B,B2G"</formula1>
    </dataValidation>
    <dataValidation sqref="AP2:AP97" showDropDown="0" showInputMessage="0" showErrorMessage="0" allowBlank="1" type="list">
      <formula1>"Yes,No"</formula1>
    </dataValidation>
    <dataValidation sqref="AR2:AR97" showDropDown="0" showInputMessage="0" showErrorMessage="0" allowBlank="1" type="list">
      <formula1>"Fully Annuity,Higher Annuity, Lower One time,Higher One Time, Lower Annuity,Fully One Time"</formula1>
    </dataValidation>
    <dataValidation sqref="AT2:AT97" showDropDown="0" showInputMessage="0" showErrorMessage="0" allowBlank="1" type="list">
      <formula1>"Good,Allocated capital in Non-core Areas"</formula1>
    </dataValidation>
    <dataValidation sqref="AV2:AV97" showDropDown="0" showInputMessage="0" showErrorMessage="0" allowBlank="1" type="list">
      <formula1>"Yes for more than 2 years,Yes only for next 1 to 2 years,No"</formula1>
    </dataValidation>
    <dataValidation sqref="AX2:AX97" showDropDown="0" showInputMessage="0" showErrorMessage="0" allowBlank="1" type="list">
      <formula1>"Above 40,20 to 40,0 to 20"</formula1>
    </dataValidation>
    <dataValidation sqref="AZ2:AZ97" showDropDown="0" showInputMessage="0" showErrorMessage="0" allowBlank="1" type="list">
      <formula1>"Between 50 to 75,Above 75,Below 45"</formula1>
    </dataValidation>
    <dataValidation sqref="BB2:BB97" showDropDown="0" showInputMessage="0" showErrorMessage="0" allowBlank="1" type="list">
      <formula1>"Stage 1,Stage 2,Stage 3,Stage 4"</formula1>
    </dataValidation>
    <dataValidation sqref="BD2:BD97" showDropDown="0" showInputMessage="0" showErrorMessage="0" allowBlank="1" type="list">
      <formula1>"Positive Trend,Negative Trend"</formula1>
    </dataValidation>
    <dataValidation sqref="BF2:BF97" showDropDown="0" showInputMessage="0" showErrorMessage="0" allowBlank="1" type="list">
      <formula1>"Uptrend,Sideways,Downtrend"</formula1>
    </dataValidation>
    <dataValidation sqref="BH2:BH97" showDropDown="0" showInputMessage="0" showErrorMessage="0" allowBlank="1" type="list">
      <formula1>"Uptrend,Sideways,Downtrend"</formula1>
    </dataValidation>
    <dataValidation sqref="BJ2:BJ9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7" showDropDown="0" showInputMessage="0" showErrorMessage="0" allowBlank="1" type="list">
      <formula1>"Yes,No"</formula1>
    </dataValidation>
    <dataValidation sqref="BN2:BN97" showDropDown="0" showInputMessage="0" showErrorMessage="0" allowBlank="1" type="list">
      <formula1>"More than 20%,Between 12 to 20%,Less than 12%"</formula1>
    </dataValidation>
    <dataValidation sqref="BP2:BP97" showDropDown="0" showInputMessage="0" showErrorMessage="0" allowBlank="1" type="list">
      <formula1>"Yes,No"</formula1>
    </dataValidation>
    <dataValidation sqref="BR2:BR97" showDropDown="0" showInputMessage="0" showErrorMessage="0" allowBlank="1" type="list">
      <formula1>"Yes,No"</formula1>
    </dataValidation>
    <dataValidation sqref="BT2:BT97" showDropDown="0" showInputMessage="0" showErrorMessage="0" allowBlank="1" type="list">
      <formula1>"Above 2,Between 1.5 to 2,Less than 1.5"</formula1>
    </dataValidation>
    <dataValidation sqref="BV2:BV97" showDropDown="0" showInputMessage="0" showErrorMessage="0" allowBlank="1" type="list">
      <formula1>"Above 70%,Between 50% to 70%,Less than 50%,Less than 50% and Borrowings are increasing,Negative"</formula1>
    </dataValidation>
    <dataValidation sqref="BX2:BX97" showDropDown="0" showInputMessage="0" showErrorMessage="0" allowBlank="1" type="list">
      <formula1>"More than 1.2,Between 0.7 to 1.2,Less than 0.7"</formula1>
    </dataValidation>
    <dataValidation sqref="BZ2:BZ97" showDropDown="0" showInputMessage="0" showErrorMessage="0" allowBlank="1" type="list">
      <formula1>"Yes,No"</formula1>
    </dataValidation>
    <dataValidation sqref="CB2:CB97" showDropDown="0" showInputMessage="0" showErrorMessage="0" allowBlank="1" type="list">
      <formula1>"More than 15%,Less than 15%"</formula1>
    </dataValidation>
    <dataValidation sqref="CD2:CD9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IF(B2=0,"",RANK(B2,$B$2:$B$5,0))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SMCGLOBAL</t>
        </is>
      </c>
      <c r="D2" s="31" t="inlineStr">
        <is>
          <t>SMC Global Securities Ltd</t>
        </is>
      </c>
      <c r="E2" s="31" t="inlineStr">
        <is>
          <t>financials</t>
        </is>
      </c>
      <c r="F2" s="31" t="inlineStr">
        <is>
          <t>Finance Capital Markets Brokers</t>
        </is>
      </c>
      <c r="G2" s="31" t="inlineStr">
        <is>
          <t>smallcap</t>
        </is>
      </c>
      <c r="H2" s="32" t="n">
        <v>2429.04</v>
      </c>
      <c r="I2" s="32" t="n">
        <v>116</v>
      </c>
      <c r="J2" s="32" t="n">
        <v>7.58</v>
      </c>
      <c r="K2" s="32" t="n">
        <v>0</v>
      </c>
      <c r="L2" s="31" t="n">
        <v>61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77.09</v>
      </c>
      <c r="P2" s="32" t="n">
        <v>38.58</v>
      </c>
      <c r="Q2" s="32" t="n">
        <v>87.47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-2.39</v>
      </c>
      <c r="U2" s="32" t="n">
        <v>68.94</v>
      </c>
      <c r="V2" s="32" t="n">
        <v>73.08</v>
      </c>
      <c r="W2" s="32" t="n">
        <v>25.38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21</t>
        </is>
      </c>
      <c r="CC2" s="31">
        <f>IF(CB2&gt;20,10,IF(CB2&gt;=10,5,2))</f>
        <v/>
      </c>
    </row>
    <row r="3">
      <c r="A3" s="31">
        <f>IF(B3=0,"",RANK(B3,$B$2:$B$5,0))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SGFIN</t>
        </is>
      </c>
      <c r="D3" s="31" t="inlineStr">
        <is>
          <t>SG Finserve Ltd</t>
        </is>
      </c>
      <c r="E3" s="31" t="inlineStr">
        <is>
          <t>financials</t>
        </is>
      </c>
      <c r="F3" s="31" t="inlineStr">
        <is>
          <t>Finance and Investments MSME Lending</t>
        </is>
      </c>
      <c r="G3" s="31" t="inlineStr">
        <is>
          <t>smallcap</t>
        </is>
      </c>
      <c r="H3" s="32" t="n">
        <v>4461.75</v>
      </c>
      <c r="I3" s="32" t="n">
        <v>677.1</v>
      </c>
      <c r="J3" s="32" t="n">
        <v>4.92</v>
      </c>
      <c r="K3" s="32" t="n">
        <v>0</v>
      </c>
      <c r="L3" s="31" t="n">
        <v>38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61.02</v>
      </c>
      <c r="P3" s="32" t="n">
        <v>31.59</v>
      </c>
      <c r="Q3" s="32" t="n">
        <v>526.49</v>
      </c>
      <c r="R3" s="31" t="inlineStr">
        <is>
          <t>Volume Spike &amp; Near 52W High Breakout</t>
        </is>
      </c>
      <c r="S3" s="31" t="inlineStr">
        <is>
          <t>Nifty Bank</t>
        </is>
      </c>
      <c r="T3" s="32" t="n">
        <v>-2.39</v>
      </c>
      <c r="U3" s="32" t="n">
        <v>84.18000000000001</v>
      </c>
      <c r="V3" s="32" t="n">
        <v>88.69</v>
      </c>
      <c r="W3" s="32" t="n">
        <v>14.89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18</t>
        </is>
      </c>
      <c r="CC3" s="31">
        <f>IF(CB3&gt;20,10,IF(CB3&gt;=10,5,2))</f>
        <v/>
      </c>
    </row>
    <row r="4">
      <c r="A4" s="31">
        <f>IF(B4=0,"",RANK(B4,$B$2:$B$5,0))</f>
        <v/>
      </c>
      <c r="B4" s="32">
        <f>SUM(N4,Y4,AA4,AC4,AE4,AG4,AI4,AK4,AM4,AO4,AQ4,AS4,AU4,AW4,AY4,BA4,BC4,BE4,BG4,BI4,BK4,BM4,BO4,BQ4,BS4,BU4,BW4,BY4,CA4,CC4)</f>
        <v/>
      </c>
      <c r="C4" s="34" t="inlineStr">
        <is>
          <t>TFCILTD</t>
        </is>
      </c>
      <c r="D4" s="34" t="inlineStr">
        <is>
          <t>Tourism Finance Corporation of India Ltd</t>
        </is>
      </c>
      <c r="E4" s="31" t="inlineStr">
        <is>
          <t>financials</t>
        </is>
      </c>
      <c r="F4" s="31" t="inlineStr">
        <is>
          <t>Finance PSU Lending</t>
        </is>
      </c>
      <c r="G4" s="31" t="inlineStr">
        <is>
          <t>midcap</t>
        </is>
      </c>
      <c r="H4" s="32" t="n">
        <v>6852.06</v>
      </c>
      <c r="I4" s="32" t="n">
        <v>148</v>
      </c>
      <c r="J4" s="32" t="n">
        <v>0.92</v>
      </c>
      <c r="K4" s="32" t="n">
        <v>0</v>
      </c>
      <c r="L4" s="31" t="n">
        <v>88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82.69</v>
      </c>
      <c r="P4" s="32" t="n">
        <v>74.28</v>
      </c>
      <c r="Q4" s="32" t="n">
        <v>116.76</v>
      </c>
      <c r="R4" s="31" t="inlineStr">
        <is>
          <t>Near 52W High Breakout</t>
        </is>
      </c>
      <c r="S4" s="31" t="inlineStr">
        <is>
          <t>Nifty Bank</t>
        </is>
      </c>
      <c r="T4" s="32" t="n">
        <v>-2.39</v>
      </c>
      <c r="U4" s="32" t="n">
        <v>100.16</v>
      </c>
      <c r="V4" s="32" t="n">
        <v>105.06</v>
      </c>
      <c r="W4" s="32" t="n">
        <v>39.3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above 5x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21</t>
        </is>
      </c>
      <c r="CC4" s="31">
        <f>IF(CB4&gt;20,10,IF(CB4&gt;=10,5,2))</f>
        <v/>
      </c>
    </row>
    <row r="5">
      <c r="A5" s="31">
        <f>IF(B5=0,"",RANK(B5,$B$2:$B$5,0))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GCSL</t>
        </is>
      </c>
      <c r="D5" s="31" t="inlineStr">
        <is>
          <t>Gretex Corporate Services Ltd</t>
        </is>
      </c>
      <c r="E5" s="31" t="inlineStr">
        <is>
          <t>financials</t>
        </is>
      </c>
      <c r="F5" s="31" t="inlineStr">
        <is>
          <t>Finance and Investments Others</t>
        </is>
      </c>
      <c r="G5" s="31" t="inlineStr">
        <is>
          <t>smallcap</t>
        </is>
      </c>
      <c r="H5" s="32" t="n">
        <v>1755.63</v>
      </c>
      <c r="I5" s="32" t="n">
        <v>702.1</v>
      </c>
      <c r="J5" s="32" t="n">
        <v>0.72</v>
      </c>
      <c r="K5" s="32" t="n">
        <v>0</v>
      </c>
      <c r="L5" s="31" t="n">
        <v>82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81.81999999999999</v>
      </c>
      <c r="P5" s="32" t="n">
        <v>34.82</v>
      </c>
      <c r="Q5" s="32" t="n">
        <v>571.03</v>
      </c>
      <c r="R5" s="31" t="inlineStr">
        <is>
          <t>Near 52W High Breakout</t>
        </is>
      </c>
      <c r="S5" s="31" t="inlineStr">
        <is>
          <t>Nifty Bank</t>
        </is>
      </c>
      <c r="T5" s="32" t="n">
        <v>-2.39</v>
      </c>
      <c r="U5" s="32" t="n">
        <v>204.08</v>
      </c>
      <c r="V5" s="32" t="n">
        <v>211.52</v>
      </c>
      <c r="W5" s="32" t="n">
        <v>35.57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above 5x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15</t>
        </is>
      </c>
      <c r="CC5" s="31">
        <f>IF(CB5&gt;20,10,IF(CB5&gt;=10,5,2))</f>
        <v/>
      </c>
    </row>
    <row r="9">
      <c r="A9" s="25" t="inlineStr">
        <is>
          <t>❌ REMOVED SCAN MATCH STOCKS (THIS WEEK)</t>
        </is>
      </c>
    </row>
    <row r="10">
      <c r="A10" s="35" t="inlineStr">
        <is>
          <t>Symbol</t>
        </is>
      </c>
      <c r="B10" s="35" t="inlineStr">
        <is>
          <t>Company Name</t>
        </is>
      </c>
      <c r="C10" s="35" t="inlineStr">
        <is>
          <t>Sector</t>
        </is>
      </c>
      <c r="D10" s="35" t="inlineStr">
        <is>
          <t>Date of Removal</t>
        </is>
      </c>
    </row>
  </sheetData>
  <autoFilter ref="A1:CC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5">
    <cfRule type="cellIs" priority="35" operator="equal" dxfId="3" stopIfTrue="1">
      <formula>"Underperforming"</formula>
    </cfRule>
  </conditionalFormatting>
  <conditionalFormatting sqref="N2:N5">
    <cfRule type="cellIs" priority="36" operator="equal" dxfId="3" stopIfTrue="1">
      <formula>-5</formula>
    </cfRule>
  </conditionalFormatting>
  <conditionalFormatting sqref="Q2:Q5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5" showDropDown="0" showInputMessage="0" showErrorMessage="0" allowBlank="1" type="list">
      <formula1>"Growing Industry,Stagnant Industry,Cyclical in an Upturn"</formula1>
    </dataValidation>
    <dataValidation sqref="Z2:Z5" showDropDown="0" showInputMessage="0" showErrorMessage="0" allowBlank="1" type="list">
      <formula1>"Fragmented with Low ROE,Fragmented with High ROE,Highly Cyclical"</formula1>
    </dataValidation>
    <dataValidation sqref="AB2:AB5" showDropDown="0" showInputMessage="0" showErrorMessage="0" allowBlank="1" type="list">
      <formula1>"Yes,No"</formula1>
    </dataValidation>
    <dataValidation sqref="AD2:AD5" showDropDown="0" showInputMessage="0" showErrorMessage="0" allowBlank="1" type="list">
      <formula1>"Tailwind,Headwind"</formula1>
    </dataValidation>
    <dataValidation sqref="AF2:AF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" showDropDown="0" showInputMessage="0" showErrorMessage="0" allowBlank="1" type="list">
      <formula1>"Yes,No"</formula1>
    </dataValidation>
    <dataValidation sqref="AJ2:AJ5" showDropDown="0" showInputMessage="0" showErrorMessage="0" allowBlank="1" type="list">
      <formula1>"Yes,No,Not Applicable"</formula1>
    </dataValidation>
    <dataValidation sqref="AL2:AL5" showDropDown="0" showInputMessage="0" showErrorMessage="0" allowBlank="1" type="list">
      <formula1>"Yes,No"</formula1>
    </dataValidation>
    <dataValidation sqref="AN2:AN5" showDropDown="0" showInputMessage="0" showErrorMessage="0" allowBlank="1" type="list">
      <formula1>"Yes,No"</formula1>
    </dataValidation>
    <dataValidation sqref="AP2:AP5" showDropDown="0" showInputMessage="0" showErrorMessage="0" allowBlank="1" type="list">
      <formula1>"Yes,No"</formula1>
    </dataValidation>
    <dataValidation sqref="AR2:AR5" showDropDown="0" showInputMessage="0" showErrorMessage="0" allowBlank="1" type="list">
      <formula1>"Yes,No"</formula1>
    </dataValidation>
    <dataValidation sqref="AT2:AT5" showDropDown="0" showInputMessage="0" showErrorMessage="0" allowBlank="1" type="list">
      <formula1>"No,Yes"</formula1>
    </dataValidation>
    <dataValidation sqref="AV2:AV5" showDropDown="0" showInputMessage="0" showErrorMessage="0" allowBlank="1" type="list">
      <formula1>"No,Yes"</formula1>
    </dataValidation>
    <dataValidation sqref="AX2:AX5" showDropDown="0" showInputMessage="0" showErrorMessage="0" allowBlank="1" type="list">
      <formula1>"No,Yes CEO Resignation,Yes CEO Retirement"</formula1>
    </dataValidation>
    <dataValidation sqref="AZ2:AZ5" showDropDown="0" showInputMessage="0" showErrorMessage="0" allowBlank="1" type="list">
      <formula1>"No,Yes"</formula1>
    </dataValidation>
    <dataValidation sqref="BB2:BB5" showDropDown="0" showInputMessage="0" showErrorMessage="0" allowBlank="1" type="list">
      <formula1>"No,Yes"</formula1>
    </dataValidation>
    <dataValidation sqref="BD2:BD5" showDropDown="0" showInputMessage="0" showErrorMessage="0" allowBlank="1" type="list">
      <formula1>"Yes,No"</formula1>
    </dataValidation>
    <dataValidation sqref="BF2:BF5" showDropDown="0" showInputMessage="0" showErrorMessage="0" allowBlank="1" type="list">
      <formula1>"Yes,No"</formula1>
    </dataValidation>
    <dataValidation sqref="BH2:BH5" showDropDown="0" showInputMessage="0" showErrorMessage="0" allowBlank="1" type="list">
      <formula1>"Yes,No"</formula1>
    </dataValidation>
    <dataValidation sqref="BJ2:BJ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" showDropDown="0" showInputMessage="0" showErrorMessage="0" allowBlank="1" type="list">
      <formula1>"Above 40,20 to 40,0 to 20"</formula1>
    </dataValidation>
    <dataValidation sqref="BN2:BN5" showDropDown="0" showInputMessage="0" showErrorMessage="0" allowBlank="1" type="list">
      <formula1>"Between 50 to 75,Above 75,Below 45"</formula1>
    </dataValidation>
    <dataValidation sqref="BP2:BP5" showDropDown="0" showInputMessage="0" showErrorMessage="0" allowBlank="1" type="list">
      <formula1>"Stage 1,Stage 2,Stage 3,Stage 4"</formula1>
    </dataValidation>
    <dataValidation sqref="BR2:BR5" showDropDown="0" showInputMessage="0" showErrorMessage="0" allowBlank="1" type="list">
      <formula1>"Positive Trend,Negative Trend"</formula1>
    </dataValidation>
    <dataValidation sqref="BT2:BT5" showDropDown="0" showInputMessage="0" showErrorMessage="0" allowBlank="1" type="list">
      <formula1>"Uptrend,Sideways,Downtrend"</formula1>
    </dataValidation>
    <dataValidation sqref="BV2:BV5" showDropDown="0" showInputMessage="0" showErrorMessage="0" allowBlank="1" type="list">
      <formula1>"Uptrend,Sideways,Downtrend"</formula1>
    </dataValidation>
    <dataValidation sqref="BX2:BX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2026-10-09T17:03:36Z</dcterms:created>
  <dcterms:modified xmlns:dcterms="http://purl.org/dc/terms/" xmlns:xsi="http://www.w3.org/2001/XMLSchema-instance" xsi:type="dcterms:W3CDTF">2026-10-09T17:04:53Z</dcterms:modified>
</cp:coreProperties>
</file>