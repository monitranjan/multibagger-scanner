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Universe'!$A$1:$J$326</definedName>
    <definedName name="_xlnm._FilterDatabase" localSheetId="3" hidden="1">'Monit Non Financial'!$A$1:$CE$293</definedName>
    <definedName name="_xlnm._FilterDatabase" localSheetId="4" hidden="1">'Monit Banks NBFC'!$A$1:$CA$34</definedName>
    <definedName name="_xlnm._FilterDatabase" localSheetId="5" hidden="1">'Scanner Non Financial'!$A$1:$CJ$21</definedName>
    <definedName name="_xlnm._FilterDatabase" localSheetId="6" hidden="1">'Scanner Banks NBFC'!$A$1:$CF$3</definedName>
    <definedName name="_xlnm._FilterDatabase" localSheetId="7" hidden="1">'Scan Match Non Financial'!$A$1:$CG$95</definedName>
    <definedName name="_xlnm._FilterDatabase" localSheetId="8" hidden="1">'Scan Match Banks NBFC'!$A$1:$CC$7</definedName>
    <definedName name="_xlnm._FilterDatabase" localSheetId="9" hidden="1">'Confluence Overlap'!$A$1:$J$92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03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25" customWidth="1" min="3" max="3"/>
    <col width="48" customWidth="1" min="4" max="4"/>
    <col width="21" customWidth="1" min="5" max="5"/>
    <col width="3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384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49</v>
      </c>
      <c r="G6" s="19" t="n">
        <v>19267.45</v>
      </c>
      <c r="H6" s="18" t="inlineStr">
        <is>
          <t>Potential Leader</t>
        </is>
      </c>
      <c r="J6" s="18" t="inlineStr">
        <is>
          <t>services</t>
        </is>
      </c>
      <c r="K6" s="16" t="n">
        <v>37</v>
      </c>
      <c r="L6" s="16" t="n">
        <v>14</v>
      </c>
      <c r="M6" s="20" t="inlineStr">
        <is>
          <t>164.3%</t>
        </is>
      </c>
    </row>
    <row r="7">
      <c r="A7" s="16" t="n">
        <v>2</v>
      </c>
      <c r="B7" s="17" t="n">
        <v>372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47</v>
      </c>
      <c r="G7" s="19" t="n">
        <v>13244.18</v>
      </c>
      <c r="H7" s="18" t="inlineStr">
        <is>
          <t>Potential Leader</t>
        </is>
      </c>
      <c r="J7" s="18" t="inlineStr">
        <is>
          <t>textiles</t>
        </is>
      </c>
      <c r="K7" s="16" t="n">
        <v>88</v>
      </c>
      <c r="L7" s="16" t="n">
        <v>34</v>
      </c>
      <c r="M7" s="20" t="inlineStr">
        <is>
          <t>158.8%</t>
        </is>
      </c>
    </row>
    <row r="8">
      <c r="A8" s="16" t="n">
        <v>3</v>
      </c>
      <c r="B8" s="17" t="n">
        <v>360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45</v>
      </c>
      <c r="G8" s="19" t="n">
        <v>454983.8</v>
      </c>
      <c r="H8" s="18" t="inlineStr">
        <is>
          <t>Potential Leader</t>
        </is>
      </c>
      <c r="J8" s="18" t="inlineStr">
        <is>
          <t>building materials</t>
        </is>
      </c>
      <c r="K8" s="16" t="n">
        <v>33</v>
      </c>
      <c r="L8" s="16" t="n">
        <v>13</v>
      </c>
      <c r="M8" s="20" t="inlineStr">
        <is>
          <t>153.8%</t>
        </is>
      </c>
    </row>
    <row r="9">
      <c r="A9" s="16" t="n">
        <v>4</v>
      </c>
      <c r="B9" s="17" t="n">
        <v>360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45</v>
      </c>
      <c r="G9" s="19" t="n">
        <v>4596</v>
      </c>
      <c r="H9" s="18" t="inlineStr">
        <is>
          <t>Potential Leader</t>
        </is>
      </c>
      <c r="J9" s="18" t="inlineStr">
        <is>
          <t>media</t>
        </is>
      </c>
      <c r="K9" s="16" t="n">
        <v>10</v>
      </c>
      <c r="L9" s="16" t="n">
        <v>4</v>
      </c>
      <c r="M9" s="20" t="inlineStr">
        <is>
          <t>150.0%</t>
        </is>
      </c>
    </row>
    <row r="10">
      <c r="A10" s="16" t="n">
        <v>5</v>
      </c>
      <c r="B10" s="17" t="n">
        <v>360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45</v>
      </c>
      <c r="G10" s="19" t="n">
        <v>4531.21</v>
      </c>
      <c r="H10" s="18" t="inlineStr">
        <is>
          <t>Potential Leader</t>
        </is>
      </c>
      <c r="J10" s="18" t="inlineStr">
        <is>
          <t>telecom-service</t>
        </is>
      </c>
      <c r="K10" s="16" t="n">
        <v>10</v>
      </c>
      <c r="L10" s="16" t="n">
        <v>4</v>
      </c>
      <c r="M10" s="20" t="inlineStr">
        <is>
          <t>150.0%</t>
        </is>
      </c>
    </row>
    <row r="11">
      <c r="A11" s="16" t="n">
        <v>6</v>
      </c>
      <c r="B11" s="17" t="n">
        <v>354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44</v>
      </c>
      <c r="G11" s="19" t="n">
        <v>13122.77</v>
      </c>
      <c r="H11" s="18" t="inlineStr">
        <is>
          <t>Potential Leader</t>
        </is>
      </c>
      <c r="J11" s="18" t="inlineStr">
        <is>
          <t>consumer discretionary</t>
        </is>
      </c>
      <c r="K11" s="16" t="n">
        <v>103</v>
      </c>
      <c r="L11" s="16" t="n">
        <v>42</v>
      </c>
      <c r="M11" s="20" t="inlineStr">
        <is>
          <t>145.2%</t>
        </is>
      </c>
    </row>
    <row r="12">
      <c r="A12" s="16" t="n">
        <v>7</v>
      </c>
      <c r="B12" s="17" t="n">
        <v>354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44</v>
      </c>
      <c r="G12" s="19" t="n">
        <v>2852.04</v>
      </c>
      <c r="H12" s="18" t="inlineStr">
        <is>
          <t>Potential Leader</t>
        </is>
      </c>
      <c r="J12" s="18" t="inlineStr">
        <is>
          <t>fmcg</t>
        </is>
      </c>
      <c r="K12" s="16" t="n">
        <v>67</v>
      </c>
      <c r="L12" s="16" t="n">
        <v>28</v>
      </c>
      <c r="M12" s="20" t="inlineStr">
        <is>
          <t>139.3%</t>
        </is>
      </c>
    </row>
    <row r="13">
      <c r="A13" s="16" t="n">
        <v>8</v>
      </c>
      <c r="B13" s="17" t="n">
        <v>354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44</v>
      </c>
      <c r="G13" s="19" t="n">
        <v>3652.16</v>
      </c>
      <c r="H13" s="18" t="inlineStr">
        <is>
          <t>Potential Leader</t>
        </is>
      </c>
      <c r="J13" s="18" t="inlineStr">
        <is>
          <t>i.t</t>
        </is>
      </c>
      <c r="K13" s="16" t="n">
        <v>70</v>
      </c>
      <c r="L13" s="16" t="n">
        <v>30</v>
      </c>
      <c r="M13" s="20" t="inlineStr">
        <is>
          <t>133.3%</t>
        </is>
      </c>
    </row>
    <row r="14">
      <c r="A14" s="16" t="n">
        <v>9</v>
      </c>
      <c r="B14" s="17" t="n">
        <v>354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44</v>
      </c>
      <c r="G14" s="19" t="n">
        <v>36582.49</v>
      </c>
      <c r="H14" s="18" t="inlineStr">
        <is>
          <t>Potential Leader</t>
        </is>
      </c>
      <c r="J14" s="18" t="inlineStr">
        <is>
          <t>metals &amp; mining</t>
        </is>
      </c>
      <c r="K14" s="16" t="n">
        <v>113</v>
      </c>
      <c r="L14" s="16" t="n">
        <v>49</v>
      </c>
      <c r="M14" s="20" t="inlineStr">
        <is>
          <t>130.6%</t>
        </is>
      </c>
    </row>
    <row r="15">
      <c r="A15" s="16" t="n">
        <v>10</v>
      </c>
      <c r="B15" s="17" t="n">
        <v>348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43</v>
      </c>
      <c r="G15" s="19" t="n">
        <v>7466.8</v>
      </c>
      <c r="H15" s="18" t="inlineStr">
        <is>
          <t>Potential Leader</t>
        </is>
      </c>
      <c r="J15" s="18" t="inlineStr">
        <is>
          <t>energy</t>
        </is>
      </c>
      <c r="K15" s="16" t="n">
        <v>38</v>
      </c>
      <c r="L15" s="16" t="n">
        <v>17</v>
      </c>
      <c r="M15" s="20" t="inlineStr">
        <is>
          <t>123.5%</t>
        </is>
      </c>
    </row>
    <row r="16">
      <c r="A16" s="16" t="n">
        <v>11</v>
      </c>
      <c r="B16" s="17" t="n">
        <v>348</v>
      </c>
      <c r="C16" s="17" t="inlineStr">
        <is>
          <t>STLTECH</t>
        </is>
      </c>
      <c r="D16" s="18" t="inlineStr">
        <is>
          <t>Sterlite Technologies Limited</t>
        </is>
      </c>
      <c r="E16" s="18" t="inlineStr">
        <is>
          <t>industrials</t>
        </is>
      </c>
      <c r="F16" s="16" t="n">
        <v>43</v>
      </c>
      <c r="G16" s="19" t="n">
        <v>28851.07</v>
      </c>
      <c r="H16" s="18" t="inlineStr">
        <is>
          <t>Potential Leader</t>
        </is>
      </c>
      <c r="J16" s="18" t="inlineStr">
        <is>
          <t>auto</t>
        </is>
      </c>
      <c r="K16" s="16" t="n">
        <v>130</v>
      </c>
      <c r="L16" s="16" t="n">
        <v>59</v>
      </c>
      <c r="M16" s="20" t="inlineStr">
        <is>
          <t>120.3%</t>
        </is>
      </c>
    </row>
    <row r="17">
      <c r="A17" s="16" t="n">
        <v>12</v>
      </c>
      <c r="B17" s="17" t="n">
        <v>348</v>
      </c>
      <c r="C17" s="17" t="inlineStr">
        <is>
          <t>STYLAMIND</t>
        </is>
      </c>
      <c r="D17" s="18" t="inlineStr">
        <is>
          <t>Stylam Industries Ltd</t>
        </is>
      </c>
      <c r="E17" s="18" t="inlineStr">
        <is>
          <t>building materials</t>
        </is>
      </c>
      <c r="F17" s="16" t="n">
        <v>43</v>
      </c>
      <c r="G17" s="19" t="n">
        <v>5013.07</v>
      </c>
      <c r="H17" s="18" t="inlineStr">
        <is>
          <t>Potential Leader</t>
        </is>
      </c>
      <c r="J17" s="18" t="inlineStr">
        <is>
          <t>aerospace &amp; defence</t>
        </is>
      </c>
      <c r="K17" s="16" t="n">
        <v>57</v>
      </c>
      <c r="L17" s="16" t="n">
        <v>26</v>
      </c>
      <c r="M17" s="20" t="inlineStr">
        <is>
          <t>119.2%</t>
        </is>
      </c>
    </row>
    <row r="18">
      <c r="A18" s="16" t="n">
        <v>13</v>
      </c>
      <c r="B18" s="17" t="n">
        <v>342</v>
      </c>
      <c r="C18" s="17" t="inlineStr">
        <is>
          <t>POWERINDIA</t>
        </is>
      </c>
      <c r="D18" s="18" t="inlineStr">
        <is>
          <t>Hitachi Energy India Ltd</t>
        </is>
      </c>
      <c r="E18" s="18" t="inlineStr">
        <is>
          <t>industrials</t>
        </is>
      </c>
      <c r="F18" s="16" t="n">
        <v>42</v>
      </c>
      <c r="G18" s="19" t="n">
        <v>156471.28</v>
      </c>
      <c r="H18" s="18" t="inlineStr">
        <is>
          <t>Potential Leader</t>
        </is>
      </c>
      <c r="J18" s="18" t="inlineStr">
        <is>
          <t>healthcare</t>
        </is>
      </c>
      <c r="K18" s="16" t="n">
        <v>220</v>
      </c>
      <c r="L18" s="16" t="n">
        <v>102</v>
      </c>
      <c r="M18" s="20" t="inlineStr">
        <is>
          <t>115.7%</t>
        </is>
      </c>
    </row>
    <row r="19">
      <c r="A19" s="16" t="n">
        <v>14</v>
      </c>
      <c r="B19" s="17" t="n">
        <v>336</v>
      </c>
      <c r="C19" s="17" t="inlineStr">
        <is>
          <t>ADANIGREEN</t>
        </is>
      </c>
      <c r="D19" s="18" t="inlineStr">
        <is>
          <t>Adani Green Energy Ltd</t>
        </is>
      </c>
      <c r="E19" s="18" t="inlineStr">
        <is>
          <t>power &amp; utilities</t>
        </is>
      </c>
      <c r="F19" s="16" t="n">
        <v>41</v>
      </c>
      <c r="G19" s="19" t="n">
        <v>238741.71</v>
      </c>
      <c r="H19" s="18" t="inlineStr">
        <is>
          <t>Potential Leader</t>
        </is>
      </c>
      <c r="J19" s="18" t="inlineStr">
        <is>
          <t>industrials</t>
        </is>
      </c>
      <c r="K19" s="16" t="n">
        <v>238</v>
      </c>
      <c r="L19" s="16" t="n">
        <v>111</v>
      </c>
      <c r="M19" s="20" t="inlineStr">
        <is>
          <t>114.4%</t>
        </is>
      </c>
    </row>
    <row r="20">
      <c r="A20" s="16" t="n">
        <v>15</v>
      </c>
      <c r="B20" s="17" t="n">
        <v>336</v>
      </c>
      <c r="C20" s="17" t="inlineStr">
        <is>
          <t>ADANIPORTS</t>
        </is>
      </c>
      <c r="D20" s="18" t="inlineStr">
        <is>
          <t>Adani Ports And Special Economic Zone Limited</t>
        </is>
      </c>
      <c r="E20" s="18" t="inlineStr">
        <is>
          <t>transportation</t>
        </is>
      </c>
      <c r="F20" s="16" t="n">
        <v>41</v>
      </c>
      <c r="G20" s="19" t="n">
        <v>418053.38</v>
      </c>
      <c r="H20" s="18" t="inlineStr">
        <is>
          <t>Potential Leader</t>
        </is>
      </c>
      <c r="J20" s="18" t="inlineStr">
        <is>
          <t>transportation</t>
        </is>
      </c>
      <c r="K20" s="16" t="n">
        <v>15</v>
      </c>
      <c r="L20" s="16" t="n">
        <v>7</v>
      </c>
      <c r="M20" s="20" t="inlineStr">
        <is>
          <t>114.3%</t>
        </is>
      </c>
    </row>
    <row r="21">
      <c r="A21" s="16" t="n">
        <v>16</v>
      </c>
      <c r="B21" s="17" t="n">
        <v>336</v>
      </c>
      <c r="C21" s="17" t="inlineStr">
        <is>
          <t>APCOTEXIND</t>
        </is>
      </c>
      <c r="D21" s="18" t="inlineStr">
        <is>
          <t>Apcotex Industries Limited</t>
        </is>
      </c>
      <c r="E21" s="18" t="inlineStr">
        <is>
          <t>chemicals</t>
        </is>
      </c>
      <c r="F21" s="16" t="n">
        <v>41</v>
      </c>
      <c r="G21" s="19" t="n">
        <v>2561.66</v>
      </c>
      <c r="H21" s="18" t="inlineStr">
        <is>
          <t>Potential Leader</t>
        </is>
      </c>
    </row>
    <row r="22">
      <c r="A22" s="16" t="n">
        <v>17</v>
      </c>
      <c r="B22" s="17" t="n">
        <v>336</v>
      </c>
      <c r="C22" s="17" t="inlineStr">
        <is>
          <t>BHEL</t>
        </is>
      </c>
      <c r="D22" s="18" t="inlineStr">
        <is>
          <t>Bharat Heavy Electricals Limited</t>
        </is>
      </c>
      <c r="E22" s="18" t="inlineStr">
        <is>
          <t>industrials</t>
        </is>
      </c>
      <c r="F22" s="16" t="n">
        <v>41</v>
      </c>
      <c r="G22" s="19" t="n">
        <v>143025.75</v>
      </c>
      <c r="H22" s="18" t="inlineStr">
        <is>
          <t>Potential Leader</t>
        </is>
      </c>
    </row>
    <row r="23">
      <c r="A23" s="16" t="n">
        <v>18</v>
      </c>
      <c r="B23" s="17" t="n">
        <v>336</v>
      </c>
      <c r="C23" s="17" t="inlineStr">
        <is>
          <t>CRAFTSMAN</t>
        </is>
      </c>
      <c r="D23" s="18" t="inlineStr">
        <is>
          <t>Craftsman Automation Ltd</t>
        </is>
      </c>
      <c r="E23" s="18" t="inlineStr">
        <is>
          <t>auto</t>
        </is>
      </c>
      <c r="F23" s="16" t="n">
        <v>41</v>
      </c>
      <c r="G23" s="19" t="n">
        <v>21419.93</v>
      </c>
      <c r="H23" s="18" t="inlineStr">
        <is>
          <t>Potential Leader</t>
        </is>
      </c>
    </row>
    <row r="24">
      <c r="A24" s="16" t="n">
        <v>19</v>
      </c>
      <c r="B24" s="17" t="n">
        <v>336</v>
      </c>
      <c r="C24" s="17" t="inlineStr">
        <is>
          <t>HFCL</t>
        </is>
      </c>
      <c r="D24" s="18" t="inlineStr">
        <is>
          <t>HFCL Ltd</t>
        </is>
      </c>
      <c r="E24" s="18" t="inlineStr">
        <is>
          <t>telecom</t>
        </is>
      </c>
      <c r="F24" s="16" t="n">
        <v>41</v>
      </c>
      <c r="G24" s="19" t="n">
        <v>29072.26</v>
      </c>
      <c r="H24" s="18" t="inlineStr">
        <is>
          <t>Potential Leader</t>
        </is>
      </c>
    </row>
    <row r="25">
      <c r="A25" s="16" t="n">
        <v>20</v>
      </c>
      <c r="B25" s="17" t="n">
        <v>336</v>
      </c>
      <c r="C25" s="17" t="inlineStr">
        <is>
          <t>SATIN</t>
        </is>
      </c>
      <c r="D25" s="18" t="inlineStr">
        <is>
          <t>Satin Creditcare Network Limited</t>
        </is>
      </c>
      <c r="E25" s="18" t="inlineStr">
        <is>
          <t>financials</t>
        </is>
      </c>
      <c r="F25" s="16" t="n">
        <v>41</v>
      </c>
      <c r="G25" s="19" t="n">
        <v>2553.2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HESTERBIO</t>
        </is>
      </c>
      <c r="B30" s="18" t="inlineStr">
        <is>
          <t>Hester Biosciences Limited</t>
        </is>
      </c>
      <c r="C30" s="18" t="inlineStr">
        <is>
          <t>healthcare</t>
        </is>
      </c>
      <c r="D30" s="16" t="n">
        <v>10</v>
      </c>
      <c r="E30" s="16" t="n">
        <v>1</v>
      </c>
      <c r="F30" s="19" t="n">
        <v>1714.47</v>
      </c>
      <c r="J30" s="17" t="inlineStr">
        <is>
          <t>BAJAJCON</t>
        </is>
      </c>
      <c r="K30" s="18" t="inlineStr">
        <is>
          <t>fmcg</t>
        </is>
      </c>
      <c r="L30" s="19" t="n">
        <v>297</v>
      </c>
      <c r="M30" s="19" t="n">
        <v>7466.8</v>
      </c>
      <c r="N30" s="16" t="n">
        <v>30</v>
      </c>
    </row>
    <row r="31">
      <c r="A31" s="17" t="inlineStr">
        <is>
          <t>KOPRAN</t>
        </is>
      </c>
      <c r="B31" s="18" t="inlineStr">
        <is>
          <t>Kopran Limited</t>
        </is>
      </c>
      <c r="C31" s="18" t="inlineStr">
        <is>
          <t>healthcare</t>
        </is>
      </c>
      <c r="D31" s="16" t="n">
        <v>10</v>
      </c>
      <c r="E31" s="16" t="n">
        <v>1</v>
      </c>
      <c r="F31" s="19" t="n">
        <v>946.01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9982.91</v>
      </c>
      <c r="N31" s="16" t="n">
        <v>23</v>
      </c>
    </row>
    <row r="32">
      <c r="A32" s="17" t="inlineStr">
        <is>
          <t>JAGRAN</t>
        </is>
      </c>
      <c r="B32" s="18" t="inlineStr">
        <is>
          <t>Jagran Prakashan Limited</t>
        </is>
      </c>
      <c r="C32" s="18" t="inlineStr">
        <is>
          <t>media</t>
        </is>
      </c>
      <c r="D32" s="16" t="n">
        <v>10</v>
      </c>
      <c r="E32" s="16" t="n">
        <v>2</v>
      </c>
      <c r="F32" s="19" t="n">
        <v>1675.72</v>
      </c>
      <c r="J32" s="17" t="inlineStr">
        <is>
          <t>OMAXAUTO</t>
        </is>
      </c>
      <c r="K32" s="18" t="inlineStr">
        <is>
          <t>auto</t>
        </is>
      </c>
      <c r="L32" s="19" t="n">
        <v>293</v>
      </c>
      <c r="M32" s="19" t="n">
        <v>522.51</v>
      </c>
      <c r="N32" s="16" t="n">
        <v>25</v>
      </c>
    </row>
    <row r="33">
      <c r="A33" s="17" t="inlineStr">
        <is>
          <t>MINDACORP</t>
        </is>
      </c>
      <c r="B33" s="18" t="inlineStr">
        <is>
          <t>Minda Corporation Limited</t>
        </is>
      </c>
      <c r="C33" s="18" t="inlineStr">
        <is>
          <t>auto</t>
        </is>
      </c>
      <c r="D33" s="16" t="n">
        <v>10</v>
      </c>
      <c r="E33" s="16" t="n">
        <v>2</v>
      </c>
      <c r="F33" s="19" t="n">
        <v>15058.42</v>
      </c>
      <c r="J33" s="17" t="inlineStr">
        <is>
          <t>IBULLSLTD</t>
        </is>
      </c>
      <c r="K33" s="18" t="inlineStr">
        <is>
          <t>miscellaneous</t>
        </is>
      </c>
      <c r="L33" s="19" t="n">
        <v>290</v>
      </c>
      <c r="M33" s="19" t="n">
        <v>5387.92</v>
      </c>
      <c r="N33" s="16" t="n">
        <v>24</v>
      </c>
    </row>
    <row r="34">
      <c r="A34" s="17" t="inlineStr">
        <is>
          <t>SUPRAJIT</t>
        </is>
      </c>
      <c r="B34" s="18" t="inlineStr">
        <is>
          <t>Suprajit Engineering Limited</t>
        </is>
      </c>
      <c r="C34" s="18" t="inlineStr">
        <is>
          <t>auto</t>
        </is>
      </c>
      <c r="D34" s="16" t="n">
        <v>10</v>
      </c>
      <c r="E34" s="16" t="n">
        <v>2</v>
      </c>
      <c r="F34" s="19" t="n">
        <v>6299.58</v>
      </c>
      <c r="J34" s="17" t="inlineStr">
        <is>
          <t>CONFIPET</t>
        </is>
      </c>
      <c r="K34" s="18" t="inlineStr">
        <is>
          <t>miscellaneous</t>
        </is>
      </c>
      <c r="L34" s="19" t="n">
        <v>288</v>
      </c>
      <c r="M34" s="19" t="n">
        <v>2319.37</v>
      </c>
      <c r="N34" s="16" t="n">
        <v>28</v>
      </c>
    </row>
    <row r="35">
      <c r="A35" s="17" t="inlineStr">
        <is>
          <t>TMPV</t>
        </is>
      </c>
      <c r="B35" s="18" t="inlineStr">
        <is>
          <t>Tata Motors Passenger Vehicles Ltd</t>
        </is>
      </c>
      <c r="C35" s="18" t="inlineStr">
        <is>
          <t>auto</t>
        </is>
      </c>
      <c r="D35" s="16" t="n">
        <v>10</v>
      </c>
      <c r="E35" s="16" t="n">
        <v>0</v>
      </c>
      <c r="F35" s="19" t="n">
        <v>143686.37</v>
      </c>
      <c r="J35" s="17" t="inlineStr">
        <is>
          <t>WELINV</t>
        </is>
      </c>
      <c r="K35" s="18" t="inlineStr">
        <is>
          <t>financials</t>
        </is>
      </c>
      <c r="L35" s="19" t="n">
        <v>285</v>
      </c>
      <c r="M35" s="19" t="n">
        <v>679.37</v>
      </c>
      <c r="N35" s="16" t="n">
        <v>30</v>
      </c>
    </row>
    <row r="36">
      <c r="A36" s="17" t="inlineStr">
        <is>
          <t>PGHL</t>
        </is>
      </c>
      <c r="B36" s="18" t="inlineStr">
        <is>
          <t>Procter &amp; Gamble Health Ltd</t>
        </is>
      </c>
      <c r="C36" s="18" t="inlineStr">
        <is>
          <t>healthcare</t>
        </is>
      </c>
      <c r="D36" s="16" t="n">
        <v>10</v>
      </c>
      <c r="E36" s="16" t="n">
        <v>2</v>
      </c>
      <c r="F36" s="19" t="n">
        <v>10010.26</v>
      </c>
      <c r="J36" s="17" t="inlineStr">
        <is>
          <t>FEDFINA</t>
        </is>
      </c>
      <c r="K36" s="18" t="inlineStr">
        <is>
          <t>financials</t>
        </is>
      </c>
      <c r="L36" s="19" t="n">
        <v>285</v>
      </c>
      <c r="M36" s="19" t="n">
        <v>5932.29</v>
      </c>
      <c r="N36" s="16" t="n">
        <v>24</v>
      </c>
    </row>
    <row r="37">
      <c r="A37" s="17" t="inlineStr">
        <is>
          <t>HONAUT</t>
        </is>
      </c>
      <c r="B37" s="18" t="inlineStr">
        <is>
          <t>Honeywell Automation India Limited</t>
        </is>
      </c>
      <c r="C37" s="18" t="inlineStr">
        <is>
          <t>consumer discretionary</t>
        </is>
      </c>
      <c r="D37" s="16" t="n">
        <v>10</v>
      </c>
      <c r="E37" s="16" t="n">
        <v>2</v>
      </c>
      <c r="F37" s="19" t="n">
        <v>30852.49</v>
      </c>
      <c r="J37" s="17" t="inlineStr">
        <is>
          <t>RBLBANK</t>
        </is>
      </c>
      <c r="K37" s="18" t="inlineStr">
        <is>
          <t>bank</t>
        </is>
      </c>
      <c r="L37" s="19" t="n">
        <v>285</v>
      </c>
      <c r="M37" s="19" t="n">
        <v>21272.3</v>
      </c>
      <c r="N37" s="16" t="n">
        <v>22</v>
      </c>
    </row>
    <row r="38">
      <c r="A38" s="17" t="inlineStr">
        <is>
          <t>MONARCH</t>
        </is>
      </c>
      <c r="B38" s="18" t="inlineStr">
        <is>
          <t>Monarch Networth Capital Ltd</t>
        </is>
      </c>
      <c r="C38" s="18" t="inlineStr">
        <is>
          <t>financials</t>
        </is>
      </c>
      <c r="D38" s="16" t="n">
        <v>10</v>
      </c>
      <c r="E38" s="16" t="n">
        <v>1</v>
      </c>
      <c r="F38" s="19" t="n">
        <v>2698.29</v>
      </c>
      <c r="J38" s="17" t="inlineStr">
        <is>
          <t>TMB</t>
        </is>
      </c>
      <c r="K38" s="18" t="inlineStr">
        <is>
          <t>bank</t>
        </is>
      </c>
      <c r="L38" s="19" t="n">
        <v>285</v>
      </c>
      <c r="M38" s="19" t="n">
        <v>11714.05</v>
      </c>
      <c r="N38" s="16" t="n">
        <v>12</v>
      </c>
    </row>
    <row r="39">
      <c r="A39" s="17" t="inlineStr">
        <is>
          <t>ASAHIINDIA</t>
        </is>
      </c>
      <c r="B39" s="18" t="inlineStr">
        <is>
          <t>Asahi India Glass Limited</t>
        </is>
      </c>
      <c r="C39" s="18" t="inlineStr">
        <is>
          <t>building materials</t>
        </is>
      </c>
      <c r="D39" s="16" t="n">
        <v>9</v>
      </c>
      <c r="E39" s="16" t="n">
        <v>0</v>
      </c>
      <c r="F39" s="19" t="n">
        <v>22921.78</v>
      </c>
      <c r="J39" s="17" t="inlineStr">
        <is>
          <t>GAYAPROJ</t>
        </is>
      </c>
      <c r="K39" s="18" t="inlineStr">
        <is>
          <t>realty</t>
        </is>
      </c>
      <c r="L39" s="19" t="n">
        <v>283</v>
      </c>
      <c r="M39" s="19" t="n">
        <v>610.47</v>
      </c>
      <c r="N39" s="16" t="n">
        <v>23</v>
      </c>
    </row>
    <row r="40">
      <c r="A40" s="17" t="inlineStr">
        <is>
          <t>AVANTEL</t>
        </is>
      </c>
      <c r="B40" s="18" t="inlineStr">
        <is>
          <t>Avantel Ltd</t>
        </is>
      </c>
      <c r="C40" s="18" t="inlineStr">
        <is>
          <t>aerospace &amp; defence</t>
        </is>
      </c>
      <c r="D40" s="16" t="n">
        <v>9</v>
      </c>
      <c r="E40" s="16" t="n">
        <v>0</v>
      </c>
      <c r="F40" s="19" t="n">
        <v>4680.23</v>
      </c>
      <c r="J40" s="17" t="inlineStr">
        <is>
          <t>DHANBANK</t>
        </is>
      </c>
      <c r="K40" s="18" t="inlineStr">
        <is>
          <t>bank</t>
        </is>
      </c>
      <c r="L40" s="19" t="n">
        <v>282</v>
      </c>
      <c r="M40" s="19" t="n">
        <v>1330.92</v>
      </c>
      <c r="N40" s="16" t="n">
        <v>29</v>
      </c>
    </row>
    <row r="41">
      <c r="A41" s="17" t="inlineStr">
        <is>
          <t>DIAMONDYD</t>
        </is>
      </c>
      <c r="B41" s="18" t="inlineStr">
        <is>
          <t>Prataap Snacks Ltd</t>
        </is>
      </c>
      <c r="C41" s="18" t="inlineStr">
        <is>
          <t>fmcg</t>
        </is>
      </c>
      <c r="D41" s="16" t="n">
        <v>9</v>
      </c>
      <c r="E41" s="16" t="n">
        <v>0</v>
      </c>
      <c r="F41" s="19" t="n">
        <v>2598.55</v>
      </c>
      <c r="J41" s="17" t="inlineStr">
        <is>
          <t>VENUSREM</t>
        </is>
      </c>
      <c r="K41" s="18" t="inlineStr">
        <is>
          <t>healthcare</t>
        </is>
      </c>
      <c r="L41" s="19" t="n">
        <v>282</v>
      </c>
      <c r="M41" s="19" t="n">
        <v>1886.48</v>
      </c>
      <c r="N41" s="16" t="n">
        <v>16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120.58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28851.07</v>
      </c>
    </row>
    <row r="48">
      <c r="A48" s="16" t="n">
        <v>2</v>
      </c>
      <c r="B48" s="26" t="n">
        <v>99</v>
      </c>
      <c r="C48" s="27" t="n">
        <v>83.97</v>
      </c>
      <c r="D48" s="27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7333.33</v>
      </c>
    </row>
    <row r="49">
      <c r="A49" s="16" t="n">
        <v>3</v>
      </c>
      <c r="B49" s="26" t="n">
        <v>98</v>
      </c>
      <c r="C49" s="27" t="n">
        <v>69.79000000000001</v>
      </c>
      <c r="D49" s="27" t="n">
        <v>255</v>
      </c>
      <c r="E49" s="17" t="inlineStr">
        <is>
          <t>HFCL</t>
        </is>
      </c>
      <c r="F49" s="18" t="inlineStr">
        <is>
          <t>HFCL Ltd</t>
        </is>
      </c>
      <c r="G49" s="18" t="inlineStr">
        <is>
          <t>telecom</t>
        </is>
      </c>
      <c r="H49" s="19" t="n">
        <v>29072.26</v>
      </c>
    </row>
    <row r="50">
      <c r="A50" s="16" t="n">
        <v>4</v>
      </c>
      <c r="B50" s="26" t="n">
        <v>98</v>
      </c>
      <c r="C50" s="27" t="n">
        <v>60.94</v>
      </c>
      <c r="D50" s="27" t="n">
        <v>270</v>
      </c>
      <c r="E50" s="17" t="inlineStr">
        <is>
          <t>BHAGYANGR</t>
        </is>
      </c>
      <c r="F50" s="18" t="inlineStr">
        <is>
          <t>Bhagyanagar India</t>
        </is>
      </c>
      <c r="G50" s="18" t="inlineStr">
        <is>
          <t>power &amp; utilities</t>
        </is>
      </c>
      <c r="H50" s="19" t="n">
        <v>1034.08</v>
      </c>
    </row>
    <row r="51">
      <c r="A51" s="16" t="n">
        <v>5</v>
      </c>
      <c r="B51" s="26" t="n">
        <v>98</v>
      </c>
      <c r="C51" s="27" t="n">
        <v>60.75</v>
      </c>
      <c r="D51" s="27" t="n">
        <v>285</v>
      </c>
      <c r="E51" s="17" t="inlineStr">
        <is>
          <t>VMARCIND</t>
        </is>
      </c>
      <c r="F51" s="18" t="inlineStr">
        <is>
          <t>VMARCIND</t>
        </is>
      </c>
      <c r="G51" s="18" t="inlineStr">
        <is>
          <t>unknown</t>
        </is>
      </c>
      <c r="H51" s="19" t="n">
        <v>441.28</v>
      </c>
    </row>
    <row r="52">
      <c r="A52" s="16" t="n">
        <v>6</v>
      </c>
      <c r="B52" s="26" t="n">
        <v>98</v>
      </c>
      <c r="C52" s="27" t="n">
        <v>60.7</v>
      </c>
      <c r="D52" s="27" t="n">
        <v>257</v>
      </c>
      <c r="E52" s="17" t="inlineStr">
        <is>
          <t>CUPID</t>
        </is>
      </c>
      <c r="F52" s="18" t="inlineStr">
        <is>
          <t>Cupid Limited</t>
        </is>
      </c>
      <c r="G52" s="18" t="inlineStr">
        <is>
          <t>fmcg</t>
        </is>
      </c>
      <c r="H52" s="19" t="n">
        <v>17258.72</v>
      </c>
    </row>
    <row r="53">
      <c r="A53" s="16" t="n">
        <v>7</v>
      </c>
      <c r="B53" s="26" t="n">
        <v>97</v>
      </c>
      <c r="C53" s="27" t="n">
        <v>60.48</v>
      </c>
      <c r="D53" s="27" t="n">
        <v>265</v>
      </c>
      <c r="E53" s="17" t="inlineStr">
        <is>
          <t>MTARTECH</t>
        </is>
      </c>
      <c r="F53" s="18" t="inlineStr">
        <is>
          <t>MTAR Technologies Ltd</t>
        </is>
      </c>
      <c r="G53" s="18" t="inlineStr">
        <is>
          <t>aerospace &amp; defence</t>
        </is>
      </c>
      <c r="H53" s="19" t="n">
        <v>22196.12</v>
      </c>
    </row>
    <row r="54">
      <c r="A54" s="16" t="n">
        <v>8</v>
      </c>
      <c r="B54" s="26" t="n">
        <v>97</v>
      </c>
      <c r="C54" s="27" t="n">
        <v>60.28</v>
      </c>
      <c r="D54" s="27" t="n">
        <v>293</v>
      </c>
      <c r="E54" s="17" t="inlineStr">
        <is>
          <t>OMAXAUTO</t>
        </is>
      </c>
      <c r="F54" s="18" t="inlineStr">
        <is>
          <t>Omax Autos Limited</t>
        </is>
      </c>
      <c r="G54" s="18" t="inlineStr">
        <is>
          <t>auto</t>
        </is>
      </c>
      <c r="H54" s="19" t="n">
        <v>522.51</v>
      </c>
    </row>
    <row r="55">
      <c r="A55" s="16" t="n">
        <v>9</v>
      </c>
      <c r="B55" s="26" t="n">
        <v>97</v>
      </c>
      <c r="C55" s="27" t="n">
        <v>57.15</v>
      </c>
      <c r="D55" s="27" t="n">
        <v>270</v>
      </c>
      <c r="E55" s="17" t="inlineStr">
        <is>
          <t>MODISONLTD</t>
        </is>
      </c>
      <c r="F55" s="18" t="inlineStr">
        <is>
          <t>Modison Ltd</t>
        </is>
      </c>
      <c r="G55" s="18" t="inlineStr">
        <is>
          <t>industrials</t>
        </is>
      </c>
      <c r="H55" s="19" t="n">
        <v>1017.96</v>
      </c>
    </row>
    <row r="56">
      <c r="A56" s="16" t="n">
        <v>10</v>
      </c>
      <c r="B56" s="26" t="n">
        <v>96</v>
      </c>
      <c r="C56" s="27" t="n">
        <v>56.82</v>
      </c>
      <c r="D56" s="27" t="n">
        <v>282</v>
      </c>
      <c r="E56" s="17" t="inlineStr">
        <is>
          <t>VENUSREM</t>
        </is>
      </c>
      <c r="F56" s="18" t="inlineStr">
        <is>
          <t>Venus Remedies Limited</t>
        </is>
      </c>
      <c r="G56" s="18" t="inlineStr">
        <is>
          <t>healthcare</t>
        </is>
      </c>
      <c r="H56" s="19" t="n">
        <v>1886.48</v>
      </c>
    </row>
    <row r="57">
      <c r="A57" s="16" t="n">
        <v>11</v>
      </c>
      <c r="B57" s="26" t="n">
        <v>96</v>
      </c>
      <c r="C57" s="27" t="n">
        <v>56.33</v>
      </c>
      <c r="D57" s="27" t="n">
        <v>290</v>
      </c>
      <c r="E57" s="17" t="inlineStr">
        <is>
          <t>IBULLSLTD</t>
        </is>
      </c>
      <c r="F57" s="18" t="inlineStr">
        <is>
          <t>Indiabulls Limited</t>
        </is>
      </c>
      <c r="G57" s="18" t="inlineStr">
        <is>
          <t>miscellaneous</t>
        </is>
      </c>
      <c r="H57" s="19" t="n">
        <v>5387.92</v>
      </c>
    </row>
    <row r="58">
      <c r="A58" s="16" t="n">
        <v>12</v>
      </c>
      <c r="B58" s="26" t="n">
        <v>96</v>
      </c>
      <c r="C58" s="27" t="n">
        <v>55.75</v>
      </c>
      <c r="D58" s="27" t="n">
        <v>223</v>
      </c>
      <c r="E58" s="17" t="inlineStr">
        <is>
          <t>DEEDEV</t>
        </is>
      </c>
      <c r="F58" s="18" t="inlineStr">
        <is>
          <t>DEE Development Engineers Ltd</t>
        </is>
      </c>
      <c r="G58" s="18" t="inlineStr">
        <is>
          <t>metals &amp; mining</t>
        </is>
      </c>
      <c r="H58" s="19" t="n">
        <v>4531.21</v>
      </c>
    </row>
    <row r="59">
      <c r="A59" s="16" t="n">
        <v>13</v>
      </c>
      <c r="B59" s="26" t="n">
        <v>95</v>
      </c>
      <c r="C59" s="27" t="n">
        <v>52.14</v>
      </c>
      <c r="D59" s="27" t="n">
        <v>272</v>
      </c>
      <c r="E59" s="17" t="inlineStr">
        <is>
          <t>BLISSGVS</t>
        </is>
      </c>
      <c r="F59" s="18" t="inlineStr">
        <is>
          <t>Bliss Gvs Pharma Limited</t>
        </is>
      </c>
      <c r="G59" s="18" t="inlineStr">
        <is>
          <t>healthcare</t>
        </is>
      </c>
      <c r="H59" s="19" t="n">
        <v>4596</v>
      </c>
    </row>
    <row r="60">
      <c r="A60" s="16" t="n">
        <v>14</v>
      </c>
      <c r="B60" s="26" t="n">
        <v>95</v>
      </c>
      <c r="C60" s="27" t="n">
        <v>50.98</v>
      </c>
      <c r="D60" s="27" t="n">
        <v>288</v>
      </c>
      <c r="E60" s="17" t="inlineStr">
        <is>
          <t>CONFIPET</t>
        </is>
      </c>
      <c r="F60" s="18" t="inlineStr">
        <is>
          <t>Confidence Petroleum India Ltd</t>
        </is>
      </c>
      <c r="G60" s="18" t="inlineStr">
        <is>
          <t>miscellaneous</t>
        </is>
      </c>
      <c r="H60" s="19" t="n">
        <v>2319.37</v>
      </c>
    </row>
    <row r="61">
      <c r="A61" s="16" t="n">
        <v>15</v>
      </c>
      <c r="B61" s="26" t="n">
        <v>95</v>
      </c>
      <c r="C61" s="27" t="n">
        <v>49.21</v>
      </c>
      <c r="D61" s="27" t="n">
        <v>272</v>
      </c>
      <c r="E61" s="17" t="inlineStr">
        <is>
          <t>GVPIL</t>
        </is>
      </c>
      <c r="F61" s="18" t="inlineStr">
        <is>
          <t>GE Power India Ltd</t>
        </is>
      </c>
      <c r="G61" s="18" t="inlineStr">
        <is>
          <t>realty</t>
        </is>
      </c>
      <c r="H61" s="19" t="n">
        <v>5774.5</v>
      </c>
    </row>
    <row r="62">
      <c r="A62" s="16" t="n">
        <v>16</v>
      </c>
      <c r="B62" s="26" t="n">
        <v>95</v>
      </c>
      <c r="C62" s="27" t="n">
        <v>48.13</v>
      </c>
      <c r="D62" s="27" t="n">
        <v>260</v>
      </c>
      <c r="E62" s="17" t="inlineStr">
        <is>
          <t>NITTAGELA</t>
        </is>
      </c>
      <c r="F62" s="18" t="inlineStr">
        <is>
          <t>Nitta Gelatin India Limited</t>
        </is>
      </c>
      <c r="G62" s="18" t="inlineStr">
        <is>
          <t>Basic Materials</t>
        </is>
      </c>
      <c r="H62" s="19" t="n">
        <v>1639.83</v>
      </c>
    </row>
    <row r="63">
      <c r="A63" s="16" t="n">
        <v>17</v>
      </c>
      <c r="B63" s="28" t="n">
        <v>94</v>
      </c>
      <c r="C63" s="27" t="n">
        <v>47.99</v>
      </c>
      <c r="D63" s="27" t="n">
        <v>265</v>
      </c>
      <c r="E63" s="17" t="inlineStr">
        <is>
          <t>NINSYS</t>
        </is>
      </c>
      <c r="F63" s="18" t="inlineStr">
        <is>
          <t>NINtec Systems Ltd</t>
        </is>
      </c>
      <c r="G63" s="18" t="inlineStr">
        <is>
          <t>i.t</t>
        </is>
      </c>
      <c r="H63" s="19" t="n">
        <v>1339.98</v>
      </c>
    </row>
    <row r="64">
      <c r="A64" s="16" t="n">
        <v>18</v>
      </c>
      <c r="B64" s="28" t="n">
        <v>94</v>
      </c>
      <c r="C64" s="27" t="n">
        <v>45.55</v>
      </c>
      <c r="D64" s="27" t="n">
        <v>230</v>
      </c>
      <c r="E64" s="17" t="inlineStr">
        <is>
          <t>AEROFLEX</t>
        </is>
      </c>
      <c r="F64" s="18" t="inlineStr">
        <is>
          <t>Aeroflex Industries Ltd</t>
        </is>
      </c>
      <c r="G64" s="18" t="inlineStr">
        <is>
          <t>metals &amp; mining</t>
        </is>
      </c>
      <c r="H64" s="19" t="n">
        <v>5550.61</v>
      </c>
    </row>
    <row r="65">
      <c r="A65" s="16" t="n">
        <v>19</v>
      </c>
      <c r="B65" s="28" t="n">
        <v>94</v>
      </c>
      <c r="C65" s="27" t="n">
        <v>45.49</v>
      </c>
      <c r="D65" s="27" t="n">
        <v>260</v>
      </c>
      <c r="E65" s="17" t="inlineStr">
        <is>
          <t>CPPLUS</t>
        </is>
      </c>
      <c r="F65" s="18" t="inlineStr">
        <is>
          <t>CPPLUS</t>
        </is>
      </c>
      <c r="G65" s="18" t="inlineStr">
        <is>
          <t>Industrials</t>
        </is>
      </c>
      <c r="H65" s="19" t="n">
        <v>39706.18</v>
      </c>
    </row>
    <row r="66">
      <c r="A66" s="16" t="n">
        <v>20</v>
      </c>
      <c r="B66" s="28" t="n">
        <v>93</v>
      </c>
      <c r="C66" s="27" t="n">
        <v>41.55</v>
      </c>
      <c r="D66" s="27" t="n">
        <v>235</v>
      </c>
      <c r="E66" s="17" t="inlineStr">
        <is>
          <t>BBOX</t>
        </is>
      </c>
      <c r="F66" s="18" t="inlineStr">
        <is>
          <t>Black Box Ltd</t>
        </is>
      </c>
      <c r="G66" s="18" t="inlineStr">
        <is>
          <t>i.t</t>
        </is>
      </c>
      <c r="H66" s="19" t="n">
        <v>18313.96</v>
      </c>
    </row>
    <row r="67">
      <c r="A67" s="16" t="n">
        <v>21</v>
      </c>
      <c r="B67" s="28" t="n">
        <v>93</v>
      </c>
      <c r="C67" s="27" t="n">
        <v>40.94</v>
      </c>
      <c r="D67" s="27" t="n">
        <v>260</v>
      </c>
      <c r="E67" s="17" t="inlineStr">
        <is>
          <t>COCKERILL</t>
        </is>
      </c>
      <c r="F67" s="18" t="inlineStr">
        <is>
          <t>John Cockerill India Ltd</t>
        </is>
      </c>
      <c r="G67" s="18" t="inlineStr">
        <is>
          <t>Industrials</t>
        </is>
      </c>
      <c r="H67" s="19" t="n">
        <v>4499.95</v>
      </c>
    </row>
    <row r="68">
      <c r="A68" s="16" t="n">
        <v>22</v>
      </c>
      <c r="B68" s="28" t="n">
        <v>93</v>
      </c>
      <c r="C68" s="27" t="n">
        <v>40.61</v>
      </c>
      <c r="D68" s="27" t="n">
        <v>258</v>
      </c>
      <c r="E68" s="17" t="inlineStr">
        <is>
          <t>MIRCELECTR</t>
        </is>
      </c>
      <c r="F68" s="18" t="inlineStr">
        <is>
          <t>Mirc Electronics Limited</t>
        </is>
      </c>
      <c r="G68" s="18" t="inlineStr">
        <is>
          <t>consumer discretionary</t>
        </is>
      </c>
      <c r="H68" s="19" t="n">
        <v>1515.99</v>
      </c>
    </row>
    <row r="69">
      <c r="A69" s="16" t="n">
        <v>23</v>
      </c>
      <c r="B69" s="28" t="n">
        <v>93</v>
      </c>
      <c r="C69" s="27" t="n">
        <v>39.98</v>
      </c>
      <c r="D69" s="27" t="n">
        <v>278</v>
      </c>
      <c r="E69" s="17" t="inlineStr">
        <is>
          <t>ATHERENERG</t>
        </is>
      </c>
      <c r="F69" s="18" t="inlineStr">
        <is>
          <t>Ather Energy Ltd</t>
        </is>
      </c>
      <c r="G69" s="18" t="inlineStr">
        <is>
          <t>auto</t>
        </is>
      </c>
      <c r="H69" s="19" t="n">
        <v>36759.58</v>
      </c>
    </row>
    <row r="70">
      <c r="A70" s="16" t="n">
        <v>24</v>
      </c>
      <c r="B70" s="28" t="n">
        <v>93</v>
      </c>
      <c r="C70" s="27" t="n">
        <v>39.98</v>
      </c>
      <c r="D70" s="27" t="n">
        <v>260</v>
      </c>
      <c r="E70" s="17" t="inlineStr">
        <is>
          <t>MCLEODRUSS</t>
        </is>
      </c>
      <c r="F70" s="18" t="inlineStr">
        <is>
          <t>Mcleod Russel India Limited</t>
        </is>
      </c>
      <c r="G70" s="18" t="inlineStr">
        <is>
          <t>fmcg</t>
        </is>
      </c>
      <c r="H70" s="19" t="n">
        <v>786.76</v>
      </c>
    </row>
    <row r="71">
      <c r="A71" s="16" t="n">
        <v>25</v>
      </c>
      <c r="B71" s="28" t="n">
        <v>92</v>
      </c>
      <c r="C71" s="27" t="n">
        <v>39.12</v>
      </c>
      <c r="D71" s="27" t="n">
        <v>223</v>
      </c>
      <c r="E71" s="17" t="inlineStr">
        <is>
          <t>ROSSTECH</t>
        </is>
      </c>
      <c r="F71" s="18" t="inlineStr">
        <is>
          <t>Rossell Techsys Ltd</t>
        </is>
      </c>
      <c r="G71" s="18" t="inlineStr">
        <is>
          <t>aerospace &amp; defence</t>
        </is>
      </c>
      <c r="H71" s="19" t="n">
        <v>4073.1</v>
      </c>
    </row>
    <row r="72">
      <c r="A72" s="16" t="n">
        <v>26</v>
      </c>
      <c r="B72" s="28" t="n">
        <v>92</v>
      </c>
      <c r="C72" s="27" t="n">
        <v>38.94</v>
      </c>
      <c r="D72" s="27" t="n">
        <v>243</v>
      </c>
      <c r="E72" s="17" t="inlineStr">
        <is>
          <t>VINDHYATEL</t>
        </is>
      </c>
      <c r="F72" s="18" t="inlineStr">
        <is>
          <t>Vindhya Telelinks Limited</t>
        </is>
      </c>
      <c r="G72" s="18" t="inlineStr">
        <is>
          <t>realty</t>
        </is>
      </c>
      <c r="H72" s="19" t="n">
        <v>2509.89</v>
      </c>
    </row>
    <row r="73">
      <c r="A73" s="16" t="n">
        <v>27</v>
      </c>
      <c r="B73" s="28" t="n">
        <v>91</v>
      </c>
      <c r="C73" s="27" t="n">
        <v>37.77</v>
      </c>
      <c r="D73" s="27" t="n">
        <v>252</v>
      </c>
      <c r="E73" s="17" t="inlineStr">
        <is>
          <t>APOLLO</t>
        </is>
      </c>
      <c r="F73" s="18" t="inlineStr">
        <is>
          <t>Apollo Micro Systems Ltd</t>
        </is>
      </c>
      <c r="G73" s="18" t="inlineStr">
        <is>
          <t>aerospace &amp; defence</t>
        </is>
      </c>
      <c r="H73" s="19" t="n">
        <v>15613.68</v>
      </c>
    </row>
    <row r="74">
      <c r="A74" s="16" t="n">
        <v>28</v>
      </c>
      <c r="B74" s="28" t="n">
        <v>91</v>
      </c>
      <c r="C74" s="27" t="n">
        <v>37.37</v>
      </c>
      <c r="D74" s="27" t="n">
        <v>243</v>
      </c>
      <c r="E74" s="17" t="inlineStr">
        <is>
          <t>SALSTEEL</t>
        </is>
      </c>
      <c r="F74" s="18" t="inlineStr">
        <is>
          <t>SAL Steel</t>
        </is>
      </c>
      <c r="G74" s="18" t="inlineStr">
        <is>
          <t>metals &amp; mining</t>
        </is>
      </c>
      <c r="H74" s="19" t="n">
        <v>892.78</v>
      </c>
    </row>
    <row r="75">
      <c r="A75" s="16" t="n">
        <v>29</v>
      </c>
      <c r="B75" s="28" t="n">
        <v>91</v>
      </c>
      <c r="C75" s="27" t="n">
        <v>37.16</v>
      </c>
      <c r="D75" s="27" t="n">
        <v>297</v>
      </c>
      <c r="E75" s="17" t="inlineStr">
        <is>
          <t>BAJAJCON</t>
        </is>
      </c>
      <c r="F75" s="18" t="inlineStr">
        <is>
          <t>Bajaj Consumer Care Ltd</t>
        </is>
      </c>
      <c r="G75" s="18" t="inlineStr">
        <is>
          <t>fmcg</t>
        </is>
      </c>
      <c r="H75" s="19" t="n">
        <v>7466.8</v>
      </c>
    </row>
    <row r="76">
      <c r="A76" s="16" t="n">
        <v>30</v>
      </c>
      <c r="B76" s="28" t="n">
        <v>90</v>
      </c>
      <c r="C76" s="27" t="n">
        <v>36.93</v>
      </c>
      <c r="D76" s="27" t="n">
        <v>250</v>
      </c>
      <c r="E76" s="17" t="inlineStr">
        <is>
          <t>FCL</t>
        </is>
      </c>
      <c r="F76" s="18" t="inlineStr">
        <is>
          <t>Fineotex Chemical Limited</t>
        </is>
      </c>
      <c r="G76" s="18" t="inlineStr">
        <is>
          <t>chemicals</t>
        </is>
      </c>
      <c r="H76" s="19" t="n">
        <v>4932.83</v>
      </c>
    </row>
    <row r="77">
      <c r="A77" s="16" t="n">
        <v>31</v>
      </c>
      <c r="B77" s="28" t="n">
        <v>90</v>
      </c>
      <c r="C77" s="27" t="n">
        <v>36.83</v>
      </c>
      <c r="D77" s="27" t="n">
        <v>253</v>
      </c>
      <c r="E77" s="17" t="inlineStr">
        <is>
          <t>UFBL</t>
        </is>
      </c>
      <c r="F77" s="18" t="inlineStr">
        <is>
          <t>United Foodbrands Ltd</t>
        </is>
      </c>
      <c r="G77" s="18" t="inlineStr">
        <is>
          <t>consumer discretionary</t>
        </is>
      </c>
      <c r="H77" s="19" t="n">
        <v>1904.29</v>
      </c>
    </row>
    <row r="78">
      <c r="A78" s="16" t="n">
        <v>32</v>
      </c>
      <c r="B78" s="28" t="n">
        <v>90</v>
      </c>
      <c r="C78" s="27" t="n">
        <v>36.38</v>
      </c>
      <c r="D78" s="27" t="n">
        <v>277</v>
      </c>
      <c r="E78" s="17" t="inlineStr">
        <is>
          <t>KPL</t>
        </is>
      </c>
      <c r="F78" s="18" t="inlineStr">
        <is>
          <t>Kwality Pharmaceuticals Limited</t>
        </is>
      </c>
      <c r="G78" s="18" t="inlineStr">
        <is>
          <t>Healthcare</t>
        </is>
      </c>
      <c r="H78" s="19" t="n">
        <v>2433.11</v>
      </c>
    </row>
    <row r="79">
      <c r="A79" s="16" t="n">
        <v>33</v>
      </c>
      <c r="B79" s="28" t="n">
        <v>90</v>
      </c>
      <c r="C79" s="27" t="n">
        <v>35.19</v>
      </c>
      <c r="D79" s="27" t="n">
        <v>180</v>
      </c>
      <c r="E79" s="17" t="inlineStr">
        <is>
          <t>BALAMINES</t>
        </is>
      </c>
      <c r="F79" s="18" t="inlineStr">
        <is>
          <t>Balaji Amines Limited</t>
        </is>
      </c>
      <c r="G79" s="18" t="inlineStr">
        <is>
          <t>chemicals</t>
        </is>
      </c>
      <c r="H79" s="19" t="n">
        <v>6532.37</v>
      </c>
    </row>
    <row r="8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SOTL</t>
        </is>
      </c>
      <c r="B2" s="30" t="inlineStr">
        <is>
          <t>Savita Oil Technologies Limited</t>
        </is>
      </c>
      <c r="C2" s="30" t="inlineStr">
        <is>
          <t>energy</t>
        </is>
      </c>
      <c r="D2" s="30" t="inlineStr">
        <is>
          <t>petrochemicals</t>
        </is>
      </c>
      <c r="E2" s="30" t="inlineStr">
        <is>
          <t>smallcap</t>
        </is>
      </c>
      <c r="F2" s="30" t="n">
        <v>3001.23</v>
      </c>
      <c r="G2" s="30" t="n">
        <v>514.6</v>
      </c>
      <c r="H2" s="30" t="n">
        <v>17.56</v>
      </c>
      <c r="I2" s="30" t="n">
        <v>4841240</v>
      </c>
      <c r="J2" s="30" t="inlineStr">
        <is>
          <t>524667</t>
        </is>
      </c>
    </row>
    <row r="3">
      <c r="A3" s="30" t="inlineStr">
        <is>
          <t>IFCI</t>
        </is>
      </c>
      <c r="B3" s="30" t="inlineStr">
        <is>
          <t>Ifci Limited</t>
        </is>
      </c>
      <c r="C3" s="30" t="inlineStr">
        <is>
          <t>financials</t>
        </is>
      </c>
      <c r="D3" s="30" t="inlineStr">
        <is>
          <t>finance - term-lending institutions</t>
        </is>
      </c>
      <c r="E3" s="30" t="inlineStr">
        <is>
          <t>midcap</t>
        </is>
      </c>
      <c r="F3" s="30" t="n">
        <v>19302.07</v>
      </c>
      <c r="G3" s="30" t="n">
        <v>80.42</v>
      </c>
      <c r="H3" s="30" t="n">
        <v>12.26</v>
      </c>
      <c r="I3" s="30" t="n">
        <v>322483580</v>
      </c>
      <c r="J3" s="30" t="inlineStr">
        <is>
          <t>500106</t>
        </is>
      </c>
    </row>
    <row r="4">
      <c r="A4" s="30" t="inlineStr">
        <is>
          <t>SPECTRUM</t>
        </is>
      </c>
      <c r="B4" s="30" t="inlineStr">
        <is>
          <t>Spectrum Electrical Industries Ltd</t>
        </is>
      </c>
      <c r="C4" s="30" t="inlineStr">
        <is>
          <t>industrials</t>
        </is>
      </c>
      <c r="D4" s="30" t="inlineStr">
        <is>
          <t>electric equipment</t>
        </is>
      </c>
      <c r="E4" s="30" t="inlineStr">
        <is>
          <t>smallcap</t>
        </is>
      </c>
      <c r="F4" s="30" t="n">
        <v>2315.75</v>
      </c>
      <c r="G4" s="30" t="n">
        <v>1621.1</v>
      </c>
      <c r="H4" s="30" t="n">
        <v>10</v>
      </c>
      <c r="I4" s="30" t="n">
        <v>273765</v>
      </c>
      <c r="J4" s="30" t="inlineStr">
        <is>
          <t>535112</t>
        </is>
      </c>
    </row>
    <row r="5">
      <c r="A5" s="30" t="inlineStr">
        <is>
          <t>CONFIPET</t>
        </is>
      </c>
      <c r="B5" s="30" t="inlineStr">
        <is>
          <t>Confidence Petroleum India Ltd</t>
        </is>
      </c>
      <c r="C5" s="30" t="inlineStr">
        <is>
          <t>miscellaneous</t>
        </is>
      </c>
      <c r="D5" s="30" t="inlineStr">
        <is>
          <t>miscellaneous</t>
        </is>
      </c>
      <c r="E5" s="30" t="inlineStr">
        <is>
          <t>smallcap</t>
        </is>
      </c>
      <c r="F5" s="30" t="n">
        <v>2319.37</v>
      </c>
      <c r="G5" s="30" t="n">
        <v>76.79000000000001</v>
      </c>
      <c r="H5" s="30" t="n">
        <v>10</v>
      </c>
      <c r="I5" s="30" t="n">
        <v>13245255</v>
      </c>
      <c r="J5" s="30" t="inlineStr">
        <is>
          <t>526829</t>
        </is>
      </c>
    </row>
    <row r="6">
      <c r="A6" s="30" t="inlineStr">
        <is>
          <t>DIAMONDYD</t>
        </is>
      </c>
      <c r="B6" s="30" t="inlineStr">
        <is>
          <t>Prataap Snacks Ltd</t>
        </is>
      </c>
      <c r="C6" s="30" t="inlineStr">
        <is>
          <t>fmcg</t>
        </is>
      </c>
      <c r="D6" s="30" t="inlineStr">
        <is>
          <t>food - processing - indian</t>
        </is>
      </c>
      <c r="E6" s="30" t="inlineStr">
        <is>
          <t>smallcap</t>
        </is>
      </c>
      <c r="F6" s="30" t="n">
        <v>2598.55</v>
      </c>
      <c r="G6" s="30" t="n">
        <v>1186.6</v>
      </c>
      <c r="H6" s="30" t="n">
        <v>9.15</v>
      </c>
      <c r="I6" s="30" t="n">
        <v>173024</v>
      </c>
      <c r="J6" s="30" t="inlineStr">
        <is>
          <t>540724</t>
        </is>
      </c>
    </row>
    <row r="7">
      <c r="A7" s="30" t="inlineStr">
        <is>
          <t>KPRMILL</t>
        </is>
      </c>
      <c r="B7" s="30" t="inlineStr">
        <is>
          <t>K.p.r. Mill Limited</t>
        </is>
      </c>
      <c r="C7" s="30" t="inlineStr">
        <is>
          <t>consumer discretionary</t>
        </is>
      </c>
      <c r="D7" s="30" t="inlineStr">
        <is>
          <t>textiles - products</t>
        </is>
      </c>
      <c r="E7" s="30" t="inlineStr">
        <is>
          <t>largecap</t>
        </is>
      </c>
      <c r="F7" s="30" t="n">
        <v>34150.64</v>
      </c>
      <c r="G7" s="30" t="n">
        <v>1085.8</v>
      </c>
      <c r="H7" s="30" t="n">
        <v>8.68</v>
      </c>
      <c r="I7" s="30" t="n">
        <v>1459589</v>
      </c>
      <c r="J7" s="30" t="inlineStr">
        <is>
          <t>532889</t>
        </is>
      </c>
    </row>
    <row r="8">
      <c r="A8" s="30" t="inlineStr">
        <is>
          <t>PANAMAPET</t>
        </is>
      </c>
      <c r="B8" s="30" t="inlineStr">
        <is>
          <t>Panama Petrochem Limited</t>
        </is>
      </c>
      <c r="C8" s="30" t="inlineStr">
        <is>
          <t>energy</t>
        </is>
      </c>
      <c r="D8" s="30" t="inlineStr">
        <is>
          <t>petrochemicals</t>
        </is>
      </c>
      <c r="E8" s="30" t="inlineStr">
        <is>
          <t>smallcap</t>
        </is>
      </c>
      <c r="F8" s="30" t="n">
        <v>1908.88</v>
      </c>
      <c r="G8" s="30" t="n">
        <v>337.8</v>
      </c>
      <c r="H8" s="30" t="n">
        <v>7.05</v>
      </c>
      <c r="I8" s="30" t="n">
        <v>319477</v>
      </c>
      <c r="J8" s="30" t="inlineStr">
        <is>
          <t>524820</t>
        </is>
      </c>
    </row>
    <row r="9">
      <c r="A9" s="30" t="inlineStr">
        <is>
          <t>RRKABEL</t>
        </is>
      </c>
      <c r="B9" s="30" t="inlineStr">
        <is>
          <t>R R Kabel Ltd</t>
        </is>
      </c>
      <c r="C9" s="30" t="inlineStr">
        <is>
          <t>industrials</t>
        </is>
      </c>
      <c r="D9" s="30" t="inlineStr">
        <is>
          <t>cables - power</t>
        </is>
      </c>
      <c r="E9" s="30" t="inlineStr">
        <is>
          <t>largecap</t>
        </is>
      </c>
      <c r="F9" s="30" t="n">
        <v>22890.29</v>
      </c>
      <c r="G9" s="30" t="n">
        <v>2155.9</v>
      </c>
      <c r="H9" s="30" t="n">
        <v>6.53</v>
      </c>
      <c r="I9" s="30" t="n">
        <v>1528524</v>
      </c>
      <c r="J9" s="30" t="inlineStr">
        <is>
          <t>543981</t>
        </is>
      </c>
    </row>
    <row r="10">
      <c r="A10" s="30" t="inlineStr">
        <is>
          <t>ATHERENERG</t>
        </is>
      </c>
      <c r="B10" s="30" t="inlineStr">
        <is>
          <t>Ather Energy Ltd</t>
        </is>
      </c>
      <c r="C10" s="30" t="inlineStr">
        <is>
          <t>auto</t>
        </is>
      </c>
      <c r="D10" s="30" t="inlineStr">
        <is>
          <t>automobiles - scooters and 3 - wheelers</t>
        </is>
      </c>
      <c r="E10" s="30" t="inlineStr">
        <is>
          <t>largecap</t>
        </is>
      </c>
      <c r="F10" s="30" t="n">
        <v>36759.58</v>
      </c>
      <c r="G10" s="30" t="n">
        <v>1022.05</v>
      </c>
      <c r="H10" s="30" t="n">
        <v>6.4</v>
      </c>
      <c r="I10" s="30" t="n">
        <v>13219934</v>
      </c>
      <c r="J10" s="30" t="inlineStr">
        <is>
          <t>544397</t>
        </is>
      </c>
    </row>
    <row r="11">
      <c r="A11" s="30" t="inlineStr">
        <is>
          <t>ADFFOODS</t>
        </is>
      </c>
      <c r="B11" s="30" t="inlineStr">
        <is>
          <t>Adf Foods Limited</t>
        </is>
      </c>
      <c r="C11" s="30" t="inlineStr">
        <is>
          <t>fmcg</t>
        </is>
      </c>
      <c r="D11" s="30" t="inlineStr">
        <is>
          <t>food - processing - indian</t>
        </is>
      </c>
      <c r="E11" s="30" t="inlineStr">
        <is>
          <t>smallcap</t>
        </is>
      </c>
      <c r="F11" s="30" t="n">
        <v>3000.92</v>
      </c>
      <c r="G11" s="30" t="n">
        <v>290.3</v>
      </c>
      <c r="H11" s="30" t="n">
        <v>6.28</v>
      </c>
      <c r="I11" s="30" t="n">
        <v>1286693</v>
      </c>
      <c r="J11" s="30" t="inlineStr">
        <is>
          <t>519183</t>
        </is>
      </c>
    </row>
    <row r="12">
      <c r="A12" s="30" t="inlineStr">
        <is>
          <t>JNKINDIA</t>
        </is>
      </c>
      <c r="B12" s="30" t="inlineStr">
        <is>
          <t>JNK India Ltd</t>
        </is>
      </c>
      <c r="C12" s="30" t="inlineStr">
        <is>
          <t>realty</t>
        </is>
      </c>
      <c r="D12" s="30" t="inlineStr">
        <is>
          <t>engineering - turnkey services</t>
        </is>
      </c>
      <c r="E12" s="30" t="inlineStr">
        <is>
          <t>smallcap</t>
        </is>
      </c>
      <c r="F12" s="30" t="n">
        <v>2022.17</v>
      </c>
      <c r="G12" s="30" t="n">
        <v>383.3</v>
      </c>
      <c r="H12" s="30" t="n">
        <v>6.06</v>
      </c>
      <c r="I12" s="30" t="n">
        <v>361196</v>
      </c>
      <c r="J12" s="30" t="inlineStr">
        <is>
          <t>544167</t>
        </is>
      </c>
    </row>
    <row r="13">
      <c r="A13" s="30" t="inlineStr">
        <is>
          <t>WOCKPHARMA</t>
        </is>
      </c>
      <c r="B13" s="30" t="inlineStr">
        <is>
          <t>Wockhardt Limited</t>
        </is>
      </c>
      <c r="C13" s="30" t="inlineStr">
        <is>
          <t>healthcare</t>
        </is>
      </c>
      <c r="D13" s="30" t="inlineStr">
        <is>
          <t>pharmaceuticals - indian - bulk drugs &amp; formln</t>
        </is>
      </c>
      <c r="E13" s="30" t="inlineStr">
        <is>
          <t>largecap</t>
        </is>
      </c>
      <c r="F13" s="30" t="n">
        <v>31949.21</v>
      </c>
      <c r="G13" s="30" t="n">
        <v>2073.9</v>
      </c>
      <c r="H13" s="30" t="n">
        <v>5.48</v>
      </c>
      <c r="I13" s="30" t="n">
        <v>7368265</v>
      </c>
      <c r="J13" s="30" t="inlineStr">
        <is>
          <t>532300</t>
        </is>
      </c>
    </row>
    <row r="14">
      <c r="A14" s="30" t="inlineStr">
        <is>
          <t>BALAMINES</t>
        </is>
      </c>
      <c r="B14" s="30" t="inlineStr">
        <is>
          <t>Balaji Amines Limited</t>
        </is>
      </c>
      <c r="C14" s="30" t="inlineStr">
        <is>
          <t>chemicals</t>
        </is>
      </c>
      <c r="D14" s="30" t="inlineStr">
        <is>
          <t>chemicals</t>
        </is>
      </c>
      <c r="E14" s="30" t="inlineStr">
        <is>
          <t>midcap</t>
        </is>
      </c>
      <c r="F14" s="30" t="n">
        <v>6532.37</v>
      </c>
      <c r="G14" s="30" t="n">
        <v>2122.2</v>
      </c>
      <c r="H14" s="30" t="n">
        <v>5.26</v>
      </c>
      <c r="I14" s="30" t="n">
        <v>3178753</v>
      </c>
      <c r="J14" s="30" t="inlineStr">
        <is>
          <t>530999</t>
        </is>
      </c>
    </row>
    <row r="15">
      <c r="A15" s="30" t="inlineStr">
        <is>
          <t>STLTECH</t>
        </is>
      </c>
      <c r="B15" s="30" t="inlineStr">
        <is>
          <t>Sterlite Technologies Limited</t>
        </is>
      </c>
      <c r="C15" s="30" t="inlineStr">
        <is>
          <t>industrials</t>
        </is>
      </c>
      <c r="D15" s="30" t="inlineStr">
        <is>
          <t>cables - telephone</t>
        </is>
      </c>
      <c r="E15" s="30" t="inlineStr">
        <is>
          <t>largecap</t>
        </is>
      </c>
      <c r="F15" s="30" t="n">
        <v>28851.07</v>
      </c>
      <c r="G15" s="30" t="n">
        <v>620.6</v>
      </c>
      <c r="H15" s="30" t="n">
        <v>5</v>
      </c>
      <c r="I15" s="30" t="n">
        <v>3222970</v>
      </c>
      <c r="J15" s="30" t="inlineStr">
        <is>
          <t>532374</t>
        </is>
      </c>
    </row>
    <row r="16">
      <c r="A16" s="30" t="inlineStr">
        <is>
          <t>BIRLACABLE</t>
        </is>
      </c>
      <c r="B16" s="30" t="inlineStr">
        <is>
          <t>Birla Cable Limited</t>
        </is>
      </c>
      <c r="C16" s="30" t="inlineStr">
        <is>
          <t>industrials</t>
        </is>
      </c>
      <c r="D16" s="30" t="inlineStr">
        <is>
          <t>cables - telephone</t>
        </is>
      </c>
      <c r="E16" s="30" t="inlineStr">
        <is>
          <t>smallcap</t>
        </is>
      </c>
      <c r="F16" s="30" t="n">
        <v>641.34</v>
      </c>
      <c r="G16" s="30" t="n">
        <v>224.46</v>
      </c>
      <c r="H16" s="30" t="n">
        <v>5</v>
      </c>
      <c r="I16" s="30" t="n">
        <v>267244</v>
      </c>
      <c r="J16" s="30" t="inlineStr">
        <is>
          <t>500060</t>
        </is>
      </c>
    </row>
    <row r="17">
      <c r="A17" s="30" t="inlineStr">
        <is>
          <t>VENUSREM</t>
        </is>
      </c>
      <c r="B17" s="30" t="inlineStr">
        <is>
          <t>Venus Remedies Limited</t>
        </is>
      </c>
      <c r="C17" s="30" t="inlineStr">
        <is>
          <t>healthcare</t>
        </is>
      </c>
      <c r="D17" s="30" t="inlineStr">
        <is>
          <t>pharmaceuticals - indian - formulations</t>
        </is>
      </c>
      <c r="E17" s="30" t="inlineStr">
        <is>
          <t>smallcap</t>
        </is>
      </c>
      <c r="F17" s="30" t="n">
        <v>1886.48</v>
      </c>
      <c r="G17" s="30" t="n">
        <v>1481.8</v>
      </c>
      <c r="H17" s="30" t="n">
        <v>5</v>
      </c>
      <c r="I17" s="30" t="n">
        <v>49108</v>
      </c>
      <c r="J17" s="30" t="inlineStr">
        <is>
          <t>526953</t>
        </is>
      </c>
    </row>
    <row r="18">
      <c r="A18" s="30" t="inlineStr">
        <is>
          <t>SIGMAADV</t>
        </is>
      </c>
      <c r="B18" s="30" t="inlineStr">
        <is>
          <t>Sigma Advanced System Ltd</t>
        </is>
      </c>
      <c r="C18" s="30" t="inlineStr">
        <is>
          <t>aerospace &amp; defence</t>
        </is>
      </c>
      <c r="D18" s="30" t="inlineStr">
        <is>
          <t>electronics - components</t>
        </is>
      </c>
      <c r="E18" s="30" t="inlineStr">
        <is>
          <t>midcap</t>
        </is>
      </c>
      <c r="F18" s="30" t="n">
        <v>7333.33</v>
      </c>
      <c r="G18" s="30" t="n">
        <v>436.9</v>
      </c>
      <c r="H18" s="30" t="n">
        <v>5</v>
      </c>
      <c r="I18" s="30" t="n">
        <v>840720</v>
      </c>
      <c r="J18" s="30" t="inlineStr">
        <is>
          <t>532408</t>
        </is>
      </c>
    </row>
    <row r="19">
      <c r="A19" s="30" t="inlineStr">
        <is>
          <t>BHAGYANGR</t>
        </is>
      </c>
      <c r="B19" s="30" t="inlineStr">
        <is>
          <t>Bhagyanagar India</t>
        </is>
      </c>
      <c r="C19" s="30" t="inlineStr">
        <is>
          <t>power &amp; utilities</t>
        </is>
      </c>
      <c r="D19" s="30" t="inlineStr">
        <is>
          <t>power generation and supply</t>
        </is>
      </c>
      <c r="E19" s="30" t="inlineStr">
        <is>
          <t>smallcap</t>
        </is>
      </c>
      <c r="F19" s="30" t="n">
        <v>1034.08</v>
      </c>
      <c r="G19" s="30" t="n">
        <v>339.35</v>
      </c>
      <c r="H19" s="30" t="n">
        <v>5</v>
      </c>
      <c r="I19" s="30" t="n">
        <v>233358</v>
      </c>
      <c r="J19" s="30" t="inlineStr">
        <is>
          <t>512296</t>
        </is>
      </c>
    </row>
    <row r="20">
      <c r="A20" s="30" t="inlineStr">
        <is>
          <t>HFCL</t>
        </is>
      </c>
      <c r="B20" s="30" t="inlineStr">
        <is>
          <t>HFCL Ltd</t>
        </is>
      </c>
      <c r="C20" s="30" t="inlineStr">
        <is>
          <t>telecom</t>
        </is>
      </c>
      <c r="D20" s="30" t="inlineStr">
        <is>
          <t>cables - telephone</t>
        </is>
      </c>
      <c r="E20" s="30" t="inlineStr">
        <is>
          <t>largecap</t>
        </is>
      </c>
      <c r="F20" s="30" t="n">
        <v>29072.26</v>
      </c>
      <c r="G20" s="30" t="n">
        <v>199.41</v>
      </c>
      <c r="H20" s="30" t="n">
        <v>4.99</v>
      </c>
      <c r="I20" s="30" t="n">
        <v>65716679</v>
      </c>
      <c r="J20" s="30" t="inlineStr">
        <is>
          <t>500183</t>
        </is>
      </c>
    </row>
    <row r="21">
      <c r="A21" s="30" t="inlineStr">
        <is>
          <t>IBULLSLTD</t>
        </is>
      </c>
      <c r="B21" s="30" t="inlineStr">
        <is>
          <t>Indiabulls Limited</t>
        </is>
      </c>
      <c r="C21" s="30" t="inlineStr">
        <is>
          <t>miscellaneous</t>
        </is>
      </c>
      <c r="D21" s="30" t="inlineStr">
        <is>
          <t>diversified - medium / small</t>
        </is>
      </c>
      <c r="E21" s="30" t="inlineStr">
        <is>
          <t>midcap</t>
        </is>
      </c>
      <c r="F21" s="30" t="n">
        <v>5387.92</v>
      </c>
      <c r="G21" s="30" t="n">
        <v>24.33</v>
      </c>
      <c r="H21" s="30" t="n">
        <v>4.96</v>
      </c>
      <c r="I21" s="30" t="n">
        <v>20613396</v>
      </c>
      <c r="J21" s="30" t="inlineStr">
        <is>
          <t>533520</t>
        </is>
      </c>
    </row>
    <row r="22">
      <c r="A22" s="30" t="inlineStr">
        <is>
          <t>SVLL</t>
        </is>
      </c>
      <c r="B22" s="30" t="inlineStr">
        <is>
          <t>Shree Vasu Logistics Ltd</t>
        </is>
      </c>
      <c r="C22" s="30" t="inlineStr">
        <is>
          <t>transportation</t>
        </is>
      </c>
      <c r="D22" s="30" t="inlineStr">
        <is>
          <t>miscellaneous</t>
        </is>
      </c>
      <c r="E22" s="30" t="inlineStr">
        <is>
          <t>smallcap</t>
        </is>
      </c>
      <c r="F22" s="30" t="n">
        <v>753.53</v>
      </c>
      <c r="G22" s="30" t="n">
        <v>687.95</v>
      </c>
      <c r="H22" s="30" t="n">
        <v>4.93</v>
      </c>
      <c r="I22" s="30" t="n">
        <v>5576</v>
      </c>
      <c r="J22" s="30" t="inlineStr">
        <is>
          <t>535084</t>
        </is>
      </c>
    </row>
    <row r="23">
      <c r="A23" s="30" t="inlineStr">
        <is>
          <t>MODISONLTD</t>
        </is>
      </c>
      <c r="B23" s="30" t="inlineStr">
        <is>
          <t>Modison Ltd</t>
        </is>
      </c>
      <c r="C23" s="30" t="inlineStr">
        <is>
          <t>industrials</t>
        </is>
      </c>
      <c r="D23" s="30" t="inlineStr">
        <is>
          <t>electric equipment</t>
        </is>
      </c>
      <c r="E23" s="30" t="inlineStr">
        <is>
          <t>smallcap</t>
        </is>
      </c>
      <c r="F23" s="30" t="n">
        <v>1017.96</v>
      </c>
      <c r="G23" s="30" t="n">
        <v>329</v>
      </c>
      <c r="H23" s="30" t="n">
        <v>4.88</v>
      </c>
      <c r="I23" s="30" t="n">
        <v>200782</v>
      </c>
      <c r="J23" s="30" t="inlineStr">
        <is>
          <t>506261</t>
        </is>
      </c>
    </row>
    <row r="24">
      <c r="A24" s="30" t="inlineStr">
        <is>
          <t>IDEA</t>
        </is>
      </c>
      <c r="B24" s="30" t="inlineStr">
        <is>
          <t>Vodafone Idea Ltd</t>
        </is>
      </c>
      <c r="C24" s="30" t="inlineStr">
        <is>
          <t>telecom-service</t>
        </is>
      </c>
      <c r="D24" s="30" t="inlineStr">
        <is>
          <t>telecommunications - service provider</t>
        </is>
      </c>
      <c r="E24" s="30" t="inlineStr">
        <is>
          <t>largecap</t>
        </is>
      </c>
      <c r="F24" s="30" t="n">
        <v>153413.74</v>
      </c>
      <c r="G24" s="30" t="n">
        <v>14.85</v>
      </c>
      <c r="H24" s="30" t="n">
        <v>4.87</v>
      </c>
      <c r="I24" s="30" t="n">
        <v>1132162694</v>
      </c>
      <c r="J24" s="30" t="inlineStr">
        <is>
          <t>532822</t>
        </is>
      </c>
    </row>
    <row r="25">
      <c r="A25" s="30" t="inlineStr">
        <is>
          <t>J&amp;KBANK</t>
        </is>
      </c>
      <c r="B25" s="30" t="inlineStr">
        <is>
          <t>The Jammu &amp; Kashmir Bank Limited</t>
        </is>
      </c>
      <c r="C25" s="30" t="inlineStr">
        <is>
          <t>bank</t>
        </is>
      </c>
      <c r="D25" s="30" t="inlineStr">
        <is>
          <t>banks - private sector</t>
        </is>
      </c>
      <c r="E25" s="30" t="inlineStr">
        <is>
          <t>midcap</t>
        </is>
      </c>
      <c r="F25" s="30" t="n">
        <v>15627.98</v>
      </c>
      <c r="G25" s="30" t="n">
        <v>148.65</v>
      </c>
      <c r="H25" s="30" t="n">
        <v>4.74</v>
      </c>
      <c r="I25" s="30" t="n">
        <v>13152376</v>
      </c>
      <c r="J25" s="30" t="inlineStr">
        <is>
          <t>532209</t>
        </is>
      </c>
    </row>
    <row r="26">
      <c r="A26" s="30" t="inlineStr">
        <is>
          <t>ABDL</t>
        </is>
      </c>
      <c r="B26" s="30" t="inlineStr">
        <is>
          <t>Allied Blenders &amp; Distillers Ltd</t>
        </is>
      </c>
      <c r="C26" s="30" t="inlineStr">
        <is>
          <t>fmcg</t>
        </is>
      </c>
      <c r="D26" s="30" t="inlineStr">
        <is>
          <t>breweries &amp; distilleries</t>
        </is>
      </c>
      <c r="E26" s="30" t="inlineStr">
        <is>
          <t>midcap</t>
        </is>
      </c>
      <c r="F26" s="30" t="n">
        <v>15288.96</v>
      </c>
      <c r="G26" s="30" t="n">
        <v>572.2</v>
      </c>
      <c r="H26" s="30" t="n">
        <v>4.68</v>
      </c>
      <c r="I26" s="30" t="n">
        <v>317367</v>
      </c>
      <c r="J26" s="30" t="inlineStr">
        <is>
          <t>544203</t>
        </is>
      </c>
    </row>
    <row r="27">
      <c r="A27" s="30" t="inlineStr">
        <is>
          <t>SKMEGGPROD</t>
        </is>
      </c>
      <c r="B27" s="30" t="inlineStr">
        <is>
          <t>Skm Egg Products Export (india) Limited</t>
        </is>
      </c>
      <c r="C27" s="30" t="inlineStr">
        <is>
          <t>fmcg</t>
        </is>
      </c>
      <c r="D27" s="30" t="inlineStr">
        <is>
          <t>food - processing - indian</t>
        </is>
      </c>
      <c r="E27" s="30" t="inlineStr">
        <is>
          <t>smallcap</t>
        </is>
      </c>
      <c r="F27" s="30" t="n">
        <v>1225.77</v>
      </c>
      <c r="G27" s="30" t="n">
        <v>243.51</v>
      </c>
      <c r="H27" s="30" t="n">
        <v>4.61</v>
      </c>
      <c r="I27" s="30" t="n">
        <v>2661942</v>
      </c>
      <c r="J27" s="30" t="inlineStr">
        <is>
          <t>532143</t>
        </is>
      </c>
    </row>
    <row r="28">
      <c r="A28" s="30" t="inlineStr">
        <is>
          <t>SPAL</t>
        </is>
      </c>
      <c r="B28" s="30" t="inlineStr">
        <is>
          <t>S. P. Apparels Limited</t>
        </is>
      </c>
      <c r="C28" s="30" t="inlineStr">
        <is>
          <t>textiles</t>
        </is>
      </c>
      <c r="D28" s="30" t="inlineStr">
        <is>
          <t>textiles - products</t>
        </is>
      </c>
      <c r="E28" s="30" t="inlineStr">
        <is>
          <t>smallcap</t>
        </is>
      </c>
      <c r="F28" s="30" t="n">
        <v>2028.96</v>
      </c>
      <c r="G28" s="30" t="n">
        <v>843.9</v>
      </c>
      <c r="H28" s="30" t="n">
        <v>4.56</v>
      </c>
      <c r="I28" s="30" t="n">
        <v>50111</v>
      </c>
      <c r="J28" s="30" t="inlineStr">
        <is>
          <t>540048</t>
        </is>
      </c>
    </row>
    <row r="29">
      <c r="A29" s="30" t="inlineStr">
        <is>
          <t>THANGAMAYL</t>
        </is>
      </c>
      <c r="B29" s="30" t="inlineStr">
        <is>
          <t>Thangamayil Jewellery Limited</t>
        </is>
      </c>
      <c r="C29" s="30" t="inlineStr">
        <is>
          <t>consumer discretionary</t>
        </is>
      </c>
      <c r="D29" s="30" t="inlineStr">
        <is>
          <t>diamond cutting / jewellery</t>
        </is>
      </c>
      <c r="E29" s="30" t="inlineStr">
        <is>
          <t>midcap</t>
        </is>
      </c>
      <c r="F29" s="30" t="n">
        <v>14268.82</v>
      </c>
      <c r="G29" s="30" t="n">
        <v>4795</v>
      </c>
      <c r="H29" s="30" t="n">
        <v>4.45</v>
      </c>
      <c r="I29" s="30" t="n">
        <v>224232</v>
      </c>
      <c r="J29" s="30" t="inlineStr">
        <is>
          <t>533158</t>
        </is>
      </c>
    </row>
    <row r="30">
      <c r="A30" s="30" t="inlineStr">
        <is>
          <t>UNIPARTS</t>
        </is>
      </c>
      <c r="B30" s="30" t="inlineStr">
        <is>
          <t>Uniparts India Ltd</t>
        </is>
      </c>
      <c r="C30" s="30" t="inlineStr">
        <is>
          <t>industrials</t>
        </is>
      </c>
      <c r="D30" s="30" t="inlineStr">
        <is>
          <t>engineering</t>
        </is>
      </c>
      <c r="E30" s="30" t="inlineStr">
        <is>
          <t>smallcap</t>
        </is>
      </c>
      <c r="F30" s="30" t="n">
        <v>2704.98</v>
      </c>
      <c r="G30" s="30" t="n">
        <v>625.65</v>
      </c>
      <c r="H30" s="30" t="n">
        <v>4.41</v>
      </c>
      <c r="I30" s="30" t="n">
        <v>354943</v>
      </c>
      <c r="J30" s="30" t="inlineStr">
        <is>
          <t>543689</t>
        </is>
      </c>
    </row>
    <row r="31">
      <c r="A31" s="30" t="inlineStr">
        <is>
          <t>GOCLCORP</t>
        </is>
      </c>
      <c r="B31" s="30" t="inlineStr">
        <is>
          <t>Gocl Corporation Limited</t>
        </is>
      </c>
      <c r="C31" s="30" t="inlineStr">
        <is>
          <t>miscellaneous</t>
        </is>
      </c>
      <c r="D31" s="30" t="inlineStr">
        <is>
          <t>diversified - medium / small</t>
        </is>
      </c>
      <c r="E31" s="30" t="inlineStr">
        <is>
          <t>smallcap</t>
        </is>
      </c>
      <c r="F31" s="30" t="n">
        <v>1986.87</v>
      </c>
      <c r="G31" s="30" t="n">
        <v>418.1</v>
      </c>
      <c r="H31" s="30" t="n">
        <v>4.32</v>
      </c>
      <c r="I31" s="30" t="n">
        <v>354544</v>
      </c>
      <c r="J31" s="30" t="inlineStr">
        <is>
          <t>506480</t>
        </is>
      </c>
    </row>
    <row r="32">
      <c r="A32" s="30" t="inlineStr">
        <is>
          <t>CHENNPETRO</t>
        </is>
      </c>
      <c r="B32" s="30" t="inlineStr">
        <is>
          <t>Chennai Petroleum Corporation Limited</t>
        </is>
      </c>
      <c r="C32" s="30" t="inlineStr">
        <is>
          <t>energy</t>
        </is>
      </c>
      <c r="D32" s="30" t="inlineStr">
        <is>
          <t>refineries</t>
        </is>
      </c>
      <c r="E32" s="30" t="inlineStr">
        <is>
          <t>midcap</t>
        </is>
      </c>
      <c r="F32" s="30" t="n">
        <v>16999.73</v>
      </c>
      <c r="G32" s="30" t="n">
        <v>1189.8</v>
      </c>
      <c r="H32" s="30" t="n">
        <v>4.22</v>
      </c>
      <c r="I32" s="30" t="n">
        <v>3461172</v>
      </c>
      <c r="J32" s="30" t="inlineStr">
        <is>
          <t>500110</t>
        </is>
      </c>
    </row>
    <row r="33">
      <c r="A33" s="30" t="inlineStr">
        <is>
          <t>TDPOWERSYS</t>
        </is>
      </c>
      <c r="B33" s="30" t="inlineStr">
        <is>
          <t>Td Power Systems Limited</t>
        </is>
      </c>
      <c r="C33" s="30" t="inlineStr">
        <is>
          <t>industrials</t>
        </is>
      </c>
      <c r="D33" s="30" t="inlineStr">
        <is>
          <t>electric equipment</t>
        </is>
      </c>
      <c r="E33" s="30" t="inlineStr">
        <is>
          <t>midcap</t>
        </is>
      </c>
      <c r="F33" s="30" t="n">
        <v>19292.53</v>
      </c>
      <c r="G33" s="30" t="n">
        <v>1286.3</v>
      </c>
      <c r="H33" s="30" t="n">
        <v>4.15</v>
      </c>
      <c r="I33" s="30" t="n">
        <v>1309216</v>
      </c>
      <c r="J33" s="30" t="inlineStr">
        <is>
          <t>533553</t>
        </is>
      </c>
    </row>
    <row r="34">
      <c r="A34" s="30" t="inlineStr">
        <is>
          <t>KERNEX</t>
        </is>
      </c>
      <c r="B34" s="30" t="inlineStr">
        <is>
          <t>Kernex Microsystems (india) Limited</t>
        </is>
      </c>
      <c r="C34" s="30" t="inlineStr">
        <is>
          <t>consumer discretionary</t>
        </is>
      </c>
      <c r="D34" s="30" t="inlineStr">
        <is>
          <t>electronics - components</t>
        </is>
      </c>
      <c r="E34" s="30" t="inlineStr">
        <is>
          <t>smallcap</t>
        </is>
      </c>
      <c r="F34" s="30" t="n">
        <v>3032.33</v>
      </c>
      <c r="G34" s="30" t="n">
        <v>1877.9</v>
      </c>
      <c r="H34" s="30" t="n">
        <v>4.06</v>
      </c>
      <c r="I34" s="30" t="n">
        <v>535959</v>
      </c>
      <c r="J34" s="30" t="inlineStr">
        <is>
          <t>532686</t>
        </is>
      </c>
    </row>
    <row r="35">
      <c r="A35" s="30" t="inlineStr">
        <is>
          <t>JINDALSAW</t>
        </is>
      </c>
      <c r="B35" s="30" t="inlineStr">
        <is>
          <t>Jindal Saw Limited</t>
        </is>
      </c>
      <c r="C35" s="30" t="inlineStr">
        <is>
          <t>industrials</t>
        </is>
      </c>
      <c r="D35" s="30" t="inlineStr">
        <is>
          <t>steel - large</t>
        </is>
      </c>
      <c r="E35" s="30" t="inlineStr">
        <is>
          <t>midcap</t>
        </is>
      </c>
      <c r="F35" s="30" t="n">
        <v>15419.82</v>
      </c>
      <c r="G35" s="30" t="n">
        <v>250.87</v>
      </c>
      <c r="H35" s="30" t="n">
        <v>4.04</v>
      </c>
      <c r="I35" s="30" t="n">
        <v>4135336</v>
      </c>
      <c r="J35" s="30" t="inlineStr">
        <is>
          <t>500378</t>
        </is>
      </c>
    </row>
    <row r="36">
      <c r="A36" s="30" t="inlineStr">
        <is>
          <t>VINDHYATEL</t>
        </is>
      </c>
      <c r="B36" s="30" t="inlineStr">
        <is>
          <t>Vindhya Telelinks Limited</t>
        </is>
      </c>
      <c r="C36" s="30" t="inlineStr">
        <is>
          <t>realty</t>
        </is>
      </c>
      <c r="D36" s="30" t="inlineStr">
        <is>
          <t>construction</t>
        </is>
      </c>
      <c r="E36" s="30" t="inlineStr">
        <is>
          <t>smallcap</t>
        </is>
      </c>
      <c r="F36" s="30" t="n">
        <v>2509.89</v>
      </c>
      <c r="G36" s="30" t="n">
        <v>2200</v>
      </c>
      <c r="H36" s="30" t="n">
        <v>3.88</v>
      </c>
      <c r="I36" s="30" t="n">
        <v>202231</v>
      </c>
      <c r="J36" s="30" t="inlineStr">
        <is>
          <t>517015</t>
        </is>
      </c>
    </row>
    <row r="37">
      <c r="A37" s="30" t="inlineStr">
        <is>
          <t>GVT&amp;D</t>
        </is>
      </c>
      <c r="B37" s="30" t="inlineStr">
        <is>
          <t>GE Vernova T&amp;D India Ltd</t>
        </is>
      </c>
      <c r="C37" s="30" t="inlineStr">
        <is>
          <t>industrials</t>
        </is>
      </c>
      <c r="D37" s="30" t="inlineStr">
        <is>
          <t>electric equipment</t>
        </is>
      </c>
      <c r="E37" s="30" t="inlineStr">
        <is>
          <t>largecap</t>
        </is>
      </c>
      <c r="F37" s="30" t="n">
        <v>122415.85</v>
      </c>
      <c r="G37" s="30" t="n">
        <v>4964.5</v>
      </c>
      <c r="H37" s="30" t="n">
        <v>3.84</v>
      </c>
      <c r="I37" s="30" t="n">
        <v>1305674</v>
      </c>
      <c r="J37" s="30" t="inlineStr">
        <is>
          <t>522275</t>
        </is>
      </c>
    </row>
    <row r="38">
      <c r="A38" s="30" t="inlineStr">
        <is>
          <t>ZIMLAB</t>
        </is>
      </c>
      <c r="B38" s="30" t="inlineStr">
        <is>
          <t>Zim Laboratories Ltd</t>
        </is>
      </c>
      <c r="C38" s="30" t="inlineStr">
        <is>
          <t>healthcare</t>
        </is>
      </c>
      <c r="D38" s="30" t="inlineStr">
        <is>
          <t>pharmaceuticals - indian - bulk drugs &amp; formln</t>
        </is>
      </c>
      <c r="E38" s="30" t="inlineStr">
        <is>
          <t>smallcap</t>
        </is>
      </c>
      <c r="F38" s="30" t="n">
        <v>555.92</v>
      </c>
      <c r="G38" s="30" t="n">
        <v>107.89</v>
      </c>
      <c r="H38" s="30" t="n">
        <v>3.83</v>
      </c>
      <c r="I38" s="30" t="n">
        <v>47939</v>
      </c>
      <c r="J38" s="30" t="inlineStr">
        <is>
          <t>541400</t>
        </is>
      </c>
    </row>
    <row r="39">
      <c r="A39" s="30" t="inlineStr">
        <is>
          <t>CEIGALL</t>
        </is>
      </c>
      <c r="B39" s="30" t="inlineStr">
        <is>
          <t>Ceigall India Ltd</t>
        </is>
      </c>
      <c r="C39" s="30" t="inlineStr">
        <is>
          <t>realty</t>
        </is>
      </c>
      <c r="D39" s="30" t="inlineStr">
        <is>
          <t>construction</t>
        </is>
      </c>
      <c r="E39" s="30" t="inlineStr">
        <is>
          <t>midcap</t>
        </is>
      </c>
      <c r="F39" s="30" t="n">
        <v>6058.85</v>
      </c>
      <c r="G39" s="30" t="n">
        <v>360.6</v>
      </c>
      <c r="H39" s="30" t="n">
        <v>3.68</v>
      </c>
      <c r="I39" s="30" t="n">
        <v>699251</v>
      </c>
      <c r="J39" s="30" t="inlineStr">
        <is>
          <t>544223</t>
        </is>
      </c>
    </row>
    <row r="40">
      <c r="A40" s="30" t="inlineStr">
        <is>
          <t>GUFICBIO</t>
        </is>
      </c>
      <c r="B40" s="30" t="inlineStr">
        <is>
          <t>Gufic Biosciences Limited</t>
        </is>
      </c>
      <c r="C40" s="30" t="inlineStr">
        <is>
          <t>healthcare</t>
        </is>
      </c>
      <c r="D40" s="30" t="inlineStr">
        <is>
          <t>pharmaceuticals - indian - bulk drugs &amp; formln</t>
        </is>
      </c>
      <c r="E40" s="30" t="inlineStr">
        <is>
          <t>smallcap</t>
        </is>
      </c>
      <c r="F40" s="30" t="n">
        <v>3501.36</v>
      </c>
      <c r="G40" s="30" t="n">
        <v>361.95</v>
      </c>
      <c r="H40" s="30" t="n">
        <v>3.67</v>
      </c>
      <c r="I40" s="30" t="n">
        <v>260028</v>
      </c>
      <c r="J40" s="30" t="inlineStr">
        <is>
          <t>509079</t>
        </is>
      </c>
    </row>
    <row r="41">
      <c r="A41" s="30" t="inlineStr">
        <is>
          <t>SOUTHBANK</t>
        </is>
      </c>
      <c r="B41" s="30" t="inlineStr">
        <is>
          <t>The South Indian Bank Limited</t>
        </is>
      </c>
      <c r="C41" s="30" t="inlineStr">
        <is>
          <t>bank</t>
        </is>
      </c>
      <c r="D41" s="30" t="inlineStr">
        <is>
          <t>banks - private sector</t>
        </is>
      </c>
      <c r="E41" s="30" t="inlineStr">
        <is>
          <t>midcap</t>
        </is>
      </c>
      <c r="F41" s="30" t="n">
        <v>11014.73</v>
      </c>
      <c r="G41" s="30" t="n">
        <v>43.6</v>
      </c>
      <c r="H41" s="30" t="n">
        <v>3.61</v>
      </c>
      <c r="I41" s="30" t="n">
        <v>32825203</v>
      </c>
      <c r="J41" s="30" t="inlineStr">
        <is>
          <t>532218</t>
        </is>
      </c>
    </row>
    <row r="42">
      <c r="A42" s="30" t="inlineStr">
        <is>
          <t>AEROFLEX</t>
        </is>
      </c>
      <c r="B42" s="30" t="inlineStr">
        <is>
          <t>Aeroflex Industries Ltd</t>
        </is>
      </c>
      <c r="C42" s="30" t="inlineStr">
        <is>
          <t>metals &amp; mining</t>
        </is>
      </c>
      <c r="D42" s="30" t="inlineStr">
        <is>
          <t>steel - medium / small</t>
        </is>
      </c>
      <c r="E42" s="30" t="inlineStr">
        <is>
          <t>midcap</t>
        </is>
      </c>
      <c r="F42" s="30" t="n">
        <v>5550.61</v>
      </c>
      <c r="G42" s="30" t="n">
        <v>434.4</v>
      </c>
      <c r="H42" s="30" t="n">
        <v>3.56</v>
      </c>
      <c r="I42" s="30" t="n">
        <v>3666854</v>
      </c>
      <c r="J42" s="30" t="inlineStr">
        <is>
          <t>543972</t>
        </is>
      </c>
    </row>
    <row r="43">
      <c r="A43" s="30" t="inlineStr">
        <is>
          <t>IRISDOREME</t>
        </is>
      </c>
      <c r="B43" s="30" t="inlineStr">
        <is>
          <t>Iris Clothings Ltd</t>
        </is>
      </c>
      <c r="C43" s="30" t="inlineStr">
        <is>
          <t>consumer discretionary</t>
        </is>
      </c>
      <c r="D43" s="30" t="inlineStr">
        <is>
          <t>textiles - products</t>
        </is>
      </c>
      <c r="E43" s="30" t="inlineStr">
        <is>
          <t>smallcap</t>
        </is>
      </c>
      <c r="F43" s="30" t="n">
        <v>677.77</v>
      </c>
      <c r="G43" s="30" t="n">
        <v>36.86</v>
      </c>
      <c r="H43" s="30" t="n">
        <v>3.51</v>
      </c>
      <c r="I43" s="30" t="n">
        <v>271837</v>
      </c>
      <c r="J43" s="30" t="inlineStr">
        <is>
          <t>535123</t>
        </is>
      </c>
    </row>
    <row r="44">
      <c r="A44" s="30" t="inlineStr">
        <is>
          <t>JINDRILL</t>
        </is>
      </c>
      <c r="B44" s="30" t="inlineStr">
        <is>
          <t>Jindal Drilling And Industries Limited</t>
        </is>
      </c>
      <c r="C44" s="30" t="inlineStr">
        <is>
          <t>energy</t>
        </is>
      </c>
      <c r="D44" s="30" t="inlineStr">
        <is>
          <t>oil drilling / allied services</t>
        </is>
      </c>
      <c r="E44" s="30" t="inlineStr">
        <is>
          <t>smallcap</t>
        </is>
      </c>
      <c r="F44" s="30" t="n">
        <v>1758.86</v>
      </c>
      <c r="G44" s="30" t="n">
        <v>628.1</v>
      </c>
      <c r="H44" s="30" t="n">
        <v>3.49</v>
      </c>
      <c r="I44" s="30" t="n">
        <v>965297</v>
      </c>
      <c r="J44" s="30" t="inlineStr">
        <is>
          <t>511034</t>
        </is>
      </c>
    </row>
    <row r="45">
      <c r="A45" s="30" t="inlineStr">
        <is>
          <t>MTARTECH</t>
        </is>
      </c>
      <c r="B45" s="30" t="inlineStr">
        <is>
          <t>MTAR Technologies Ltd</t>
        </is>
      </c>
      <c r="C45" s="30" t="inlineStr">
        <is>
          <t>aerospace &amp; defence</t>
        </is>
      </c>
      <c r="D45" s="30" t="inlineStr">
        <is>
          <t>engineering</t>
        </is>
      </c>
      <c r="E45" s="30" t="inlineStr">
        <is>
          <t>largecap</t>
        </is>
      </c>
      <c r="F45" s="30" t="n">
        <v>22196.12</v>
      </c>
      <c r="G45" s="30" t="n">
        <v>7468</v>
      </c>
      <c r="H45" s="30" t="n">
        <v>3.49</v>
      </c>
      <c r="I45" s="30" t="n">
        <v>1337901</v>
      </c>
      <c r="J45" s="30" t="inlineStr">
        <is>
          <t>543270</t>
        </is>
      </c>
    </row>
    <row r="46">
      <c r="A46" s="30" t="inlineStr">
        <is>
          <t>IDEAFORGE</t>
        </is>
      </c>
      <c r="B46" s="30" t="inlineStr">
        <is>
          <t>Ideaforge Technology Ltd</t>
        </is>
      </c>
      <c r="C46" s="30" t="inlineStr">
        <is>
          <t>aerospace &amp; defence</t>
        </is>
      </c>
      <c r="D46" s="30" t="inlineStr">
        <is>
          <t>engineering</t>
        </is>
      </c>
      <c r="E46" s="30" t="inlineStr">
        <is>
          <t>smallcap</t>
        </is>
      </c>
      <c r="F46" s="30" t="n">
        <v>3587.14</v>
      </c>
      <c r="G46" s="30" t="n">
        <v>857.15</v>
      </c>
      <c r="H46" s="30" t="n">
        <v>3.41</v>
      </c>
      <c r="I46" s="30" t="n">
        <v>329383</v>
      </c>
      <c r="J46" s="30" t="inlineStr">
        <is>
          <t>543932</t>
        </is>
      </c>
    </row>
    <row r="47">
      <c r="A47" s="30" t="inlineStr">
        <is>
          <t>JBMA</t>
        </is>
      </c>
      <c r="B47" s="30" t="inlineStr">
        <is>
          <t>Jbm Auto Limited</t>
        </is>
      </c>
      <c r="C47" s="30" t="inlineStr">
        <is>
          <t>auto</t>
        </is>
      </c>
      <c r="D47" s="30" t="inlineStr">
        <is>
          <t>auto ancillaries</t>
        </is>
      </c>
      <c r="E47" s="30" t="inlineStr">
        <is>
          <t>midcap</t>
        </is>
      </c>
      <c r="F47" s="30" t="n">
        <v>15309.46</v>
      </c>
      <c r="G47" s="30" t="n">
        <v>669.25</v>
      </c>
      <c r="H47" s="30" t="n">
        <v>3.38</v>
      </c>
      <c r="I47" s="30" t="n">
        <v>1347352</v>
      </c>
      <c r="J47" s="30" t="inlineStr">
        <is>
          <t>532605</t>
        </is>
      </c>
    </row>
    <row r="48">
      <c r="A48" s="30" t="inlineStr">
        <is>
          <t>YASHO</t>
        </is>
      </c>
      <c r="B48" s="30" t="inlineStr">
        <is>
          <t>Yasho Industries Ltd</t>
        </is>
      </c>
      <c r="C48" s="30" t="inlineStr">
        <is>
          <t>chemicals</t>
        </is>
      </c>
      <c r="D48" s="30" t="inlineStr">
        <is>
          <t>chemicals</t>
        </is>
      </c>
      <c r="E48" s="30" t="inlineStr">
        <is>
          <t>smallcap</t>
        </is>
      </c>
      <c r="F48" s="30" t="n">
        <v>2613.98</v>
      </c>
      <c r="G48" s="30" t="n">
        <v>2241.1</v>
      </c>
      <c r="H48" s="30" t="n">
        <v>3.37</v>
      </c>
      <c r="I48" s="30" t="n">
        <v>18485</v>
      </c>
      <c r="J48" s="30" t="inlineStr">
        <is>
          <t>541167</t>
        </is>
      </c>
    </row>
    <row r="49">
      <c r="A49" s="30" t="inlineStr">
        <is>
          <t>VARROC</t>
        </is>
      </c>
      <c r="B49" s="30" t="inlineStr">
        <is>
          <t>Varroc Engineering Ltd</t>
        </is>
      </c>
      <c r="C49" s="30" t="inlineStr">
        <is>
          <t>auto</t>
        </is>
      </c>
      <c r="D49" s="30" t="inlineStr">
        <is>
          <t>auto ancillaries</t>
        </is>
      </c>
      <c r="E49" s="30" t="inlineStr">
        <is>
          <t>midcap</t>
        </is>
      </c>
      <c r="F49" s="30" t="n">
        <v>8774.52</v>
      </c>
      <c r="G49" s="30" t="n">
        <v>593.6</v>
      </c>
      <c r="H49" s="30" t="n">
        <v>3.36</v>
      </c>
      <c r="I49" s="30" t="n">
        <v>197257</v>
      </c>
      <c r="J49" s="30" t="inlineStr">
        <is>
          <t>541578</t>
        </is>
      </c>
    </row>
    <row r="50">
      <c r="A50" s="30" t="inlineStr">
        <is>
          <t>INDOTECH</t>
        </is>
      </c>
      <c r="B50" s="30" t="inlineStr">
        <is>
          <t>Indo Tech Transformers Limited</t>
        </is>
      </c>
      <c r="C50" s="30" t="inlineStr">
        <is>
          <t>industrials</t>
        </is>
      </c>
      <c r="D50" s="30" t="inlineStr">
        <is>
          <t>electric equipment</t>
        </is>
      </c>
      <c r="E50" s="30" t="inlineStr">
        <is>
          <t>smallcap</t>
        </is>
      </c>
      <c r="F50" s="30" t="n">
        <v>2891.61</v>
      </c>
      <c r="G50" s="30" t="n">
        <v>2811.7</v>
      </c>
      <c r="H50" s="30" t="n">
        <v>3.27</v>
      </c>
      <c r="I50" s="30" t="n">
        <v>34521</v>
      </c>
      <c r="J50" s="30" t="inlineStr">
        <is>
          <t>532717</t>
        </is>
      </c>
    </row>
    <row r="51">
      <c r="A51" s="30" t="inlineStr">
        <is>
          <t>FIEMIND</t>
        </is>
      </c>
      <c r="B51" s="30" t="inlineStr">
        <is>
          <t>Fiem Industries Limited</t>
        </is>
      </c>
      <c r="C51" s="30" t="inlineStr">
        <is>
          <t>auto</t>
        </is>
      </c>
      <c r="D51" s="30" t="inlineStr">
        <is>
          <t>auto ancillaries</t>
        </is>
      </c>
      <c r="E51" s="30" t="inlineStr">
        <is>
          <t>midcap</t>
        </is>
      </c>
      <c r="F51" s="30" t="n">
        <v>5983.51</v>
      </c>
      <c r="G51" s="30" t="n">
        <v>2347</v>
      </c>
      <c r="H51" s="30" t="n">
        <v>3.24</v>
      </c>
      <c r="I51" s="30" t="n">
        <v>187989</v>
      </c>
      <c r="J51" s="30" t="inlineStr">
        <is>
          <t>532768</t>
        </is>
      </c>
    </row>
    <row r="52">
      <c r="A52" s="30" t="inlineStr">
        <is>
          <t>ACUTAAS</t>
        </is>
      </c>
      <c r="B52" s="30" t="inlineStr">
        <is>
          <t>Acutaas Chemicals Ltd</t>
        </is>
      </c>
      <c r="C52" s="30" t="inlineStr">
        <is>
          <t>healthcare</t>
        </is>
      </c>
      <c r="D52" s="30" t="inlineStr">
        <is>
          <t>pharmaceuticals - indian - bulk drugs</t>
        </is>
      </c>
      <c r="E52" s="30" t="inlineStr">
        <is>
          <t>largecap</t>
        </is>
      </c>
      <c r="F52" s="30" t="n">
        <v>24869.17</v>
      </c>
      <c r="G52" s="30" t="n">
        <v>3135.7</v>
      </c>
      <c r="H52" s="30" t="n">
        <v>3.23</v>
      </c>
      <c r="I52" s="30" t="n">
        <v>385864</v>
      </c>
      <c r="J52" s="30" t="inlineStr">
        <is>
          <t>543349</t>
        </is>
      </c>
    </row>
    <row r="53">
      <c r="A53" s="30" t="inlineStr">
        <is>
          <t>TALBROAUTO</t>
        </is>
      </c>
      <c r="B53" s="30" t="inlineStr">
        <is>
          <t>Talbros Automotive Components Limited</t>
        </is>
      </c>
      <c r="C53" s="30" t="inlineStr">
        <is>
          <t>auto</t>
        </is>
      </c>
      <c r="D53" s="30" t="inlineStr">
        <is>
          <t>auto ancillaries</t>
        </is>
      </c>
      <c r="E53" s="30" t="inlineStr">
        <is>
          <t>smallcap</t>
        </is>
      </c>
      <c r="F53" s="30" t="n">
        <v>2113.26</v>
      </c>
      <c r="G53" s="30" t="n">
        <v>352.95</v>
      </c>
      <c r="H53" s="30" t="n">
        <v>3.1</v>
      </c>
      <c r="I53" s="30" t="n">
        <v>227685</v>
      </c>
      <c r="J53" s="30" t="inlineStr">
        <is>
          <t>505160</t>
        </is>
      </c>
    </row>
    <row r="54">
      <c r="A54" s="30" t="inlineStr">
        <is>
          <t>SANDHAR</t>
        </is>
      </c>
      <c r="B54" s="30" t="inlineStr">
        <is>
          <t>Sandhar Technologies Limited</t>
        </is>
      </c>
      <c r="C54" s="30" t="inlineStr">
        <is>
          <t>auto</t>
        </is>
      </c>
      <c r="D54" s="30" t="inlineStr">
        <is>
          <t>auto ancillaries</t>
        </is>
      </c>
      <c r="E54" s="30" t="inlineStr">
        <is>
          <t>smallcap</t>
        </is>
      </c>
      <c r="F54" s="30" t="n">
        <v>4196.2</v>
      </c>
      <c r="G54" s="30" t="n">
        <v>718.25</v>
      </c>
      <c r="H54" s="30" t="n">
        <v>3.03</v>
      </c>
      <c r="I54" s="30" t="n">
        <v>1154289</v>
      </c>
      <c r="J54" s="30" t="inlineStr">
        <is>
          <t>541163</t>
        </is>
      </c>
    </row>
    <row r="55">
      <c r="A55" s="30" t="inlineStr">
        <is>
          <t>ADOR</t>
        </is>
      </c>
      <c r="B55" s="30" t="inlineStr">
        <is>
          <t>Ador Welding Ltd</t>
        </is>
      </c>
      <c r="C55" s="30" t="inlineStr">
        <is>
          <t>industrials</t>
        </is>
      </c>
      <c r="D55" s="30" t="inlineStr">
        <is>
          <t>electrodes - welding equipment</t>
        </is>
      </c>
      <c r="E55" s="30" t="inlineStr">
        <is>
          <t>smallcap</t>
        </is>
      </c>
      <c r="F55" s="30" t="n">
        <v>1929.62</v>
      </c>
      <c r="G55" s="30" t="n">
        <v>1141.1</v>
      </c>
      <c r="H55" s="30" t="n">
        <v>2.91</v>
      </c>
      <c r="I55" s="30" t="n">
        <v>20820</v>
      </c>
      <c r="J55" s="30" t="inlineStr">
        <is>
          <t>517041</t>
        </is>
      </c>
    </row>
    <row r="56">
      <c r="A56" s="30" t="inlineStr">
        <is>
          <t>FCL</t>
        </is>
      </c>
      <c r="B56" s="30" t="inlineStr">
        <is>
          <t>Fineotex Chemical Limited</t>
        </is>
      </c>
      <c r="C56" s="30" t="inlineStr">
        <is>
          <t>chemicals</t>
        </is>
      </c>
      <c r="D56" s="30" t="inlineStr">
        <is>
          <t>chemicals</t>
        </is>
      </c>
      <c r="E56" s="30" t="inlineStr">
        <is>
          <t>smallcap</t>
        </is>
      </c>
      <c r="F56" s="30" t="n">
        <v>4932.83</v>
      </c>
      <c r="G56" s="30" t="n">
        <v>43.54</v>
      </c>
      <c r="H56" s="30" t="n">
        <v>2.79</v>
      </c>
      <c r="I56" s="30" t="n">
        <v>29794119</v>
      </c>
      <c r="J56" s="30" t="inlineStr">
        <is>
          <t>533333</t>
        </is>
      </c>
    </row>
    <row r="57">
      <c r="A57" s="30" t="inlineStr">
        <is>
          <t>IMFA</t>
        </is>
      </c>
      <c r="B57" s="30" t="inlineStr">
        <is>
          <t>Indian Metals &amp; Ferro Alloys Limited</t>
        </is>
      </c>
      <c r="C57" s="30" t="inlineStr">
        <is>
          <t>metals &amp; mining</t>
        </is>
      </c>
      <c r="D57" s="30" t="inlineStr">
        <is>
          <t>mining / minerals / metals</t>
        </is>
      </c>
      <c r="E57" s="30" t="inlineStr">
        <is>
          <t>midcap</t>
        </is>
      </c>
      <c r="F57" s="30" t="n">
        <v>7885.39</v>
      </c>
      <c r="G57" s="30" t="n">
        <v>1501.9</v>
      </c>
      <c r="H57" s="30" t="n">
        <v>2.76</v>
      </c>
      <c r="I57" s="30" t="n">
        <v>243058</v>
      </c>
      <c r="J57" s="30" t="inlineStr">
        <is>
          <t>533047</t>
        </is>
      </c>
    </row>
    <row r="58">
      <c r="A58" s="30" t="inlineStr">
        <is>
          <t>FEDERALBNK</t>
        </is>
      </c>
      <c r="B58" s="30" t="inlineStr">
        <is>
          <t>The Federal Bank  Limited</t>
        </is>
      </c>
      <c r="C58" s="30" t="inlineStr">
        <is>
          <t>bank</t>
        </is>
      </c>
      <c r="D58" s="30" t="inlineStr">
        <is>
          <t>banks - private sector</t>
        </is>
      </c>
      <c r="E58" s="30" t="inlineStr">
        <is>
          <t>largecap</t>
        </is>
      </c>
      <c r="F58" s="30" t="n">
        <v>72215.78999999999</v>
      </c>
      <c r="G58" s="30" t="n">
        <v>301.05</v>
      </c>
      <c r="H58" s="30" t="n">
        <v>2.73</v>
      </c>
      <c r="I58" s="30" t="n">
        <v>15946881</v>
      </c>
      <c r="J58" s="30" t="inlineStr">
        <is>
          <t>500469</t>
        </is>
      </c>
    </row>
    <row r="59">
      <c r="A59" s="30" t="inlineStr">
        <is>
          <t>GOLDIAM</t>
        </is>
      </c>
      <c r="B59" s="30" t="inlineStr">
        <is>
          <t>Goldiam International Limited</t>
        </is>
      </c>
      <c r="C59" s="30" t="inlineStr">
        <is>
          <t>consumer discretionary</t>
        </is>
      </c>
      <c r="D59" s="30" t="inlineStr">
        <is>
          <t>diamond cutting / jewellery</t>
        </is>
      </c>
      <c r="E59" s="30" t="inlineStr">
        <is>
          <t>smallcap</t>
        </is>
      </c>
      <c r="F59" s="30" t="n">
        <v>4792.8</v>
      </c>
      <c r="G59" s="30" t="n">
        <v>435.3</v>
      </c>
      <c r="H59" s="30" t="n">
        <v>2.56</v>
      </c>
      <c r="I59" s="30" t="n">
        <v>1129953</v>
      </c>
      <c r="J59" s="30" t="inlineStr">
        <is>
          <t>526729</t>
        </is>
      </c>
    </row>
    <row r="60">
      <c r="A60" s="30" t="inlineStr">
        <is>
          <t>APOLLOHOSP</t>
        </is>
      </c>
      <c r="B60" s="30" t="inlineStr">
        <is>
          <t>Apollo Hospitals Enterprise Limited</t>
        </is>
      </c>
      <c r="C60" s="30" t="inlineStr">
        <is>
          <t>healthcare</t>
        </is>
      </c>
      <c r="D60" s="30" t="inlineStr">
        <is>
          <t>healthcare</t>
        </is>
      </c>
      <c r="E60" s="30" t="inlineStr">
        <is>
          <t>largecap</t>
        </is>
      </c>
      <c r="F60" s="30" t="n">
        <v>116314.6</v>
      </c>
      <c r="G60" s="30" t="n">
        <v>8290.5</v>
      </c>
      <c r="H60" s="30" t="n">
        <v>2.48</v>
      </c>
      <c r="I60" s="30" t="n">
        <v>724687</v>
      </c>
      <c r="J60" s="30" t="inlineStr">
        <is>
          <t>508869</t>
        </is>
      </c>
    </row>
    <row r="61">
      <c r="A61" s="30" t="inlineStr">
        <is>
          <t>SYRMA</t>
        </is>
      </c>
      <c r="B61" s="30" t="inlineStr">
        <is>
          <t>Syrma SGS Technology Ltd</t>
        </is>
      </c>
      <c r="C61" s="30" t="inlineStr">
        <is>
          <t>consumer discretionary</t>
        </is>
      </c>
      <c r="D61" s="30" t="inlineStr">
        <is>
          <t>electronics - components</t>
        </is>
      </c>
      <c r="E61" s="30" t="inlineStr">
        <is>
          <t>largecap</t>
        </is>
      </c>
      <c r="F61" s="30" t="n">
        <v>22499.46</v>
      </c>
      <c r="G61" s="30" t="n">
        <v>1195.3</v>
      </c>
      <c r="H61" s="30" t="n">
        <v>2.44</v>
      </c>
      <c r="I61" s="30" t="n">
        <v>2008192</v>
      </c>
      <c r="J61" s="30" t="inlineStr">
        <is>
          <t>543573</t>
        </is>
      </c>
    </row>
    <row r="62">
      <c r="A62" s="30" t="inlineStr">
        <is>
          <t>NH</t>
        </is>
      </c>
      <c r="B62" s="30" t="inlineStr">
        <is>
          <t>Narayana Hrudayalaya Ltd.</t>
        </is>
      </c>
      <c r="C62" s="30" t="inlineStr">
        <is>
          <t>healthcare</t>
        </is>
      </c>
      <c r="D62" s="30" t="inlineStr">
        <is>
          <t>healthcare</t>
        </is>
      </c>
      <c r="E62" s="30" t="inlineStr">
        <is>
          <t>largecap</t>
        </is>
      </c>
      <c r="F62" s="30" t="n">
        <v>39527.47</v>
      </c>
      <c r="G62" s="30" t="n">
        <v>1980.6</v>
      </c>
      <c r="H62" s="30" t="n">
        <v>2.4</v>
      </c>
      <c r="I62" s="30" t="n">
        <v>428361</v>
      </c>
      <c r="J62" s="30" t="inlineStr">
        <is>
          <t>539551</t>
        </is>
      </c>
    </row>
    <row r="63">
      <c r="A63" s="30" t="inlineStr">
        <is>
          <t>PTL</t>
        </is>
      </c>
      <c r="B63" s="30" t="inlineStr">
        <is>
          <t>Ptl Enterprises Limited</t>
        </is>
      </c>
      <c r="C63" s="30" t="inlineStr">
        <is>
          <t>miscellaneous</t>
        </is>
      </c>
      <c r="D63" s="30" t="inlineStr">
        <is>
          <t>miscellaneous</t>
        </is>
      </c>
      <c r="E63" s="30" t="inlineStr">
        <is>
          <t>smallcap</t>
        </is>
      </c>
      <c r="F63" s="30" t="n">
        <v>514.95</v>
      </c>
      <c r="G63" s="30" t="n">
        <v>39.83</v>
      </c>
      <c r="H63" s="30" t="n">
        <v>2.39</v>
      </c>
      <c r="I63" s="30" t="n">
        <v>55145</v>
      </c>
      <c r="J63" s="30" t="inlineStr">
        <is>
          <t>509220</t>
        </is>
      </c>
    </row>
    <row r="64">
      <c r="A64" s="30" t="inlineStr">
        <is>
          <t>BBOX</t>
        </is>
      </c>
      <c r="B64" s="30" t="inlineStr">
        <is>
          <t>Black Box Ltd</t>
        </is>
      </c>
      <c r="C64" s="30" t="inlineStr">
        <is>
          <t>i.t</t>
        </is>
      </c>
      <c r="D64" s="30" t="inlineStr">
        <is>
          <t>computers - software - medium / small</t>
        </is>
      </c>
      <c r="E64" s="30" t="inlineStr">
        <is>
          <t>midcap</t>
        </is>
      </c>
      <c r="F64" s="30" t="n">
        <v>18313.96</v>
      </c>
      <c r="G64" s="30" t="n">
        <v>1056.3</v>
      </c>
      <c r="H64" s="30" t="n">
        <v>2.37</v>
      </c>
      <c r="I64" s="30" t="n">
        <v>934234</v>
      </c>
      <c r="J64" s="30" t="inlineStr">
        <is>
          <t>500463</t>
        </is>
      </c>
    </row>
    <row r="65">
      <c r="A65" s="30" t="inlineStr">
        <is>
          <t>PAISALO</t>
        </is>
      </c>
      <c r="B65" s="30" t="inlineStr">
        <is>
          <t>Paisalo Digital Ltd</t>
        </is>
      </c>
      <c r="C65" s="30" t="inlineStr">
        <is>
          <t>financials</t>
        </is>
      </c>
      <c r="D65" s="30" t="inlineStr">
        <is>
          <t>finance &amp; investments</t>
        </is>
      </c>
      <c r="E65" s="30" t="inlineStr">
        <is>
          <t>smallcap</t>
        </is>
      </c>
      <c r="F65" s="30" t="n">
        <v>4792.27</v>
      </c>
      <c r="G65" s="30" t="n">
        <v>53.92</v>
      </c>
      <c r="H65" s="30" t="n">
        <v>2.33</v>
      </c>
      <c r="I65" s="30" t="n">
        <v>15717266</v>
      </c>
      <c r="J65" s="30" t="inlineStr">
        <is>
          <t>532900</t>
        </is>
      </c>
    </row>
    <row r="66">
      <c r="A66" s="30" t="inlineStr">
        <is>
          <t>TITAGARH</t>
        </is>
      </c>
      <c r="B66" s="30" t="inlineStr">
        <is>
          <t>Titagarh Rail Systems Ltd</t>
        </is>
      </c>
      <c r="C66" s="30" t="inlineStr">
        <is>
          <t>industrials</t>
        </is>
      </c>
      <c r="D66" s="30" t="inlineStr">
        <is>
          <t>engineering</t>
        </is>
      </c>
      <c r="E66" s="30" t="inlineStr">
        <is>
          <t>midcap</t>
        </is>
      </c>
      <c r="F66" s="30" t="n">
        <v>11237.18</v>
      </c>
      <c r="G66" s="30" t="n">
        <v>853.35</v>
      </c>
      <c r="H66" s="30" t="n">
        <v>2.27</v>
      </c>
      <c r="I66" s="30" t="n">
        <v>1497714</v>
      </c>
      <c r="J66" s="30" t="inlineStr">
        <is>
          <t>532966</t>
        </is>
      </c>
    </row>
    <row r="67">
      <c r="A67" s="30" t="inlineStr">
        <is>
          <t>AEROENTER</t>
        </is>
      </c>
      <c r="B67" s="30" t="inlineStr">
        <is>
          <t>Aeroflex Enterprises Ltd</t>
        </is>
      </c>
      <c r="C67" s="30" t="inlineStr">
        <is>
          <t>metals &amp; mining</t>
        </is>
      </c>
      <c r="D67" s="30" t="inlineStr">
        <is>
          <t>steel - medium / small</t>
        </is>
      </c>
      <c r="E67" s="30" t="inlineStr">
        <is>
          <t>smallcap</t>
        </is>
      </c>
      <c r="F67" s="30" t="n">
        <v>1088.44</v>
      </c>
      <c r="G67" s="30" t="n">
        <v>98.40000000000001</v>
      </c>
      <c r="H67" s="30" t="n">
        <v>2.23</v>
      </c>
      <c r="I67" s="30" t="n">
        <v>325381</v>
      </c>
      <c r="J67" s="30" t="inlineStr">
        <is>
          <t>511076</t>
        </is>
      </c>
    </row>
    <row r="68">
      <c r="A68" s="30" t="inlineStr">
        <is>
          <t>V2RETAIL</t>
        </is>
      </c>
      <c r="B68" s="30" t="inlineStr">
        <is>
          <t>V2 Retail Limited</t>
        </is>
      </c>
      <c r="C68" s="30" t="inlineStr">
        <is>
          <t>consumer discretionary</t>
        </is>
      </c>
      <c r="D68" s="30" t="inlineStr">
        <is>
          <t>textiles - products</t>
        </is>
      </c>
      <c r="E68" s="30" t="inlineStr">
        <is>
          <t>midcap</t>
        </is>
      </c>
      <c r="F68" s="30" t="n">
        <v>8762.969999999999</v>
      </c>
      <c r="G68" s="30" t="n">
        <v>245.65</v>
      </c>
      <c r="H68" s="30" t="n">
        <v>2.22</v>
      </c>
      <c r="I68" s="30" t="n">
        <v>2722841</v>
      </c>
      <c r="J68" s="30" t="inlineStr">
        <is>
          <t>532867</t>
        </is>
      </c>
    </row>
    <row r="69">
      <c r="A69" s="30" t="inlineStr">
        <is>
          <t>CARYSIL</t>
        </is>
      </c>
      <c r="B69" s="30" t="inlineStr">
        <is>
          <t>Carysil Ltd</t>
        </is>
      </c>
      <c r="C69" s="30" t="inlineStr">
        <is>
          <t>consumer discretionary</t>
        </is>
      </c>
      <c r="D69" s="30" t="inlineStr">
        <is>
          <t>domestic appliances</t>
        </is>
      </c>
      <c r="E69" s="30" t="inlineStr">
        <is>
          <t>smallcap</t>
        </is>
      </c>
      <c r="F69" s="30" t="n">
        <v>3167.08</v>
      </c>
      <c r="G69" s="30" t="n">
        <v>1138</v>
      </c>
      <c r="H69" s="30" t="n">
        <v>2.2</v>
      </c>
      <c r="I69" s="30" t="n">
        <v>182936</v>
      </c>
      <c r="J69" s="30" t="inlineStr">
        <is>
          <t>524091</t>
        </is>
      </c>
    </row>
    <row r="70">
      <c r="A70" s="30" t="inlineStr">
        <is>
          <t>SANSTAR</t>
        </is>
      </c>
      <c r="B70" s="30" t="inlineStr">
        <is>
          <t>Sanstar Ltd</t>
        </is>
      </c>
      <c r="C70" s="30" t="inlineStr">
        <is>
          <t>fmcg</t>
        </is>
      </c>
      <c r="D70" s="30" t="inlineStr">
        <is>
          <t>miscellaneous</t>
        </is>
      </c>
      <c r="E70" s="30" t="inlineStr">
        <is>
          <t>smallcap</t>
        </is>
      </c>
      <c r="F70" s="30" t="n">
        <v>2109.84</v>
      </c>
      <c r="G70" s="30" t="n">
        <v>118.27</v>
      </c>
      <c r="H70" s="30" t="n">
        <v>2.16</v>
      </c>
      <c r="I70" s="30" t="n">
        <v>735135</v>
      </c>
      <c r="J70" s="30" t="inlineStr">
        <is>
          <t>544217</t>
        </is>
      </c>
    </row>
    <row r="71">
      <c r="A71" s="30" t="inlineStr">
        <is>
          <t>IKS</t>
        </is>
      </c>
      <c r="B71" s="30" t="inlineStr">
        <is>
          <t>Inventurus Knowledge Solutions Ltd</t>
        </is>
      </c>
      <c r="C71" s="30" t="inlineStr">
        <is>
          <t>i.t</t>
        </is>
      </c>
      <c r="D71" s="30" t="inlineStr">
        <is>
          <t>computers - software - medium / small</t>
        </is>
      </c>
      <c r="E71" s="30" t="inlineStr">
        <is>
          <t>largecap</t>
        </is>
      </c>
      <c r="F71" s="30" t="n">
        <v>28656.15</v>
      </c>
      <c r="G71" s="30" t="n">
        <v>1706</v>
      </c>
      <c r="H71" s="30" t="n">
        <v>2.14</v>
      </c>
      <c r="I71" s="30" t="n">
        <v>159895</v>
      </c>
      <c r="J71" s="30" t="inlineStr">
        <is>
          <t>544309</t>
        </is>
      </c>
    </row>
    <row r="72">
      <c r="A72" s="30" t="inlineStr">
        <is>
          <t>GRANULES</t>
        </is>
      </c>
      <c r="B72" s="30" t="inlineStr">
        <is>
          <t>Granules India Limited</t>
        </is>
      </c>
      <c r="C72" s="30" t="inlineStr">
        <is>
          <t>healthcare</t>
        </is>
      </c>
      <c r="D72" s="30" t="inlineStr">
        <is>
          <t>pharmaceuticals - indian - bulk drugs &amp; formln</t>
        </is>
      </c>
      <c r="E72" s="30" t="inlineStr">
        <is>
          <t>midcap</t>
        </is>
      </c>
      <c r="F72" s="30" t="n">
        <v>19267.45</v>
      </c>
      <c r="G72" s="30" t="n">
        <v>793.8</v>
      </c>
      <c r="H72" s="30" t="n">
        <v>2.09</v>
      </c>
      <c r="I72" s="30" t="n">
        <v>769581</v>
      </c>
      <c r="J72" s="30" t="inlineStr">
        <is>
          <t>532482</t>
        </is>
      </c>
    </row>
    <row r="73">
      <c r="A73" s="30" t="inlineStr">
        <is>
          <t>SPARC</t>
        </is>
      </c>
      <c r="B73" s="30" t="inlineStr">
        <is>
          <t>Sun Pharma Advanced Research Company Limited</t>
        </is>
      </c>
      <c r="C73" s="30" t="inlineStr">
        <is>
          <t>healthcare</t>
        </is>
      </c>
      <c r="D73" s="30" t="inlineStr">
        <is>
          <t>miscellaneous</t>
        </is>
      </c>
      <c r="E73" s="30" t="inlineStr">
        <is>
          <t>midcap</t>
        </is>
      </c>
      <c r="F73" s="30" t="n">
        <v>6628.03</v>
      </c>
      <c r="G73" s="30" t="n">
        <v>208.5</v>
      </c>
      <c r="H73" s="30" t="n">
        <v>2.09</v>
      </c>
      <c r="I73" s="30" t="n">
        <v>4848519</v>
      </c>
      <c r="J73" s="30" t="inlineStr">
        <is>
          <t>532872</t>
        </is>
      </c>
    </row>
    <row r="74">
      <c r="A74" s="30" t="inlineStr">
        <is>
          <t>ANTELOPUS</t>
        </is>
      </c>
      <c r="B74" s="30" t="inlineStr">
        <is>
          <t>Antelopus Selan Energy Ltd</t>
        </is>
      </c>
      <c r="C74" s="30" t="inlineStr">
        <is>
          <t>energy</t>
        </is>
      </c>
      <c r="D74" s="30" t="inlineStr">
        <is>
          <t>oil drilling / allied services</t>
        </is>
      </c>
      <c r="E74" s="30" t="inlineStr">
        <is>
          <t>smallcap</t>
        </is>
      </c>
      <c r="F74" s="30" t="n">
        <v>3003.57</v>
      </c>
      <c r="G74" s="30" t="n">
        <v>871.8</v>
      </c>
      <c r="H74" s="30" t="n">
        <v>2.06</v>
      </c>
      <c r="I74" s="30" t="n">
        <v>254667</v>
      </c>
      <c r="J74" s="30" t="inlineStr">
        <is>
          <t>530075</t>
        </is>
      </c>
    </row>
    <row r="75">
      <c r="A75" s="30" t="inlineStr">
        <is>
          <t>TMPV</t>
        </is>
      </c>
      <c r="B75" s="30" t="inlineStr">
        <is>
          <t>Tata Motors Passenger Vehicles Ltd</t>
        </is>
      </c>
      <c r="C75" s="30" t="inlineStr">
        <is>
          <t>auto</t>
        </is>
      </c>
      <c r="D75" s="30" t="inlineStr">
        <is>
          <t>automobiles - passenger cars</t>
        </is>
      </c>
      <c r="E75" s="30" t="inlineStr">
        <is>
          <t>largecap</t>
        </is>
      </c>
      <c r="F75" s="30" t="n">
        <v>143686.37</v>
      </c>
      <c r="G75" s="30" t="n">
        <v>398.15</v>
      </c>
      <c r="H75" s="30" t="n">
        <v>2.04</v>
      </c>
      <c r="I75" s="30" t="n">
        <v>8638483</v>
      </c>
      <c r="J75" s="30" t="inlineStr">
        <is>
          <t>500570</t>
        </is>
      </c>
    </row>
    <row r="76">
      <c r="A76" s="30" t="inlineStr">
        <is>
          <t>APARINDS</t>
        </is>
      </c>
      <c r="B76" s="30" t="inlineStr">
        <is>
          <t>Apar Industries Limited</t>
        </is>
      </c>
      <c r="C76" s="30" t="inlineStr">
        <is>
          <t>industrials</t>
        </is>
      </c>
      <c r="D76" s="30" t="inlineStr">
        <is>
          <t>electric equipment</t>
        </is>
      </c>
      <c r="E76" s="30" t="inlineStr">
        <is>
          <t>largecap</t>
        </is>
      </c>
      <c r="F76" s="30" t="n">
        <v>53303.35</v>
      </c>
      <c r="G76" s="30" t="n">
        <v>13538</v>
      </c>
      <c r="H76" s="30" t="n">
        <v>2.02</v>
      </c>
      <c r="I76" s="30" t="n">
        <v>231576</v>
      </c>
      <c r="J76" s="30" t="inlineStr">
        <is>
          <t>532259</t>
        </is>
      </c>
    </row>
    <row r="77">
      <c r="A77" s="30" t="inlineStr">
        <is>
          <t>ELGIEQUIP</t>
        </is>
      </c>
      <c r="B77" s="30" t="inlineStr">
        <is>
          <t>Elgi Equipments Limited</t>
        </is>
      </c>
      <c r="C77" s="30" t="inlineStr">
        <is>
          <t>industrials</t>
        </is>
      </c>
      <c r="D77" s="30" t="inlineStr">
        <is>
          <t>compressors / drilling equipment</t>
        </is>
      </c>
      <c r="E77" s="30" t="inlineStr">
        <is>
          <t>midcap</t>
        </is>
      </c>
      <c r="F77" s="30" t="n">
        <v>18677.03</v>
      </c>
      <c r="G77" s="30" t="n">
        <v>601.2</v>
      </c>
      <c r="H77" s="30" t="n">
        <v>2.01</v>
      </c>
      <c r="I77" s="30" t="n">
        <v>1223194</v>
      </c>
      <c r="J77" s="30" t="inlineStr">
        <is>
          <t>522074</t>
        </is>
      </c>
    </row>
    <row r="78">
      <c r="A78" s="30" t="inlineStr">
        <is>
          <t>NORTHARC</t>
        </is>
      </c>
      <c r="B78" s="30" t="inlineStr">
        <is>
          <t>Northern ARC Capital Ltd</t>
        </is>
      </c>
      <c r="C78" s="30" t="inlineStr">
        <is>
          <t>financials</t>
        </is>
      </c>
      <c r="D78" s="30" t="inlineStr">
        <is>
          <t>finance &amp; investments</t>
        </is>
      </c>
      <c r="E78" s="30" t="inlineStr">
        <is>
          <t>smallcap</t>
        </is>
      </c>
      <c r="F78" s="30" t="n">
        <v>4643.58</v>
      </c>
      <c r="G78" s="30" t="n">
        <v>293.05</v>
      </c>
      <c r="H78" s="30" t="n">
        <v>1.97</v>
      </c>
      <c r="I78" s="30" t="n">
        <v>1042554</v>
      </c>
      <c r="J78" s="30" t="n"/>
    </row>
    <row r="79">
      <c r="A79" s="30" t="inlineStr">
        <is>
          <t>WELCORP</t>
        </is>
      </c>
      <c r="B79" s="30" t="inlineStr">
        <is>
          <t>Welspun Corp Limited</t>
        </is>
      </c>
      <c r="C79" s="30" t="inlineStr">
        <is>
          <t>industrials</t>
        </is>
      </c>
      <c r="D79" s="30" t="inlineStr">
        <is>
          <t>steel - large</t>
        </is>
      </c>
      <c r="E79" s="30" t="inlineStr">
        <is>
          <t>largecap</t>
        </is>
      </c>
      <c r="F79" s="30" t="n">
        <v>36582.49</v>
      </c>
      <c r="G79" s="30" t="n">
        <v>1413.6</v>
      </c>
      <c r="H79" s="30" t="n">
        <v>1.93</v>
      </c>
      <c r="I79" s="30" t="n">
        <v>1901113</v>
      </c>
      <c r="J79" s="30" t="inlineStr">
        <is>
          <t>532144</t>
        </is>
      </c>
    </row>
    <row r="80">
      <c r="A80" s="30" t="inlineStr">
        <is>
          <t>PRECWIRE</t>
        </is>
      </c>
      <c r="B80" s="30" t="inlineStr">
        <is>
          <t>Precision Wires India Limited</t>
        </is>
      </c>
      <c r="C80" s="30" t="inlineStr">
        <is>
          <t>metals &amp; mining</t>
        </is>
      </c>
      <c r="D80" s="30" t="inlineStr">
        <is>
          <t>mining / minerals / metals</t>
        </is>
      </c>
      <c r="E80" s="30" t="inlineStr">
        <is>
          <t>midcap</t>
        </is>
      </c>
      <c r="F80" s="30" t="n">
        <v>7832.41</v>
      </c>
      <c r="G80" s="30" t="n">
        <v>436.7</v>
      </c>
      <c r="H80" s="30" t="n">
        <v>1.93</v>
      </c>
      <c r="I80" s="30" t="n">
        <v>305731</v>
      </c>
      <c r="J80" s="30" t="inlineStr">
        <is>
          <t>523539</t>
        </is>
      </c>
    </row>
    <row r="81">
      <c r="A81" s="30" t="inlineStr">
        <is>
          <t>MAITHANALL</t>
        </is>
      </c>
      <c r="B81" s="30" t="inlineStr">
        <is>
          <t>Maithan Alloys Limited</t>
        </is>
      </c>
      <c r="C81" s="30" t="inlineStr">
        <is>
          <t>metals &amp; mining</t>
        </is>
      </c>
      <c r="D81" s="30" t="inlineStr">
        <is>
          <t>mining / minerals / metals</t>
        </is>
      </c>
      <c r="E81" s="30" t="inlineStr">
        <is>
          <t>smallcap</t>
        </is>
      </c>
      <c r="F81" s="30" t="n">
        <v>3058.75</v>
      </c>
      <c r="G81" s="30" t="n">
        <v>1070.8</v>
      </c>
      <c r="H81" s="30" t="n">
        <v>1.91</v>
      </c>
      <c r="I81" s="30" t="n">
        <v>119418</v>
      </c>
      <c r="J81" s="30" t="inlineStr">
        <is>
          <t>590078</t>
        </is>
      </c>
    </row>
    <row r="82">
      <c r="A82" s="30" t="inlineStr">
        <is>
          <t>SUNFLAG</t>
        </is>
      </c>
      <c r="B82" s="30" t="inlineStr">
        <is>
          <t>Sunflag Iron And Steel Company Limited</t>
        </is>
      </c>
      <c r="C82" s="30" t="inlineStr">
        <is>
          <t>metals &amp; mining</t>
        </is>
      </c>
      <c r="D82" s="30" t="inlineStr">
        <is>
          <t>steel - medium / small</t>
        </is>
      </c>
      <c r="E82" s="30" t="inlineStr">
        <is>
          <t>midcap</t>
        </is>
      </c>
      <c r="F82" s="30" t="n">
        <v>6773.55</v>
      </c>
      <c r="G82" s="30" t="n">
        <v>383</v>
      </c>
      <c r="H82" s="30" t="n">
        <v>1.9</v>
      </c>
      <c r="I82" s="30" t="n">
        <v>499290</v>
      </c>
      <c r="J82" s="30" t="inlineStr">
        <is>
          <t>500404</t>
        </is>
      </c>
    </row>
    <row r="83">
      <c r="A83" s="30" t="inlineStr">
        <is>
          <t>BOROSCI</t>
        </is>
      </c>
      <c r="B83" s="30" t="inlineStr">
        <is>
          <t>Borosil Scientific Ltd</t>
        </is>
      </c>
      <c r="C83" s="30" t="inlineStr">
        <is>
          <t>building materials</t>
        </is>
      </c>
      <c r="D83" s="30" t="inlineStr">
        <is>
          <t>glass &amp; glass products</t>
        </is>
      </c>
      <c r="E83" s="30" t="inlineStr">
        <is>
          <t>smallcap</t>
        </is>
      </c>
      <c r="F83" s="30" t="n">
        <v>1347.28</v>
      </c>
      <c r="G83" s="30" t="n">
        <v>154.28</v>
      </c>
      <c r="H83" s="30" t="n">
        <v>1.86</v>
      </c>
      <c r="I83" s="30" t="n">
        <v>204737</v>
      </c>
      <c r="J83" s="30" t="inlineStr">
        <is>
          <t>544184</t>
        </is>
      </c>
    </row>
    <row r="84">
      <c r="A84" s="30" t="inlineStr">
        <is>
          <t>SATIN</t>
        </is>
      </c>
      <c r="B84" s="30" t="inlineStr">
        <is>
          <t>Satin Creditcare Network Limited</t>
        </is>
      </c>
      <c r="C84" s="30" t="inlineStr">
        <is>
          <t>financials</t>
        </is>
      </c>
      <c r="D84" s="30" t="inlineStr">
        <is>
          <t>finance &amp; investments</t>
        </is>
      </c>
      <c r="E84" s="30" t="inlineStr">
        <is>
          <t>smallcap</t>
        </is>
      </c>
      <c r="F84" s="30" t="n">
        <v>2553.2</v>
      </c>
      <c r="G84" s="30" t="n">
        <v>235.25</v>
      </c>
      <c r="H84" s="30" t="n">
        <v>1.79</v>
      </c>
      <c r="I84" s="30" t="n">
        <v>624651</v>
      </c>
      <c r="J84" s="30" t="inlineStr">
        <is>
          <t>539404</t>
        </is>
      </c>
    </row>
    <row r="85">
      <c r="A85" s="30" t="inlineStr">
        <is>
          <t>BHARATFORG</t>
        </is>
      </c>
      <c r="B85" s="30" t="inlineStr">
        <is>
          <t>Bharat Forge Limited</t>
        </is>
      </c>
      <c r="C85" s="30" t="inlineStr">
        <is>
          <t>industrials</t>
        </is>
      </c>
      <c r="D85" s="30" t="inlineStr">
        <is>
          <t>castings &amp; forgings</t>
        </is>
      </c>
      <c r="E85" s="30" t="inlineStr">
        <is>
          <t>largecap</t>
        </is>
      </c>
      <c r="F85" s="30" t="n">
        <v>90975.49000000001</v>
      </c>
      <c r="G85" s="30" t="n">
        <v>1936.5</v>
      </c>
      <c r="H85" s="30" t="n">
        <v>1.77</v>
      </c>
      <c r="I85" s="30" t="n">
        <v>808066</v>
      </c>
      <c r="J85" s="30" t="inlineStr">
        <is>
          <t>500493</t>
        </is>
      </c>
    </row>
    <row r="86">
      <c r="A86" s="30" t="inlineStr">
        <is>
          <t>RUBYMILLS</t>
        </is>
      </c>
      <c r="B86" s="30" t="inlineStr">
        <is>
          <t>The Ruby Mills Limited</t>
        </is>
      </c>
      <c r="C86" s="30" t="inlineStr">
        <is>
          <t>textiles</t>
        </is>
      </c>
      <c r="D86" s="30" t="inlineStr">
        <is>
          <t>textiles - composite</t>
        </is>
      </c>
      <c r="E86" s="30" t="inlineStr">
        <is>
          <t>smallcap</t>
        </is>
      </c>
      <c r="F86" s="30" t="n">
        <v>933.14</v>
      </c>
      <c r="G86" s="30" t="n">
        <v>284</v>
      </c>
      <c r="H86" s="30" t="n">
        <v>1.77</v>
      </c>
      <c r="I86" s="30" t="n">
        <v>152102</v>
      </c>
      <c r="J86" s="30" t="inlineStr">
        <is>
          <t>503169</t>
        </is>
      </c>
    </row>
    <row r="87">
      <c r="A87" s="30" t="inlineStr">
        <is>
          <t>KIRLOSENG</t>
        </is>
      </c>
      <c r="B87" s="30" t="inlineStr">
        <is>
          <t>Kirloskar Oil Engines Limited</t>
        </is>
      </c>
      <c r="C87" s="30" t="inlineStr">
        <is>
          <t>industrials</t>
        </is>
      </c>
      <c r="D87" s="30" t="inlineStr">
        <is>
          <t>engines</t>
        </is>
      </c>
      <c r="E87" s="30" t="inlineStr">
        <is>
          <t>largecap</t>
        </is>
      </c>
      <c r="F87" s="30" t="n">
        <v>26991.75</v>
      </c>
      <c r="G87" s="30" t="n">
        <v>1889.5</v>
      </c>
      <c r="H87" s="30" t="n">
        <v>1.76</v>
      </c>
      <c r="I87" s="30" t="n">
        <v>250338</v>
      </c>
      <c r="J87" s="30" t="inlineStr">
        <is>
          <t>533293</t>
        </is>
      </c>
    </row>
    <row r="88">
      <c r="A88" s="30" t="inlineStr">
        <is>
          <t>AKUMS</t>
        </is>
      </c>
      <c r="B88" s="30" t="inlineStr">
        <is>
          <t>Akums Drugs &amp; Pharmaceuticals Ltd</t>
        </is>
      </c>
      <c r="C88" s="30" t="inlineStr">
        <is>
          <t>healthcare</t>
        </is>
      </c>
      <c r="D88" s="30" t="inlineStr">
        <is>
          <t>pharmaceuticals - indian - bulk drugs &amp; formln</t>
        </is>
      </c>
      <c r="E88" s="30" t="inlineStr">
        <is>
          <t>midcap</t>
        </is>
      </c>
      <c r="F88" s="30" t="n">
        <v>8361.559999999999</v>
      </c>
      <c r="G88" s="30" t="n">
        <v>540.45</v>
      </c>
      <c r="H88" s="30" t="n">
        <v>1.73</v>
      </c>
      <c r="I88" s="30" t="n">
        <v>148831</v>
      </c>
      <c r="J88" s="30" t="inlineStr">
        <is>
          <t>544222</t>
        </is>
      </c>
    </row>
    <row r="89">
      <c r="A89" s="30" t="inlineStr">
        <is>
          <t>GUJTHEM</t>
        </is>
      </c>
      <c r="B89" s="30" t="inlineStr">
        <is>
          <t>Gujarat Themis Biosyn Ltd</t>
        </is>
      </c>
      <c r="C89" s="30" t="inlineStr">
        <is>
          <t>healthcare</t>
        </is>
      </c>
      <c r="D89" s="30" t="inlineStr">
        <is>
          <t>pharmaceuticals - indian - bulk drugs</t>
        </is>
      </c>
      <c r="E89" s="30" t="inlineStr">
        <is>
          <t>smallcap</t>
        </is>
      </c>
      <c r="F89" s="30" t="n">
        <v>4304.13</v>
      </c>
      <c r="G89" s="30" t="n">
        <v>401.8</v>
      </c>
      <c r="H89" s="30" t="n">
        <v>1.72</v>
      </c>
      <c r="I89" s="30" t="n">
        <v>229461</v>
      </c>
      <c r="J89" s="30" t="inlineStr">
        <is>
          <t>506879</t>
        </is>
      </c>
    </row>
    <row r="90">
      <c r="A90" s="30" t="inlineStr">
        <is>
          <t>ASIANENE</t>
        </is>
      </c>
      <c r="B90" s="30" t="inlineStr">
        <is>
          <t>Asian Energy Services Ltd</t>
        </is>
      </c>
      <c r="C90" s="30" t="inlineStr">
        <is>
          <t>energy</t>
        </is>
      </c>
      <c r="D90" s="30" t="inlineStr">
        <is>
          <t>oil drilling / allied services</t>
        </is>
      </c>
      <c r="E90" s="30" t="inlineStr">
        <is>
          <t>smallcap</t>
        </is>
      </c>
      <c r="F90" s="30" t="n">
        <v>1685.83</v>
      </c>
      <c r="G90" s="30" t="n">
        <v>352.7</v>
      </c>
      <c r="H90" s="30" t="n">
        <v>1.7</v>
      </c>
      <c r="I90" s="30" t="n">
        <v>249922</v>
      </c>
      <c r="J90" s="30" t="inlineStr">
        <is>
          <t>530355</t>
        </is>
      </c>
    </row>
    <row r="91">
      <c r="A91" s="30" t="inlineStr">
        <is>
          <t>SIS</t>
        </is>
      </c>
      <c r="B91" s="30" t="inlineStr">
        <is>
          <t>Security &amp; Intelligence Services India</t>
        </is>
      </c>
      <c r="C91" s="30" t="inlineStr">
        <is>
          <t>miscellaneous</t>
        </is>
      </c>
      <c r="D91" s="30" t="inlineStr">
        <is>
          <t>miscellaneous</t>
        </is>
      </c>
      <c r="E91" s="30" t="inlineStr">
        <is>
          <t>midcap</t>
        </is>
      </c>
      <c r="F91" s="30" t="n">
        <v>5827.48</v>
      </c>
      <c r="G91" s="30" t="n">
        <v>419.4</v>
      </c>
      <c r="H91" s="30" t="n">
        <v>1.67</v>
      </c>
      <c r="I91" s="30" t="n">
        <v>428422</v>
      </c>
      <c r="J91" s="30" t="inlineStr">
        <is>
          <t>540673</t>
        </is>
      </c>
    </row>
    <row r="92">
      <c r="A92" s="30" t="inlineStr">
        <is>
          <t>DIVGIITTS</t>
        </is>
      </c>
      <c r="B92" s="30" t="inlineStr">
        <is>
          <t>Divgi Torqtransfer Systems Ltd</t>
        </is>
      </c>
      <c r="C92" s="30" t="inlineStr">
        <is>
          <t>auto</t>
        </is>
      </c>
      <c r="D92" s="30" t="inlineStr">
        <is>
          <t>auto ancillaries</t>
        </is>
      </c>
      <c r="E92" s="30" t="inlineStr">
        <is>
          <t>smallcap</t>
        </is>
      </c>
      <c r="F92" s="30" t="n">
        <v>2414.37</v>
      </c>
      <c r="G92" s="30" t="n">
        <v>802.6</v>
      </c>
      <c r="H92" s="30" t="n">
        <v>1.67</v>
      </c>
      <c r="I92" s="30" t="n">
        <v>62546</v>
      </c>
      <c r="J92" s="30" t="inlineStr">
        <is>
          <t>543812</t>
        </is>
      </c>
    </row>
    <row r="93">
      <c r="A93" s="30" t="inlineStr">
        <is>
          <t>EQUITASBNK</t>
        </is>
      </c>
      <c r="B93" s="30" t="inlineStr">
        <is>
          <t>Equitas Small Finance Bank Ltd</t>
        </is>
      </c>
      <c r="C93" s="30" t="inlineStr">
        <is>
          <t>bank</t>
        </is>
      </c>
      <c r="D93" s="30" t="inlineStr">
        <is>
          <t>banks - private sector</t>
        </is>
      </c>
      <c r="E93" s="30" t="inlineStr">
        <is>
          <t>midcap</t>
        </is>
      </c>
      <c r="F93" s="30" t="n">
        <v>7959.92</v>
      </c>
      <c r="G93" s="30" t="n">
        <v>70.90000000000001</v>
      </c>
      <c r="H93" s="30" t="n">
        <v>1.63</v>
      </c>
      <c r="I93" s="30" t="n">
        <v>2148146</v>
      </c>
      <c r="J93" s="30" t="inlineStr">
        <is>
          <t>543243</t>
        </is>
      </c>
    </row>
    <row r="94">
      <c r="A94" s="30" t="inlineStr">
        <is>
          <t>STEELXIND</t>
        </is>
      </c>
      <c r="B94" s="30" t="inlineStr">
        <is>
          <t>Steel Exchange India Ltd</t>
        </is>
      </c>
      <c r="C94" s="30" t="inlineStr">
        <is>
          <t>metals &amp; mining</t>
        </is>
      </c>
      <c r="D94" s="30" t="inlineStr">
        <is>
          <t>steel - medium / small</t>
        </is>
      </c>
      <c r="E94" s="30" t="inlineStr">
        <is>
          <t>smallcap</t>
        </is>
      </c>
      <c r="F94" s="30" t="n">
        <v>1548.48</v>
      </c>
      <c r="G94" s="30" t="n">
        <v>12.33</v>
      </c>
      <c r="H94" s="30" t="n">
        <v>1.57</v>
      </c>
      <c r="I94" s="30" t="n">
        <v>5339875</v>
      </c>
      <c r="J94" s="30" t="inlineStr">
        <is>
          <t>534748</t>
        </is>
      </c>
    </row>
    <row r="95">
      <c r="A95" s="30" t="inlineStr">
        <is>
          <t>TIRUPATIFL</t>
        </is>
      </c>
      <c r="B95" s="30" t="inlineStr">
        <is>
          <t>Tirupati Forge Ltd</t>
        </is>
      </c>
      <c r="C95" s="30" t="inlineStr">
        <is>
          <t>industrials</t>
        </is>
      </c>
      <c r="D95" s="30" t="inlineStr">
        <is>
          <t>castings &amp; forgings</t>
        </is>
      </c>
      <c r="E95" s="30" t="inlineStr">
        <is>
          <t>smallcap</t>
        </is>
      </c>
      <c r="F95" s="30" t="n">
        <v>582</v>
      </c>
      <c r="G95" s="30" t="n">
        <v>45.75</v>
      </c>
      <c r="H95" s="30" t="n">
        <v>1.55</v>
      </c>
      <c r="I95" s="30" t="n">
        <v>149101</v>
      </c>
      <c r="J95" s="30" t="inlineStr">
        <is>
          <t>535021</t>
        </is>
      </c>
    </row>
    <row r="96">
      <c r="A96" s="30" t="inlineStr">
        <is>
          <t>MIDHANI</t>
        </is>
      </c>
      <c r="B96" s="30" t="inlineStr">
        <is>
          <t>Mishra Dhatu Nigam Ltd</t>
        </is>
      </c>
      <c r="C96" s="30" t="inlineStr">
        <is>
          <t>aerospace &amp; defence</t>
        </is>
      </c>
      <c r="D96" s="30" t="inlineStr">
        <is>
          <t>steel - medium / small</t>
        </is>
      </c>
      <c r="E96" s="30" t="inlineStr">
        <is>
          <t>midcap</t>
        </is>
      </c>
      <c r="F96" s="30" t="n">
        <v>7694.99</v>
      </c>
      <c r="G96" s="30" t="n">
        <v>417</v>
      </c>
      <c r="H96" s="30" t="n">
        <v>1.52</v>
      </c>
      <c r="I96" s="30" t="n">
        <v>1007668</v>
      </c>
      <c r="J96" s="30" t="inlineStr">
        <is>
          <t>541195</t>
        </is>
      </c>
    </row>
    <row r="97">
      <c r="A97" s="30" t="inlineStr">
        <is>
          <t>RANEHOLDIN</t>
        </is>
      </c>
      <c r="B97" s="30" t="inlineStr">
        <is>
          <t>Rane Holdings Limited</t>
        </is>
      </c>
      <c r="C97" s="30" t="inlineStr">
        <is>
          <t>financials</t>
        </is>
      </c>
      <c r="D97" s="30" t="inlineStr">
        <is>
          <t>finance &amp; investments</t>
        </is>
      </c>
      <c r="E97" s="30" t="inlineStr">
        <is>
          <t>smallcap</t>
        </is>
      </c>
      <c r="F97" s="30" t="n">
        <v>2087.42</v>
      </c>
      <c r="G97" s="30" t="n">
        <v>1483.8</v>
      </c>
      <c r="H97" s="30" t="n">
        <v>1.49</v>
      </c>
      <c r="I97" s="30" t="n">
        <v>9023</v>
      </c>
      <c r="J97" s="30" t="inlineStr">
        <is>
          <t>505800</t>
        </is>
      </c>
    </row>
    <row r="98">
      <c r="A98" s="30" t="inlineStr">
        <is>
          <t>PIXTRANS</t>
        </is>
      </c>
      <c r="B98" s="30" t="inlineStr">
        <is>
          <t>Pix Transmission Ltd</t>
        </is>
      </c>
      <c r="C98" s="30" t="inlineStr">
        <is>
          <t>fmcg</t>
        </is>
      </c>
      <c r="D98" s="30" t="inlineStr">
        <is>
          <t>miscellaneous</t>
        </is>
      </c>
      <c r="E98" s="30" t="inlineStr">
        <is>
          <t>smallcap</t>
        </is>
      </c>
      <c r="F98" s="30" t="n">
        <v>2192.16</v>
      </c>
      <c r="G98" s="30" t="n">
        <v>1632.5</v>
      </c>
      <c r="H98" s="30" t="n">
        <v>1.47</v>
      </c>
      <c r="I98" s="30" t="n">
        <v>14541</v>
      </c>
      <c r="J98" s="30" t="inlineStr">
        <is>
          <t>500333</t>
        </is>
      </c>
    </row>
    <row r="99">
      <c r="A99" s="30" t="inlineStr">
        <is>
          <t>ORCHPHARMA</t>
        </is>
      </c>
      <c r="B99" s="30" t="inlineStr">
        <is>
          <t>Orchid Pharma Ltd</t>
        </is>
      </c>
      <c r="C99" s="30" t="inlineStr">
        <is>
          <t>healthcare</t>
        </is>
      </c>
      <c r="D99" s="30" t="inlineStr">
        <is>
          <t>pharmaceuticals - indian - bulk drugs &amp; formln</t>
        </is>
      </c>
      <c r="E99" s="30" t="inlineStr">
        <is>
          <t>smallcap</t>
        </is>
      </c>
      <c r="F99" s="30" t="n">
        <v>4183.31</v>
      </c>
      <c r="G99" s="30" t="n">
        <v>836.85</v>
      </c>
      <c r="H99" s="30" t="n">
        <v>1.46</v>
      </c>
      <c r="I99" s="30" t="n">
        <v>248298</v>
      </c>
      <c r="J99" s="30" t="inlineStr">
        <is>
          <t>524372</t>
        </is>
      </c>
    </row>
    <row r="100">
      <c r="A100" s="30" t="inlineStr">
        <is>
          <t>BOSCHLTD</t>
        </is>
      </c>
      <c r="B100" s="30" t="inlineStr">
        <is>
          <t>Bosch Limited</t>
        </is>
      </c>
      <c r="C100" s="30" t="inlineStr">
        <is>
          <t>auto</t>
        </is>
      </c>
      <c r="D100" s="30" t="inlineStr">
        <is>
          <t>auto ancillaries</t>
        </is>
      </c>
      <c r="E100" s="30" t="inlineStr">
        <is>
          <t>largecap</t>
        </is>
      </c>
      <c r="F100" s="30" t="n">
        <v>109775.33</v>
      </c>
      <c r="G100" s="30" t="n">
        <v>37760</v>
      </c>
      <c r="H100" s="30" t="n">
        <v>1.45</v>
      </c>
      <c r="I100" s="30" t="n">
        <v>41647</v>
      </c>
      <c r="J100" s="30" t="inlineStr">
        <is>
          <t>500530</t>
        </is>
      </c>
    </row>
    <row r="101">
      <c r="A101" s="30" t="inlineStr">
        <is>
          <t>TATACOMM</t>
        </is>
      </c>
      <c r="B101" s="30" t="inlineStr">
        <is>
          <t>Tata Communications Limited</t>
        </is>
      </c>
      <c r="C101" s="30" t="inlineStr">
        <is>
          <t>telecom-service</t>
        </is>
      </c>
      <c r="D101" s="30" t="inlineStr">
        <is>
          <t>telecommunications - service provider</t>
        </is>
      </c>
      <c r="E101" s="30" t="inlineStr">
        <is>
          <t>largecap</t>
        </is>
      </c>
      <c r="F101" s="30" t="n">
        <v>54326.7</v>
      </c>
      <c r="G101" s="30" t="n">
        <v>1933.7</v>
      </c>
      <c r="H101" s="30" t="n">
        <v>1.44</v>
      </c>
      <c r="I101" s="30" t="n">
        <v>764419</v>
      </c>
      <c r="J101" s="30" t="inlineStr">
        <is>
          <t>500483</t>
        </is>
      </c>
    </row>
    <row r="102">
      <c r="A102" s="30" t="inlineStr">
        <is>
          <t>LUMAXTECH</t>
        </is>
      </c>
      <c r="B102" s="30" t="inlineStr">
        <is>
          <t>Lumax Auto Technologies Limited</t>
        </is>
      </c>
      <c r="C102" s="30" t="inlineStr">
        <is>
          <t>auto</t>
        </is>
      </c>
      <c r="D102" s="30" t="inlineStr">
        <is>
          <t>auto ancillaries</t>
        </is>
      </c>
      <c r="E102" s="30" t="inlineStr">
        <is>
          <t>midcap</t>
        </is>
      </c>
      <c r="F102" s="30" t="n">
        <v>11905.79</v>
      </c>
      <c r="G102" s="30" t="n">
        <v>1771.9</v>
      </c>
      <c r="H102" s="30" t="n">
        <v>1.44</v>
      </c>
      <c r="I102" s="30" t="n">
        <v>193931</v>
      </c>
      <c r="J102" s="30" t="inlineStr">
        <is>
          <t>532796</t>
        </is>
      </c>
    </row>
    <row r="103">
      <c r="A103" s="30" t="inlineStr">
        <is>
          <t>AGIIL</t>
        </is>
      </c>
      <c r="B103" s="30" t="inlineStr">
        <is>
          <t>AGI Infra Ltd</t>
        </is>
      </c>
      <c r="C103" s="30" t="inlineStr">
        <is>
          <t>realty</t>
        </is>
      </c>
      <c r="D103" s="30" t="inlineStr">
        <is>
          <t>construction</t>
        </is>
      </c>
      <c r="E103" s="30" t="inlineStr">
        <is>
          <t>smallcap</t>
        </is>
      </c>
      <c r="F103" s="30" t="n">
        <v>4769.9</v>
      </c>
      <c r="G103" s="30" t="n">
        <v>387.1</v>
      </c>
      <c r="H103" s="30" t="n">
        <v>1.44</v>
      </c>
      <c r="I103" s="30" t="n">
        <v>1920321</v>
      </c>
      <c r="J103" s="30" t="inlineStr">
        <is>
          <t>539042</t>
        </is>
      </c>
    </row>
    <row r="104">
      <c r="A104" s="30" t="inlineStr">
        <is>
          <t>PREMIERENE</t>
        </is>
      </c>
      <c r="B104" s="30" t="inlineStr">
        <is>
          <t>Premier Energies Ltd</t>
        </is>
      </c>
      <c r="C104" s="30" t="inlineStr">
        <is>
          <t>services</t>
        </is>
      </c>
      <c r="D104" s="30" t="inlineStr">
        <is>
          <t>trading</t>
        </is>
      </c>
      <c r="E104" s="30" t="inlineStr">
        <is>
          <t>largecap</t>
        </is>
      </c>
      <c r="F104" s="30" t="n">
        <v>48669.71</v>
      </c>
      <c r="G104" s="30" t="n">
        <v>1089</v>
      </c>
      <c r="H104" s="30" t="n">
        <v>1.36</v>
      </c>
      <c r="I104" s="30" t="n">
        <v>2316777</v>
      </c>
      <c r="J104" s="30" t="n"/>
    </row>
    <row r="105">
      <c r="A105" s="30" t="inlineStr">
        <is>
          <t>KTKBANK</t>
        </is>
      </c>
      <c r="B105" s="30" t="inlineStr">
        <is>
          <t>The Karnataka Bank Limited</t>
        </is>
      </c>
      <c r="C105" s="30" t="inlineStr">
        <is>
          <t>bank</t>
        </is>
      </c>
      <c r="D105" s="30" t="inlineStr">
        <is>
          <t>banks - private sector</t>
        </is>
      </c>
      <c r="E105" s="30" t="inlineStr">
        <is>
          <t>midcap</t>
        </is>
      </c>
      <c r="F105" s="30" t="n">
        <v>9982.91</v>
      </c>
      <c r="G105" s="30" t="n">
        <v>267.6</v>
      </c>
      <c r="H105" s="30" t="n">
        <v>1.36</v>
      </c>
      <c r="I105" s="30" t="n">
        <v>2909567</v>
      </c>
      <c r="J105" s="30" t="inlineStr">
        <is>
          <t>532652</t>
        </is>
      </c>
    </row>
    <row r="106">
      <c r="A106" s="30" t="inlineStr">
        <is>
          <t>SUPRAJIT</t>
        </is>
      </c>
      <c r="B106" s="30" t="inlineStr">
        <is>
          <t>Suprajit Engineering Limited</t>
        </is>
      </c>
      <c r="C106" s="30" t="inlineStr">
        <is>
          <t>auto</t>
        </is>
      </c>
      <c r="D106" s="30" t="inlineStr">
        <is>
          <t>auto ancillaries</t>
        </is>
      </c>
      <c r="E106" s="30" t="inlineStr">
        <is>
          <t>midcap</t>
        </is>
      </c>
      <c r="F106" s="30" t="n">
        <v>6299.58</v>
      </c>
      <c r="G106" s="30" t="n">
        <v>465.45</v>
      </c>
      <c r="H106" s="30" t="n">
        <v>1.35</v>
      </c>
      <c r="I106" s="30" t="n">
        <v>190228</v>
      </c>
      <c r="J106" s="30" t="inlineStr">
        <is>
          <t>532509</t>
        </is>
      </c>
    </row>
    <row r="107">
      <c r="A107" s="30" t="inlineStr">
        <is>
          <t>SHRIRAMPPS</t>
        </is>
      </c>
      <c r="B107" s="30" t="inlineStr">
        <is>
          <t>Shriram Properties Ltd</t>
        </is>
      </c>
      <c r="C107" s="30" t="inlineStr">
        <is>
          <t>realty</t>
        </is>
      </c>
      <c r="D107" s="30" t="inlineStr">
        <is>
          <t>construction</t>
        </is>
      </c>
      <c r="E107" s="30" t="inlineStr">
        <is>
          <t>smallcap</t>
        </is>
      </c>
      <c r="F107" s="30" t="n">
        <v>1511.49</v>
      </c>
      <c r="G107" s="30" t="n">
        <v>89.77</v>
      </c>
      <c r="H107" s="30" t="n">
        <v>1.35</v>
      </c>
      <c r="I107" s="30" t="n">
        <v>1252828</v>
      </c>
      <c r="J107" s="30" t="inlineStr">
        <is>
          <t>543419</t>
        </is>
      </c>
    </row>
    <row r="108">
      <c r="A108" s="30" t="inlineStr">
        <is>
          <t>WELSPUNLIV</t>
        </is>
      </c>
      <c r="B108" s="30" t="inlineStr">
        <is>
          <t>Welspun Living Ltd</t>
        </is>
      </c>
      <c r="C108" s="30" t="inlineStr">
        <is>
          <t>textiles</t>
        </is>
      </c>
      <c r="D108" s="30" t="inlineStr">
        <is>
          <t>textiles - products</t>
        </is>
      </c>
      <c r="E108" s="30" t="inlineStr">
        <is>
          <t>midcap</t>
        </is>
      </c>
      <c r="F108" s="30" t="n">
        <v>13778.23</v>
      </c>
      <c r="G108" s="30" t="n">
        <v>145.57</v>
      </c>
      <c r="H108" s="30" t="n">
        <v>1.34</v>
      </c>
      <c r="I108" s="30" t="n">
        <v>1396222</v>
      </c>
      <c r="J108" s="30" t="inlineStr">
        <is>
          <t>514162</t>
        </is>
      </c>
    </row>
    <row r="109">
      <c r="A109" s="30" t="inlineStr">
        <is>
          <t>CGCL</t>
        </is>
      </c>
      <c r="B109" s="30" t="inlineStr">
        <is>
          <t>Capri Global Capital Limited</t>
        </is>
      </c>
      <c r="C109" s="30" t="inlineStr">
        <is>
          <t>financials</t>
        </is>
      </c>
      <c r="D109" s="30" t="inlineStr">
        <is>
          <t>finance &amp; investments</t>
        </is>
      </c>
      <c r="E109" s="30" t="inlineStr">
        <is>
          <t>midcap</t>
        </is>
      </c>
      <c r="F109" s="30" t="n">
        <v>19124.73</v>
      </c>
      <c r="G109" s="30" t="n">
        <v>201.36</v>
      </c>
      <c r="H109" s="30" t="n">
        <v>1.3</v>
      </c>
      <c r="I109" s="30" t="n">
        <v>1485416</v>
      </c>
      <c r="J109" s="30" t="inlineStr">
        <is>
          <t>531595</t>
        </is>
      </c>
    </row>
    <row r="110">
      <c r="A110" s="30" t="inlineStr">
        <is>
          <t>RAIN</t>
        </is>
      </c>
      <c r="B110" s="30" t="inlineStr">
        <is>
          <t>Rain Industries Limited</t>
        </is>
      </c>
      <c r="C110" s="30" t="inlineStr">
        <is>
          <t>miscellaneous</t>
        </is>
      </c>
      <c r="D110" s="30" t="inlineStr">
        <is>
          <t>miscellaneous</t>
        </is>
      </c>
      <c r="E110" s="30" t="inlineStr">
        <is>
          <t>midcap</t>
        </is>
      </c>
      <c r="F110" s="30" t="n">
        <v>6656.28</v>
      </c>
      <c r="G110" s="30" t="n">
        <v>200.47</v>
      </c>
      <c r="H110" s="30" t="n">
        <v>1.3</v>
      </c>
      <c r="I110" s="30" t="n">
        <v>12216194</v>
      </c>
      <c r="J110" s="30" t="inlineStr">
        <is>
          <t>500339</t>
        </is>
      </c>
    </row>
    <row r="111">
      <c r="A111" s="30" t="inlineStr">
        <is>
          <t>PGHL</t>
        </is>
      </c>
      <c r="B111" s="30" t="inlineStr">
        <is>
          <t>Procter &amp; Gamble Health Ltd</t>
        </is>
      </c>
      <c r="C111" s="30" t="inlineStr">
        <is>
          <t>healthcare</t>
        </is>
      </c>
      <c r="D111" s="30" t="inlineStr">
        <is>
          <t>pharmaceuticals - multinational</t>
        </is>
      </c>
      <c r="E111" s="30" t="inlineStr">
        <is>
          <t>midcap</t>
        </is>
      </c>
      <c r="F111" s="30" t="n">
        <v>10010.26</v>
      </c>
      <c r="G111" s="30" t="n">
        <v>6108.5</v>
      </c>
      <c r="H111" s="30" t="n">
        <v>1.29</v>
      </c>
      <c r="I111" s="30" t="n">
        <v>13938</v>
      </c>
      <c r="J111" s="30" t="inlineStr">
        <is>
          <t>500126</t>
        </is>
      </c>
    </row>
    <row r="112">
      <c r="A112" s="30" t="inlineStr">
        <is>
          <t>NEOGEN</t>
        </is>
      </c>
      <c r="B112" s="30" t="inlineStr">
        <is>
          <t>Neogen Chemicals Ltd</t>
        </is>
      </c>
      <c r="C112" s="30" t="inlineStr">
        <is>
          <t>chemicals</t>
        </is>
      </c>
      <c r="D112" s="30" t="inlineStr">
        <is>
          <t>chemicals</t>
        </is>
      </c>
      <c r="E112" s="30" t="inlineStr">
        <is>
          <t>midcap</t>
        </is>
      </c>
      <c r="F112" s="30" t="n">
        <v>5139.27</v>
      </c>
      <c r="G112" s="30" t="n">
        <v>1901.2</v>
      </c>
      <c r="H112" s="30" t="n">
        <v>1.29</v>
      </c>
      <c r="I112" s="30" t="n">
        <v>130474</v>
      </c>
      <c r="J112" s="30" t="inlineStr">
        <is>
          <t>542665</t>
        </is>
      </c>
    </row>
    <row r="113">
      <c r="A113" s="30" t="inlineStr">
        <is>
          <t>JAYBARMARU</t>
        </is>
      </c>
      <c r="B113" s="30" t="inlineStr">
        <is>
          <t>Jay Bharat Maruti Limited</t>
        </is>
      </c>
      <c r="C113" s="30" t="inlineStr">
        <is>
          <t>auto</t>
        </is>
      </c>
      <c r="D113" s="30" t="inlineStr">
        <is>
          <t>auto ancillaries</t>
        </is>
      </c>
      <c r="E113" s="30" t="inlineStr">
        <is>
          <t>smallcap</t>
        </is>
      </c>
      <c r="F113" s="30" t="n">
        <v>1365.47</v>
      </c>
      <c r="G113" s="30" t="n">
        <v>127.71</v>
      </c>
      <c r="H113" s="30" t="n">
        <v>1.24</v>
      </c>
      <c r="I113" s="30" t="n">
        <v>4481875</v>
      </c>
      <c r="J113" s="30" t="inlineStr">
        <is>
          <t>520066</t>
        </is>
      </c>
    </row>
    <row r="114">
      <c r="A114" s="30" t="inlineStr">
        <is>
          <t>USHAMART</t>
        </is>
      </c>
      <c r="B114" s="30" t="inlineStr">
        <is>
          <t>Usha Martin Limited</t>
        </is>
      </c>
      <c r="C114" s="30" t="inlineStr">
        <is>
          <t>metals &amp; mining</t>
        </is>
      </c>
      <c r="D114" s="30" t="inlineStr">
        <is>
          <t>steel - medium / small</t>
        </is>
      </c>
      <c r="E114" s="30" t="inlineStr">
        <is>
          <t>midcap</t>
        </is>
      </c>
      <c r="F114" s="30" t="n">
        <v>14993.31</v>
      </c>
      <c r="G114" s="30" t="n">
        <v>497.95</v>
      </c>
      <c r="H114" s="30" t="n">
        <v>1.21</v>
      </c>
      <c r="I114" s="30" t="n">
        <v>574928</v>
      </c>
      <c r="J114" s="30" t="inlineStr">
        <is>
          <t>517146</t>
        </is>
      </c>
    </row>
    <row r="115">
      <c r="A115" s="30" t="inlineStr">
        <is>
          <t>BLISSGVS</t>
        </is>
      </c>
      <c r="B115" s="30" t="inlineStr">
        <is>
          <t>Bliss Gvs Pharma Limited</t>
        </is>
      </c>
      <c r="C115" s="30" t="inlineStr">
        <is>
          <t>healthcare</t>
        </is>
      </c>
      <c r="D115" s="30" t="inlineStr">
        <is>
          <t>pharmaceuticals - indian - formulations</t>
        </is>
      </c>
      <c r="E115" s="30" t="inlineStr">
        <is>
          <t>smallcap</t>
        </is>
      </c>
      <c r="F115" s="30" t="n">
        <v>4596</v>
      </c>
      <c r="G115" s="30" t="n">
        <v>439.65</v>
      </c>
      <c r="H115" s="30" t="n">
        <v>1.2</v>
      </c>
      <c r="I115" s="30" t="n">
        <v>2648317</v>
      </c>
      <c r="J115" s="30" t="inlineStr">
        <is>
          <t>506197</t>
        </is>
      </c>
    </row>
    <row r="116">
      <c r="A116" s="30" t="inlineStr">
        <is>
          <t>RBLBANK</t>
        </is>
      </c>
      <c r="B116" s="30" t="inlineStr">
        <is>
          <t>Rbl Bank Limited</t>
        </is>
      </c>
      <c r="C116" s="30" t="inlineStr">
        <is>
          <t>bank</t>
        </is>
      </c>
      <c r="D116" s="30" t="inlineStr">
        <is>
          <t>banks - private sector</t>
        </is>
      </c>
      <c r="E116" s="30" t="inlineStr">
        <is>
          <t>largecap</t>
        </is>
      </c>
      <c r="F116" s="30" t="n">
        <v>21272.3</v>
      </c>
      <c r="G116" s="30" t="n">
        <v>348.2</v>
      </c>
      <c r="H116" s="30" t="n">
        <v>1.18</v>
      </c>
      <c r="I116" s="30" t="n">
        <v>4863148</v>
      </c>
      <c r="J116" s="30" t="inlineStr">
        <is>
          <t>540065</t>
        </is>
      </c>
    </row>
    <row r="117">
      <c r="A117" s="30" t="inlineStr">
        <is>
          <t>VINCOFE</t>
        </is>
      </c>
      <c r="B117" s="30" t="inlineStr">
        <is>
          <t>Vintage Coffee &amp; Beverages Ltd</t>
        </is>
      </c>
      <c r="C117" s="30" t="inlineStr">
        <is>
          <t>consumer discretionary</t>
        </is>
      </c>
      <c r="D117" s="30" t="inlineStr">
        <is>
          <t>trading</t>
        </is>
      </c>
      <c r="E117" s="30" t="inlineStr">
        <is>
          <t>smallcap</t>
        </is>
      </c>
      <c r="F117" s="30" t="n">
        <v>2143.22</v>
      </c>
      <c r="G117" s="30" t="n">
        <v>148.81</v>
      </c>
      <c r="H117" s="30" t="n">
        <v>1.16</v>
      </c>
      <c r="I117" s="30" t="n">
        <v>1168791</v>
      </c>
      <c r="J117" s="30" t="inlineStr">
        <is>
          <t>538920</t>
        </is>
      </c>
    </row>
    <row r="118">
      <c r="A118" s="30" t="inlineStr">
        <is>
          <t>BFINVEST</t>
        </is>
      </c>
      <c r="B118" s="30" t="inlineStr">
        <is>
          <t>Bf Investment Limited</t>
        </is>
      </c>
      <c r="C118" s="30" t="inlineStr">
        <is>
          <t>financials</t>
        </is>
      </c>
      <c r="D118" s="30" t="inlineStr">
        <is>
          <t>finance &amp; investments</t>
        </is>
      </c>
      <c r="E118" s="30" t="inlineStr">
        <is>
          <t>smallcap</t>
        </is>
      </c>
      <c r="F118" s="30" t="n">
        <v>1641.37</v>
      </c>
      <c r="G118" s="30" t="n">
        <v>440.8</v>
      </c>
      <c r="H118" s="30" t="n">
        <v>1.16</v>
      </c>
      <c r="I118" s="30" t="n">
        <v>32248</v>
      </c>
      <c r="J118" s="30" t="inlineStr">
        <is>
          <t>533303</t>
        </is>
      </c>
    </row>
    <row r="119">
      <c r="A119" s="30" t="inlineStr">
        <is>
          <t>CUPID</t>
        </is>
      </c>
      <c r="B119" s="30" t="inlineStr">
        <is>
          <t>Cupid Limited</t>
        </is>
      </c>
      <c r="C119" s="30" t="inlineStr">
        <is>
          <t>fmcg</t>
        </is>
      </c>
      <c r="D119" s="30" t="inlineStr">
        <is>
          <t>personal care - indian</t>
        </is>
      </c>
      <c r="E119" s="30" t="inlineStr">
        <is>
          <t>midcap</t>
        </is>
      </c>
      <c r="F119" s="30" t="n">
        <v>17258.72</v>
      </c>
      <c r="G119" s="30" t="n">
        <v>129.8</v>
      </c>
      <c r="H119" s="30" t="n">
        <v>1.13</v>
      </c>
      <c r="I119" s="30" t="n">
        <v>9280138</v>
      </c>
      <c r="J119" s="30" t="inlineStr">
        <is>
          <t>530843</t>
        </is>
      </c>
    </row>
    <row r="120">
      <c r="A120" s="30" t="inlineStr">
        <is>
          <t>GVPIL</t>
        </is>
      </c>
      <c r="B120" s="30" t="inlineStr">
        <is>
          <t>GE Power India Ltd</t>
        </is>
      </c>
      <c r="C120" s="30" t="inlineStr">
        <is>
          <t>realty</t>
        </is>
      </c>
      <c r="D120" s="30" t="inlineStr">
        <is>
          <t>engineering - turnkey services</t>
        </is>
      </c>
      <c r="E120" s="30" t="inlineStr">
        <is>
          <t>midcap</t>
        </is>
      </c>
      <c r="F120" s="30" t="n">
        <v>5774.5</v>
      </c>
      <c r="G120" s="30" t="n">
        <v>868.45</v>
      </c>
      <c r="H120" s="30" t="n">
        <v>1.11</v>
      </c>
      <c r="I120" s="30" t="n">
        <v>554623</v>
      </c>
      <c r="J120" s="30" t="inlineStr">
        <is>
          <t>532309</t>
        </is>
      </c>
    </row>
    <row r="121">
      <c r="A121" s="30" t="inlineStr">
        <is>
          <t>NAHARSPING</t>
        </is>
      </c>
      <c r="B121" s="30" t="inlineStr">
        <is>
          <t>Nahar Spinning Mills Limited</t>
        </is>
      </c>
      <c r="C121" s="30" t="inlineStr">
        <is>
          <t>textiles</t>
        </is>
      </c>
      <c r="D121" s="30" t="inlineStr">
        <is>
          <t>textiles - cotton/blended</t>
        </is>
      </c>
      <c r="E121" s="30" t="inlineStr">
        <is>
          <t>smallcap</t>
        </is>
      </c>
      <c r="F121" s="30" t="n">
        <v>991.8</v>
      </c>
      <c r="G121" s="30" t="n">
        <v>278</v>
      </c>
      <c r="H121" s="30" t="n">
        <v>1.09</v>
      </c>
      <c r="I121" s="30" t="n">
        <v>12994</v>
      </c>
      <c r="J121" s="30" t="inlineStr">
        <is>
          <t>500296</t>
        </is>
      </c>
    </row>
    <row r="122">
      <c r="A122" s="30" t="inlineStr">
        <is>
          <t>SHAILY</t>
        </is>
      </c>
      <c r="B122" s="30" t="inlineStr">
        <is>
          <t>Shaily Engineering Plastics Ltd</t>
        </is>
      </c>
      <c r="C122" s="30" t="inlineStr">
        <is>
          <t>plastic products</t>
        </is>
      </c>
      <c r="D122" s="30" t="inlineStr">
        <is>
          <t>plastics products</t>
        </is>
      </c>
      <c r="E122" s="30" t="inlineStr">
        <is>
          <t>midcap</t>
        </is>
      </c>
      <c r="F122" s="30" t="n">
        <v>13961.16</v>
      </c>
      <c r="G122" s="30" t="n">
        <v>3070.7</v>
      </c>
      <c r="H122" s="30" t="n">
        <v>1.08</v>
      </c>
      <c r="I122" s="30" t="n">
        <v>224422</v>
      </c>
      <c r="J122" s="30" t="inlineStr">
        <is>
          <t>501423</t>
        </is>
      </c>
    </row>
    <row r="123">
      <c r="A123" s="30" t="inlineStr">
        <is>
          <t>STYLAMIND</t>
        </is>
      </c>
      <c r="B123" s="30" t="inlineStr">
        <is>
          <t>Stylam Industries Ltd</t>
        </is>
      </c>
      <c r="C123" s="30" t="inlineStr">
        <is>
          <t>building materials</t>
        </is>
      </c>
      <c r="D123" s="30" t="inlineStr">
        <is>
          <t>miscellaneous</t>
        </is>
      </c>
      <c r="E123" s="30" t="inlineStr">
        <is>
          <t>midcap</t>
        </is>
      </c>
      <c r="F123" s="30" t="n">
        <v>5013.07</v>
      </c>
      <c r="G123" s="30" t="n">
        <v>2989.8</v>
      </c>
      <c r="H123" s="30" t="n">
        <v>1.08</v>
      </c>
      <c r="I123" s="30" t="n">
        <v>35488</v>
      </c>
      <c r="J123" s="30" t="inlineStr">
        <is>
          <t>526951</t>
        </is>
      </c>
    </row>
    <row r="124">
      <c r="A124" s="30" t="inlineStr">
        <is>
          <t>SOLARINDS</t>
        </is>
      </c>
      <c r="B124" s="30" t="inlineStr">
        <is>
          <t>Solar Industries India Limited</t>
        </is>
      </c>
      <c r="C124" s="30" t="inlineStr">
        <is>
          <t>aerospace &amp; defence</t>
        </is>
      </c>
      <c r="D124" s="30" t="inlineStr">
        <is>
          <t>chemicals</t>
        </is>
      </c>
      <c r="E124" s="30" t="inlineStr">
        <is>
          <t>largecap</t>
        </is>
      </c>
      <c r="F124" s="30" t="n">
        <v>166375.02</v>
      </c>
      <c r="G124" s="30" t="n">
        <v>18577</v>
      </c>
      <c r="H124" s="30" t="n">
        <v>1.04</v>
      </c>
      <c r="I124" s="30" t="n">
        <v>266212</v>
      </c>
      <c r="J124" s="30" t="inlineStr">
        <is>
          <t>532725</t>
        </is>
      </c>
    </row>
    <row r="125">
      <c r="A125" s="30" t="inlineStr">
        <is>
          <t>RSWM</t>
        </is>
      </c>
      <c r="B125" s="30" t="inlineStr">
        <is>
          <t>Rswm Limited</t>
        </is>
      </c>
      <c r="C125" s="30" t="inlineStr">
        <is>
          <t>textiles</t>
        </is>
      </c>
      <c r="D125" s="30" t="inlineStr">
        <is>
          <t>textiles - cotton/blended</t>
        </is>
      </c>
      <c r="E125" s="30" t="inlineStr">
        <is>
          <t>smallcap</t>
        </is>
      </c>
      <c r="F125" s="30" t="n">
        <v>807.61</v>
      </c>
      <c r="G125" s="30" t="n">
        <v>173.24</v>
      </c>
      <c r="H125" s="30" t="n">
        <v>1.04</v>
      </c>
      <c r="I125" s="30" t="n">
        <v>59035</v>
      </c>
      <c r="J125" s="30" t="inlineStr">
        <is>
          <t>500350</t>
        </is>
      </c>
    </row>
    <row r="126">
      <c r="A126" s="30" t="inlineStr">
        <is>
          <t>VTL</t>
        </is>
      </c>
      <c r="B126" s="30" t="inlineStr">
        <is>
          <t>Vardhman Textiles Limited</t>
        </is>
      </c>
      <c r="C126" s="30" t="inlineStr">
        <is>
          <t>textiles</t>
        </is>
      </c>
      <c r="D126" s="30" t="inlineStr">
        <is>
          <t>textiles - cotton/blended</t>
        </is>
      </c>
      <c r="E126" s="30" t="inlineStr">
        <is>
          <t>midcap</t>
        </is>
      </c>
      <c r="F126" s="30" t="n">
        <v>17757.56</v>
      </c>
      <c r="G126" s="30" t="n">
        <v>620.15</v>
      </c>
      <c r="H126" s="30" t="n">
        <v>1.03</v>
      </c>
      <c r="I126" s="30" t="n">
        <v>256100</v>
      </c>
      <c r="J126" s="30" t="inlineStr">
        <is>
          <t>502986</t>
        </is>
      </c>
    </row>
    <row r="127">
      <c r="A127" s="30" t="inlineStr">
        <is>
          <t>AJAXENGG</t>
        </is>
      </c>
      <c r="B127" s="30" t="inlineStr">
        <is>
          <t>Ajax Engineering Ltd</t>
        </is>
      </c>
      <c r="C127" s="30" t="inlineStr">
        <is>
          <t>industrials</t>
        </is>
      </c>
      <c r="D127" s="30" t="inlineStr">
        <is>
          <t>engineering</t>
        </is>
      </c>
      <c r="E127" s="30" t="inlineStr">
        <is>
          <t>midcap</t>
        </is>
      </c>
      <c r="F127" s="30" t="n">
        <v>6754.58</v>
      </c>
      <c r="G127" s="30" t="n">
        <v>596.5</v>
      </c>
      <c r="H127" s="30" t="n">
        <v>1.03</v>
      </c>
      <c r="I127" s="30" t="n">
        <v>117160</v>
      </c>
      <c r="J127" s="30" t="inlineStr">
        <is>
          <t>544356</t>
        </is>
      </c>
    </row>
    <row r="128">
      <c r="A128" s="30" t="inlineStr">
        <is>
          <t>PIDILITIND</t>
        </is>
      </c>
      <c r="B128" s="30" t="inlineStr">
        <is>
          <t>Pidilite Industries Limited</t>
        </is>
      </c>
      <c r="C128" s="30" t="inlineStr">
        <is>
          <t>chemicals</t>
        </is>
      </c>
      <c r="D128" s="30" t="inlineStr">
        <is>
          <t>chemicals</t>
        </is>
      </c>
      <c r="E128" s="30" t="inlineStr">
        <is>
          <t>largecap</t>
        </is>
      </c>
      <c r="F128" s="30" t="n">
        <v>148044.28</v>
      </c>
      <c r="G128" s="30" t="n">
        <v>1469.2</v>
      </c>
      <c r="H128" s="30" t="n">
        <v>1</v>
      </c>
      <c r="I128" s="30" t="n">
        <v>836338</v>
      </c>
      <c r="J128" s="30" t="inlineStr">
        <is>
          <t>500331</t>
        </is>
      </c>
    </row>
    <row r="129">
      <c r="A129" s="30" t="inlineStr">
        <is>
          <t>RAINBOW</t>
        </is>
      </c>
      <c r="B129" s="30" t="inlineStr">
        <is>
          <t>Rainbow Childrens Medicare Ltd</t>
        </is>
      </c>
      <c r="C129" s="30" t="inlineStr">
        <is>
          <t>healthcare</t>
        </is>
      </c>
      <c r="D129" s="30" t="inlineStr">
        <is>
          <t>healthcare</t>
        </is>
      </c>
      <c r="E129" s="30" t="inlineStr">
        <is>
          <t>midcap</t>
        </is>
      </c>
      <c r="F129" s="30" t="n">
        <v>13623.15</v>
      </c>
      <c r="G129" s="30" t="n">
        <v>1354.2</v>
      </c>
      <c r="H129" s="30" t="n">
        <v>0.95</v>
      </c>
      <c r="I129" s="30" t="n">
        <v>68546</v>
      </c>
      <c r="J129" s="30" t="inlineStr">
        <is>
          <t>543524</t>
        </is>
      </c>
    </row>
    <row r="130">
      <c r="A130" s="30" t="inlineStr">
        <is>
          <t>SANGAMIND</t>
        </is>
      </c>
      <c r="B130" s="30" t="inlineStr">
        <is>
          <t>Sangam (india) Limited</t>
        </is>
      </c>
      <c r="C130" s="30" t="inlineStr">
        <is>
          <t>textiles</t>
        </is>
      </c>
      <c r="D130" s="30" t="inlineStr">
        <is>
          <t>textiles - spinning - synthetic / blended</t>
        </is>
      </c>
      <c r="E130" s="30" t="inlineStr">
        <is>
          <t>smallcap</t>
        </is>
      </c>
      <c r="F130" s="30" t="n">
        <v>2649</v>
      </c>
      <c r="G130" s="30" t="n">
        <v>532.05</v>
      </c>
      <c r="H130" s="30" t="n">
        <v>0.92</v>
      </c>
      <c r="I130" s="30" t="n">
        <v>34349</v>
      </c>
      <c r="J130" s="30" t="inlineStr">
        <is>
          <t>514234</t>
        </is>
      </c>
    </row>
    <row r="131">
      <c r="A131" s="30" t="inlineStr">
        <is>
          <t>GANDHAR</t>
        </is>
      </c>
      <c r="B131" s="30" t="inlineStr">
        <is>
          <t>Gandhar Oil Refinery (India) Ltd</t>
        </is>
      </c>
      <c r="C131" s="30" t="inlineStr">
        <is>
          <t>energy</t>
        </is>
      </c>
      <c r="D131" s="30" t="inlineStr">
        <is>
          <t>refineries</t>
        </is>
      </c>
      <c r="E131" s="30" t="inlineStr">
        <is>
          <t>smallcap</t>
        </is>
      </c>
      <c r="F131" s="30" t="n">
        <v>1524.87</v>
      </c>
      <c r="G131" s="30" t="n">
        <v>157.18</v>
      </c>
      <c r="H131" s="30" t="n">
        <v>0.89</v>
      </c>
      <c r="I131" s="30" t="n">
        <v>400161</v>
      </c>
      <c r="J131" s="30" t="inlineStr">
        <is>
          <t>544029</t>
        </is>
      </c>
    </row>
    <row r="132">
      <c r="A132" s="30" t="inlineStr">
        <is>
          <t>APCOTEXIND</t>
        </is>
      </c>
      <c r="B132" s="30" t="inlineStr">
        <is>
          <t>Apcotex Industries Limited</t>
        </is>
      </c>
      <c r="C132" s="30" t="inlineStr">
        <is>
          <t>chemicals</t>
        </is>
      </c>
      <c r="D132" s="30" t="inlineStr">
        <is>
          <t>miscellaneous</t>
        </is>
      </c>
      <c r="E132" s="30" t="inlineStr">
        <is>
          <t>smallcap</t>
        </is>
      </c>
      <c r="F132" s="30" t="n">
        <v>2561.66</v>
      </c>
      <c r="G132" s="30" t="n">
        <v>498.45</v>
      </c>
      <c r="H132" s="30" t="n">
        <v>0.88</v>
      </c>
      <c r="I132" s="30" t="n">
        <v>114425</v>
      </c>
      <c r="J132" s="30" t="inlineStr">
        <is>
          <t>523694</t>
        </is>
      </c>
    </row>
    <row r="133">
      <c r="A133" s="30" t="inlineStr">
        <is>
          <t>LAURUSLABS</t>
        </is>
      </c>
      <c r="B133" s="30" t="inlineStr">
        <is>
          <t>Laurus Labs Limited</t>
        </is>
      </c>
      <c r="C133" s="30" t="inlineStr">
        <is>
          <t>healthcare</t>
        </is>
      </c>
      <c r="D133" s="30" t="inlineStr">
        <is>
          <t>pharmaceuticals - indian - bulk drugs &amp; formln</t>
        </is>
      </c>
      <c r="E133" s="30" t="inlineStr">
        <is>
          <t>largecap</t>
        </is>
      </c>
      <c r="F133" s="30" t="n">
        <v>74640.57000000001</v>
      </c>
      <c r="G133" s="30" t="n">
        <v>1394.3</v>
      </c>
      <c r="H133" s="30" t="n">
        <v>0.85</v>
      </c>
      <c r="I133" s="30" t="n">
        <v>1443846</v>
      </c>
      <c r="J133" s="30" t="inlineStr">
        <is>
          <t>540222</t>
        </is>
      </c>
    </row>
    <row r="134">
      <c r="A134" s="30" t="inlineStr">
        <is>
          <t>SAILIFE</t>
        </is>
      </c>
      <c r="B134" s="30" t="inlineStr">
        <is>
          <t>Sai Life Sciences Ltd</t>
        </is>
      </c>
      <c r="C134" s="30" t="inlineStr">
        <is>
          <t>healthcare</t>
        </is>
      </c>
      <c r="D134" s="30" t="inlineStr">
        <is>
          <t>pharmaceuticals - indian - bulk drugs &amp; formln</t>
        </is>
      </c>
      <c r="E134" s="30" t="inlineStr">
        <is>
          <t>largecap</t>
        </is>
      </c>
      <c r="F134" s="30" t="n">
        <v>23895.05</v>
      </c>
      <c r="G134" s="30" t="n">
        <v>1137.7</v>
      </c>
      <c r="H134" s="30" t="n">
        <v>0.83</v>
      </c>
      <c r="I134" s="30" t="n">
        <v>330755</v>
      </c>
      <c r="J134" s="30" t="inlineStr">
        <is>
          <t>544306</t>
        </is>
      </c>
    </row>
    <row r="135">
      <c r="A135" s="30" t="inlineStr">
        <is>
          <t>CONSOFINVT</t>
        </is>
      </c>
      <c r="B135" s="30" t="inlineStr">
        <is>
          <t>Consolidated Finvest &amp; Holdings Limited</t>
        </is>
      </c>
      <c r="C135" s="30" t="inlineStr">
        <is>
          <t>financials</t>
        </is>
      </c>
      <c r="D135" s="30" t="inlineStr">
        <is>
          <t>finance &amp; investments</t>
        </is>
      </c>
      <c r="E135" s="30" t="inlineStr">
        <is>
          <t>smallcap</t>
        </is>
      </c>
      <c r="F135" s="30" t="n">
        <v>778.97</v>
      </c>
      <c r="G135" s="30" t="n">
        <v>242.97</v>
      </c>
      <c r="H135" s="30" t="n">
        <v>0.83</v>
      </c>
      <c r="I135" s="30" t="n">
        <v>31468</v>
      </c>
      <c r="J135" s="30" t="inlineStr">
        <is>
          <t>500226</t>
        </is>
      </c>
    </row>
    <row r="136">
      <c r="A136" s="30" t="inlineStr">
        <is>
          <t>DHANBANK</t>
        </is>
      </c>
      <c r="B136" s="30" t="inlineStr">
        <is>
          <t>Dhanlaxmi Bank Limited</t>
        </is>
      </c>
      <c r="C136" s="30" t="inlineStr">
        <is>
          <t>bank</t>
        </is>
      </c>
      <c r="D136" s="30" t="inlineStr">
        <is>
          <t>banks - private sector</t>
        </is>
      </c>
      <c r="E136" s="30" t="inlineStr">
        <is>
          <t>smallcap</t>
        </is>
      </c>
      <c r="F136" s="30" t="n">
        <v>1330.92</v>
      </c>
      <c r="G136" s="30" t="n">
        <v>33.99</v>
      </c>
      <c r="H136" s="30" t="n">
        <v>0.8</v>
      </c>
      <c r="I136" s="30" t="n">
        <v>3220827</v>
      </c>
      <c r="J136" s="30" t="inlineStr">
        <is>
          <t>532180</t>
        </is>
      </c>
    </row>
    <row r="137">
      <c r="A137" s="30" t="inlineStr">
        <is>
          <t>HIRECT</t>
        </is>
      </c>
      <c r="B137" s="30" t="inlineStr">
        <is>
          <t>Hind Rectifiers Limited</t>
        </is>
      </c>
      <c r="C137" s="30" t="inlineStr">
        <is>
          <t>consumer discretionary</t>
        </is>
      </c>
      <c r="D137" s="30" t="inlineStr">
        <is>
          <t>electronics - components</t>
        </is>
      </c>
      <c r="E137" s="30" t="inlineStr">
        <is>
          <t>smallcap</t>
        </is>
      </c>
      <c r="F137" s="30" t="n">
        <v>3813.09</v>
      </c>
      <c r="G137" s="30" t="n">
        <v>1118.3</v>
      </c>
      <c r="H137" s="30" t="n">
        <v>0.79</v>
      </c>
      <c r="I137" s="30" t="n">
        <v>103107</v>
      </c>
      <c r="J137" s="30" t="inlineStr">
        <is>
          <t>504036</t>
        </is>
      </c>
    </row>
    <row r="138">
      <c r="A138" s="30" t="inlineStr">
        <is>
          <t>AMBIKCO</t>
        </is>
      </c>
      <c r="B138" s="30" t="inlineStr">
        <is>
          <t>Ambika Cotton Mills Limited</t>
        </is>
      </c>
      <c r="C138" s="30" t="inlineStr">
        <is>
          <t>textiles</t>
        </is>
      </c>
      <c r="D138" s="30" t="inlineStr">
        <is>
          <t>textiles - cotton/blended</t>
        </is>
      </c>
      <c r="E138" s="30" t="inlineStr">
        <is>
          <t>smallcap</t>
        </is>
      </c>
      <c r="F138" s="30" t="n">
        <v>971.88</v>
      </c>
      <c r="G138" s="30" t="n">
        <v>1711</v>
      </c>
      <c r="H138" s="30" t="n">
        <v>0.79</v>
      </c>
      <c r="I138" s="30" t="n">
        <v>11285</v>
      </c>
      <c r="J138" s="30" t="inlineStr">
        <is>
          <t>531978</t>
        </is>
      </c>
    </row>
    <row r="139">
      <c r="A139" s="30" t="inlineStr">
        <is>
          <t>NMDC</t>
        </is>
      </c>
      <c r="B139" s="30" t="inlineStr">
        <is>
          <t>Nmdc Limited</t>
        </is>
      </c>
      <c r="C139" s="30" t="inlineStr">
        <is>
          <t>metals &amp; mining</t>
        </is>
      </c>
      <c r="D139" s="30" t="inlineStr">
        <is>
          <t>mining / minerals / metals</t>
        </is>
      </c>
      <c r="E139" s="30" t="inlineStr">
        <is>
          <t>largecap</t>
        </is>
      </c>
      <c r="F139" s="30" t="n">
        <v>83794.81</v>
      </c>
      <c r="G139" s="30" t="n">
        <v>96.04000000000001</v>
      </c>
      <c r="H139" s="30" t="n">
        <v>0.77</v>
      </c>
      <c r="I139" s="30" t="n">
        <v>48441070</v>
      </c>
      <c r="J139" s="30" t="inlineStr">
        <is>
          <t>526371</t>
        </is>
      </c>
    </row>
    <row r="140">
      <c r="A140" s="30" t="inlineStr">
        <is>
          <t>BELRISE</t>
        </is>
      </c>
      <c r="B140" s="30" t="inlineStr">
        <is>
          <t>Belrise Industries Ltd</t>
        </is>
      </c>
      <c r="C140" s="30" t="inlineStr">
        <is>
          <t>auto</t>
        </is>
      </c>
      <c r="D140" s="30" t="inlineStr">
        <is>
          <t>auto ancillaries</t>
        </is>
      </c>
      <c r="E140" s="30" t="inlineStr">
        <is>
          <t>midcap</t>
        </is>
      </c>
      <c r="F140" s="30" t="n">
        <v>19389.58</v>
      </c>
      <c r="G140" s="30" t="n">
        <v>219.54</v>
      </c>
      <c r="H140" s="30" t="n">
        <v>0.76</v>
      </c>
      <c r="I140" s="30" t="n">
        <v>3571070</v>
      </c>
      <c r="J140" s="30" t="n"/>
    </row>
    <row r="141">
      <c r="A141" s="30" t="inlineStr">
        <is>
          <t>SALSTEEL</t>
        </is>
      </c>
      <c r="B141" s="30" t="inlineStr">
        <is>
          <t>SAL Steel</t>
        </is>
      </c>
      <c r="C141" s="30" t="inlineStr">
        <is>
          <t>metals &amp; mining</t>
        </is>
      </c>
      <c r="D141" s="30" t="inlineStr">
        <is>
          <t>steel - sponge iron</t>
        </is>
      </c>
      <c r="E141" s="30" t="inlineStr">
        <is>
          <t>smallcap</t>
        </is>
      </c>
      <c r="F141" s="30" t="n">
        <v>892.78</v>
      </c>
      <c r="G141" s="30" t="n">
        <v>62.13</v>
      </c>
      <c r="H141" s="30" t="n">
        <v>0.75</v>
      </c>
      <c r="I141" s="30" t="n">
        <v>118244</v>
      </c>
      <c r="J141" s="30" t="inlineStr">
        <is>
          <t>532604</t>
        </is>
      </c>
    </row>
    <row r="142">
      <c r="A142" s="30" t="inlineStr">
        <is>
          <t>DREDGECORP</t>
        </is>
      </c>
      <c r="B142" s="30" t="inlineStr">
        <is>
          <t>Dredging Corporation Of India Limited</t>
        </is>
      </c>
      <c r="C142" s="30" t="inlineStr">
        <is>
          <t>miscellaneous</t>
        </is>
      </c>
      <c r="D142" s="30" t="inlineStr">
        <is>
          <t>miscellaneous</t>
        </is>
      </c>
      <c r="E142" s="30" t="inlineStr">
        <is>
          <t>smallcap</t>
        </is>
      </c>
      <c r="F142" s="30" t="n">
        <v>3425.24</v>
      </c>
      <c r="G142" s="30" t="n">
        <v>1232.5</v>
      </c>
      <c r="H142" s="30" t="n">
        <v>0.75</v>
      </c>
      <c r="I142" s="30" t="n">
        <v>665429</v>
      </c>
      <c r="J142" s="30" t="inlineStr">
        <is>
          <t>523618</t>
        </is>
      </c>
    </row>
    <row r="143">
      <c r="A143" s="30" t="inlineStr">
        <is>
          <t>ABB</t>
        </is>
      </c>
      <c r="B143" s="30" t="inlineStr">
        <is>
          <t>Abb India Limited</t>
        </is>
      </c>
      <c r="C143" s="30" t="inlineStr">
        <is>
          <t>industrials</t>
        </is>
      </c>
      <c r="D143" s="30" t="inlineStr">
        <is>
          <t>electric equipment</t>
        </is>
      </c>
      <c r="E143" s="30" t="inlineStr">
        <is>
          <t>largecap</t>
        </is>
      </c>
      <c r="F143" s="30" t="n">
        <v>151429.72</v>
      </c>
      <c r="G143" s="30" t="n">
        <v>7196</v>
      </c>
      <c r="H143" s="30" t="n">
        <v>0.7</v>
      </c>
      <c r="I143" s="30" t="n">
        <v>309040</v>
      </c>
      <c r="J143" s="30" t="inlineStr">
        <is>
          <t>500002</t>
        </is>
      </c>
    </row>
    <row r="144">
      <c r="A144" s="30" t="inlineStr">
        <is>
          <t>THYROCARE</t>
        </is>
      </c>
      <c r="B144" s="30" t="inlineStr">
        <is>
          <t>Thyrocare Technologies Limited</t>
        </is>
      </c>
      <c r="C144" s="30" t="inlineStr">
        <is>
          <t>healthcare</t>
        </is>
      </c>
      <c r="D144" s="30" t="inlineStr">
        <is>
          <t>healthcare</t>
        </is>
      </c>
      <c r="E144" s="30" t="inlineStr">
        <is>
          <t>midcap</t>
        </is>
      </c>
      <c r="F144" s="30" t="n">
        <v>8302.860000000001</v>
      </c>
      <c r="G144" s="30" t="n">
        <v>525.2</v>
      </c>
      <c r="H144" s="30" t="n">
        <v>0.68</v>
      </c>
      <c r="I144" s="30" t="n">
        <v>312888</v>
      </c>
      <c r="J144" s="30" t="inlineStr">
        <is>
          <t>539871</t>
        </is>
      </c>
    </row>
    <row r="145">
      <c r="A145" s="30" t="inlineStr">
        <is>
          <t>SKYGOLD</t>
        </is>
      </c>
      <c r="B145" s="30" t="inlineStr">
        <is>
          <t>Sky Gold Ltd</t>
        </is>
      </c>
      <c r="C145" s="30" t="inlineStr">
        <is>
          <t>consumer discretionary</t>
        </is>
      </c>
      <c r="D145" s="30" t="inlineStr">
        <is>
          <t>diamond cutting / jewellery</t>
        </is>
      </c>
      <c r="E145" s="30" t="inlineStr">
        <is>
          <t>midcap</t>
        </is>
      </c>
      <c r="F145" s="30" t="n">
        <v>8668.290000000001</v>
      </c>
      <c r="G145" s="30" t="n">
        <v>563.25</v>
      </c>
      <c r="H145" s="30" t="n">
        <v>0.63</v>
      </c>
      <c r="I145" s="30" t="n">
        <v>1758735</v>
      </c>
      <c r="J145" s="30" t="inlineStr">
        <is>
          <t>541967</t>
        </is>
      </c>
    </row>
    <row r="146">
      <c r="A146" s="30" t="inlineStr">
        <is>
          <t>BANDHANBNK</t>
        </is>
      </c>
      <c r="B146" s="30" t="inlineStr">
        <is>
          <t>Bandhan Bank Ltd</t>
        </is>
      </c>
      <c r="C146" s="30" t="inlineStr">
        <is>
          <t>bank</t>
        </is>
      </c>
      <c r="D146" s="30" t="inlineStr">
        <is>
          <t>banks - private sector</t>
        </is>
      </c>
      <c r="E146" s="30" t="inlineStr">
        <is>
          <t>largecap</t>
        </is>
      </c>
      <c r="F146" s="30" t="n">
        <v>33239.19</v>
      </c>
      <c r="G146" s="30" t="n">
        <v>207.62</v>
      </c>
      <c r="H146" s="30" t="n">
        <v>0.63</v>
      </c>
      <c r="I146" s="30" t="n">
        <v>11101299</v>
      </c>
      <c r="J146" s="30" t="inlineStr">
        <is>
          <t>541153</t>
        </is>
      </c>
    </row>
    <row r="147">
      <c r="A147" s="30" t="inlineStr">
        <is>
          <t>BODALCHEM</t>
        </is>
      </c>
      <c r="B147" s="30" t="inlineStr">
        <is>
          <t>Bodal Chemicals Limited</t>
        </is>
      </c>
      <c r="C147" s="30" t="inlineStr">
        <is>
          <t>chemicals</t>
        </is>
      </c>
      <c r="D147" s="30" t="inlineStr">
        <is>
          <t>dyes and pigments</t>
        </is>
      </c>
      <c r="E147" s="30" t="inlineStr">
        <is>
          <t>smallcap</t>
        </is>
      </c>
      <c r="F147" s="30" t="n">
        <v>911.46</v>
      </c>
      <c r="G147" s="30" t="n">
        <v>72.81999999999999</v>
      </c>
      <c r="H147" s="30" t="n">
        <v>0.62</v>
      </c>
      <c r="I147" s="30" t="n">
        <v>106512</v>
      </c>
      <c r="J147" s="30" t="inlineStr">
        <is>
          <t>524370</t>
        </is>
      </c>
    </row>
    <row r="148">
      <c r="A148" s="30" t="inlineStr">
        <is>
          <t>JAGRAN</t>
        </is>
      </c>
      <c r="B148" s="30" t="inlineStr">
        <is>
          <t>Jagran Prakashan Limited</t>
        </is>
      </c>
      <c r="C148" s="30" t="inlineStr">
        <is>
          <t>media</t>
        </is>
      </c>
      <c r="D148" s="30" t="inlineStr">
        <is>
          <t>entertainment / electronic media software</t>
        </is>
      </c>
      <c r="E148" s="30" t="inlineStr">
        <is>
          <t>smallcap</t>
        </is>
      </c>
      <c r="F148" s="30" t="n">
        <v>1675.72</v>
      </c>
      <c r="G148" s="30" t="n">
        <v>77.44</v>
      </c>
      <c r="H148" s="30" t="n">
        <v>0.58</v>
      </c>
      <c r="I148" s="30" t="n">
        <v>2975250</v>
      </c>
      <c r="J148" s="30" t="inlineStr">
        <is>
          <t>532705</t>
        </is>
      </c>
    </row>
    <row r="149">
      <c r="A149" s="30" t="inlineStr">
        <is>
          <t>NATIONALUM</t>
        </is>
      </c>
      <c r="B149" s="30" t="inlineStr">
        <is>
          <t>National Aluminium Company Limited</t>
        </is>
      </c>
      <c r="C149" s="30" t="inlineStr">
        <is>
          <t>metals &amp; mining</t>
        </is>
      </c>
      <c r="D149" s="30" t="inlineStr">
        <is>
          <t>aluminium and aluminium products</t>
        </is>
      </c>
      <c r="E149" s="30" t="inlineStr">
        <is>
          <t>largecap</t>
        </is>
      </c>
      <c r="F149" s="30" t="n">
        <v>79783.28</v>
      </c>
      <c r="G149" s="30" t="n">
        <v>436.9</v>
      </c>
      <c r="H149" s="30" t="n">
        <v>0.58</v>
      </c>
      <c r="I149" s="30" t="n">
        <v>7827914</v>
      </c>
      <c r="J149" s="30" t="inlineStr">
        <is>
          <t>532234</t>
        </is>
      </c>
    </row>
    <row r="150">
      <c r="A150" s="30" t="inlineStr">
        <is>
          <t>INDNIPPON</t>
        </is>
      </c>
      <c r="B150" s="30" t="inlineStr">
        <is>
          <t>India Nippon Electricals Limited</t>
        </is>
      </c>
      <c r="C150" s="30" t="inlineStr">
        <is>
          <t>auto</t>
        </is>
      </c>
      <c r="D150" s="30" t="inlineStr">
        <is>
          <t>auto ancillaries</t>
        </is>
      </c>
      <c r="E150" s="30" t="inlineStr">
        <is>
          <t>smallcap</t>
        </is>
      </c>
      <c r="F150" s="30" t="n">
        <v>2026.2</v>
      </c>
      <c r="G150" s="30" t="n">
        <v>900.5</v>
      </c>
      <c r="H150" s="30" t="n">
        <v>0.54</v>
      </c>
      <c r="I150" s="30" t="n">
        <v>37732</v>
      </c>
      <c r="J150" s="30" t="inlineStr">
        <is>
          <t>532240</t>
        </is>
      </c>
    </row>
    <row r="151">
      <c r="A151" s="30" t="inlineStr">
        <is>
          <t>TFCILTD</t>
        </is>
      </c>
      <c r="B151" s="30" t="inlineStr">
        <is>
          <t>Tourism Finance Corporation Of India Limited</t>
        </is>
      </c>
      <c r="C151" s="30" t="inlineStr">
        <is>
          <t>financials</t>
        </is>
      </c>
      <c r="D151" s="30" t="inlineStr">
        <is>
          <t>finance - term-lending institutions</t>
        </is>
      </c>
      <c r="E151" s="30" t="inlineStr">
        <is>
          <t>smallcap</t>
        </is>
      </c>
      <c r="F151" s="30" t="n">
        <v>3495.48</v>
      </c>
      <c r="G151" s="30" t="n">
        <v>75.91</v>
      </c>
      <c r="H151" s="30" t="n">
        <v>0.54</v>
      </c>
      <c r="I151" s="30" t="n">
        <v>5855346</v>
      </c>
      <c r="J151" s="30" t="inlineStr">
        <is>
          <t>526650</t>
        </is>
      </c>
    </row>
    <row r="152">
      <c r="A152" s="30" t="inlineStr">
        <is>
          <t>DEEDEV</t>
        </is>
      </c>
      <c r="B152" s="30" t="inlineStr">
        <is>
          <t>DEE Development Engineers Ltd</t>
        </is>
      </c>
      <c r="C152" s="30" t="inlineStr">
        <is>
          <t>metals &amp; mining</t>
        </is>
      </c>
      <c r="D152" s="30" t="inlineStr">
        <is>
          <t>steel - medium / small</t>
        </is>
      </c>
      <c r="E152" s="30" t="inlineStr">
        <is>
          <t>smallcap</t>
        </is>
      </c>
      <c r="F152" s="30" t="n">
        <v>4531.21</v>
      </c>
      <c r="G152" s="30" t="n">
        <v>657.7</v>
      </c>
      <c r="H152" s="30" t="n">
        <v>0.54</v>
      </c>
      <c r="I152" s="30" t="n">
        <v>509727</v>
      </c>
      <c r="J152" s="30" t="n"/>
    </row>
    <row r="153">
      <c r="A153" s="30" t="inlineStr">
        <is>
          <t>SHRIPISTON</t>
        </is>
      </c>
      <c r="B153" s="30" t="inlineStr">
        <is>
          <t>Shriram Pistons &amp; Rings Limited</t>
        </is>
      </c>
      <c r="C153" s="30" t="inlineStr">
        <is>
          <t>auto</t>
        </is>
      </c>
      <c r="D153" s="30" t="inlineStr">
        <is>
          <t>auto ancillaries</t>
        </is>
      </c>
      <c r="E153" s="30" t="inlineStr">
        <is>
          <t>midcap</t>
        </is>
      </c>
      <c r="F153" s="30" t="n">
        <v>15206.44</v>
      </c>
      <c r="G153" s="30" t="n">
        <v>3469.9</v>
      </c>
      <c r="H153" s="30" t="n">
        <v>0.52</v>
      </c>
      <c r="I153" s="30" t="n">
        <v>34100</v>
      </c>
      <c r="J153" s="30" t="n"/>
    </row>
    <row r="154">
      <c r="A154" s="30" t="inlineStr">
        <is>
          <t>SANGHVIMOV</t>
        </is>
      </c>
      <c r="B154" s="30" t="inlineStr">
        <is>
          <t>Sanghvi Movers Limited</t>
        </is>
      </c>
      <c r="C154" s="30" t="inlineStr">
        <is>
          <t>miscellaneous</t>
        </is>
      </c>
      <c r="D154" s="30" t="inlineStr">
        <is>
          <t>miscellaneous</t>
        </is>
      </c>
      <c r="E154" s="30" t="inlineStr">
        <is>
          <t>smallcap</t>
        </is>
      </c>
      <c r="F154" s="30" t="n">
        <v>3094.66</v>
      </c>
      <c r="G154" s="30" t="n">
        <v>359.3</v>
      </c>
      <c r="H154" s="30" t="n">
        <v>0.52</v>
      </c>
      <c r="I154" s="30" t="n">
        <v>204256</v>
      </c>
      <c r="J154" s="30" t="inlineStr">
        <is>
          <t>530073</t>
        </is>
      </c>
    </row>
    <row r="155">
      <c r="A155" s="30" t="inlineStr">
        <is>
          <t>KOVAI</t>
        </is>
      </c>
      <c r="B155" s="30" t="inlineStr">
        <is>
          <t>Kovai Medical Center &amp; Hospital Ltd</t>
        </is>
      </c>
      <c r="C155" s="30" t="inlineStr">
        <is>
          <t>healthcare</t>
        </is>
      </c>
      <c r="D155" s="30" t="inlineStr">
        <is>
          <t>healthcare</t>
        </is>
      </c>
      <c r="E155" s="30" t="inlineStr">
        <is>
          <t>midcap</t>
        </is>
      </c>
      <c r="F155" s="30" t="n">
        <v>5845.36</v>
      </c>
      <c r="G155" s="30" t="n">
        <v>5369</v>
      </c>
      <c r="H155" s="30" t="n">
        <v>0.51</v>
      </c>
      <c r="I155" s="30" t="n">
        <v>1483</v>
      </c>
      <c r="J155" s="30" t="inlineStr">
        <is>
          <t>523323</t>
        </is>
      </c>
    </row>
    <row r="156">
      <c r="A156" s="30" t="inlineStr">
        <is>
          <t>MOTHERSON</t>
        </is>
      </c>
      <c r="B156" s="30" t="inlineStr">
        <is>
          <t>Samvardhana Motherson International Ltd</t>
        </is>
      </c>
      <c r="C156" s="30" t="inlineStr">
        <is>
          <t>auto</t>
        </is>
      </c>
      <c r="D156" s="30" t="inlineStr">
        <is>
          <t>auto ancillaries</t>
        </is>
      </c>
      <c r="E156" s="30" t="inlineStr">
        <is>
          <t>largecap</t>
        </is>
      </c>
      <c r="F156" s="30" t="n">
        <v>152923.32</v>
      </c>
      <c r="G156" s="30" t="n">
        <v>145.61</v>
      </c>
      <c r="H156" s="30" t="n">
        <v>0.5</v>
      </c>
      <c r="I156" s="30" t="n">
        <v>19595325</v>
      </c>
      <c r="J156" s="30" t="inlineStr">
        <is>
          <t>517334</t>
        </is>
      </c>
    </row>
    <row r="157">
      <c r="A157" s="30" t="inlineStr">
        <is>
          <t>NEULANDLAB</t>
        </is>
      </c>
      <c r="B157" s="30" t="inlineStr">
        <is>
          <t>Neuland Laboratories Limited</t>
        </is>
      </c>
      <c r="C157" s="30" t="inlineStr">
        <is>
          <t>healthcare</t>
        </is>
      </c>
      <c r="D157" s="30" t="inlineStr">
        <is>
          <t>pharmaceuticals - indian - bulk drugs</t>
        </is>
      </c>
      <c r="E157" s="30" t="inlineStr">
        <is>
          <t>largecap</t>
        </is>
      </c>
      <c r="F157" s="30" t="n">
        <v>21694.06</v>
      </c>
      <c r="G157" s="30" t="n">
        <v>16992</v>
      </c>
      <c r="H157" s="30" t="n">
        <v>0.49</v>
      </c>
      <c r="I157" s="30" t="n">
        <v>26919</v>
      </c>
      <c r="J157" s="30" t="inlineStr">
        <is>
          <t>524558</t>
        </is>
      </c>
    </row>
    <row r="158">
      <c r="A158" s="30" t="inlineStr">
        <is>
          <t>MARKSANS</t>
        </is>
      </c>
      <c r="B158" s="30" t="inlineStr">
        <is>
          <t>Marksans Pharma Limited</t>
        </is>
      </c>
      <c r="C158" s="30" t="inlineStr">
        <is>
          <t>healthcare</t>
        </is>
      </c>
      <c r="D158" s="30" t="inlineStr">
        <is>
          <t>pharmaceuticals - indian - formulations</t>
        </is>
      </c>
      <c r="E158" s="30" t="inlineStr">
        <is>
          <t>midcap</t>
        </is>
      </c>
      <c r="F158" s="30" t="n">
        <v>10929.86</v>
      </c>
      <c r="G158" s="30" t="n">
        <v>242.37</v>
      </c>
      <c r="H158" s="30" t="n">
        <v>0.49</v>
      </c>
      <c r="I158" s="30" t="n">
        <v>2709024</v>
      </c>
      <c r="J158" s="30" t="inlineStr">
        <is>
          <t>524404</t>
        </is>
      </c>
    </row>
    <row r="159">
      <c r="A159" s="30" t="inlineStr">
        <is>
          <t>ASAHIINDIA</t>
        </is>
      </c>
      <c r="B159" s="30" t="inlineStr">
        <is>
          <t>Asahi India Glass Limited</t>
        </is>
      </c>
      <c r="C159" s="30" t="inlineStr">
        <is>
          <t>building materials</t>
        </is>
      </c>
      <c r="D159" s="30" t="inlineStr">
        <is>
          <t>glass &amp; glass products</t>
        </is>
      </c>
      <c r="E159" s="30" t="inlineStr">
        <is>
          <t>largecap</t>
        </is>
      </c>
      <c r="F159" s="30" t="n">
        <v>22921.78</v>
      </c>
      <c r="G159" s="30" t="n">
        <v>903.5</v>
      </c>
      <c r="H159" s="30" t="n">
        <v>0.48</v>
      </c>
      <c r="I159" s="30" t="n">
        <v>126702</v>
      </c>
      <c r="J159" s="30" t="inlineStr">
        <is>
          <t>515030</t>
        </is>
      </c>
    </row>
    <row r="160">
      <c r="A160" s="30" t="inlineStr">
        <is>
          <t>MSPL</t>
        </is>
      </c>
      <c r="B160" s="30" t="inlineStr">
        <is>
          <t>Msp Steel &amp; Power Limited</t>
        </is>
      </c>
      <c r="C160" s="30" t="inlineStr">
        <is>
          <t>metals &amp; mining</t>
        </is>
      </c>
      <c r="D160" s="30" t="inlineStr">
        <is>
          <t>steel - medium / small</t>
        </is>
      </c>
      <c r="E160" s="30" t="inlineStr">
        <is>
          <t>smallcap</t>
        </is>
      </c>
      <c r="F160" s="30" t="n">
        <v>2322.17</v>
      </c>
      <c r="G160" s="30" t="n">
        <v>41.15</v>
      </c>
      <c r="H160" s="30" t="n">
        <v>0.44</v>
      </c>
      <c r="I160" s="30" t="n">
        <v>2625980</v>
      </c>
      <c r="J160" s="30" t="inlineStr">
        <is>
          <t>532650</t>
        </is>
      </c>
    </row>
    <row r="161">
      <c r="A161" s="30" t="inlineStr">
        <is>
          <t>YESBANK</t>
        </is>
      </c>
      <c r="B161" s="30" t="inlineStr">
        <is>
          <t>Yes Bank Limited</t>
        </is>
      </c>
      <c r="C161" s="30" t="inlineStr">
        <is>
          <t>bank</t>
        </is>
      </c>
      <c r="D161" s="30" t="inlineStr">
        <is>
          <t>banks - private sector</t>
        </is>
      </c>
      <c r="E161" s="30" t="inlineStr">
        <is>
          <t>largecap</t>
        </is>
      </c>
      <c r="F161" s="30" t="n">
        <v>71636.99000000001</v>
      </c>
      <c r="G161" s="30" t="n">
        <v>22.93</v>
      </c>
      <c r="H161" s="30" t="n">
        <v>0.44</v>
      </c>
      <c r="I161" s="30" t="n">
        <v>111470651</v>
      </c>
      <c r="J161" s="30" t="inlineStr">
        <is>
          <t>532648</t>
        </is>
      </c>
    </row>
    <row r="162">
      <c r="A162" s="30" t="inlineStr">
        <is>
          <t>SURYODAY</t>
        </is>
      </c>
      <c r="B162" s="30" t="inlineStr">
        <is>
          <t>Suryoday Small Finance Bank Ltd</t>
        </is>
      </c>
      <c r="C162" s="30" t="inlineStr">
        <is>
          <t>bank</t>
        </is>
      </c>
      <c r="D162" s="30" t="inlineStr">
        <is>
          <t>banks - private sector</t>
        </is>
      </c>
      <c r="E162" s="30" t="inlineStr">
        <is>
          <t>smallcap</t>
        </is>
      </c>
      <c r="F162" s="30" t="n">
        <v>1795.45</v>
      </c>
      <c r="G162" s="30" t="n">
        <v>169.67</v>
      </c>
      <c r="H162" s="30" t="n">
        <v>0.44</v>
      </c>
      <c r="I162" s="30" t="n">
        <v>436485</v>
      </c>
      <c r="J162" s="30" t="inlineStr">
        <is>
          <t>543279</t>
        </is>
      </c>
    </row>
    <row r="163">
      <c r="A163" s="30" t="inlineStr">
        <is>
          <t>GRINDWELL</t>
        </is>
      </c>
      <c r="B163" s="30" t="inlineStr">
        <is>
          <t>Grindwell Norton Limited</t>
        </is>
      </c>
      <c r="C163" s="30" t="inlineStr">
        <is>
          <t>industrials</t>
        </is>
      </c>
      <c r="D163" s="30" t="inlineStr">
        <is>
          <t>abrasives and grinding wheels</t>
        </is>
      </c>
      <c r="E163" s="30" t="inlineStr">
        <is>
          <t>largecap</t>
        </is>
      </c>
      <c r="F163" s="30" t="n">
        <v>20582.85</v>
      </c>
      <c r="G163" s="30" t="n">
        <v>1867</v>
      </c>
      <c r="H163" s="30" t="n">
        <v>0.43</v>
      </c>
      <c r="I163" s="30" t="n">
        <v>92642</v>
      </c>
      <c r="J163" s="30" t="inlineStr">
        <is>
          <t>506076</t>
        </is>
      </c>
    </row>
    <row r="164">
      <c r="A164" s="30" t="inlineStr">
        <is>
          <t>POLYCAB</t>
        </is>
      </c>
      <c r="B164" s="30" t="inlineStr">
        <is>
          <t>Polycab India Ltd</t>
        </is>
      </c>
      <c r="C164" s="30" t="inlineStr">
        <is>
          <t>industrials</t>
        </is>
      </c>
      <c r="D164" s="30" t="inlineStr">
        <is>
          <t>cables - power</t>
        </is>
      </c>
      <c r="E164" s="30" t="inlineStr">
        <is>
          <t>largecap</t>
        </is>
      </c>
      <c r="F164" s="30" t="n">
        <v>143497.22</v>
      </c>
      <c r="G164" s="30" t="n">
        <v>9571.5</v>
      </c>
      <c r="H164" s="30" t="n">
        <v>0.42</v>
      </c>
      <c r="I164" s="30" t="n">
        <v>162922</v>
      </c>
      <c r="J164" s="30" t="inlineStr">
        <is>
          <t>542652</t>
        </is>
      </c>
    </row>
    <row r="165">
      <c r="A165" s="30" t="inlineStr">
        <is>
          <t>PREMEXPLN</t>
        </is>
      </c>
      <c r="B165" s="30" t="inlineStr">
        <is>
          <t>Premier Explosives Limited</t>
        </is>
      </c>
      <c r="C165" s="30" t="inlineStr">
        <is>
          <t>aerospace &amp; defence</t>
        </is>
      </c>
      <c r="D165" s="30" t="inlineStr">
        <is>
          <t>chemicals</t>
        </is>
      </c>
      <c r="E165" s="30" t="inlineStr">
        <is>
          <t>smallcap</t>
        </is>
      </c>
      <c r="F165" s="30" t="n">
        <v>3504.42</v>
      </c>
      <c r="G165" s="30" t="n">
        <v>654.55</v>
      </c>
      <c r="H165" s="30" t="n">
        <v>0.41</v>
      </c>
      <c r="I165" s="30" t="n">
        <v>463987</v>
      </c>
      <c r="J165" s="30" t="inlineStr">
        <is>
          <t>526247</t>
        </is>
      </c>
    </row>
    <row r="166">
      <c r="A166" s="30" t="inlineStr">
        <is>
          <t>WABAG</t>
        </is>
      </c>
      <c r="B166" s="30" t="inlineStr">
        <is>
          <t>Va Tech Wabag Limited</t>
        </is>
      </c>
      <c r="C166" s="30" t="inlineStr">
        <is>
          <t>realty</t>
        </is>
      </c>
      <c r="D166" s="30" t="inlineStr">
        <is>
          <t>engineering - turnkey services</t>
        </is>
      </c>
      <c r="E166" s="30" t="inlineStr">
        <is>
          <t>midcap</t>
        </is>
      </c>
      <c r="F166" s="30" t="n">
        <v>9669.200000000001</v>
      </c>
      <c r="G166" s="30" t="n">
        <v>1557.9</v>
      </c>
      <c r="H166" s="30" t="n">
        <v>0.39</v>
      </c>
      <c r="I166" s="30" t="n">
        <v>230885</v>
      </c>
      <c r="J166" s="30" t="inlineStr">
        <is>
          <t>533269</t>
        </is>
      </c>
    </row>
    <row r="167">
      <c r="A167" s="30" t="inlineStr">
        <is>
          <t>BLSE</t>
        </is>
      </c>
      <c r="B167" s="30" t="inlineStr">
        <is>
          <t>BLS E-Services Ltd</t>
        </is>
      </c>
      <c r="C167" s="30" t="inlineStr">
        <is>
          <t>i.t</t>
        </is>
      </c>
      <c r="D167" s="30" t="inlineStr">
        <is>
          <t>computers - software - medium / small</t>
        </is>
      </c>
      <c r="E167" s="30" t="inlineStr">
        <is>
          <t>smallcap</t>
        </is>
      </c>
      <c r="F167" s="30" t="n">
        <v>2037.09</v>
      </c>
      <c r="G167" s="30" t="n">
        <v>225.02</v>
      </c>
      <c r="H167" s="30" t="n">
        <v>0.36</v>
      </c>
      <c r="I167" s="30" t="n">
        <v>293697</v>
      </c>
      <c r="J167" s="30" t="inlineStr">
        <is>
          <t>544107</t>
        </is>
      </c>
    </row>
    <row r="168">
      <c r="A168" s="30" t="inlineStr">
        <is>
          <t>LMW</t>
        </is>
      </c>
      <c r="B168" s="30" t="inlineStr">
        <is>
          <t>LMW Ltd</t>
        </is>
      </c>
      <c r="C168" s="30" t="inlineStr">
        <is>
          <t>industrials</t>
        </is>
      </c>
      <c r="D168" s="30" t="inlineStr">
        <is>
          <t>textile machinery</t>
        </is>
      </c>
      <c r="E168" s="30" t="inlineStr">
        <is>
          <t>midcap</t>
        </is>
      </c>
      <c r="F168" s="30" t="n">
        <v>16925.08</v>
      </c>
      <c r="G168" s="30" t="n">
        <v>15899</v>
      </c>
      <c r="H168" s="30" t="n">
        <v>0.35</v>
      </c>
      <c r="I168" s="30" t="n">
        <v>1912</v>
      </c>
      <c r="J168" s="30" t="inlineStr">
        <is>
          <t>500252</t>
        </is>
      </c>
    </row>
    <row r="169">
      <c r="A169" s="30" t="inlineStr">
        <is>
          <t>TVSSRICHAK</t>
        </is>
      </c>
      <c r="B169" s="30" t="inlineStr">
        <is>
          <t>Tvs Srichakra Limited</t>
        </is>
      </c>
      <c r="C169" s="30" t="inlineStr">
        <is>
          <t>auto</t>
        </is>
      </c>
      <c r="D169" s="30" t="inlineStr">
        <is>
          <t>tyres</t>
        </is>
      </c>
      <c r="E169" s="30" t="inlineStr">
        <is>
          <t>smallcap</t>
        </is>
      </c>
      <c r="F169" s="30" t="n">
        <v>3028.52</v>
      </c>
      <c r="G169" s="30" t="n">
        <v>3968.9</v>
      </c>
      <c r="H169" s="30" t="n">
        <v>0.35</v>
      </c>
      <c r="I169" s="30" t="n">
        <v>3439</v>
      </c>
      <c r="J169" s="30" t="inlineStr">
        <is>
          <t>509243</t>
        </is>
      </c>
    </row>
    <row r="170">
      <c r="A170" s="30" t="inlineStr">
        <is>
          <t>GEECEE</t>
        </is>
      </c>
      <c r="B170" s="30" t="inlineStr">
        <is>
          <t>Geecee Ventures Limited</t>
        </is>
      </c>
      <c r="C170" s="30" t="inlineStr">
        <is>
          <t>realty</t>
        </is>
      </c>
      <c r="D170" s="30" t="inlineStr">
        <is>
          <t>construction</t>
        </is>
      </c>
      <c r="E170" s="30" t="inlineStr">
        <is>
          <t>smallcap</t>
        </is>
      </c>
      <c r="F170" s="30" t="n">
        <v>678.48</v>
      </c>
      <c r="G170" s="30" t="n">
        <v>325.45</v>
      </c>
      <c r="H170" s="30" t="n">
        <v>0.31</v>
      </c>
      <c r="I170" s="30" t="n">
        <v>2400</v>
      </c>
      <c r="J170" s="30" t="inlineStr">
        <is>
          <t>532764</t>
        </is>
      </c>
    </row>
    <row r="171">
      <c r="A171" s="30" t="inlineStr">
        <is>
          <t>INDGN</t>
        </is>
      </c>
      <c r="B171" s="30" t="inlineStr">
        <is>
          <t>Indegene Ltd</t>
        </is>
      </c>
      <c r="C171" s="30" t="inlineStr">
        <is>
          <t>healthcare</t>
        </is>
      </c>
      <c r="D171" s="30" t="inlineStr">
        <is>
          <t>miscellaneous</t>
        </is>
      </c>
      <c r="E171" s="30" t="inlineStr">
        <is>
          <t>midcap</t>
        </is>
      </c>
      <c r="F171" s="30" t="n">
        <v>12459.24</v>
      </c>
      <c r="G171" s="30" t="n">
        <v>519.95</v>
      </c>
      <c r="H171" s="30" t="n">
        <v>0.29</v>
      </c>
      <c r="I171" s="30" t="n">
        <v>202647</v>
      </c>
      <c r="J171" s="30" t="inlineStr">
        <is>
          <t>544172</t>
        </is>
      </c>
    </row>
    <row r="172">
      <c r="A172" s="30" t="inlineStr">
        <is>
          <t>AVALON</t>
        </is>
      </c>
      <c r="B172" s="30" t="inlineStr">
        <is>
          <t>Avalon Technologies Ltd</t>
        </is>
      </c>
      <c r="C172" s="30" t="inlineStr">
        <is>
          <t>consumer discretionary</t>
        </is>
      </c>
      <c r="D172" s="30" t="inlineStr">
        <is>
          <t>electronics - components</t>
        </is>
      </c>
      <c r="E172" s="30" t="inlineStr">
        <is>
          <t>midcap</t>
        </is>
      </c>
      <c r="F172" s="30" t="n">
        <v>10094.38</v>
      </c>
      <c r="G172" s="30" t="n">
        <v>1515.8</v>
      </c>
      <c r="H172" s="30" t="n">
        <v>0.26</v>
      </c>
      <c r="I172" s="30" t="n">
        <v>223256</v>
      </c>
      <c r="J172" s="30" t="inlineStr">
        <is>
          <t>543896</t>
        </is>
      </c>
    </row>
    <row r="173">
      <c r="A173" s="30" t="inlineStr">
        <is>
          <t>NRBBEARING</t>
        </is>
      </c>
      <c r="B173" s="30" t="inlineStr">
        <is>
          <t>Nrb Bearing Limited</t>
        </is>
      </c>
      <c r="C173" s="30" t="inlineStr">
        <is>
          <t>industrials</t>
        </is>
      </c>
      <c r="D173" s="30" t="inlineStr">
        <is>
          <t>bearings</t>
        </is>
      </c>
      <c r="E173" s="30" t="inlineStr">
        <is>
          <t>smallcap</t>
        </is>
      </c>
      <c r="F173" s="30" t="n">
        <v>3454.81</v>
      </c>
      <c r="G173" s="30" t="n">
        <v>357.35</v>
      </c>
      <c r="H173" s="30" t="n">
        <v>0.25</v>
      </c>
      <c r="I173" s="30" t="n">
        <v>267676</v>
      </c>
      <c r="J173" s="30" t="inlineStr">
        <is>
          <t>530367</t>
        </is>
      </c>
    </row>
    <row r="174">
      <c r="A174" s="30" t="inlineStr">
        <is>
          <t>ARVINDFASN</t>
        </is>
      </c>
      <c r="B174" s="30" t="inlineStr">
        <is>
          <t>Arvind Fashions Ltd</t>
        </is>
      </c>
      <c r="C174" s="30" t="inlineStr">
        <is>
          <t>consumer discretionary</t>
        </is>
      </c>
      <c r="D174" s="30" t="inlineStr">
        <is>
          <t>trading</t>
        </is>
      </c>
      <c r="E174" s="30" t="inlineStr">
        <is>
          <t>midcap</t>
        </is>
      </c>
      <c r="F174" s="30" t="n">
        <v>6362.65</v>
      </c>
      <c r="G174" s="30" t="n">
        <v>477.2</v>
      </c>
      <c r="H174" s="30" t="n">
        <v>0.24</v>
      </c>
      <c r="I174" s="30" t="n">
        <v>221983</v>
      </c>
      <c r="J174" s="30" t="inlineStr">
        <is>
          <t>542484</t>
        </is>
      </c>
    </row>
    <row r="175">
      <c r="A175" s="30" t="inlineStr">
        <is>
          <t>POWERINDIA</t>
        </is>
      </c>
      <c r="B175" s="30" t="inlineStr">
        <is>
          <t>Hitachi Energy India Ltd</t>
        </is>
      </c>
      <c r="C175" s="30" t="inlineStr">
        <is>
          <t>industrials</t>
        </is>
      </c>
      <c r="D175" s="30" t="inlineStr">
        <is>
          <t>electric equipment</t>
        </is>
      </c>
      <c r="E175" s="30" t="inlineStr">
        <is>
          <t>largecap</t>
        </is>
      </c>
      <c r="F175" s="30" t="n">
        <v>156471.28</v>
      </c>
      <c r="G175" s="30" t="n">
        <v>35190</v>
      </c>
      <c r="H175" s="30" t="n">
        <v>0.24</v>
      </c>
      <c r="I175" s="30" t="n">
        <v>235330</v>
      </c>
      <c r="J175" s="30" t="inlineStr">
        <is>
          <t>543187</t>
        </is>
      </c>
    </row>
    <row r="176">
      <c r="A176" s="30" t="inlineStr">
        <is>
          <t>HEALTHX</t>
        </is>
      </c>
      <c r="B176" s="30" t="inlineStr">
        <is>
          <t>Health X Platform Ltd</t>
        </is>
      </c>
      <c r="C176" s="30" t="inlineStr">
        <is>
          <t>financials</t>
        </is>
      </c>
      <c r="D176" s="30" t="inlineStr">
        <is>
          <t>finance &amp; investments</t>
        </is>
      </c>
      <c r="E176" s="30" t="inlineStr">
        <is>
          <t>smallcap</t>
        </is>
      </c>
      <c r="F176" s="30" t="n">
        <v>958.9299999999999</v>
      </c>
      <c r="G176" s="30" t="n">
        <v>302.1</v>
      </c>
      <c r="H176" s="30" t="n">
        <v>0.22</v>
      </c>
      <c r="I176" s="30" t="n">
        <v>151790</v>
      </c>
      <c r="J176" s="30" t="inlineStr">
        <is>
          <t>533259</t>
        </is>
      </c>
    </row>
    <row r="177">
      <c r="A177" s="30" t="inlineStr">
        <is>
          <t>NINSYS</t>
        </is>
      </c>
      <c r="B177" s="30" t="inlineStr">
        <is>
          <t>NINtec Systems Ltd</t>
        </is>
      </c>
      <c r="C177" s="30" t="inlineStr">
        <is>
          <t>i.t</t>
        </is>
      </c>
      <c r="D177" s="30" t="inlineStr">
        <is>
          <t>computers - software - medium / small</t>
        </is>
      </c>
      <c r="E177" s="30" t="inlineStr">
        <is>
          <t>smallcap</t>
        </is>
      </c>
      <c r="F177" s="30" t="n">
        <v>1339.98</v>
      </c>
      <c r="G177" s="30" t="n">
        <v>722.9</v>
      </c>
      <c r="H177" s="30" t="n">
        <v>0.21</v>
      </c>
      <c r="I177" s="30" t="n">
        <v>3755</v>
      </c>
      <c r="J177" s="30" t="inlineStr">
        <is>
          <t>539843</t>
        </is>
      </c>
    </row>
    <row r="178">
      <c r="A178" s="30" t="inlineStr">
        <is>
          <t>WELENT</t>
        </is>
      </c>
      <c r="B178" s="30" t="inlineStr">
        <is>
          <t>Welspun Enterprises Limited</t>
        </is>
      </c>
      <c r="C178" s="30" t="inlineStr">
        <is>
          <t>realty</t>
        </is>
      </c>
      <c r="D178" s="30" t="inlineStr">
        <is>
          <t>construction</t>
        </is>
      </c>
      <c r="E178" s="30" t="inlineStr">
        <is>
          <t>midcap</t>
        </is>
      </c>
      <c r="F178" s="30" t="n">
        <v>7162.91</v>
      </c>
      <c r="G178" s="30" t="n">
        <v>518.6</v>
      </c>
      <c r="H178" s="30" t="n">
        <v>0.21</v>
      </c>
      <c r="I178" s="30" t="n">
        <v>174319</v>
      </c>
      <c r="J178" s="30" t="inlineStr">
        <is>
          <t>532553</t>
        </is>
      </c>
    </row>
    <row r="179">
      <c r="A179" s="30" t="inlineStr">
        <is>
          <t>SILVERTUC</t>
        </is>
      </c>
      <c r="B179" s="30" t="inlineStr">
        <is>
          <t>Silver Touch Technologies Ltd</t>
        </is>
      </c>
      <c r="C179" s="30" t="inlineStr">
        <is>
          <t>i.t</t>
        </is>
      </c>
      <c r="D179" s="30" t="inlineStr">
        <is>
          <t>computers - software - medium / small</t>
        </is>
      </c>
      <c r="E179" s="30" t="inlineStr">
        <is>
          <t>smallcap</t>
        </is>
      </c>
      <c r="F179" s="30" t="n">
        <v>2217.02</v>
      </c>
      <c r="G179" s="30" t="n">
        <v>175.13</v>
      </c>
      <c r="H179" s="30" t="n">
        <v>0.17</v>
      </c>
      <c r="I179" s="30" t="n">
        <v>527804</v>
      </c>
      <c r="J179" s="30" t="inlineStr">
        <is>
          <t>535031</t>
        </is>
      </c>
    </row>
    <row r="180">
      <c r="A180" s="30" t="inlineStr">
        <is>
          <t>VADILALIND</t>
        </is>
      </c>
      <c r="B180" s="30" t="inlineStr">
        <is>
          <t>Vadilal Industries Limited</t>
        </is>
      </c>
      <c r="C180" s="30" t="inlineStr">
        <is>
          <t>fmcg</t>
        </is>
      </c>
      <c r="D180" s="30" t="inlineStr">
        <is>
          <t>food - processing - indian</t>
        </is>
      </c>
      <c r="E180" s="30" t="inlineStr">
        <is>
          <t>smallcap</t>
        </is>
      </c>
      <c r="F180" s="30" t="n">
        <v>3870.57</v>
      </c>
      <c r="G180" s="30" t="n">
        <v>5393.9</v>
      </c>
      <c r="H180" s="30" t="n">
        <v>0.17</v>
      </c>
      <c r="I180" s="30" t="n">
        <v>35478</v>
      </c>
      <c r="J180" s="30" t="inlineStr">
        <is>
          <t>519156</t>
        </is>
      </c>
    </row>
    <row r="181">
      <c r="A181" s="30" t="inlineStr">
        <is>
          <t>JSWSTEEL</t>
        </is>
      </c>
      <c r="B181" s="30" t="inlineStr">
        <is>
          <t>Jsw Steel Limited</t>
        </is>
      </c>
      <c r="C181" s="30" t="inlineStr">
        <is>
          <t>metals &amp; mining</t>
        </is>
      </c>
      <c r="D181" s="30" t="inlineStr">
        <is>
          <t>steel - large</t>
        </is>
      </c>
      <c r="E181" s="30" t="inlineStr">
        <is>
          <t>largecap</t>
        </is>
      </c>
      <c r="F181" s="30" t="n">
        <v>320550.11</v>
      </c>
      <c r="G181" s="30" t="n">
        <v>1312.9</v>
      </c>
      <c r="H181" s="30" t="n">
        <v>0.16</v>
      </c>
      <c r="I181" s="30" t="n">
        <v>814920</v>
      </c>
      <c r="J181" s="30" t="inlineStr">
        <is>
          <t>500228</t>
        </is>
      </c>
    </row>
    <row r="182">
      <c r="A182" s="30" t="inlineStr">
        <is>
          <t>IIFLCAPS</t>
        </is>
      </c>
      <c r="B182" s="30" t="inlineStr">
        <is>
          <t>IIFL Capital Services Ltd</t>
        </is>
      </c>
      <c r="C182" s="30" t="inlineStr">
        <is>
          <t>financials</t>
        </is>
      </c>
      <c r="D182" s="30" t="inlineStr">
        <is>
          <t>finance &amp; investments</t>
        </is>
      </c>
      <c r="E182" s="30" t="inlineStr">
        <is>
          <t>midcap</t>
        </is>
      </c>
      <c r="F182" s="30" t="n">
        <v>10531.16</v>
      </c>
      <c r="G182" s="30" t="n">
        <v>338.6</v>
      </c>
      <c r="H182" s="30" t="n">
        <v>0.13</v>
      </c>
      <c r="I182" s="30" t="n">
        <v>155412</v>
      </c>
      <c r="J182" s="30" t="inlineStr">
        <is>
          <t>542773</t>
        </is>
      </c>
    </row>
    <row r="183">
      <c r="A183" s="30" t="inlineStr">
        <is>
          <t>GRASIM</t>
        </is>
      </c>
      <c r="B183" s="30" t="inlineStr">
        <is>
          <t>Grasim Industries Limited</t>
        </is>
      </c>
      <c r="C183" s="30" t="inlineStr">
        <is>
          <t>textiles</t>
        </is>
      </c>
      <c r="D183" s="30" t="inlineStr">
        <is>
          <t>textiles - manmade</t>
        </is>
      </c>
      <c r="E183" s="30" t="inlineStr">
        <is>
          <t>largecap</t>
        </is>
      </c>
      <c r="F183" s="30" t="n">
        <v>210816.64</v>
      </c>
      <c r="G183" s="30" t="n">
        <v>3101.6</v>
      </c>
      <c r="H183" s="30" t="n">
        <v>0.13</v>
      </c>
      <c r="I183" s="30" t="n">
        <v>460368</v>
      </c>
      <c r="J183" s="30" t="inlineStr">
        <is>
          <t>500300</t>
        </is>
      </c>
    </row>
    <row r="184">
      <c r="A184" s="30" t="inlineStr">
        <is>
          <t>NITINSPIN</t>
        </is>
      </c>
      <c r="B184" s="30" t="inlineStr">
        <is>
          <t>Nitin Spinners Limited</t>
        </is>
      </c>
      <c r="C184" s="30" t="inlineStr">
        <is>
          <t>textiles</t>
        </is>
      </c>
      <c r="D184" s="30" t="inlineStr">
        <is>
          <t>textiles - cotton/blended</t>
        </is>
      </c>
      <c r="E184" s="30" t="inlineStr">
        <is>
          <t>smallcap</t>
        </is>
      </c>
      <c r="F184" s="30" t="n">
        <v>2852.04</v>
      </c>
      <c r="G184" s="30" t="n">
        <v>507.8</v>
      </c>
      <c r="H184" s="30" t="n">
        <v>0.1</v>
      </c>
      <c r="I184" s="30" t="n">
        <v>87914</v>
      </c>
      <c r="J184" s="30" t="inlineStr">
        <is>
          <t>532698</t>
        </is>
      </c>
    </row>
    <row r="185">
      <c r="A185" s="30" t="inlineStr">
        <is>
          <t>TMB</t>
        </is>
      </c>
      <c r="B185" s="30" t="inlineStr">
        <is>
          <t>Tamilnad Mercantile Bank Ltd</t>
        </is>
      </c>
      <c r="C185" s="30" t="inlineStr">
        <is>
          <t>bank</t>
        </is>
      </c>
      <c r="D185" s="30" t="inlineStr">
        <is>
          <t>banks - private sector</t>
        </is>
      </c>
      <c r="E185" s="30" t="inlineStr">
        <is>
          <t>midcap</t>
        </is>
      </c>
      <c r="F185" s="30" t="n">
        <v>11714.05</v>
      </c>
      <c r="G185" s="30" t="n">
        <v>740.45</v>
      </c>
      <c r="H185" s="30" t="n">
        <v>0.09</v>
      </c>
      <c r="I185" s="30" t="n">
        <v>269115</v>
      </c>
      <c r="J185" s="30" t="inlineStr">
        <is>
          <t>543596</t>
        </is>
      </c>
    </row>
    <row r="186">
      <c r="A186" s="30" t="inlineStr">
        <is>
          <t>KIRLPNU</t>
        </is>
      </c>
      <c r="B186" s="30" t="inlineStr">
        <is>
          <t>Kirloskar Pneumatic Company Ltd</t>
        </is>
      </c>
      <c r="C186" s="30" t="inlineStr">
        <is>
          <t>industrials</t>
        </is>
      </c>
      <c r="D186" s="30" t="inlineStr">
        <is>
          <t>compressors / drilling equipment</t>
        </is>
      </c>
      <c r="E186" s="30" t="inlineStr">
        <is>
          <t>midcap</t>
        </is>
      </c>
      <c r="F186" s="30" t="n">
        <v>10253.65</v>
      </c>
      <c r="G186" s="30" t="n">
        <v>1579.5</v>
      </c>
      <c r="H186" s="30" t="n">
        <v>0.06</v>
      </c>
      <c r="I186" s="30" t="n">
        <v>51072</v>
      </c>
      <c r="J186" s="30" t="inlineStr">
        <is>
          <t>505283</t>
        </is>
      </c>
    </row>
    <row r="187">
      <c r="A187" s="30" t="inlineStr">
        <is>
          <t>ASIANPAINT</t>
        </is>
      </c>
      <c r="B187" s="30" t="inlineStr">
        <is>
          <t>Asian Paints Limited</t>
        </is>
      </c>
      <c r="C187" s="30" t="inlineStr">
        <is>
          <t>building materials</t>
        </is>
      </c>
      <c r="D187" s="30" t="inlineStr">
        <is>
          <t>paints / varnishes</t>
        </is>
      </c>
      <c r="E187" s="30" t="inlineStr">
        <is>
          <t>largecap</t>
        </is>
      </c>
      <c r="F187" s="30" t="n">
        <v>255213.76</v>
      </c>
      <c r="G187" s="30" t="n">
        <v>2662.4</v>
      </c>
      <c r="H187" s="30" t="n">
        <v>0.06</v>
      </c>
      <c r="I187" s="30" t="n">
        <v>958774</v>
      </c>
      <c r="J187" s="30" t="inlineStr">
        <is>
          <t>500820</t>
        </is>
      </c>
    </row>
    <row r="188">
      <c r="A188" s="30" t="inlineStr">
        <is>
          <t>INDOBORAX</t>
        </is>
      </c>
      <c r="B188" s="30" t="inlineStr">
        <is>
          <t>Indo Borax &amp; Chemicals Ltd</t>
        </is>
      </c>
      <c r="C188" s="30" t="inlineStr">
        <is>
          <t>chemicals</t>
        </is>
      </c>
      <c r="D188" s="30" t="inlineStr">
        <is>
          <t>chemicals</t>
        </is>
      </c>
      <c r="E188" s="30" t="inlineStr">
        <is>
          <t>smallcap</t>
        </is>
      </c>
      <c r="F188" s="30" t="n">
        <v>1109.99</v>
      </c>
      <c r="G188" s="30" t="n">
        <v>346.1</v>
      </c>
      <c r="H188" s="30" t="n">
        <v>0.06</v>
      </c>
      <c r="I188" s="30" t="n">
        <v>51555</v>
      </c>
      <c r="J188" s="30" t="inlineStr">
        <is>
          <t>524342</t>
        </is>
      </c>
    </row>
    <row r="189">
      <c r="A189" s="30" t="inlineStr">
        <is>
          <t>SUVEN</t>
        </is>
      </c>
      <c r="B189" s="30" t="inlineStr">
        <is>
          <t>Suven Life Sciences Limited</t>
        </is>
      </c>
      <c r="C189" s="30" t="inlineStr">
        <is>
          <t>healthcare</t>
        </is>
      </c>
      <c r="D189" s="30" t="inlineStr">
        <is>
          <t>miscellaneous</t>
        </is>
      </c>
      <c r="E189" s="30" t="inlineStr">
        <is>
          <t>midcap</t>
        </is>
      </c>
      <c r="F189" s="30" t="n">
        <v>7257.59</v>
      </c>
      <c r="G189" s="30" t="n">
        <v>275.35</v>
      </c>
      <c r="H189" s="30" t="n">
        <v>0.05</v>
      </c>
      <c r="I189" s="30" t="n">
        <v>1030873</v>
      </c>
      <c r="J189" s="30" t="inlineStr">
        <is>
          <t>530239</t>
        </is>
      </c>
    </row>
    <row r="190">
      <c r="A190" s="30" t="inlineStr">
        <is>
          <t>VENUSPIPES</t>
        </is>
      </c>
      <c r="B190" s="30" t="inlineStr">
        <is>
          <t>Venus Pipes &amp; Tubes Ltd</t>
        </is>
      </c>
      <c r="C190" s="30" t="inlineStr">
        <is>
          <t>metals &amp; mining</t>
        </is>
      </c>
      <c r="D190" s="30" t="inlineStr">
        <is>
          <t>steel - medium / small</t>
        </is>
      </c>
      <c r="E190" s="30" t="inlineStr">
        <is>
          <t>smallcap</t>
        </is>
      </c>
      <c r="F190" s="30" t="n">
        <v>2939.2</v>
      </c>
      <c r="G190" s="30" t="n">
        <v>1419.4</v>
      </c>
      <c r="H190" s="30" t="n">
        <v>0.04</v>
      </c>
      <c r="I190" s="30" t="n">
        <v>101822</v>
      </c>
      <c r="J190" s="30" t="inlineStr">
        <is>
          <t>543528</t>
        </is>
      </c>
    </row>
    <row r="191">
      <c r="A191" s="30" t="inlineStr">
        <is>
          <t>COALINDIA</t>
        </is>
      </c>
      <c r="B191" s="30" t="inlineStr">
        <is>
          <t>Coal India Limited</t>
        </is>
      </c>
      <c r="C191" s="30" t="inlineStr">
        <is>
          <t>metals &amp; mining</t>
        </is>
      </c>
      <c r="D191" s="30" t="inlineStr">
        <is>
          <t>mining / minerals / metals</t>
        </is>
      </c>
      <c r="E191" s="30" t="inlineStr">
        <is>
          <t>largecap</t>
        </is>
      </c>
      <c r="F191" s="30" t="n">
        <v>290973.22</v>
      </c>
      <c r="G191" s="30" t="n">
        <v>472.3</v>
      </c>
      <c r="H191" s="30" t="n">
        <v>0.03</v>
      </c>
      <c r="I191" s="30" t="n">
        <v>15291450</v>
      </c>
      <c r="J191" s="30" t="inlineStr">
        <is>
          <t>533278</t>
        </is>
      </c>
    </row>
    <row r="192">
      <c r="A192" s="30" t="inlineStr">
        <is>
          <t>GPTHEALTH</t>
        </is>
      </c>
      <c r="B192" s="30" t="inlineStr">
        <is>
          <t>GPT Healthcare Ltd</t>
        </is>
      </c>
      <c r="C192" s="30" t="inlineStr">
        <is>
          <t>healthcare</t>
        </is>
      </c>
      <c r="D192" s="30" t="inlineStr">
        <is>
          <t>healthcare</t>
        </is>
      </c>
      <c r="E192" s="30" t="inlineStr">
        <is>
          <t>smallcap</t>
        </is>
      </c>
      <c r="F192" s="30" t="n">
        <v>1242.39</v>
      </c>
      <c r="G192" s="30" t="n">
        <v>151.44</v>
      </c>
      <c r="H192" s="30" t="n">
        <v>0.02</v>
      </c>
      <c r="I192" s="30" t="n">
        <v>305310</v>
      </c>
      <c r="J192" s="30" t="inlineStr">
        <is>
          <t>544131</t>
        </is>
      </c>
    </row>
    <row r="193">
      <c r="A193" s="30" t="inlineStr">
        <is>
          <t>NIVABUPA</t>
        </is>
      </c>
      <c r="B193" s="30" t="inlineStr">
        <is>
          <t>Niva Bupa Health Insurance Company Ltd</t>
        </is>
      </c>
      <c r="C193" s="30" t="inlineStr">
        <is>
          <t>financials</t>
        </is>
      </c>
      <c r="D193" s="30" t="inlineStr">
        <is>
          <t>finance &amp; investments</t>
        </is>
      </c>
      <c r="E193" s="30" t="inlineStr">
        <is>
          <t>midcap</t>
        </is>
      </c>
      <c r="F193" s="30" t="n">
        <v>15524.18</v>
      </c>
      <c r="G193" s="30" t="n">
        <v>84.03</v>
      </c>
      <c r="H193" s="30" t="n">
        <v>0</v>
      </c>
      <c r="I193" s="30" t="n">
        <v>727216</v>
      </c>
      <c r="J193" s="30" t="n"/>
    </row>
    <row r="194">
      <c r="A194" s="30" t="inlineStr">
        <is>
          <t>ASTRAMICRO</t>
        </is>
      </c>
      <c r="B194" s="30" t="inlineStr">
        <is>
          <t>Astra Microwave Products Limited</t>
        </is>
      </c>
      <c r="C194" s="30" t="inlineStr">
        <is>
          <t>aerospace &amp; defence</t>
        </is>
      </c>
      <c r="D194" s="30" t="inlineStr">
        <is>
          <t>telecommunications - equipment</t>
        </is>
      </c>
      <c r="E194" s="30" t="inlineStr">
        <is>
          <t>midcap</t>
        </is>
      </c>
      <c r="F194" s="30" t="n">
        <v>12568.82</v>
      </c>
      <c r="G194" s="30" t="n">
        <v>1323.7</v>
      </c>
      <c r="H194" s="30" t="n">
        <v>-0.01</v>
      </c>
      <c r="I194" s="30" t="n">
        <v>511436</v>
      </c>
      <c r="J194" s="30" t="inlineStr">
        <is>
          <t>532493</t>
        </is>
      </c>
    </row>
    <row r="195">
      <c r="A195" s="30" t="inlineStr">
        <is>
          <t>MUFIN</t>
        </is>
      </c>
      <c r="B195" s="30" t="inlineStr">
        <is>
          <t>Mufin Green Finance Ltd</t>
        </is>
      </c>
      <c r="C195" s="30" t="inlineStr">
        <is>
          <t>financials</t>
        </is>
      </c>
      <c r="D195" s="30" t="inlineStr">
        <is>
          <t>finance &amp; investments</t>
        </is>
      </c>
      <c r="E195" s="30" t="inlineStr">
        <is>
          <t>smallcap</t>
        </is>
      </c>
      <c r="F195" s="30" t="n">
        <v>2427.49</v>
      </c>
      <c r="G195" s="30" t="n">
        <v>122.48</v>
      </c>
      <c r="H195" s="30" t="n">
        <v>-0.02</v>
      </c>
      <c r="I195" s="30" t="n">
        <v>1191621</v>
      </c>
      <c r="J195" s="30" t="inlineStr">
        <is>
          <t>542774</t>
        </is>
      </c>
    </row>
    <row r="196">
      <c r="A196" s="30" t="inlineStr">
        <is>
          <t>XPROINDIA</t>
        </is>
      </c>
      <c r="B196" s="30" t="inlineStr">
        <is>
          <t>Xpro India Limited</t>
        </is>
      </c>
      <c r="C196" s="30" t="inlineStr">
        <is>
          <t>industrials</t>
        </is>
      </c>
      <c r="D196" s="30" t="inlineStr">
        <is>
          <t>packaging</t>
        </is>
      </c>
      <c r="E196" s="30" t="inlineStr">
        <is>
          <t>smallcap</t>
        </is>
      </c>
      <c r="F196" s="30" t="n">
        <v>2705.9</v>
      </c>
      <c r="G196" s="30" t="n">
        <v>1152.6</v>
      </c>
      <c r="H196" s="30" t="n">
        <v>-0.03</v>
      </c>
      <c r="I196" s="30" t="n">
        <v>79054</v>
      </c>
      <c r="J196" s="30" t="inlineStr">
        <is>
          <t>590013</t>
        </is>
      </c>
    </row>
    <row r="197">
      <c r="A197" s="30" t="inlineStr">
        <is>
          <t>WSTCSTPAPR</t>
        </is>
      </c>
      <c r="B197" s="30" t="inlineStr">
        <is>
          <t>West Coast Paper Mills Limited</t>
        </is>
      </c>
      <c r="C197" s="30" t="inlineStr">
        <is>
          <t>building materials</t>
        </is>
      </c>
      <c r="D197" s="30" t="inlineStr">
        <is>
          <t>paper</t>
        </is>
      </c>
      <c r="E197" s="30" t="inlineStr">
        <is>
          <t>smallcap</t>
        </is>
      </c>
      <c r="F197" s="30" t="n">
        <v>3439.5</v>
      </c>
      <c r="G197" s="30" t="n">
        <v>520.6</v>
      </c>
      <c r="H197" s="30" t="n">
        <v>-0.03</v>
      </c>
      <c r="I197" s="30" t="n">
        <v>160491</v>
      </c>
      <c r="J197" s="30" t="inlineStr">
        <is>
          <t>500444</t>
        </is>
      </c>
    </row>
    <row r="198">
      <c r="A198" s="30" t="inlineStr">
        <is>
          <t>SOMANYCERA</t>
        </is>
      </c>
      <c r="B198" s="30" t="inlineStr">
        <is>
          <t>Somany Ceramics Limited</t>
        </is>
      </c>
      <c r="C198" s="30" t="inlineStr">
        <is>
          <t>building materials</t>
        </is>
      </c>
      <c r="D198" s="30" t="inlineStr">
        <is>
          <t>ceramics - tiles / sanitaryware</t>
        </is>
      </c>
      <c r="E198" s="30" t="inlineStr">
        <is>
          <t>smallcap</t>
        </is>
      </c>
      <c r="F198" s="30" t="n">
        <v>2124.67</v>
      </c>
      <c r="G198" s="30" t="n">
        <v>517.75</v>
      </c>
      <c r="H198" s="30" t="n">
        <v>-0.06</v>
      </c>
      <c r="I198" s="30" t="n">
        <v>148617</v>
      </c>
      <c r="J198" s="30" t="inlineStr">
        <is>
          <t>531548</t>
        </is>
      </c>
    </row>
    <row r="199">
      <c r="A199" s="30" t="inlineStr">
        <is>
          <t>WELINV</t>
        </is>
      </c>
      <c r="B199" s="30" t="inlineStr">
        <is>
          <t>Welspun Investments And Commercials Limited</t>
        </is>
      </c>
      <c r="C199" s="30" t="inlineStr">
        <is>
          <t>financials</t>
        </is>
      </c>
      <c r="D199" s="30" t="inlineStr">
        <is>
          <t>finance &amp; investments</t>
        </is>
      </c>
      <c r="E199" s="30" t="inlineStr">
        <is>
          <t>smallcap</t>
        </is>
      </c>
      <c r="F199" s="30" t="n">
        <v>679.37</v>
      </c>
      <c r="G199" s="30" t="n">
        <v>1857.9</v>
      </c>
      <c r="H199" s="30" t="n">
        <v>-0.06</v>
      </c>
      <c r="I199" s="30" t="n">
        <v>122</v>
      </c>
      <c r="J199" s="30" t="inlineStr">
        <is>
          <t>533252</t>
        </is>
      </c>
    </row>
    <row r="200">
      <c r="A200" s="30" t="inlineStr">
        <is>
          <t>CGPOWER</t>
        </is>
      </c>
      <c r="B200" s="30" t="inlineStr">
        <is>
          <t>CG Power and Industrial Solutions Ltd</t>
        </is>
      </c>
      <c r="C200" s="30" t="inlineStr">
        <is>
          <t>industrials</t>
        </is>
      </c>
      <c r="D200" s="30" t="inlineStr">
        <is>
          <t>electric equipment</t>
        </is>
      </c>
      <c r="E200" s="30" t="inlineStr">
        <is>
          <t>largecap</t>
        </is>
      </c>
      <c r="F200" s="30" t="n">
        <v>142955.6</v>
      </c>
      <c r="G200" s="30" t="n">
        <v>906.65</v>
      </c>
      <c r="H200" s="30" t="n">
        <v>-0.12</v>
      </c>
      <c r="I200" s="30" t="n">
        <v>3685445</v>
      </c>
      <c r="J200" s="30" t="inlineStr">
        <is>
          <t>500093</t>
        </is>
      </c>
    </row>
    <row r="201">
      <c r="A201" s="30" t="inlineStr">
        <is>
          <t>ZYDUSLIFE</t>
        </is>
      </c>
      <c r="B201" s="30" t="inlineStr">
        <is>
          <t>Zydus Lifesciences Ltd</t>
        </is>
      </c>
      <c r="C201" s="30" t="inlineStr">
        <is>
          <t>healthcare</t>
        </is>
      </c>
      <c r="D201" s="30" t="inlineStr">
        <is>
          <t>pharmaceuticals - indian - bulk drugs &amp; formln</t>
        </is>
      </c>
      <c r="E201" s="30" t="inlineStr">
        <is>
          <t>largecap</t>
        </is>
      </c>
      <c r="F201" s="30" t="n">
        <v>108502.21</v>
      </c>
      <c r="G201" s="30" t="n">
        <v>1076.6</v>
      </c>
      <c r="H201" s="30" t="n">
        <v>-0.16</v>
      </c>
      <c r="I201" s="30" t="n">
        <v>1403453</v>
      </c>
      <c r="J201" s="30" t="inlineStr">
        <is>
          <t>532321</t>
        </is>
      </c>
    </row>
    <row r="202">
      <c r="A202" s="30" t="inlineStr">
        <is>
          <t>NSLNISP</t>
        </is>
      </c>
      <c r="B202" s="30" t="inlineStr">
        <is>
          <t>NMDC Steel Ltd</t>
        </is>
      </c>
      <c r="C202" s="30" t="inlineStr">
        <is>
          <t>metals &amp; mining</t>
        </is>
      </c>
      <c r="D202" s="30" t="inlineStr">
        <is>
          <t>steel - large</t>
        </is>
      </c>
      <c r="E202" s="30" t="inlineStr">
        <is>
          <t>midcap</t>
        </is>
      </c>
      <c r="F202" s="30" t="n">
        <v>15400.33</v>
      </c>
      <c r="G202" s="30" t="n">
        <v>52.45</v>
      </c>
      <c r="H202" s="30" t="n">
        <v>-0.19</v>
      </c>
      <c r="I202" s="30" t="n">
        <v>21011794</v>
      </c>
      <c r="J202" s="30" t="inlineStr">
        <is>
          <t>543768</t>
        </is>
      </c>
    </row>
    <row r="203">
      <c r="A203" s="30" t="inlineStr">
        <is>
          <t>SBC</t>
        </is>
      </c>
      <c r="B203" s="30" t="inlineStr">
        <is>
          <t>SBC Exports Ltd</t>
        </is>
      </c>
      <c r="C203" s="30" t="inlineStr">
        <is>
          <t>textiles</t>
        </is>
      </c>
      <c r="D203" s="30" t="inlineStr">
        <is>
          <t>textiles - products</t>
        </is>
      </c>
      <c r="E203" s="30" t="inlineStr">
        <is>
          <t>smallcap</t>
        </is>
      </c>
      <c r="F203" s="30" t="n">
        <v>1752.86</v>
      </c>
      <c r="G203" s="30" t="n">
        <v>36.74</v>
      </c>
      <c r="H203" s="30" t="n">
        <v>-0.19</v>
      </c>
      <c r="I203" s="30" t="n">
        <v>9322993</v>
      </c>
      <c r="J203" s="30" t="inlineStr">
        <is>
          <t>542725</t>
        </is>
      </c>
    </row>
    <row r="204">
      <c r="A204" s="30" t="inlineStr">
        <is>
          <t>KPIL</t>
        </is>
      </c>
      <c r="B204" s="30" t="inlineStr">
        <is>
          <t>Kalpataru Projects International Ltd</t>
        </is>
      </c>
      <c r="C204" s="30" t="inlineStr">
        <is>
          <t>realty</t>
        </is>
      </c>
      <c r="D204" s="30" t="inlineStr">
        <is>
          <t>transmisson line towers / equipment</t>
        </is>
      </c>
      <c r="E204" s="30" t="inlineStr">
        <is>
          <t>largecap</t>
        </is>
      </c>
      <c r="F204" s="30" t="n">
        <v>22043.32</v>
      </c>
      <c r="G204" s="30" t="n">
        <v>1287.8</v>
      </c>
      <c r="H204" s="30" t="n">
        <v>-0.23</v>
      </c>
      <c r="I204" s="30" t="n">
        <v>142476</v>
      </c>
      <c r="J204" s="30" t="inlineStr">
        <is>
          <t>522287</t>
        </is>
      </c>
    </row>
    <row r="205">
      <c r="A205" s="30" t="inlineStr">
        <is>
          <t>AVANTEL</t>
        </is>
      </c>
      <c r="B205" s="30" t="inlineStr">
        <is>
          <t>Avantel Ltd</t>
        </is>
      </c>
      <c r="C205" s="30" t="inlineStr">
        <is>
          <t>aerospace &amp; defence</t>
        </is>
      </c>
      <c r="D205" s="30" t="inlineStr">
        <is>
          <t>telecommunications - equipment</t>
        </is>
      </c>
      <c r="E205" s="30" t="inlineStr">
        <is>
          <t>smallcap</t>
        </is>
      </c>
      <c r="F205" s="30" t="n">
        <v>4680.23</v>
      </c>
      <c r="G205" s="30" t="n">
        <v>175.7</v>
      </c>
      <c r="H205" s="30" t="n">
        <v>-0.25</v>
      </c>
      <c r="I205" s="30" t="n">
        <v>1610638</v>
      </c>
      <c r="J205" s="30" t="inlineStr">
        <is>
          <t>532406</t>
        </is>
      </c>
    </row>
    <row r="206">
      <c r="A206" s="30" t="inlineStr">
        <is>
          <t>CUMMINSIND</t>
        </is>
      </c>
      <c r="B206" s="30" t="inlineStr">
        <is>
          <t>Cummins India Limited</t>
        </is>
      </c>
      <c r="C206" s="30" t="inlineStr">
        <is>
          <t>industrials</t>
        </is>
      </c>
      <c r="D206" s="30" t="inlineStr">
        <is>
          <t>engines</t>
        </is>
      </c>
      <c r="E206" s="30" t="inlineStr">
        <is>
          <t>largecap</t>
        </is>
      </c>
      <c r="F206" s="30" t="n">
        <v>158225.76</v>
      </c>
      <c r="G206" s="30" t="n">
        <v>5692.5</v>
      </c>
      <c r="H206" s="30" t="n">
        <v>-0.27</v>
      </c>
      <c r="I206" s="30" t="n">
        <v>384967</v>
      </c>
      <c r="J206" s="30" t="inlineStr">
        <is>
          <t>500480</t>
        </is>
      </c>
    </row>
    <row r="207">
      <c r="A207" s="30" t="inlineStr">
        <is>
          <t>CENTUM</t>
        </is>
      </c>
      <c r="B207" s="30" t="inlineStr">
        <is>
          <t>Centum Electronics Limited</t>
        </is>
      </c>
      <c r="C207" s="30" t="inlineStr">
        <is>
          <t>consumer discretionary</t>
        </is>
      </c>
      <c r="D207" s="30" t="inlineStr">
        <is>
          <t>electronics - components</t>
        </is>
      </c>
      <c r="E207" s="30" t="inlineStr">
        <is>
          <t>midcap</t>
        </is>
      </c>
      <c r="F207" s="30" t="n">
        <v>5306.75</v>
      </c>
      <c r="G207" s="30" t="n">
        <v>3589.9</v>
      </c>
      <c r="H207" s="30" t="n">
        <v>-0.28</v>
      </c>
      <c r="I207" s="30" t="n">
        <v>57472</v>
      </c>
      <c r="J207" s="30" t="inlineStr">
        <is>
          <t>517544</t>
        </is>
      </c>
    </row>
    <row r="208">
      <c r="A208" s="30" t="inlineStr">
        <is>
          <t>TEGA</t>
        </is>
      </c>
      <c r="B208" s="30" t="inlineStr">
        <is>
          <t>Tega Industries Ltd</t>
        </is>
      </c>
      <c r="C208" s="30" t="inlineStr">
        <is>
          <t>industrials</t>
        </is>
      </c>
      <c r="D208" s="30" t="inlineStr">
        <is>
          <t>engineering</t>
        </is>
      </c>
      <c r="E208" s="30" t="inlineStr">
        <is>
          <t>midcap</t>
        </is>
      </c>
      <c r="F208" s="30" t="n">
        <v>13726.58</v>
      </c>
      <c r="G208" s="30" t="n">
        <v>1821.1</v>
      </c>
      <c r="H208" s="30" t="n">
        <v>-0.33</v>
      </c>
      <c r="I208" s="30" t="n">
        <v>109380</v>
      </c>
      <c r="J208" s="30" t="inlineStr">
        <is>
          <t>543413</t>
        </is>
      </c>
    </row>
    <row r="209">
      <c r="A209" s="30" t="inlineStr">
        <is>
          <t>SKIPPER</t>
        </is>
      </c>
      <c r="B209" s="30" t="inlineStr">
        <is>
          <t>Skipper Limited</t>
        </is>
      </c>
      <c r="C209" s="30" t="inlineStr">
        <is>
          <t>industrials</t>
        </is>
      </c>
      <c r="D209" s="30" t="inlineStr">
        <is>
          <t>engineering</t>
        </is>
      </c>
      <c r="E209" s="30" t="inlineStr">
        <is>
          <t>midcap</t>
        </is>
      </c>
      <c r="F209" s="30" t="n">
        <v>6462.63</v>
      </c>
      <c r="G209" s="30" t="n">
        <v>570.5</v>
      </c>
      <c r="H209" s="30" t="n">
        <v>-0.33</v>
      </c>
      <c r="I209" s="30" t="n">
        <v>1743919</v>
      </c>
      <c r="J209" s="30" t="inlineStr">
        <is>
          <t>538562</t>
        </is>
      </c>
    </row>
    <row r="210">
      <c r="A210" s="30" t="inlineStr">
        <is>
          <t>IOLCP</t>
        </is>
      </c>
      <c r="B210" s="30" t="inlineStr">
        <is>
          <t>Iol Chemicals And Pharmaceuticals Limited</t>
        </is>
      </c>
      <c r="C210" s="30" t="inlineStr">
        <is>
          <t>healthcare</t>
        </is>
      </c>
      <c r="D210" s="30" t="inlineStr">
        <is>
          <t>pharmaceuticals - indian - bulk drugs &amp; formln</t>
        </is>
      </c>
      <c r="E210" s="30" t="inlineStr">
        <is>
          <t>smallcap</t>
        </is>
      </c>
      <c r="F210" s="30" t="n">
        <v>3857.54</v>
      </c>
      <c r="G210" s="30" t="n">
        <v>130.97</v>
      </c>
      <c r="H210" s="30" t="n">
        <v>-0.34</v>
      </c>
      <c r="I210" s="30" t="n">
        <v>1772252</v>
      </c>
      <c r="J210" s="30" t="inlineStr">
        <is>
          <t>524164</t>
        </is>
      </c>
    </row>
    <row r="211">
      <c r="A211" s="30" t="inlineStr">
        <is>
          <t>NGLFINE</t>
        </is>
      </c>
      <c r="B211" s="30" t="inlineStr">
        <is>
          <t>NGL Fine Chem Ltd</t>
        </is>
      </c>
      <c r="C211" s="30" t="inlineStr">
        <is>
          <t>healthcare</t>
        </is>
      </c>
      <c r="D211" s="30" t="inlineStr">
        <is>
          <t>pharmaceuticals - indian - bulk drugs</t>
        </is>
      </c>
      <c r="E211" s="30" t="inlineStr">
        <is>
          <t>smallcap</t>
        </is>
      </c>
      <c r="F211" s="30" t="n">
        <v>1639.96</v>
      </c>
      <c r="G211" s="30" t="n">
        <v>2645.1</v>
      </c>
      <c r="H211" s="30" t="n">
        <v>-0.35</v>
      </c>
      <c r="I211" s="30" t="n">
        <v>17530</v>
      </c>
      <c r="J211" s="30" t="inlineStr">
        <is>
          <t>524774</t>
        </is>
      </c>
    </row>
    <row r="212">
      <c r="A212" s="30" t="inlineStr">
        <is>
          <t>SHILPAMED</t>
        </is>
      </c>
      <c r="B212" s="30" t="inlineStr">
        <is>
          <t>Shilpa Medicare Limited</t>
        </is>
      </c>
      <c r="C212" s="30" t="inlineStr">
        <is>
          <t>healthcare</t>
        </is>
      </c>
      <c r="D212" s="30" t="inlineStr">
        <is>
          <t>pharmaceuticals - indian - formulations</t>
        </is>
      </c>
      <c r="E212" s="30" t="inlineStr">
        <is>
          <t>midcap</t>
        </is>
      </c>
      <c r="F212" s="30" t="n">
        <v>10118.43</v>
      </c>
      <c r="G212" s="30" t="n">
        <v>515.4</v>
      </c>
      <c r="H212" s="30" t="n">
        <v>-0.38</v>
      </c>
      <c r="I212" s="30" t="n">
        <v>1776974</v>
      </c>
      <c r="J212" s="30" t="inlineStr">
        <is>
          <t>530549</t>
        </is>
      </c>
    </row>
    <row r="213">
      <c r="A213" s="30" t="inlineStr">
        <is>
          <t>HONAUT</t>
        </is>
      </c>
      <c r="B213" s="30" t="inlineStr">
        <is>
          <t>Honeywell Automation India Limited</t>
        </is>
      </c>
      <c r="C213" s="30" t="inlineStr">
        <is>
          <t>consumer discretionary</t>
        </is>
      </c>
      <c r="D213" s="30" t="inlineStr">
        <is>
          <t>electronics - components</t>
        </is>
      </c>
      <c r="E213" s="30" t="inlineStr">
        <is>
          <t>largecap</t>
        </is>
      </c>
      <c r="F213" s="30" t="n">
        <v>30852.49</v>
      </c>
      <c r="G213" s="30" t="n">
        <v>34750</v>
      </c>
      <c r="H213" s="30" t="n">
        <v>-0.42</v>
      </c>
      <c r="I213" s="30" t="n">
        <v>4528</v>
      </c>
      <c r="J213" s="30" t="inlineStr">
        <is>
          <t>517174</t>
        </is>
      </c>
    </row>
    <row r="214">
      <c r="A214" s="30" t="inlineStr">
        <is>
          <t>ICIL</t>
        </is>
      </c>
      <c r="B214" s="30" t="inlineStr">
        <is>
          <t>Indo Count Industries Limited</t>
        </is>
      </c>
      <c r="C214" s="30" t="inlineStr">
        <is>
          <t>textiles</t>
        </is>
      </c>
      <c r="D214" s="30" t="inlineStr">
        <is>
          <t>textiles - cotton/blended</t>
        </is>
      </c>
      <c r="E214" s="30" t="inlineStr">
        <is>
          <t>midcap</t>
        </is>
      </c>
      <c r="F214" s="30" t="n">
        <v>6857.63</v>
      </c>
      <c r="G214" s="30" t="n">
        <v>344.65</v>
      </c>
      <c r="H214" s="30" t="n">
        <v>-0.46</v>
      </c>
      <c r="I214" s="30" t="n">
        <v>1037221</v>
      </c>
      <c r="J214" s="30" t="inlineStr">
        <is>
          <t>521016</t>
        </is>
      </c>
    </row>
    <row r="215">
      <c r="A215" s="30" t="inlineStr">
        <is>
          <t>MONARCH</t>
        </is>
      </c>
      <c r="B215" s="30" t="inlineStr">
        <is>
          <t>Monarch Networth Capital Ltd</t>
        </is>
      </c>
      <c r="C215" s="30" t="inlineStr">
        <is>
          <t>financials</t>
        </is>
      </c>
      <c r="D215" s="30" t="inlineStr">
        <is>
          <t>finance &amp; investments</t>
        </is>
      </c>
      <c r="E215" s="30" t="inlineStr">
        <is>
          <t>smallcap</t>
        </is>
      </c>
      <c r="F215" s="30" t="n">
        <v>2698.29</v>
      </c>
      <c r="G215" s="30" t="n">
        <v>338.8</v>
      </c>
      <c r="H215" s="30" t="n">
        <v>-0.47</v>
      </c>
      <c r="I215" s="30" t="n">
        <v>69899</v>
      </c>
      <c r="J215" s="30" t="inlineStr">
        <is>
          <t>511551</t>
        </is>
      </c>
    </row>
    <row r="216">
      <c r="A216" s="30" t="inlineStr">
        <is>
          <t>SHYAMMETL</t>
        </is>
      </c>
      <c r="B216" s="30" t="inlineStr">
        <is>
          <t>Shyam Metalics &amp; Energy Ltd</t>
        </is>
      </c>
      <c r="C216" s="30" t="inlineStr">
        <is>
          <t>metals &amp; mining</t>
        </is>
      </c>
      <c r="D216" s="30" t="inlineStr">
        <is>
          <t>steel - large</t>
        </is>
      </c>
      <c r="E216" s="30" t="inlineStr">
        <is>
          <t>largecap</t>
        </is>
      </c>
      <c r="F216" s="30" t="n">
        <v>27484.72</v>
      </c>
      <c r="G216" s="30" t="n">
        <v>979.95</v>
      </c>
      <c r="H216" s="30" t="n">
        <v>-0.48</v>
      </c>
      <c r="I216" s="30" t="n">
        <v>286092</v>
      </c>
      <c r="J216" s="30" t="inlineStr">
        <is>
          <t>543299</t>
        </is>
      </c>
    </row>
    <row r="217">
      <c r="A217" s="30" t="inlineStr">
        <is>
          <t>HARDWYN</t>
        </is>
      </c>
      <c r="B217" s="30" t="inlineStr">
        <is>
          <t>Hardwyn India Ltd</t>
        </is>
      </c>
      <c r="C217" s="30" t="inlineStr">
        <is>
          <t>services</t>
        </is>
      </c>
      <c r="D217" s="30" t="inlineStr">
        <is>
          <t>trading</t>
        </is>
      </c>
      <c r="E217" s="30" t="inlineStr">
        <is>
          <t>smallcap</t>
        </is>
      </c>
      <c r="F217" s="30" t="n">
        <v>1242.58</v>
      </c>
      <c r="G217" s="30" t="n">
        <v>25.31</v>
      </c>
      <c r="H217" s="30" t="n">
        <v>-0.51</v>
      </c>
      <c r="I217" s="30" t="n">
        <v>3479230</v>
      </c>
      <c r="J217" s="30" t="inlineStr">
        <is>
          <t>541276</t>
        </is>
      </c>
    </row>
    <row r="218">
      <c r="A218" s="30" t="inlineStr">
        <is>
          <t>SAMMAANCAP</t>
        </is>
      </c>
      <c r="B218" s="30" t="inlineStr">
        <is>
          <t>Sammaan Capital Ltd</t>
        </is>
      </c>
      <c r="C218" s="30" t="inlineStr">
        <is>
          <t>financials</t>
        </is>
      </c>
      <c r="D218" s="30" t="inlineStr">
        <is>
          <t>finance - housing</t>
        </is>
      </c>
      <c r="E218" s="30" t="inlineStr">
        <is>
          <t>largecap</t>
        </is>
      </c>
      <c r="F218" s="30" t="n">
        <v>20783.69</v>
      </c>
      <c r="G218" s="30" t="n">
        <v>177.92</v>
      </c>
      <c r="H218" s="30" t="n">
        <v>-0.55</v>
      </c>
      <c r="I218" s="30" t="n">
        <v>17811574</v>
      </c>
      <c r="J218" s="30" t="inlineStr">
        <is>
          <t>535789</t>
        </is>
      </c>
    </row>
    <row r="219">
      <c r="A219" s="30" t="inlineStr">
        <is>
          <t>MINDACORP</t>
        </is>
      </c>
      <c r="B219" s="30" t="inlineStr">
        <is>
          <t>Minda Corporation Limited</t>
        </is>
      </c>
      <c r="C219" s="30" t="inlineStr">
        <is>
          <t>auto</t>
        </is>
      </c>
      <c r="D219" s="30" t="inlineStr">
        <is>
          <t>auto ancillaries</t>
        </is>
      </c>
      <c r="E219" s="30" t="inlineStr">
        <is>
          <t>midcap</t>
        </is>
      </c>
      <c r="F219" s="30" t="n">
        <v>15058.42</v>
      </c>
      <c r="G219" s="30" t="n">
        <v>626.4</v>
      </c>
      <c r="H219" s="30" t="n">
        <v>-0.55</v>
      </c>
      <c r="I219" s="30" t="n">
        <v>679928</v>
      </c>
      <c r="J219" s="30" t="inlineStr">
        <is>
          <t>538962</t>
        </is>
      </c>
    </row>
    <row r="220">
      <c r="A220" s="30" t="inlineStr">
        <is>
          <t>KRISHANA</t>
        </is>
      </c>
      <c r="B220" s="30" t="inlineStr">
        <is>
          <t>Krishana Phoschem Ltd</t>
        </is>
      </c>
      <c r="C220" s="30" t="inlineStr">
        <is>
          <t>chemicals</t>
        </is>
      </c>
      <c r="D220" s="30" t="inlineStr">
        <is>
          <t>fertilizers</t>
        </is>
      </c>
      <c r="E220" s="30" t="inlineStr">
        <is>
          <t>smallcap</t>
        </is>
      </c>
      <c r="F220" s="30" t="n">
        <v>4244.16</v>
      </c>
      <c r="G220" s="30" t="n">
        <v>682.65</v>
      </c>
      <c r="H220" s="30" t="n">
        <v>-0.55</v>
      </c>
      <c r="I220" s="30" t="n">
        <v>190922</v>
      </c>
      <c r="J220" s="30" t="inlineStr">
        <is>
          <t>538405</t>
        </is>
      </c>
    </row>
    <row r="221">
      <c r="A221" s="30" t="inlineStr">
        <is>
          <t>VERANDA</t>
        </is>
      </c>
      <c r="B221" s="30" t="inlineStr">
        <is>
          <t>Veranda Learning Solutions Ltd</t>
        </is>
      </c>
      <c r="C221" s="30" t="inlineStr">
        <is>
          <t>services</t>
        </is>
      </c>
      <c r="D221" s="30" t="inlineStr">
        <is>
          <t>miscellaneous</t>
        </is>
      </c>
      <c r="E221" s="30" t="inlineStr">
        <is>
          <t>smallcap</t>
        </is>
      </c>
      <c r="F221" s="30" t="n">
        <v>2253.16</v>
      </c>
      <c r="G221" s="30" t="n">
        <v>232.99</v>
      </c>
      <c r="H221" s="30" t="n">
        <v>-0.55</v>
      </c>
      <c r="I221" s="30" t="n">
        <v>217170</v>
      </c>
      <c r="J221" s="30" t="inlineStr">
        <is>
          <t>543514</t>
        </is>
      </c>
    </row>
    <row r="222">
      <c r="A222" s="30" t="inlineStr">
        <is>
          <t>CENTENKA</t>
        </is>
      </c>
      <c r="B222" s="30" t="inlineStr">
        <is>
          <t>Century Enka Limited</t>
        </is>
      </c>
      <c r="C222" s="30" t="inlineStr">
        <is>
          <t>textiles</t>
        </is>
      </c>
      <c r="D222" s="30" t="inlineStr">
        <is>
          <t>textiles - manmade</t>
        </is>
      </c>
      <c r="E222" s="30" t="inlineStr">
        <is>
          <t>smallcap</t>
        </is>
      </c>
      <c r="F222" s="30" t="n">
        <v>1104</v>
      </c>
      <c r="G222" s="30" t="n">
        <v>502.45</v>
      </c>
      <c r="H222" s="30" t="n">
        <v>-0.55</v>
      </c>
      <c r="I222" s="30" t="n">
        <v>49805</v>
      </c>
      <c r="J222" s="30" t="inlineStr">
        <is>
          <t>500280</t>
        </is>
      </c>
    </row>
    <row r="223">
      <c r="A223" s="30" t="inlineStr">
        <is>
          <t>KAJARIACER</t>
        </is>
      </c>
      <c r="B223" s="30" t="inlineStr">
        <is>
          <t>Kajaria Ceramics Limited</t>
        </is>
      </c>
      <c r="C223" s="30" t="inlineStr">
        <is>
          <t>building materials</t>
        </is>
      </c>
      <c r="D223" s="30" t="inlineStr">
        <is>
          <t>ceramics - tiles / sanitaryware</t>
        </is>
      </c>
      <c r="E223" s="30" t="inlineStr">
        <is>
          <t>midcap</t>
        </is>
      </c>
      <c r="F223" s="30" t="n">
        <v>17781.16</v>
      </c>
      <c r="G223" s="30" t="n">
        <v>1110.2</v>
      </c>
      <c r="H223" s="30" t="n">
        <v>-0.5600000000000001</v>
      </c>
      <c r="I223" s="30" t="n">
        <v>253504</v>
      </c>
      <c r="J223" s="30" t="inlineStr">
        <is>
          <t>500233</t>
        </is>
      </c>
    </row>
    <row r="224">
      <c r="A224" s="30" t="inlineStr">
        <is>
          <t>ADANIPORTS</t>
        </is>
      </c>
      <c r="B224" s="30" t="inlineStr">
        <is>
          <t>Adani Ports And Special Economic Zone Limited</t>
        </is>
      </c>
      <c r="C224" s="30" t="inlineStr">
        <is>
          <t>transportation</t>
        </is>
      </c>
      <c r="D224" s="30" t="inlineStr">
        <is>
          <t>miscellaneous</t>
        </is>
      </c>
      <c r="E224" s="30" t="inlineStr">
        <is>
          <t>largecap</t>
        </is>
      </c>
      <c r="F224" s="30" t="n">
        <v>418053.38</v>
      </c>
      <c r="G224" s="30" t="n">
        <v>1803.8</v>
      </c>
      <c r="H224" s="30" t="n">
        <v>-0.59</v>
      </c>
      <c r="I224" s="30" t="n">
        <v>2967709</v>
      </c>
      <c r="J224" s="30" t="inlineStr">
        <is>
          <t>532921</t>
        </is>
      </c>
    </row>
    <row r="225">
      <c r="A225" s="30" t="inlineStr">
        <is>
          <t>PGIL</t>
        </is>
      </c>
      <c r="B225" s="30" t="inlineStr">
        <is>
          <t>Pearl Global Industries Limited</t>
        </is>
      </c>
      <c r="C225" s="30" t="inlineStr">
        <is>
          <t>consumer discretionary</t>
        </is>
      </c>
      <c r="D225" s="30" t="inlineStr">
        <is>
          <t>textiles - products</t>
        </is>
      </c>
      <c r="E225" s="30" t="inlineStr">
        <is>
          <t>midcap</t>
        </is>
      </c>
      <c r="F225" s="30" t="n">
        <v>7591.48</v>
      </c>
      <c r="G225" s="30" t="n">
        <v>1635.3</v>
      </c>
      <c r="H225" s="30" t="n">
        <v>-0.6</v>
      </c>
      <c r="I225" s="30" t="n">
        <v>22673</v>
      </c>
      <c r="J225" s="30" t="inlineStr">
        <is>
          <t>532808</t>
        </is>
      </c>
    </row>
    <row r="226">
      <c r="A226" s="30" t="inlineStr">
        <is>
          <t>ROSSTECH</t>
        </is>
      </c>
      <c r="B226" s="30" t="inlineStr">
        <is>
          <t>Rossell Techsys Ltd</t>
        </is>
      </c>
      <c r="C226" s="30" t="inlineStr">
        <is>
          <t>aerospace &amp; defence</t>
        </is>
      </c>
      <c r="D226" s="30" t="inlineStr">
        <is>
          <t>engineering</t>
        </is>
      </c>
      <c r="E226" s="30" t="inlineStr">
        <is>
          <t>smallcap</t>
        </is>
      </c>
      <c r="F226" s="30" t="n">
        <v>4073.1</v>
      </c>
      <c r="G226" s="30" t="n">
        <v>1073.8</v>
      </c>
      <c r="H226" s="30" t="n">
        <v>-0.62</v>
      </c>
      <c r="I226" s="30" t="n">
        <v>109096</v>
      </c>
      <c r="J226" s="30" t="inlineStr">
        <is>
          <t>544294</t>
        </is>
      </c>
    </row>
    <row r="227">
      <c r="A227" s="30" t="inlineStr">
        <is>
          <t>INNOVACAP</t>
        </is>
      </c>
      <c r="B227" s="30" t="inlineStr">
        <is>
          <t>Innova Captab Ltd</t>
        </is>
      </c>
      <c r="C227" s="30" t="inlineStr">
        <is>
          <t>healthcare</t>
        </is>
      </c>
      <c r="D227" s="30" t="inlineStr">
        <is>
          <t>pharmaceuticals - indian - bulk drugs &amp; formln</t>
        </is>
      </c>
      <c r="E227" s="30" t="inlineStr">
        <is>
          <t>smallcap</t>
        </is>
      </c>
      <c r="F227" s="30" t="n">
        <v>4935.08</v>
      </c>
      <c r="G227" s="30" t="n">
        <v>857</v>
      </c>
      <c r="H227" s="30" t="n">
        <v>-0.63</v>
      </c>
      <c r="I227" s="30" t="n">
        <v>16106</v>
      </c>
      <c r="J227" s="30" t="inlineStr">
        <is>
          <t>544067</t>
        </is>
      </c>
    </row>
    <row r="228">
      <c r="A228" s="30" t="inlineStr">
        <is>
          <t>HINDALCO</t>
        </is>
      </c>
      <c r="B228" s="30" t="inlineStr">
        <is>
          <t>Hindalco Industries Limited</t>
        </is>
      </c>
      <c r="C228" s="30" t="inlineStr">
        <is>
          <t>metals &amp; mining</t>
        </is>
      </c>
      <c r="D228" s="30" t="inlineStr">
        <is>
          <t>aluminium and aluminium products</t>
        </is>
      </c>
      <c r="E228" s="30" t="inlineStr">
        <is>
          <t>largecap</t>
        </is>
      </c>
      <c r="F228" s="30" t="n">
        <v>257599.58</v>
      </c>
      <c r="G228" s="30" t="n">
        <v>1138.9</v>
      </c>
      <c r="H228" s="30" t="n">
        <v>-0.65</v>
      </c>
      <c r="I228" s="30" t="n">
        <v>4865978</v>
      </c>
      <c r="J228" s="30" t="inlineStr">
        <is>
          <t>500440</t>
        </is>
      </c>
    </row>
    <row r="229">
      <c r="A229" s="30" t="inlineStr">
        <is>
          <t>HNDFDS</t>
        </is>
      </c>
      <c r="B229" s="30" t="inlineStr">
        <is>
          <t>Hindustan Foods Ltd</t>
        </is>
      </c>
      <c r="C229" s="30" t="inlineStr">
        <is>
          <t>fmcg</t>
        </is>
      </c>
      <c r="D229" s="30" t="inlineStr">
        <is>
          <t>diversified - large</t>
        </is>
      </c>
      <c r="E229" s="30" t="inlineStr">
        <is>
          <t>midcap</t>
        </is>
      </c>
      <c r="F229" s="30" t="n">
        <v>6455</v>
      </c>
      <c r="G229" s="30" t="n">
        <v>536.7</v>
      </c>
      <c r="H229" s="30" t="n">
        <v>-0.66</v>
      </c>
      <c r="I229" s="30" t="n">
        <v>76735</v>
      </c>
      <c r="J229" s="30" t="inlineStr">
        <is>
          <t>519126</t>
        </is>
      </c>
    </row>
    <row r="230">
      <c r="A230" s="30" t="inlineStr">
        <is>
          <t>VBL</t>
        </is>
      </c>
      <c r="B230" s="30" t="inlineStr">
        <is>
          <t>Varun Beverages Limited</t>
        </is>
      </c>
      <c r="C230" s="30" t="inlineStr">
        <is>
          <t>fmcg</t>
        </is>
      </c>
      <c r="D230" s="30" t="inlineStr">
        <is>
          <t>food - processing - indian</t>
        </is>
      </c>
      <c r="E230" s="30" t="inlineStr">
        <is>
          <t>largecap</t>
        </is>
      </c>
      <c r="F230" s="30" t="n">
        <v>181618.47</v>
      </c>
      <c r="G230" s="30" t="n">
        <v>533.4</v>
      </c>
      <c r="H230" s="30" t="n">
        <v>-0.67</v>
      </c>
      <c r="I230" s="30" t="n">
        <v>4501572</v>
      </c>
      <c r="J230" s="30" t="inlineStr">
        <is>
          <t>540180</t>
        </is>
      </c>
    </row>
    <row r="231">
      <c r="A231" s="30" t="inlineStr">
        <is>
          <t>STARHEALTH</t>
        </is>
      </c>
      <c r="B231" s="30" t="inlineStr">
        <is>
          <t>Star Health &amp; Allied Insurance Company Ltd</t>
        </is>
      </c>
      <c r="C231" s="30" t="inlineStr">
        <is>
          <t>financials</t>
        </is>
      </c>
      <c r="D231" s="30" t="inlineStr">
        <is>
          <t>finance &amp; investments</t>
        </is>
      </c>
      <c r="E231" s="30" t="inlineStr">
        <is>
          <t>largecap</t>
        </is>
      </c>
      <c r="F231" s="30" t="n">
        <v>31403.09</v>
      </c>
      <c r="G231" s="30" t="n">
        <v>530.05</v>
      </c>
      <c r="H231" s="30" t="n">
        <v>-0.68</v>
      </c>
      <c r="I231" s="30" t="n">
        <v>381004</v>
      </c>
      <c r="J231" s="30" t="inlineStr">
        <is>
          <t>543412</t>
        </is>
      </c>
    </row>
    <row r="232">
      <c r="A232" s="30" t="inlineStr">
        <is>
          <t>AIAENG</t>
        </is>
      </c>
      <c r="B232" s="30" t="inlineStr">
        <is>
          <t>Aia Engineering Limited</t>
        </is>
      </c>
      <c r="C232" s="30" t="inlineStr">
        <is>
          <t>industrials</t>
        </is>
      </c>
      <c r="D232" s="30" t="inlineStr">
        <is>
          <t>castings &amp; forgings</t>
        </is>
      </c>
      <c r="E232" s="30" t="inlineStr">
        <is>
          <t>largecap</t>
        </is>
      </c>
      <c r="F232" s="30" t="n">
        <v>42482.23</v>
      </c>
      <c r="G232" s="30" t="n">
        <v>4521.3</v>
      </c>
      <c r="H232" s="30" t="n">
        <v>-0.68</v>
      </c>
      <c r="I232" s="30" t="n">
        <v>49880</v>
      </c>
      <c r="J232" s="30" t="inlineStr">
        <is>
          <t>532683</t>
        </is>
      </c>
    </row>
    <row r="233">
      <c r="A233" s="30" t="inlineStr">
        <is>
          <t>REDTAPE</t>
        </is>
      </c>
      <c r="B233" s="30" t="inlineStr">
        <is>
          <t>Redtape Ltd</t>
        </is>
      </c>
      <c r="C233" s="30" t="inlineStr">
        <is>
          <t>consumer discretionary</t>
        </is>
      </c>
      <c r="D233" s="30" t="inlineStr">
        <is>
          <t>trading</t>
        </is>
      </c>
      <c r="E233" s="30" t="inlineStr">
        <is>
          <t>midcap</t>
        </is>
      </c>
      <c r="F233" s="30" t="n">
        <v>7628.19</v>
      </c>
      <c r="G233" s="30" t="n">
        <v>137.03</v>
      </c>
      <c r="H233" s="30" t="n">
        <v>-0.7</v>
      </c>
      <c r="I233" s="30" t="n">
        <v>770730</v>
      </c>
      <c r="J233" s="30" t="inlineStr">
        <is>
          <t>543957</t>
        </is>
      </c>
    </row>
    <row r="234">
      <c r="A234" s="30" t="inlineStr">
        <is>
          <t>KSL</t>
        </is>
      </c>
      <c r="B234" s="30" t="inlineStr">
        <is>
          <t>Kalyani Steels Limited</t>
        </is>
      </c>
      <c r="C234" s="30" t="inlineStr">
        <is>
          <t>metals &amp; mining</t>
        </is>
      </c>
      <c r="D234" s="30" t="inlineStr">
        <is>
          <t>steel - medium / small</t>
        </is>
      </c>
      <c r="E234" s="30" t="inlineStr">
        <is>
          <t>smallcap</t>
        </is>
      </c>
      <c r="F234" s="30" t="n">
        <v>3731.46</v>
      </c>
      <c r="G234" s="30" t="n">
        <v>848.7</v>
      </c>
      <c r="H234" s="30" t="n">
        <v>-0.71</v>
      </c>
      <c r="I234" s="30" t="n">
        <v>31491</v>
      </c>
      <c r="J234" s="30" t="inlineStr">
        <is>
          <t>500235</t>
        </is>
      </c>
    </row>
    <row r="235">
      <c r="A235" s="30" t="inlineStr">
        <is>
          <t>TBZ</t>
        </is>
      </c>
      <c r="B235" s="30" t="inlineStr">
        <is>
          <t>Tribhovandas Bhimji Zaveri Limited</t>
        </is>
      </c>
      <c r="C235" s="30" t="inlineStr">
        <is>
          <t>consumer discretionary</t>
        </is>
      </c>
      <c r="D235" s="30" t="inlineStr">
        <is>
          <t>diamond cutting / jewellery</t>
        </is>
      </c>
      <c r="E235" s="30" t="inlineStr">
        <is>
          <t>smallcap</t>
        </is>
      </c>
      <c r="F235" s="30" t="n">
        <v>1193.41</v>
      </c>
      <c r="G235" s="30" t="n">
        <v>177.49</v>
      </c>
      <c r="H235" s="30" t="n">
        <v>-0.75</v>
      </c>
      <c r="I235" s="30" t="n">
        <v>770397</v>
      </c>
      <c r="J235" s="30" t="inlineStr">
        <is>
          <t>534369</t>
        </is>
      </c>
    </row>
    <row r="236">
      <c r="A236" s="30" t="inlineStr">
        <is>
          <t>KEI</t>
        </is>
      </c>
      <c r="B236" s="30" t="inlineStr">
        <is>
          <t>Kei Industries Limited</t>
        </is>
      </c>
      <c r="C236" s="30" t="inlineStr">
        <is>
          <t>industrials</t>
        </is>
      </c>
      <c r="D236" s="30" t="inlineStr">
        <is>
          <t>cables - power</t>
        </is>
      </c>
      <c r="E236" s="30" t="inlineStr">
        <is>
          <t>largecap</t>
        </is>
      </c>
      <c r="F236" s="30" t="n">
        <v>50300.25</v>
      </c>
      <c r="G236" s="30" t="n">
        <v>5222</v>
      </c>
      <c r="H236" s="30" t="n">
        <v>-0.75</v>
      </c>
      <c r="I236" s="30" t="n">
        <v>265111</v>
      </c>
      <c r="J236" s="30" t="inlineStr">
        <is>
          <t>517569</t>
        </is>
      </c>
    </row>
    <row r="237">
      <c r="A237" s="30" t="inlineStr">
        <is>
          <t>CAPLIPOINT</t>
        </is>
      </c>
      <c r="B237" s="30" t="inlineStr">
        <is>
          <t>Caplin Point Laboratories Limited</t>
        </is>
      </c>
      <c r="C237" s="30" t="inlineStr">
        <is>
          <t>healthcare</t>
        </is>
      </c>
      <c r="D237" s="30" t="inlineStr">
        <is>
          <t>pharmaceuticals - indian - formulations</t>
        </is>
      </c>
      <c r="E237" s="30" t="inlineStr">
        <is>
          <t>midcap</t>
        </is>
      </c>
      <c r="F237" s="30" t="n">
        <v>15111.89</v>
      </c>
      <c r="G237" s="30" t="n">
        <v>1972.9</v>
      </c>
      <c r="H237" s="30" t="n">
        <v>-0.76</v>
      </c>
      <c r="I237" s="30" t="n">
        <v>45721</v>
      </c>
      <c r="J237" s="30" t="inlineStr">
        <is>
          <t>524742</t>
        </is>
      </c>
    </row>
    <row r="238">
      <c r="A238" s="30" t="inlineStr">
        <is>
          <t>DLINKINDIA</t>
        </is>
      </c>
      <c r="B238" s="30" t="inlineStr">
        <is>
          <t>D-link (india) Limited</t>
        </is>
      </c>
      <c r="C238" s="30" t="inlineStr">
        <is>
          <t>services</t>
        </is>
      </c>
      <c r="D238" s="30" t="inlineStr">
        <is>
          <t>trading</t>
        </is>
      </c>
      <c r="E238" s="30" t="inlineStr">
        <is>
          <t>smallcap</t>
        </is>
      </c>
      <c r="F238" s="30" t="n">
        <v>1687.9</v>
      </c>
      <c r="G238" s="30" t="n">
        <v>471.7</v>
      </c>
      <c r="H238" s="30" t="n">
        <v>-0.78</v>
      </c>
      <c r="I238" s="30" t="n">
        <v>102459</v>
      </c>
      <c r="J238" s="30" t="inlineStr">
        <is>
          <t>533146</t>
        </is>
      </c>
    </row>
    <row r="239">
      <c r="A239" s="30" t="inlineStr">
        <is>
          <t>MIRCELECTR</t>
        </is>
      </c>
      <c r="B239" s="30" t="inlineStr">
        <is>
          <t>Mirc Electronics Limited</t>
        </is>
      </c>
      <c r="C239" s="30" t="inlineStr">
        <is>
          <t>consumer discretionary</t>
        </is>
      </c>
      <c r="D239" s="30" t="inlineStr">
        <is>
          <t>electronics - consumer</t>
        </is>
      </c>
      <c r="E239" s="30" t="inlineStr">
        <is>
          <t>smallcap</t>
        </is>
      </c>
      <c r="F239" s="30" t="n">
        <v>1515.99</v>
      </c>
      <c r="G239" s="30" t="n">
        <v>40.72</v>
      </c>
      <c r="H239" s="30" t="n">
        <v>-0.78</v>
      </c>
      <c r="I239" s="30" t="n">
        <v>266994</v>
      </c>
      <c r="J239" s="30" t="inlineStr">
        <is>
          <t>500279</t>
        </is>
      </c>
    </row>
    <row r="240">
      <c r="A240" s="30" t="inlineStr">
        <is>
          <t>VIYASH</t>
        </is>
      </c>
      <c r="B240" s="30" t="inlineStr">
        <is>
          <t>Viyash Scientific Ltd</t>
        </is>
      </c>
      <c r="C240" s="30" t="inlineStr">
        <is>
          <t>healthcare</t>
        </is>
      </c>
      <c r="D240" s="30" t="inlineStr">
        <is>
          <t>pharmaceuticals - indian - bulk drugs &amp; formln</t>
        </is>
      </c>
      <c r="E240" s="30" t="inlineStr">
        <is>
          <t>midcap</t>
        </is>
      </c>
      <c r="F240" s="30" t="n">
        <v>10919.09</v>
      </c>
      <c r="G240" s="30" t="n">
        <v>248</v>
      </c>
      <c r="H240" s="30" t="n">
        <v>-0.78</v>
      </c>
      <c r="I240" s="30" t="n">
        <v>2593757</v>
      </c>
      <c r="J240" s="30" t="inlineStr">
        <is>
          <t>512529</t>
        </is>
      </c>
    </row>
    <row r="241">
      <c r="A241" s="30" t="inlineStr">
        <is>
          <t>MANORAMA</t>
        </is>
      </c>
      <c r="B241" s="30" t="inlineStr">
        <is>
          <t>Manorama Industries Ltd</t>
        </is>
      </c>
      <c r="C241" s="30" t="inlineStr">
        <is>
          <t>fmcg</t>
        </is>
      </c>
      <c r="D241" s="30" t="inlineStr">
        <is>
          <t>food - processing - indian</t>
        </is>
      </c>
      <c r="E241" s="30" t="inlineStr">
        <is>
          <t>midcap</t>
        </is>
      </c>
      <c r="F241" s="30" t="n">
        <v>8845.219999999999</v>
      </c>
      <c r="G241" s="30" t="n">
        <v>1469.6</v>
      </c>
      <c r="H241" s="30" t="n">
        <v>-0.8</v>
      </c>
      <c r="I241" s="30" t="n">
        <v>82160</v>
      </c>
      <c r="J241" s="30" t="inlineStr">
        <is>
          <t>541974</t>
        </is>
      </c>
    </row>
    <row r="242">
      <c r="A242" s="30" t="inlineStr">
        <is>
          <t>HSCL</t>
        </is>
      </c>
      <c r="B242" s="30" t="inlineStr">
        <is>
          <t>Himadri Speciality Chemical Limited</t>
        </is>
      </c>
      <c r="C242" s="30" t="inlineStr">
        <is>
          <t>chemicals</t>
        </is>
      </c>
      <c r="D242" s="30" t="inlineStr">
        <is>
          <t>chemicals</t>
        </is>
      </c>
      <c r="E242" s="30" t="inlineStr">
        <is>
          <t>largecap</t>
        </is>
      </c>
      <c r="F242" s="30" t="n">
        <v>30630.72</v>
      </c>
      <c r="G242" s="30" t="n">
        <v>602.05</v>
      </c>
      <c r="H242" s="30" t="n">
        <v>-0.83</v>
      </c>
      <c r="I242" s="30" t="n">
        <v>11405271</v>
      </c>
      <c r="J242" s="30" t="inlineStr">
        <is>
          <t>500184</t>
        </is>
      </c>
    </row>
    <row r="243">
      <c r="A243" s="30" t="inlineStr">
        <is>
          <t>MAHASTEEL</t>
        </is>
      </c>
      <c r="B243" s="30" t="inlineStr">
        <is>
          <t>Mahamaya Steel Industries Limited</t>
        </is>
      </c>
      <c r="C243" s="30" t="inlineStr">
        <is>
          <t>metals &amp; mining</t>
        </is>
      </c>
      <c r="D243" s="30" t="inlineStr">
        <is>
          <t>steel - medium / small</t>
        </is>
      </c>
      <c r="E243" s="30" t="inlineStr">
        <is>
          <t>smallcap</t>
        </is>
      </c>
      <c r="F243" s="30" t="n">
        <v>1567.68</v>
      </c>
      <c r="G243" s="30" t="n">
        <v>945.7</v>
      </c>
      <c r="H243" s="30" t="n">
        <v>-0.86</v>
      </c>
      <c r="I243" s="30" t="n">
        <v>2271</v>
      </c>
      <c r="J243" s="30" t="inlineStr">
        <is>
          <t>513554</t>
        </is>
      </c>
    </row>
    <row r="244">
      <c r="A244" s="30" t="inlineStr">
        <is>
          <t>AEGISLOG</t>
        </is>
      </c>
      <c r="B244" s="30" t="inlineStr">
        <is>
          <t>Aegis Logistics Ltd</t>
        </is>
      </c>
      <c r="C244" s="30" t="inlineStr">
        <is>
          <t>services</t>
        </is>
      </c>
      <c r="D244" s="30" t="inlineStr">
        <is>
          <t>trading</t>
        </is>
      </c>
      <c r="E244" s="30" t="inlineStr">
        <is>
          <t>largecap</t>
        </is>
      </c>
      <c r="F244" s="30" t="n">
        <v>26926.97</v>
      </c>
      <c r="G244" s="30" t="n">
        <v>760.5</v>
      </c>
      <c r="H244" s="30" t="n">
        <v>-0.87</v>
      </c>
      <c r="I244" s="30" t="n">
        <v>499925</v>
      </c>
      <c r="J244" s="30" t="inlineStr">
        <is>
          <t>500003</t>
        </is>
      </c>
    </row>
    <row r="245">
      <c r="A245" s="30" t="inlineStr">
        <is>
          <t>NLCINDIA</t>
        </is>
      </c>
      <c r="B245" s="30" t="inlineStr">
        <is>
          <t>Nlc India Limited</t>
        </is>
      </c>
      <c r="C245" s="30" t="inlineStr">
        <is>
          <t>power &amp; utilities</t>
        </is>
      </c>
      <c r="D245" s="30" t="inlineStr">
        <is>
          <t>power generation and supply</t>
        </is>
      </c>
      <c r="E245" s="30" t="inlineStr">
        <is>
          <t>largecap</t>
        </is>
      </c>
      <c r="F245" s="30" t="n">
        <v>48407.48</v>
      </c>
      <c r="G245" s="30" t="n">
        <v>346</v>
      </c>
      <c r="H245" s="30" t="n">
        <v>-0.89</v>
      </c>
      <c r="I245" s="30" t="n">
        <v>3487960</v>
      </c>
      <c r="J245" s="30" t="inlineStr">
        <is>
          <t>513683</t>
        </is>
      </c>
    </row>
    <row r="246">
      <c r="A246" s="30" t="inlineStr">
        <is>
          <t>CRAFTSMAN</t>
        </is>
      </c>
      <c r="B246" s="30" t="inlineStr">
        <is>
          <t>Craftsman Automation Ltd</t>
        </is>
      </c>
      <c r="C246" s="30" t="inlineStr">
        <is>
          <t>auto</t>
        </is>
      </c>
      <c r="D246" s="30" t="inlineStr">
        <is>
          <t>auto ancillaries</t>
        </is>
      </c>
      <c r="E246" s="30" t="inlineStr">
        <is>
          <t>largecap</t>
        </is>
      </c>
      <c r="F246" s="30" t="n">
        <v>21419.93</v>
      </c>
      <c r="G246" s="30" t="n">
        <v>8898.5</v>
      </c>
      <c r="H246" s="30" t="n">
        <v>-0.9</v>
      </c>
      <c r="I246" s="30" t="n">
        <v>95289</v>
      </c>
      <c r="J246" s="30" t="inlineStr">
        <is>
          <t>543276</t>
        </is>
      </c>
    </row>
    <row r="247">
      <c r="A247" s="30" t="inlineStr">
        <is>
          <t>TATATECH</t>
        </is>
      </c>
      <c r="B247" s="30" t="inlineStr">
        <is>
          <t>Tata Technologies Ltd</t>
        </is>
      </c>
      <c r="C247" s="30" t="inlineStr">
        <is>
          <t>i.t</t>
        </is>
      </c>
      <c r="D247" s="30" t="inlineStr">
        <is>
          <t>computers - software - medium / small</t>
        </is>
      </c>
      <c r="E247" s="30" t="inlineStr">
        <is>
          <t>largecap</t>
        </is>
      </c>
      <c r="F247" s="30" t="n">
        <v>29959.24</v>
      </c>
      <c r="G247" s="30" t="n">
        <v>731.05</v>
      </c>
      <c r="H247" s="30" t="n">
        <v>-0.9399999999999999</v>
      </c>
      <c r="I247" s="30" t="n">
        <v>1460058</v>
      </c>
      <c r="J247" s="30" t="inlineStr">
        <is>
          <t>544028</t>
        </is>
      </c>
    </row>
    <row r="248">
      <c r="A248" s="30" t="inlineStr">
        <is>
          <t>SOUTHWEST</t>
        </is>
      </c>
      <c r="B248" s="30" t="inlineStr">
        <is>
          <t>South West Pinnacle Exploration Ltd</t>
        </is>
      </c>
      <c r="C248" s="30" t="inlineStr">
        <is>
          <t>metals &amp; mining</t>
        </is>
      </c>
      <c r="D248" s="30" t="inlineStr">
        <is>
          <t>mining / minerals / metals</t>
        </is>
      </c>
      <c r="E248" s="30" t="inlineStr">
        <is>
          <t>smallcap</t>
        </is>
      </c>
      <c r="F248" s="30" t="n">
        <v>790.5</v>
      </c>
      <c r="G248" s="30" t="n">
        <v>262.5</v>
      </c>
      <c r="H248" s="30" t="n">
        <v>-0.9399999999999999</v>
      </c>
      <c r="I248" s="30" t="n">
        <v>167281</v>
      </c>
      <c r="J248" s="30" t="inlineStr">
        <is>
          <t>535049</t>
        </is>
      </c>
    </row>
    <row r="249">
      <c r="A249" s="30" t="inlineStr">
        <is>
          <t>FEDFINA</t>
        </is>
      </c>
      <c r="B249" s="30" t="inlineStr">
        <is>
          <t>Fedbank Financial Services Ltd</t>
        </is>
      </c>
      <c r="C249" s="30" t="inlineStr">
        <is>
          <t>financials</t>
        </is>
      </c>
      <c r="D249" s="30" t="inlineStr">
        <is>
          <t>finance &amp; investments</t>
        </is>
      </c>
      <c r="E249" s="30" t="inlineStr">
        <is>
          <t>midcap</t>
        </is>
      </c>
      <c r="F249" s="30" t="n">
        <v>5932.29</v>
      </c>
      <c r="G249" s="30" t="n">
        <v>157.01</v>
      </c>
      <c r="H249" s="30" t="n">
        <v>-0.96</v>
      </c>
      <c r="I249" s="30" t="n">
        <v>515510</v>
      </c>
      <c r="J249" s="30" t="inlineStr">
        <is>
          <t>544027</t>
        </is>
      </c>
    </row>
    <row r="250">
      <c r="A250" s="30" t="inlineStr">
        <is>
          <t>SAIL</t>
        </is>
      </c>
      <c r="B250" s="30" t="inlineStr">
        <is>
          <t>Steel Authority Of India Limited</t>
        </is>
      </c>
      <c r="C250" s="30" t="inlineStr">
        <is>
          <t>metals &amp; mining</t>
        </is>
      </c>
      <c r="D250" s="30" t="inlineStr">
        <is>
          <t>steel - large</t>
        </is>
      </c>
      <c r="E250" s="30" t="inlineStr">
        <is>
          <t>largecap</t>
        </is>
      </c>
      <c r="F250" s="30" t="n">
        <v>85026.86</v>
      </c>
      <c r="G250" s="30" t="n">
        <v>203.87</v>
      </c>
      <c r="H250" s="30" t="n">
        <v>-0.96</v>
      </c>
      <c r="I250" s="30" t="n">
        <v>10280547</v>
      </c>
      <c r="J250" s="30" t="inlineStr">
        <is>
          <t>500113</t>
        </is>
      </c>
    </row>
    <row r="251">
      <c r="A251" s="30" t="inlineStr">
        <is>
          <t>NUVAMA</t>
        </is>
      </c>
      <c r="B251" s="30" t="inlineStr">
        <is>
          <t>Nuvama Wealth Management Ltd</t>
        </is>
      </c>
      <c r="C251" s="30" t="inlineStr">
        <is>
          <t>financials</t>
        </is>
      </c>
      <c r="D251" s="30" t="inlineStr">
        <is>
          <t>finance &amp; investments</t>
        </is>
      </c>
      <c r="E251" s="30" t="inlineStr">
        <is>
          <t>largecap</t>
        </is>
      </c>
      <c r="F251" s="30" t="n">
        <v>28642.41</v>
      </c>
      <c r="G251" s="30" t="n">
        <v>1558.1</v>
      </c>
      <c r="H251" s="30" t="n">
        <v>-0.97</v>
      </c>
      <c r="I251" s="30" t="n">
        <v>773233</v>
      </c>
      <c r="J251" s="30" t="inlineStr">
        <is>
          <t>543988</t>
        </is>
      </c>
    </row>
    <row r="252">
      <c r="A252" s="30" t="inlineStr">
        <is>
          <t>METROPOLIS</t>
        </is>
      </c>
      <c r="B252" s="30" t="inlineStr">
        <is>
          <t>Metropolis Healthcare Ltd</t>
        </is>
      </c>
      <c r="C252" s="30" t="inlineStr">
        <is>
          <t>healthcare</t>
        </is>
      </c>
      <c r="D252" s="30" t="inlineStr">
        <is>
          <t>healthcare</t>
        </is>
      </c>
      <c r="E252" s="30" t="inlineStr">
        <is>
          <t>midcap</t>
        </is>
      </c>
      <c r="F252" s="30" t="n">
        <v>11226.8</v>
      </c>
      <c r="G252" s="30" t="n">
        <v>536.15</v>
      </c>
      <c r="H252" s="30" t="n">
        <v>-0.99</v>
      </c>
      <c r="I252" s="30" t="n">
        <v>72278</v>
      </c>
      <c r="J252" s="30" t="inlineStr">
        <is>
          <t>542650</t>
        </is>
      </c>
    </row>
    <row r="253">
      <c r="A253" s="30" t="inlineStr">
        <is>
          <t>ONESOURCE</t>
        </is>
      </c>
      <c r="B253" s="30" t="inlineStr">
        <is>
          <t>OneSource Specialty Pharma Ltd</t>
        </is>
      </c>
      <c r="C253" s="30" t="inlineStr">
        <is>
          <t>healthcare</t>
        </is>
      </c>
      <c r="D253" s="30" t="inlineStr">
        <is>
          <t>pharmaceuticals - indian - bulk drugs &amp; formln</t>
        </is>
      </c>
      <c r="E253" s="30" t="inlineStr">
        <is>
          <t>largecap</t>
        </is>
      </c>
      <c r="F253" s="30" t="n">
        <v>20959.63</v>
      </c>
      <c r="G253" s="30" t="n">
        <v>1810.5</v>
      </c>
      <c r="H253" s="30" t="n">
        <v>-0.99</v>
      </c>
      <c r="I253" s="30" t="n">
        <v>62889</v>
      </c>
      <c r="J253" s="30" t="inlineStr">
        <is>
          <t>544292</t>
        </is>
      </c>
    </row>
    <row r="254">
      <c r="A254" s="30" t="inlineStr">
        <is>
          <t>BHEL</t>
        </is>
      </c>
      <c r="B254" s="30" t="inlineStr">
        <is>
          <t>Bharat Heavy Electricals Limited</t>
        </is>
      </c>
      <c r="C254" s="30" t="inlineStr">
        <is>
          <t>industrials</t>
        </is>
      </c>
      <c r="D254" s="30" t="inlineStr">
        <is>
          <t>electric equipment</t>
        </is>
      </c>
      <c r="E254" s="30" t="inlineStr">
        <is>
          <t>largecap</t>
        </is>
      </c>
      <c r="F254" s="30" t="n">
        <v>143025.75</v>
      </c>
      <c r="G254" s="30" t="n">
        <v>406.3</v>
      </c>
      <c r="H254" s="30" t="n">
        <v>-1.08</v>
      </c>
      <c r="I254" s="30" t="n">
        <v>10000048</v>
      </c>
      <c r="J254" s="30" t="inlineStr">
        <is>
          <t>500103</t>
        </is>
      </c>
    </row>
    <row r="255">
      <c r="A255" s="30" t="inlineStr">
        <is>
          <t>AVTNPL</t>
        </is>
      </c>
      <c r="B255" s="30" t="inlineStr">
        <is>
          <t>Avt Natural Products Limited</t>
        </is>
      </c>
      <c r="C255" s="30" t="inlineStr">
        <is>
          <t>fmcg</t>
        </is>
      </c>
      <c r="D255" s="30" t="inlineStr">
        <is>
          <t>solvent extraction</t>
        </is>
      </c>
      <c r="E255" s="30" t="inlineStr">
        <is>
          <t>smallcap</t>
        </is>
      </c>
      <c r="F255" s="30" t="n">
        <v>1081.37</v>
      </c>
      <c r="G255" s="30" t="n">
        <v>70.22</v>
      </c>
      <c r="H255" s="30" t="n">
        <v>-1.11</v>
      </c>
      <c r="I255" s="30" t="n">
        <v>52085</v>
      </c>
      <c r="J255" s="30" t="inlineStr">
        <is>
          <t>519105</t>
        </is>
      </c>
    </row>
    <row r="256">
      <c r="A256" s="30" t="inlineStr">
        <is>
          <t>MGEL</t>
        </is>
      </c>
      <c r="B256" s="30" t="inlineStr">
        <is>
          <t>Mangalam Global Enterprise Ltd</t>
        </is>
      </c>
      <c r="C256" s="30" t="inlineStr">
        <is>
          <t>services</t>
        </is>
      </c>
      <c r="D256" s="30" t="inlineStr">
        <is>
          <t>trading</t>
        </is>
      </c>
      <c r="E256" s="30" t="inlineStr">
        <is>
          <t>smallcap</t>
        </is>
      </c>
      <c r="F256" s="30" t="n">
        <v>501.25</v>
      </c>
      <c r="G256" s="30" t="n">
        <v>15.04</v>
      </c>
      <c r="H256" s="30" t="n">
        <v>-1.12</v>
      </c>
      <c r="I256" s="30" t="n">
        <v>463747</v>
      </c>
      <c r="J256" s="30" t="inlineStr">
        <is>
          <t>535349</t>
        </is>
      </c>
    </row>
    <row r="257">
      <c r="A257" s="30" t="inlineStr">
        <is>
          <t>PASUPTAC</t>
        </is>
      </c>
      <c r="B257" s="30" t="inlineStr">
        <is>
          <t>Pasupati Acrylon Ltd</t>
        </is>
      </c>
      <c r="C257" s="30" t="inlineStr">
        <is>
          <t>textiles</t>
        </is>
      </c>
      <c r="D257" s="30" t="inlineStr">
        <is>
          <t>textiles - manmade</t>
        </is>
      </c>
      <c r="E257" s="30" t="inlineStr">
        <is>
          <t>smallcap</t>
        </is>
      </c>
      <c r="F257" s="30" t="n">
        <v>606.91</v>
      </c>
      <c r="G257" s="30" t="n">
        <v>67.29000000000001</v>
      </c>
      <c r="H257" s="30" t="n">
        <v>-1.17</v>
      </c>
      <c r="I257" s="30" t="n">
        <v>483957</v>
      </c>
      <c r="J257" s="30" t="inlineStr">
        <is>
          <t>500456</t>
        </is>
      </c>
    </row>
    <row r="258">
      <c r="A258" s="30" t="inlineStr">
        <is>
          <t>DEEPINDS</t>
        </is>
      </c>
      <c r="B258" s="30" t="inlineStr">
        <is>
          <t>Deep Industries Ltd</t>
        </is>
      </c>
      <c r="C258" s="30" t="inlineStr">
        <is>
          <t>energy</t>
        </is>
      </c>
      <c r="D258" s="30" t="inlineStr">
        <is>
          <t>oil drilling / allied services</t>
        </is>
      </c>
      <c r="E258" s="30" t="inlineStr">
        <is>
          <t>smallcap</t>
        </is>
      </c>
      <c r="F258" s="30" t="n">
        <v>3320.32</v>
      </c>
      <c r="G258" s="30" t="n">
        <v>512.5</v>
      </c>
      <c r="H258" s="30" t="n">
        <v>-1.21</v>
      </c>
      <c r="I258" s="30" t="n">
        <v>455486</v>
      </c>
      <c r="J258" s="30" t="inlineStr">
        <is>
          <t>543288</t>
        </is>
      </c>
    </row>
    <row r="259">
      <c r="A259" s="30" t="inlineStr">
        <is>
          <t>HINDOILEXP</t>
        </is>
      </c>
      <c r="B259" s="30" t="inlineStr">
        <is>
          <t>Hindustan Oil Exploration Company Limited</t>
        </is>
      </c>
      <c r="C259" s="30" t="inlineStr">
        <is>
          <t>energy</t>
        </is>
      </c>
      <c r="D259" s="30" t="inlineStr">
        <is>
          <t>oil drilling / allied services</t>
        </is>
      </c>
      <c r="E259" s="30" t="inlineStr">
        <is>
          <t>smallcap</t>
        </is>
      </c>
      <c r="F259" s="30" t="n">
        <v>2271.81</v>
      </c>
      <c r="G259" s="30" t="n">
        <v>169.71</v>
      </c>
      <c r="H259" s="30" t="n">
        <v>-1.21</v>
      </c>
      <c r="I259" s="30" t="n">
        <v>508820</v>
      </c>
      <c r="J259" s="30" t="inlineStr">
        <is>
          <t>500186</t>
        </is>
      </c>
    </row>
    <row r="260">
      <c r="A260" s="30" t="inlineStr">
        <is>
          <t>HONASA</t>
        </is>
      </c>
      <c r="B260" s="30" t="inlineStr">
        <is>
          <t>Honasa Consumer Ltd</t>
        </is>
      </c>
      <c r="C260" s="30" t="inlineStr">
        <is>
          <t>services</t>
        </is>
      </c>
      <c r="D260" s="30" t="inlineStr">
        <is>
          <t>trading</t>
        </is>
      </c>
      <c r="E260" s="30" t="inlineStr">
        <is>
          <t>midcap</t>
        </is>
      </c>
      <c r="F260" s="30" t="n">
        <v>13244.18</v>
      </c>
      <c r="G260" s="30" t="n">
        <v>402.1</v>
      </c>
      <c r="H260" s="30" t="n">
        <v>-1.22</v>
      </c>
      <c r="I260" s="30" t="n">
        <v>715535</v>
      </c>
      <c r="J260" s="30" t="inlineStr">
        <is>
          <t>544014</t>
        </is>
      </c>
    </row>
    <row r="261">
      <c r="A261" s="30" t="inlineStr">
        <is>
          <t>RATEGAIN</t>
        </is>
      </c>
      <c r="B261" s="30" t="inlineStr">
        <is>
          <t>Rategain Travel Technologies Ltd</t>
        </is>
      </c>
      <c r="C261" s="30" t="inlineStr">
        <is>
          <t>i.t</t>
        </is>
      </c>
      <c r="D261" s="30" t="inlineStr">
        <is>
          <t>computers - software - medium / small</t>
        </is>
      </c>
      <c r="E261" s="30" t="inlineStr">
        <is>
          <t>midcap</t>
        </is>
      </c>
      <c r="F261" s="30" t="n">
        <v>9155.459999999999</v>
      </c>
      <c r="G261" s="30" t="n">
        <v>765.25</v>
      </c>
      <c r="H261" s="30" t="n">
        <v>-1.23</v>
      </c>
      <c r="I261" s="30" t="n">
        <v>213632</v>
      </c>
      <c r="J261" s="30" t="inlineStr">
        <is>
          <t>543417</t>
        </is>
      </c>
    </row>
    <row r="262">
      <c r="A262" s="30" t="inlineStr">
        <is>
          <t>KINGFA</t>
        </is>
      </c>
      <c r="B262" s="30" t="inlineStr">
        <is>
          <t>Kingfa Science &amp; Technology (india) Limited</t>
        </is>
      </c>
      <c r="C262" s="30" t="inlineStr">
        <is>
          <t>plastic products</t>
        </is>
      </c>
      <c r="D262" s="30" t="inlineStr">
        <is>
          <t>plastics products</t>
        </is>
      </c>
      <c r="E262" s="30" t="inlineStr">
        <is>
          <t>midcap</t>
        </is>
      </c>
      <c r="F262" s="30" t="n">
        <v>7236.44</v>
      </c>
      <c r="G262" s="30" t="n">
        <v>5274</v>
      </c>
      <c r="H262" s="30" t="n">
        <v>-1.24</v>
      </c>
      <c r="I262" s="30" t="n">
        <v>7305</v>
      </c>
      <c r="J262" s="30" t="inlineStr">
        <is>
          <t>524019</t>
        </is>
      </c>
    </row>
    <row r="263">
      <c r="A263" s="30" t="inlineStr">
        <is>
          <t>GHCLTEXTIL</t>
        </is>
      </c>
      <c r="B263" s="30" t="inlineStr">
        <is>
          <t>GHCL Textiles Ltd</t>
        </is>
      </c>
      <c r="C263" s="30" t="inlineStr">
        <is>
          <t>textiles</t>
        </is>
      </c>
      <c r="D263" s="30" t="inlineStr">
        <is>
          <t>textiles - spinning - synthetic / blended</t>
        </is>
      </c>
      <c r="E263" s="30" t="inlineStr">
        <is>
          <t>smallcap</t>
        </is>
      </c>
      <c r="F263" s="30" t="n">
        <v>928.8099999999999</v>
      </c>
      <c r="G263" s="30" t="n">
        <v>95.95</v>
      </c>
      <c r="H263" s="30" t="n">
        <v>-1.26</v>
      </c>
      <c r="I263" s="30" t="n">
        <v>293393</v>
      </c>
      <c r="J263" s="30" t="inlineStr">
        <is>
          <t>543918</t>
        </is>
      </c>
    </row>
    <row r="264">
      <c r="A264" s="30" t="inlineStr">
        <is>
          <t>SONACOMS</t>
        </is>
      </c>
      <c r="B264" s="30" t="inlineStr">
        <is>
          <t>Sona BLW Precision Forgings Ltd</t>
        </is>
      </c>
      <c r="C264" s="30" t="inlineStr">
        <is>
          <t>auto</t>
        </is>
      </c>
      <c r="D264" s="30" t="inlineStr">
        <is>
          <t>auto ancillaries</t>
        </is>
      </c>
      <c r="E264" s="30" t="inlineStr">
        <is>
          <t>largecap</t>
        </is>
      </c>
      <c r="F264" s="30" t="n">
        <v>38016.61</v>
      </c>
      <c r="G264" s="30" t="n">
        <v>603.45</v>
      </c>
      <c r="H264" s="30" t="n">
        <v>-1.29</v>
      </c>
      <c r="I264" s="30" t="n">
        <v>1008198</v>
      </c>
      <c r="J264" s="30" t="inlineStr">
        <is>
          <t>543300</t>
        </is>
      </c>
    </row>
    <row r="265">
      <c r="A265" s="30" t="inlineStr">
        <is>
          <t>TIINDIA</t>
        </is>
      </c>
      <c r="B265" s="30" t="inlineStr">
        <is>
          <t>Tube Investments of India Ltd</t>
        </is>
      </c>
      <c r="C265" s="30" t="inlineStr">
        <is>
          <t>industrials</t>
        </is>
      </c>
      <c r="D265" s="30" t="inlineStr">
        <is>
          <t>steel - large</t>
        </is>
      </c>
      <c r="E265" s="30" t="inlineStr">
        <is>
          <t>largecap</t>
        </is>
      </c>
      <c r="F265" s="30" t="n">
        <v>60208.49</v>
      </c>
      <c r="G265" s="30" t="n">
        <v>3070.2</v>
      </c>
      <c r="H265" s="30" t="n">
        <v>-1.3</v>
      </c>
      <c r="I265" s="30" t="n">
        <v>194889</v>
      </c>
      <c r="J265" s="30" t="inlineStr">
        <is>
          <t>540762</t>
        </is>
      </c>
    </row>
    <row r="266">
      <c r="A266" s="30" t="inlineStr">
        <is>
          <t>SANSERA</t>
        </is>
      </c>
      <c r="B266" s="30" t="inlineStr">
        <is>
          <t>Sansera Engineering Ltd</t>
        </is>
      </c>
      <c r="C266" s="30" t="inlineStr">
        <is>
          <t>auto</t>
        </is>
      </c>
      <c r="D266" s="30" t="inlineStr">
        <is>
          <t>auto ancillaries</t>
        </is>
      </c>
      <c r="E266" s="30" t="inlineStr">
        <is>
          <t>midcap</t>
        </is>
      </c>
      <c r="F266" s="30" t="n">
        <v>18408.52</v>
      </c>
      <c r="G266" s="30" t="n">
        <v>2914.8</v>
      </c>
      <c r="H266" s="30" t="n">
        <v>-1.3</v>
      </c>
      <c r="I266" s="30" t="n">
        <v>301913</v>
      </c>
      <c r="J266" s="30" t="inlineStr">
        <is>
          <t>543358</t>
        </is>
      </c>
    </row>
    <row r="267">
      <c r="A267" s="30" t="inlineStr">
        <is>
          <t>RITCO</t>
        </is>
      </c>
      <c r="B267" s="30" t="inlineStr">
        <is>
          <t>Ritco Logistics Ltd</t>
        </is>
      </c>
      <c r="C267" s="30" t="inlineStr">
        <is>
          <t>transportation</t>
        </is>
      </c>
      <c r="D267" s="30" t="inlineStr">
        <is>
          <t>miscellaneous</t>
        </is>
      </c>
      <c r="E267" s="30" t="inlineStr">
        <is>
          <t>smallcap</t>
        </is>
      </c>
      <c r="F267" s="30" t="n">
        <v>757.5</v>
      </c>
      <c r="G267" s="30" t="n">
        <v>261.15</v>
      </c>
      <c r="H267" s="30" t="n">
        <v>-1.32</v>
      </c>
      <c r="I267" s="30" t="n">
        <v>131793</v>
      </c>
      <c r="J267" s="30" t="inlineStr">
        <is>
          <t>542383</t>
        </is>
      </c>
    </row>
    <row r="268">
      <c r="A268" s="30" t="inlineStr">
        <is>
          <t>WHEELS</t>
        </is>
      </c>
      <c r="B268" s="30" t="inlineStr">
        <is>
          <t>Wheels India Limited</t>
        </is>
      </c>
      <c r="C268" s="30" t="inlineStr">
        <is>
          <t>auto</t>
        </is>
      </c>
      <c r="D268" s="30" t="inlineStr">
        <is>
          <t>auto ancillaries</t>
        </is>
      </c>
      <c r="E268" s="30" t="inlineStr">
        <is>
          <t>smallcap</t>
        </is>
      </c>
      <c r="F268" s="30" t="n">
        <v>3708.69</v>
      </c>
      <c r="G268" s="30" t="n">
        <v>1497.7</v>
      </c>
      <c r="H268" s="30" t="n">
        <v>-1.33</v>
      </c>
      <c r="I268" s="30" t="n">
        <v>80547</v>
      </c>
      <c r="J268" s="30" t="inlineStr">
        <is>
          <t>590073</t>
        </is>
      </c>
    </row>
    <row r="269">
      <c r="A269" s="30" t="inlineStr">
        <is>
          <t>RML</t>
        </is>
      </c>
      <c r="B269" s="30" t="inlineStr">
        <is>
          <t>Rane (madras) Limited</t>
        </is>
      </c>
      <c r="C269" s="30" t="inlineStr">
        <is>
          <t>auto</t>
        </is>
      </c>
      <c r="D269" s="30" t="inlineStr">
        <is>
          <t>auto ancillaries</t>
        </is>
      </c>
      <c r="E269" s="30" t="inlineStr">
        <is>
          <t>smallcap</t>
        </is>
      </c>
      <c r="F269" s="30" t="n">
        <v>2538.06</v>
      </c>
      <c r="G269" s="30" t="n">
        <v>905.75</v>
      </c>
      <c r="H269" s="30" t="n">
        <v>-1.37</v>
      </c>
      <c r="I269" s="30" t="n">
        <v>9467</v>
      </c>
      <c r="J269" s="30" t="inlineStr">
        <is>
          <t>532661</t>
        </is>
      </c>
    </row>
    <row r="270">
      <c r="A270" s="30" t="inlineStr">
        <is>
          <t>MAYURUNIQ</t>
        </is>
      </c>
      <c r="B270" s="30" t="inlineStr">
        <is>
          <t>Mayur Uniquoters Ltd</t>
        </is>
      </c>
      <c r="C270" s="30" t="inlineStr">
        <is>
          <t>consumer discretionary</t>
        </is>
      </c>
      <c r="D270" s="30" t="inlineStr">
        <is>
          <t>leather / leather products</t>
        </is>
      </c>
      <c r="E270" s="30" t="inlineStr">
        <is>
          <t>smallcap</t>
        </is>
      </c>
      <c r="F270" s="30" t="n">
        <v>3238.31</v>
      </c>
      <c r="G270" s="30" t="n">
        <v>735.05</v>
      </c>
      <c r="H270" s="30" t="n">
        <v>-1.37</v>
      </c>
      <c r="I270" s="30" t="n">
        <v>125593</v>
      </c>
      <c r="J270" s="30" t="inlineStr">
        <is>
          <t>522249</t>
        </is>
      </c>
    </row>
    <row r="271">
      <c r="A271" s="30" t="inlineStr">
        <is>
          <t>JSWENERGY</t>
        </is>
      </c>
      <c r="B271" s="30" t="inlineStr">
        <is>
          <t>Jsw Energy Limited</t>
        </is>
      </c>
      <c r="C271" s="30" t="inlineStr">
        <is>
          <t>power &amp; utilities</t>
        </is>
      </c>
      <c r="D271" s="30" t="inlineStr">
        <is>
          <t>power generation and supply</t>
        </is>
      </c>
      <c r="E271" s="30" t="inlineStr">
        <is>
          <t>largecap</t>
        </is>
      </c>
      <c r="F271" s="30" t="n">
        <v>103425.44</v>
      </c>
      <c r="G271" s="30" t="n">
        <v>580.2</v>
      </c>
      <c r="H271" s="30" t="n">
        <v>-1.42</v>
      </c>
      <c r="I271" s="30" t="n">
        <v>1997491</v>
      </c>
      <c r="J271" s="30" t="inlineStr">
        <is>
          <t>533148</t>
        </is>
      </c>
    </row>
    <row r="272">
      <c r="A272" s="30" t="inlineStr">
        <is>
          <t>ADANIENT</t>
        </is>
      </c>
      <c r="B272" s="30" t="inlineStr">
        <is>
          <t>Adani Enterprises Limited</t>
        </is>
      </c>
      <c r="C272" s="30" t="inlineStr">
        <is>
          <t>services</t>
        </is>
      </c>
      <c r="D272" s="30" t="inlineStr">
        <is>
          <t>trading</t>
        </is>
      </c>
      <c r="E272" s="30" t="inlineStr">
        <is>
          <t>largecap</t>
        </is>
      </c>
      <c r="F272" s="30" t="n">
        <v>383681.07</v>
      </c>
      <c r="G272" s="30" t="n">
        <v>2925.6</v>
      </c>
      <c r="H272" s="30" t="n">
        <v>-1.43</v>
      </c>
      <c r="I272" s="30" t="n">
        <v>1346112</v>
      </c>
      <c r="J272" s="30" t="inlineStr">
        <is>
          <t>512599</t>
        </is>
      </c>
    </row>
    <row r="273">
      <c r="A273" s="30" t="inlineStr">
        <is>
          <t>JSFB</t>
        </is>
      </c>
      <c r="B273" s="30" t="inlineStr">
        <is>
          <t>Jana Small Finance Bank Ltd</t>
        </is>
      </c>
      <c r="C273" s="30" t="inlineStr">
        <is>
          <t>bank</t>
        </is>
      </c>
      <c r="D273" s="30" t="inlineStr">
        <is>
          <t>banks - private sector</t>
        </is>
      </c>
      <c r="E273" s="30" t="inlineStr">
        <is>
          <t>midcap</t>
        </is>
      </c>
      <c r="F273" s="30" t="n">
        <v>5168.8</v>
      </c>
      <c r="G273" s="30" t="n">
        <v>483.75</v>
      </c>
      <c r="H273" s="30" t="n">
        <v>-1.43</v>
      </c>
      <c r="I273" s="30" t="n">
        <v>491117</v>
      </c>
      <c r="J273" s="30" t="n"/>
    </row>
    <row r="274">
      <c r="A274" s="30" t="inlineStr">
        <is>
          <t>ADANIPOWER</t>
        </is>
      </c>
      <c r="B274" s="30" t="inlineStr">
        <is>
          <t>Adani Power Limited</t>
        </is>
      </c>
      <c r="C274" s="30" t="inlineStr">
        <is>
          <t>power &amp; utilities</t>
        </is>
      </c>
      <c r="D274" s="30" t="inlineStr">
        <is>
          <t>power generation and supply</t>
        </is>
      </c>
      <c r="E274" s="30" t="inlineStr">
        <is>
          <t>largecap</t>
        </is>
      </c>
      <c r="F274" s="30" t="n">
        <v>454983.8</v>
      </c>
      <c r="G274" s="30" t="n">
        <v>232.52</v>
      </c>
      <c r="H274" s="30" t="n">
        <v>-1.45</v>
      </c>
      <c r="I274" s="30" t="n">
        <v>22600806</v>
      </c>
      <c r="J274" s="30" t="inlineStr">
        <is>
          <t>533096</t>
        </is>
      </c>
    </row>
    <row r="275">
      <c r="A275" s="30" t="inlineStr">
        <is>
          <t>SBCL</t>
        </is>
      </c>
      <c r="B275" s="30" t="inlineStr">
        <is>
          <t>Shivalik Bimetal Controls Ltd</t>
        </is>
      </c>
      <c r="C275" s="30" t="inlineStr">
        <is>
          <t>metals &amp; mining</t>
        </is>
      </c>
      <c r="D275" s="30" t="inlineStr">
        <is>
          <t>mining / minerals / metals</t>
        </is>
      </c>
      <c r="E275" s="30" t="inlineStr">
        <is>
          <t>smallcap</t>
        </is>
      </c>
      <c r="F275" s="30" t="n">
        <v>4231.32</v>
      </c>
      <c r="G275" s="30" t="n">
        <v>723.9</v>
      </c>
      <c r="H275" s="30" t="n">
        <v>-1.45</v>
      </c>
      <c r="I275" s="30" t="n">
        <v>231427</v>
      </c>
      <c r="J275" s="30" t="inlineStr">
        <is>
          <t>513097</t>
        </is>
      </c>
    </row>
    <row r="276">
      <c r="A276" s="30" t="inlineStr">
        <is>
          <t>SOFTTECH</t>
        </is>
      </c>
      <c r="B276" s="30" t="inlineStr">
        <is>
          <t>Softtech Engineers Ltd</t>
        </is>
      </c>
      <c r="C276" s="30" t="inlineStr">
        <is>
          <t>i.t</t>
        </is>
      </c>
      <c r="D276" s="30" t="inlineStr">
        <is>
          <t>computers - software - medium / small</t>
        </is>
      </c>
      <c r="E276" s="30" t="inlineStr">
        <is>
          <t>smallcap</t>
        </is>
      </c>
      <c r="F276" s="30" t="n">
        <v>640.89</v>
      </c>
      <c r="G276" s="30" t="n">
        <v>456</v>
      </c>
      <c r="H276" s="30" t="n">
        <v>-1.51</v>
      </c>
      <c r="I276" s="30" t="n">
        <v>1835</v>
      </c>
      <c r="J276" s="30" t="inlineStr">
        <is>
          <t>535078</t>
        </is>
      </c>
    </row>
    <row r="277">
      <c r="A277" s="30" t="inlineStr">
        <is>
          <t>ADANIGREEN</t>
        </is>
      </c>
      <c r="B277" s="30" t="inlineStr">
        <is>
          <t>Adani Green Energy Ltd</t>
        </is>
      </c>
      <c r="C277" s="30" t="inlineStr">
        <is>
          <t>power &amp; utilities</t>
        </is>
      </c>
      <c r="D277" s="30" t="inlineStr">
        <is>
          <t>power generation and supply</t>
        </is>
      </c>
      <c r="E277" s="30" t="inlineStr">
        <is>
          <t>largecap</t>
        </is>
      </c>
      <c r="F277" s="30" t="n">
        <v>238741.71</v>
      </c>
      <c r="G277" s="30" t="n">
        <v>1427.5</v>
      </c>
      <c r="H277" s="30" t="n">
        <v>-1.51</v>
      </c>
      <c r="I277" s="30" t="n">
        <v>2227421</v>
      </c>
      <c r="J277" s="30" t="inlineStr">
        <is>
          <t>541450</t>
        </is>
      </c>
    </row>
    <row r="278">
      <c r="A278" s="30" t="inlineStr">
        <is>
          <t>SEAMECLTD</t>
        </is>
      </c>
      <c r="B278" s="30" t="inlineStr">
        <is>
          <t>Seamec Limited</t>
        </is>
      </c>
      <c r="C278" s="30" t="inlineStr">
        <is>
          <t>miscellaneous</t>
        </is>
      </c>
      <c r="D278" s="30" t="inlineStr">
        <is>
          <t>miscellaneous</t>
        </is>
      </c>
      <c r="E278" s="30" t="inlineStr">
        <is>
          <t>smallcap</t>
        </is>
      </c>
      <c r="F278" s="30" t="n">
        <v>4178.09</v>
      </c>
      <c r="G278" s="30" t="n">
        <v>1617.3</v>
      </c>
      <c r="H278" s="30" t="n">
        <v>-1.58</v>
      </c>
      <c r="I278" s="30" t="n">
        <v>184075</v>
      </c>
      <c r="J278" s="30" t="inlineStr">
        <is>
          <t>526807</t>
        </is>
      </c>
    </row>
    <row r="279">
      <c r="A279" s="30" t="inlineStr">
        <is>
          <t>LLOYDSME</t>
        </is>
      </c>
      <c r="B279" s="30" t="inlineStr">
        <is>
          <t>Lloyds Metals &amp; Energy Ltd</t>
        </is>
      </c>
      <c r="C279" s="30" t="inlineStr">
        <is>
          <t>metals &amp; mining</t>
        </is>
      </c>
      <c r="D279" s="30" t="inlineStr">
        <is>
          <t>mining / minerals / metals</t>
        </is>
      </c>
      <c r="E279" s="30" t="inlineStr">
        <is>
          <t>largecap</t>
        </is>
      </c>
      <c r="F279" s="30" t="n">
        <v>102522.56</v>
      </c>
      <c r="G279" s="30" t="n">
        <v>1792.8</v>
      </c>
      <c r="H279" s="30" t="n">
        <v>-1.59</v>
      </c>
      <c r="I279" s="30" t="n">
        <v>447376</v>
      </c>
      <c r="J279" s="30" t="inlineStr">
        <is>
          <t>512455</t>
        </is>
      </c>
    </row>
    <row r="280">
      <c r="A280" s="30" t="inlineStr">
        <is>
          <t>VEDL</t>
        </is>
      </c>
      <c r="B280" s="30" t="inlineStr">
        <is>
          <t>Vedanta Limited</t>
        </is>
      </c>
      <c r="C280" s="30" t="inlineStr">
        <is>
          <t>metals &amp; mining</t>
        </is>
      </c>
      <c r="D280" s="30" t="inlineStr">
        <is>
          <t>mining / minerals / metals</t>
        </is>
      </c>
      <c r="E280" s="30" t="inlineStr">
        <is>
          <t>largecap</t>
        </is>
      </c>
      <c r="F280" s="30" t="n">
        <v>130430.99</v>
      </c>
      <c r="G280" s="30" t="n">
        <v>328.2</v>
      </c>
      <c r="H280" s="30" t="n">
        <v>-1.6</v>
      </c>
      <c r="I280" s="30" t="n">
        <v>20194365</v>
      </c>
      <c r="J280" s="30" t="inlineStr">
        <is>
          <t>500295</t>
        </is>
      </c>
    </row>
    <row r="281">
      <c r="A281" s="30" t="inlineStr">
        <is>
          <t>CEMPRO</t>
        </is>
      </c>
      <c r="B281" s="30" t="inlineStr">
        <is>
          <t>Cemindia Projects Ltd</t>
        </is>
      </c>
      <c r="C281" s="30" t="inlineStr">
        <is>
          <t>realty</t>
        </is>
      </c>
      <c r="D281" s="30" t="inlineStr">
        <is>
          <t>construction</t>
        </is>
      </c>
      <c r="E281" s="30" t="inlineStr">
        <is>
          <t>midcap</t>
        </is>
      </c>
      <c r="F281" s="30" t="n">
        <v>17895.11</v>
      </c>
      <c r="G281" s="30" t="n">
        <v>1024.9</v>
      </c>
      <c r="H281" s="30" t="n">
        <v>-1.61</v>
      </c>
      <c r="I281" s="30" t="n">
        <v>433507</v>
      </c>
      <c r="J281" s="30" t="inlineStr">
        <is>
          <t>509496</t>
        </is>
      </c>
    </row>
    <row r="282">
      <c r="A282" s="30" t="inlineStr">
        <is>
          <t>NETWEB</t>
        </is>
      </c>
      <c r="B282" s="30" t="inlineStr">
        <is>
          <t>Netweb Technologies India Ltd</t>
        </is>
      </c>
      <c r="C282" s="30" t="inlineStr">
        <is>
          <t>i.t</t>
        </is>
      </c>
      <c r="D282" s="30" t="inlineStr">
        <is>
          <t>computers - hardware</t>
        </is>
      </c>
      <c r="E282" s="30" t="inlineStr">
        <is>
          <t>largecap</t>
        </is>
      </c>
      <c r="F282" s="30" t="n">
        <v>27233.59</v>
      </c>
      <c r="G282" s="30" t="n">
        <v>4705.3</v>
      </c>
      <c r="H282" s="30" t="n">
        <v>-1.62</v>
      </c>
      <c r="I282" s="30" t="n">
        <v>2662374</v>
      </c>
      <c r="J282" s="30" t="inlineStr">
        <is>
          <t>543945</t>
        </is>
      </c>
    </row>
    <row r="283">
      <c r="A283" s="30" t="inlineStr">
        <is>
          <t>RPEL</t>
        </is>
      </c>
      <c r="B283" s="30" t="inlineStr">
        <is>
          <t>Raghav Productivity Enhancers Ltd</t>
        </is>
      </c>
      <c r="C283" s="30" t="inlineStr">
        <is>
          <t>building materials</t>
        </is>
      </c>
      <c r="D283" s="30" t="inlineStr">
        <is>
          <t>refractories / intermediates</t>
        </is>
      </c>
      <c r="E283" s="30" t="inlineStr">
        <is>
          <t>smallcap</t>
        </is>
      </c>
      <c r="F283" s="30" t="n">
        <v>4633.44</v>
      </c>
      <c r="G283" s="30" t="n">
        <v>992.7</v>
      </c>
      <c r="H283" s="30" t="n">
        <v>-1.64</v>
      </c>
      <c r="I283" s="30" t="n">
        <v>68259</v>
      </c>
      <c r="J283" s="30" t="inlineStr">
        <is>
          <t>539837</t>
        </is>
      </c>
    </row>
    <row r="284">
      <c r="A284" s="30" t="inlineStr">
        <is>
          <t>PARAS</t>
        </is>
      </c>
      <c r="B284" s="30" t="inlineStr">
        <is>
          <t>Paras Defence and Space Technologies Ltd</t>
        </is>
      </c>
      <c r="C284" s="30" t="inlineStr">
        <is>
          <t>aerospace &amp; defence</t>
        </is>
      </c>
      <c r="D284" s="30" t="inlineStr">
        <is>
          <t>engineering</t>
        </is>
      </c>
      <c r="E284" s="30" t="inlineStr">
        <is>
          <t>midcap</t>
        </is>
      </c>
      <c r="F284" s="30" t="n">
        <v>6879.74</v>
      </c>
      <c r="G284" s="30" t="n">
        <v>839.35</v>
      </c>
      <c r="H284" s="30" t="n">
        <v>-1.68</v>
      </c>
      <c r="I284" s="30" t="n">
        <v>1214263</v>
      </c>
      <c r="J284" s="30" t="inlineStr">
        <is>
          <t>543367</t>
        </is>
      </c>
    </row>
    <row r="285">
      <c r="A285" s="30" t="inlineStr">
        <is>
          <t>LLOYDSENGG</t>
        </is>
      </c>
      <c r="B285" s="30" t="inlineStr">
        <is>
          <t>Lloyds Engineering Works Ltd</t>
        </is>
      </c>
      <c r="C285" s="30" t="inlineStr">
        <is>
          <t>industrials</t>
        </is>
      </c>
      <c r="D285" s="30" t="inlineStr">
        <is>
          <t>engineering</t>
        </is>
      </c>
      <c r="E285" s="30" t="inlineStr">
        <is>
          <t>midcap</t>
        </is>
      </c>
      <c r="F285" s="30" t="n">
        <v>10675.83</v>
      </c>
      <c r="G285" s="30" t="n">
        <v>70.91</v>
      </c>
      <c r="H285" s="30" t="n">
        <v>-1.69</v>
      </c>
      <c r="I285" s="30" t="n">
        <v>7412626</v>
      </c>
      <c r="J285" s="30" t="inlineStr">
        <is>
          <t>539992</t>
        </is>
      </c>
    </row>
    <row r="286">
      <c r="A286" s="30" t="inlineStr">
        <is>
          <t>ACMESOLAR</t>
        </is>
      </c>
      <c r="B286" s="30" t="inlineStr">
        <is>
          <t>ACME Solar Holdings Ltd</t>
        </is>
      </c>
      <c r="C286" s="30" t="inlineStr">
        <is>
          <t>realty</t>
        </is>
      </c>
      <c r="D286" s="30" t="inlineStr">
        <is>
          <t>engineering - turnkey services</t>
        </is>
      </c>
      <c r="E286" s="30" t="inlineStr">
        <is>
          <t>largecap</t>
        </is>
      </c>
      <c r="F286" s="30" t="n">
        <v>20284.91</v>
      </c>
      <c r="G286" s="30" t="n">
        <v>329.05</v>
      </c>
      <c r="H286" s="30" t="n">
        <v>-1.7</v>
      </c>
      <c r="I286" s="30" t="n">
        <v>3477148</v>
      </c>
      <c r="J286" s="30" t="inlineStr">
        <is>
          <t>544283</t>
        </is>
      </c>
    </row>
    <row r="287">
      <c r="A287" s="30" t="inlineStr">
        <is>
          <t>KDDL</t>
        </is>
      </c>
      <c r="B287" s="30" t="inlineStr">
        <is>
          <t>Kddl Limited</t>
        </is>
      </c>
      <c r="C287" s="30" t="inlineStr">
        <is>
          <t>consumer discretionary</t>
        </is>
      </c>
      <c r="D287" s="30" t="inlineStr">
        <is>
          <t>miscellaneous</t>
        </is>
      </c>
      <c r="E287" s="30" t="inlineStr">
        <is>
          <t>smallcap</t>
        </is>
      </c>
      <c r="F287" s="30" t="n">
        <v>3482.66</v>
      </c>
      <c r="G287" s="30" t="n">
        <v>2782.6</v>
      </c>
      <c r="H287" s="30" t="n">
        <v>-1.73</v>
      </c>
      <c r="I287" s="30" t="n">
        <v>28024</v>
      </c>
      <c r="J287" s="30" t="inlineStr">
        <is>
          <t>532054</t>
        </is>
      </c>
    </row>
    <row r="288">
      <c r="A288" s="30" t="inlineStr">
        <is>
          <t>SUPRIYA</t>
        </is>
      </c>
      <c r="B288" s="30" t="inlineStr">
        <is>
          <t>Supriya Lifescience Ltd</t>
        </is>
      </c>
      <c r="C288" s="30" t="inlineStr">
        <is>
          <t>healthcare</t>
        </is>
      </c>
      <c r="D288" s="30" t="inlineStr">
        <is>
          <t>pharmaceuticals - indian - bulk drugs &amp; formln</t>
        </is>
      </c>
      <c r="E288" s="30" t="inlineStr">
        <is>
          <t>midcap</t>
        </is>
      </c>
      <c r="F288" s="30" t="n">
        <v>7382.28</v>
      </c>
      <c r="G288" s="30" t="n">
        <v>900.95</v>
      </c>
      <c r="H288" s="30" t="n">
        <v>-1.78</v>
      </c>
      <c r="I288" s="30" t="n">
        <v>999067</v>
      </c>
      <c r="J288" s="30" t="inlineStr">
        <is>
          <t>543434</t>
        </is>
      </c>
    </row>
    <row r="289">
      <c r="A289" s="30" t="inlineStr">
        <is>
          <t>EXIDEIND</t>
        </is>
      </c>
      <c r="B289" s="30" t="inlineStr">
        <is>
          <t>Exide Industries Limited</t>
        </is>
      </c>
      <c r="C289" s="30" t="inlineStr">
        <is>
          <t>auto</t>
        </is>
      </c>
      <c r="D289" s="30" t="inlineStr">
        <is>
          <t>auto ancillaries</t>
        </is>
      </c>
      <c r="E289" s="30" t="inlineStr">
        <is>
          <t>largecap</t>
        </is>
      </c>
      <c r="F289" s="30" t="n">
        <v>34531.25</v>
      </c>
      <c r="G289" s="30" t="n">
        <v>398.95</v>
      </c>
      <c r="H289" s="30" t="n">
        <v>-1.8</v>
      </c>
      <c r="I289" s="30" t="n">
        <v>3802136</v>
      </c>
      <c r="J289" s="30" t="inlineStr">
        <is>
          <t>500086</t>
        </is>
      </c>
    </row>
    <row r="290">
      <c r="A290" s="30" t="inlineStr">
        <is>
          <t>VISHNU</t>
        </is>
      </c>
      <c r="B290" s="30" t="inlineStr">
        <is>
          <t>Vishnu Chemicals Limited</t>
        </is>
      </c>
      <c r="C290" s="30" t="inlineStr">
        <is>
          <t>chemicals</t>
        </is>
      </c>
      <c r="D290" s="30" t="inlineStr">
        <is>
          <t>chemicals</t>
        </is>
      </c>
      <c r="E290" s="30" t="inlineStr">
        <is>
          <t>smallcap</t>
        </is>
      </c>
      <c r="F290" s="30" t="n">
        <v>4218.65</v>
      </c>
      <c r="G290" s="30" t="n">
        <v>615.3</v>
      </c>
      <c r="H290" s="30" t="n">
        <v>-1.82</v>
      </c>
      <c r="I290" s="30" t="n">
        <v>141623</v>
      </c>
      <c r="J290" s="30" t="inlineStr">
        <is>
          <t>516072</t>
        </is>
      </c>
    </row>
    <row r="291">
      <c r="A291" s="30" t="inlineStr">
        <is>
          <t>TIPSMUSIC</t>
        </is>
      </c>
      <c r="B291" s="30" t="inlineStr">
        <is>
          <t>Tips Music Ltd</t>
        </is>
      </c>
      <c r="C291" s="30" t="inlineStr">
        <is>
          <t>media</t>
        </is>
      </c>
      <c r="D291" s="30" t="inlineStr">
        <is>
          <t>entertainment / electronic media software</t>
        </is>
      </c>
      <c r="E291" s="30" t="inlineStr">
        <is>
          <t>midcap</t>
        </is>
      </c>
      <c r="F291" s="30" t="n">
        <v>8594.120000000001</v>
      </c>
      <c r="G291" s="30" t="n">
        <v>659.85</v>
      </c>
      <c r="H291" s="30" t="n">
        <v>-1.85</v>
      </c>
      <c r="I291" s="30" t="n">
        <v>116411</v>
      </c>
      <c r="J291" s="30" t="inlineStr">
        <is>
          <t>532375</t>
        </is>
      </c>
    </row>
    <row r="292">
      <c r="A292" s="30" t="inlineStr">
        <is>
          <t>GLAND</t>
        </is>
      </c>
      <c r="B292" s="30" t="inlineStr">
        <is>
          <t>Gland Pharma Ltd</t>
        </is>
      </c>
      <c r="C292" s="30" t="inlineStr">
        <is>
          <t>healthcare</t>
        </is>
      </c>
      <c r="D292" s="30" t="inlineStr">
        <is>
          <t>pharmaceuticals - indian - formulations</t>
        </is>
      </c>
      <c r="E292" s="30" t="inlineStr">
        <is>
          <t>largecap</t>
        </is>
      </c>
      <c r="F292" s="30" t="n">
        <v>37515.04</v>
      </c>
      <c r="G292" s="30" t="n">
        <v>2232.3</v>
      </c>
      <c r="H292" s="30" t="n">
        <v>-1.96</v>
      </c>
      <c r="I292" s="30" t="n">
        <v>255715</v>
      </c>
      <c r="J292" s="30" t="inlineStr">
        <is>
          <t>543245</t>
        </is>
      </c>
    </row>
    <row r="293">
      <c r="A293" s="30" t="inlineStr">
        <is>
          <t>MCLEODRUSS</t>
        </is>
      </c>
      <c r="B293" s="30" t="inlineStr">
        <is>
          <t>Mcleod Russel India Limited</t>
        </is>
      </c>
      <c r="C293" s="30" t="inlineStr">
        <is>
          <t>fmcg</t>
        </is>
      </c>
      <c r="D293" s="30" t="inlineStr">
        <is>
          <t>tea</t>
        </is>
      </c>
      <c r="E293" s="30" t="inlineStr">
        <is>
          <t>smallcap</t>
        </is>
      </c>
      <c r="F293" s="30" t="n">
        <v>786.76</v>
      </c>
      <c r="G293" s="30" t="n">
        <v>73.81999999999999</v>
      </c>
      <c r="H293" s="30" t="n">
        <v>-1.99</v>
      </c>
      <c r="I293" s="30" t="n">
        <v>124129</v>
      </c>
      <c r="J293" s="30" t="inlineStr">
        <is>
          <t>532654</t>
        </is>
      </c>
    </row>
    <row r="294">
      <c r="A294" s="30" t="inlineStr">
        <is>
          <t>S&amp;SPOWER</t>
        </is>
      </c>
      <c r="B294" s="30" t="inlineStr">
        <is>
          <t>S &amp; S Power Switchgear Ltd</t>
        </is>
      </c>
      <c r="C294" s="30" t="inlineStr">
        <is>
          <t>industrials</t>
        </is>
      </c>
      <c r="D294" s="30" t="inlineStr">
        <is>
          <t>electric equipment</t>
        </is>
      </c>
      <c r="E294" s="30" t="inlineStr">
        <is>
          <t>smallcap</t>
        </is>
      </c>
      <c r="F294" s="30" t="n">
        <v>501.07</v>
      </c>
      <c r="G294" s="30" t="n">
        <v>397.9</v>
      </c>
      <c r="H294" s="30" t="n">
        <v>-2</v>
      </c>
      <c r="I294" s="30" t="n">
        <v>832</v>
      </c>
      <c r="J294" s="30" t="inlineStr">
        <is>
          <t>517273</t>
        </is>
      </c>
    </row>
    <row r="295">
      <c r="A295" s="30" t="inlineStr">
        <is>
          <t>RPTECH</t>
        </is>
      </c>
      <c r="B295" s="30" t="inlineStr">
        <is>
          <t>Rashi Peripherals Ltd</t>
        </is>
      </c>
      <c r="C295" s="30" t="inlineStr">
        <is>
          <t>services</t>
        </is>
      </c>
      <c r="D295" s="30" t="inlineStr">
        <is>
          <t>trading</t>
        </is>
      </c>
      <c r="E295" s="30" t="inlineStr">
        <is>
          <t>smallcap</t>
        </is>
      </c>
      <c r="F295" s="30" t="n">
        <v>3652.16</v>
      </c>
      <c r="G295" s="30" t="n">
        <v>542.25</v>
      </c>
      <c r="H295" s="30" t="n">
        <v>-2.16</v>
      </c>
      <c r="I295" s="30" t="n">
        <v>114532</v>
      </c>
      <c r="J295" s="30" t="n"/>
    </row>
    <row r="296">
      <c r="A296" s="30" t="inlineStr">
        <is>
          <t>MARINE</t>
        </is>
      </c>
      <c r="B296" s="30" t="inlineStr">
        <is>
          <t>Marine Electricals (India) Ltd</t>
        </is>
      </c>
      <c r="C296" s="30" t="inlineStr">
        <is>
          <t>industrials</t>
        </is>
      </c>
      <c r="D296" s="30" t="inlineStr">
        <is>
          <t>electric equipment</t>
        </is>
      </c>
      <c r="E296" s="30" t="inlineStr">
        <is>
          <t>smallcap</t>
        </is>
      </c>
      <c r="F296" s="30" t="n">
        <v>633.2</v>
      </c>
      <c r="G296" s="30" t="n">
        <v>252.45</v>
      </c>
      <c r="H296" s="30" t="n">
        <v>-2.19</v>
      </c>
      <c r="I296" s="30" t="n">
        <v>866478</v>
      </c>
      <c r="J296" s="30" t="inlineStr">
        <is>
          <t>535119</t>
        </is>
      </c>
    </row>
    <row r="297">
      <c r="A297" s="30" t="inlineStr">
        <is>
          <t>ANGELONE</t>
        </is>
      </c>
      <c r="B297" s="30" t="inlineStr">
        <is>
          <t>Angel One Ltd</t>
        </is>
      </c>
      <c r="C297" s="30" t="inlineStr">
        <is>
          <t>financials</t>
        </is>
      </c>
      <c r="D297" s="30" t="inlineStr">
        <is>
          <t>finance &amp; investments</t>
        </is>
      </c>
      <c r="E297" s="30" t="inlineStr">
        <is>
          <t>largecap</t>
        </is>
      </c>
      <c r="F297" s="30" t="n">
        <v>31210.59</v>
      </c>
      <c r="G297" s="30" t="n">
        <v>334.75</v>
      </c>
      <c r="H297" s="30" t="n">
        <v>-2.31</v>
      </c>
      <c r="I297" s="30" t="n">
        <v>6426900</v>
      </c>
      <c r="J297" s="30" t="n"/>
    </row>
    <row r="298">
      <c r="A298" s="30" t="inlineStr">
        <is>
          <t>PTCIL</t>
        </is>
      </c>
      <c r="B298" s="30" t="inlineStr">
        <is>
          <t>PTC Industries Ltd</t>
        </is>
      </c>
      <c r="C298" s="30" t="inlineStr">
        <is>
          <t>industrials</t>
        </is>
      </c>
      <c r="D298" s="30" t="inlineStr">
        <is>
          <t>castings &amp; forgings</t>
        </is>
      </c>
      <c r="E298" s="30" t="inlineStr">
        <is>
          <t>largecap</t>
        </is>
      </c>
      <c r="F298" s="30" t="n">
        <v>29055.56</v>
      </c>
      <c r="G298" s="30" t="n">
        <v>18919</v>
      </c>
      <c r="H298" s="30" t="n">
        <v>-2.38</v>
      </c>
      <c r="I298" s="30" t="n">
        <v>56063</v>
      </c>
      <c r="J298" s="30" t="inlineStr">
        <is>
          <t>539006</t>
        </is>
      </c>
    </row>
    <row r="299">
      <c r="A299" s="30" t="inlineStr">
        <is>
          <t>ADANIENSOL</t>
        </is>
      </c>
      <c r="B299" s="30" t="inlineStr">
        <is>
          <t>Adani Energy Solutions Ltd</t>
        </is>
      </c>
      <c r="C299" s="30" t="inlineStr">
        <is>
          <t>power &amp; utilities</t>
        </is>
      </c>
      <c r="D299" s="30" t="inlineStr">
        <is>
          <t>power generation and supply</t>
        </is>
      </c>
      <c r="E299" s="30" t="inlineStr">
        <is>
          <t>largecap</t>
        </is>
      </c>
      <c r="F299" s="30" t="n">
        <v>183868.32</v>
      </c>
      <c r="G299" s="30" t="n">
        <v>1493.1</v>
      </c>
      <c r="H299" s="30" t="n">
        <v>-2.45</v>
      </c>
      <c r="I299" s="30" t="n">
        <v>4433558</v>
      </c>
      <c r="J299" s="30" t="inlineStr">
        <is>
          <t>539254</t>
        </is>
      </c>
    </row>
    <row r="300">
      <c r="A300" s="30" t="inlineStr">
        <is>
          <t>GAYAPROJ</t>
        </is>
      </c>
      <c r="B300" s="30" t="inlineStr">
        <is>
          <t>Gayatri Projects Limited</t>
        </is>
      </c>
      <c r="C300" s="30" t="inlineStr">
        <is>
          <t>realty</t>
        </is>
      </c>
      <c r="D300" s="30" t="inlineStr">
        <is>
          <t>construction</t>
        </is>
      </c>
      <c r="E300" s="30" t="inlineStr">
        <is>
          <t>smallcap</t>
        </is>
      </c>
      <c r="F300" s="30" t="n">
        <v>610.47</v>
      </c>
      <c r="G300" s="30" t="n">
        <v>20.1</v>
      </c>
      <c r="H300" s="30" t="n">
        <v>-2.47</v>
      </c>
      <c r="I300" s="30" t="n">
        <v>807968</v>
      </c>
      <c r="J300" s="30" t="inlineStr">
        <is>
          <t>532767</t>
        </is>
      </c>
    </row>
    <row r="301">
      <c r="A301" s="30" t="inlineStr">
        <is>
          <t>PARACABLES</t>
        </is>
      </c>
      <c r="B301" s="30" t="inlineStr">
        <is>
          <t>Paramount Communications Limited</t>
        </is>
      </c>
      <c r="C301" s="30" t="inlineStr">
        <is>
          <t>industrials</t>
        </is>
      </c>
      <c r="D301" s="30" t="inlineStr">
        <is>
          <t>cables - power</t>
        </is>
      </c>
      <c r="E301" s="30" t="inlineStr">
        <is>
          <t>smallcap</t>
        </is>
      </c>
      <c r="F301" s="30" t="n">
        <v>2011.33</v>
      </c>
      <c r="G301" s="30" t="n">
        <v>64.25</v>
      </c>
      <c r="H301" s="30" t="n">
        <v>-2.5</v>
      </c>
      <c r="I301" s="30" t="n">
        <v>3240166</v>
      </c>
      <c r="J301" s="30" t="inlineStr">
        <is>
          <t>530555</t>
        </is>
      </c>
    </row>
    <row r="302">
      <c r="A302" s="30" t="inlineStr">
        <is>
          <t>JAYAGROGN</t>
        </is>
      </c>
      <c r="B302" s="30" t="inlineStr">
        <is>
          <t>Jayant Agro Organics Limited</t>
        </is>
      </c>
      <c r="C302" s="30" t="inlineStr">
        <is>
          <t>chemicals</t>
        </is>
      </c>
      <c r="D302" s="30" t="inlineStr">
        <is>
          <t>chemicals</t>
        </is>
      </c>
      <c r="E302" s="30" t="inlineStr">
        <is>
          <t>smallcap</t>
        </is>
      </c>
      <c r="F302" s="30" t="n">
        <v>706.89</v>
      </c>
      <c r="G302" s="30" t="n">
        <v>229.71</v>
      </c>
      <c r="H302" s="30" t="n">
        <v>-2.51</v>
      </c>
      <c r="I302" s="30" t="n">
        <v>6543</v>
      </c>
      <c r="J302" s="30" t="inlineStr">
        <is>
          <t>524330</t>
        </is>
      </c>
    </row>
    <row r="303">
      <c r="A303" s="30" t="inlineStr">
        <is>
          <t>UFBL</t>
        </is>
      </c>
      <c r="B303" s="30" t="inlineStr">
        <is>
          <t>United Foodbrands Ltd</t>
        </is>
      </c>
      <c r="C303" s="30" t="inlineStr">
        <is>
          <t>consumer discretionary</t>
        </is>
      </c>
      <c r="D303" s="30" t="inlineStr">
        <is>
          <t>hotels</t>
        </is>
      </c>
      <c r="E303" s="30" t="inlineStr">
        <is>
          <t>smallcap</t>
        </is>
      </c>
      <c r="F303" s="30" t="n">
        <v>1904.29</v>
      </c>
      <c r="G303" s="30" t="n">
        <v>474.85</v>
      </c>
      <c r="H303" s="30" t="n">
        <v>-2.53</v>
      </c>
      <c r="I303" s="30" t="n">
        <v>190107</v>
      </c>
      <c r="J303" s="30" t="inlineStr">
        <is>
          <t>543283</t>
        </is>
      </c>
    </row>
    <row r="304">
      <c r="A304" s="30" t="inlineStr">
        <is>
          <t>SAKAR</t>
        </is>
      </c>
      <c r="B304" s="30" t="inlineStr">
        <is>
          <t>Sakar Healthcare Ltd</t>
        </is>
      </c>
      <c r="C304" s="30" t="inlineStr">
        <is>
          <t>healthcare</t>
        </is>
      </c>
      <c r="D304" s="30" t="inlineStr">
        <is>
          <t>pharmaceuticals - indian - bulk drugs &amp; formln</t>
        </is>
      </c>
      <c r="E304" s="30" t="inlineStr">
        <is>
          <t>smallcap</t>
        </is>
      </c>
      <c r="F304" s="30" t="n">
        <v>1856.98</v>
      </c>
      <c r="G304" s="30" t="n">
        <v>812.85</v>
      </c>
      <c r="H304" s="30" t="n">
        <v>-2.61</v>
      </c>
      <c r="I304" s="30" t="n">
        <v>140577</v>
      </c>
      <c r="J304" s="30" t="inlineStr">
        <is>
          <t>538377</t>
        </is>
      </c>
    </row>
    <row r="305">
      <c r="A305" s="30" t="inlineStr">
        <is>
          <t>ATGL</t>
        </is>
      </c>
      <c r="B305" s="30" t="inlineStr">
        <is>
          <t>Adani Total Gas Ltd</t>
        </is>
      </c>
      <c r="C305" s="30" t="inlineStr">
        <is>
          <t>energy</t>
        </is>
      </c>
      <c r="D305" s="30" t="inlineStr">
        <is>
          <t>miscellaneous</t>
        </is>
      </c>
      <c r="E305" s="30" t="inlineStr">
        <is>
          <t>largecap</t>
        </is>
      </c>
      <c r="F305" s="30" t="n">
        <v>81182.48</v>
      </c>
      <c r="G305" s="30" t="n">
        <v>717.6</v>
      </c>
      <c r="H305" s="30" t="n">
        <v>-2.78</v>
      </c>
      <c r="I305" s="30" t="n">
        <v>7961803</v>
      </c>
      <c r="J305" s="30" t="inlineStr">
        <is>
          <t>542066</t>
        </is>
      </c>
    </row>
    <row r="306">
      <c r="A306" s="30" t="inlineStr">
        <is>
          <t>BAJAJCON</t>
        </is>
      </c>
      <c r="B306" s="30" t="inlineStr">
        <is>
          <t>Bajaj Consumer Care Ltd</t>
        </is>
      </c>
      <c r="C306" s="30" t="inlineStr">
        <is>
          <t>fmcg</t>
        </is>
      </c>
      <c r="D306" s="30" t="inlineStr">
        <is>
          <t>personal care - indian</t>
        </is>
      </c>
      <c r="E306" s="30" t="inlineStr">
        <is>
          <t>midcap</t>
        </is>
      </c>
      <c r="F306" s="30" t="n">
        <v>7466.8</v>
      </c>
      <c r="G306" s="30" t="n">
        <v>555.4</v>
      </c>
      <c r="H306" s="30" t="n">
        <v>-2.84</v>
      </c>
      <c r="I306" s="30" t="n">
        <v>693422</v>
      </c>
      <c r="J306" s="30" t="inlineStr">
        <is>
          <t>533229</t>
        </is>
      </c>
    </row>
    <row r="307">
      <c r="A307" s="30" t="inlineStr">
        <is>
          <t>VIJAYA</t>
        </is>
      </c>
      <c r="B307" s="30" t="inlineStr">
        <is>
          <t>Vijaya Diagnostic Centre Ltd</t>
        </is>
      </c>
      <c r="C307" s="30" t="inlineStr">
        <is>
          <t>healthcare</t>
        </is>
      </c>
      <c r="D307" s="30" t="inlineStr">
        <is>
          <t>healthcare</t>
        </is>
      </c>
      <c r="E307" s="30" t="inlineStr">
        <is>
          <t>midcap</t>
        </is>
      </c>
      <c r="F307" s="30" t="n">
        <v>13551.5</v>
      </c>
      <c r="G307" s="30" t="n">
        <v>1279.4</v>
      </c>
      <c r="H307" s="30" t="n">
        <v>-2.86</v>
      </c>
      <c r="I307" s="30" t="n">
        <v>109859</v>
      </c>
      <c r="J307" s="30" t="inlineStr">
        <is>
          <t>543350</t>
        </is>
      </c>
    </row>
    <row r="308">
      <c r="A308" s="30" t="inlineStr">
        <is>
          <t>OMAXAUTO</t>
        </is>
      </c>
      <c r="B308" s="30" t="inlineStr">
        <is>
          <t>Omax Autos Limited</t>
        </is>
      </c>
      <c r="C308" s="30" t="inlineStr">
        <is>
          <t>auto</t>
        </is>
      </c>
      <c r="D308" s="30" t="inlineStr">
        <is>
          <t>auto ancillaries</t>
        </is>
      </c>
      <c r="E308" s="30" t="inlineStr">
        <is>
          <t>smallcap</t>
        </is>
      </c>
      <c r="F308" s="30" t="n">
        <v>522.51</v>
      </c>
      <c r="G308" s="30" t="n">
        <v>237.3</v>
      </c>
      <c r="H308" s="30" t="n">
        <v>-2.87</v>
      </c>
      <c r="I308" s="30" t="n">
        <v>79756</v>
      </c>
      <c r="J308" s="30" t="inlineStr">
        <is>
          <t>520021</t>
        </is>
      </c>
    </row>
    <row r="309">
      <c r="A309" s="30" t="inlineStr">
        <is>
          <t>HESTERBIO</t>
        </is>
      </c>
      <c r="B309" s="30" t="inlineStr">
        <is>
          <t>Hester Biosciences Limited</t>
        </is>
      </c>
      <c r="C309" s="30" t="inlineStr">
        <is>
          <t>healthcare</t>
        </is>
      </c>
      <c r="D309" s="30" t="inlineStr">
        <is>
          <t>pharmaceuticals - indian - formulations</t>
        </is>
      </c>
      <c r="E309" s="30" t="inlineStr">
        <is>
          <t>smallcap</t>
        </is>
      </c>
      <c r="F309" s="30" t="n">
        <v>1714.47</v>
      </c>
      <c r="G309" s="30" t="n">
        <v>1956.9</v>
      </c>
      <c r="H309" s="30" t="n">
        <v>-2.9</v>
      </c>
      <c r="I309" s="30" t="n">
        <v>8024</v>
      </c>
      <c r="J309" s="30" t="inlineStr">
        <is>
          <t>524669</t>
        </is>
      </c>
    </row>
    <row r="310">
      <c r="A310" s="30" t="inlineStr">
        <is>
          <t>TRITURBINE</t>
        </is>
      </c>
      <c r="B310" s="30" t="inlineStr">
        <is>
          <t>Triveni Turbine Limited</t>
        </is>
      </c>
      <c r="C310" s="30" t="inlineStr">
        <is>
          <t>industrials</t>
        </is>
      </c>
      <c r="D310" s="30" t="inlineStr">
        <is>
          <t>electric equipment</t>
        </is>
      </c>
      <c r="E310" s="30" t="inlineStr">
        <is>
          <t>largecap</t>
        </is>
      </c>
      <c r="F310" s="30" t="n">
        <v>21910.91</v>
      </c>
      <c r="G310" s="30" t="n">
        <v>668.85</v>
      </c>
      <c r="H310" s="30" t="n">
        <v>-2.96</v>
      </c>
      <c r="I310" s="30" t="n">
        <v>831599</v>
      </c>
      <c r="J310" s="30" t="inlineStr">
        <is>
          <t>533655</t>
        </is>
      </c>
    </row>
    <row r="311">
      <c r="A311" s="30" t="inlineStr">
        <is>
          <t>ADVENZYMES</t>
        </is>
      </c>
      <c r="B311" s="30" t="inlineStr">
        <is>
          <t>Advanced Enzyme Technologies Limited</t>
        </is>
      </c>
      <c r="C311" s="30" t="inlineStr">
        <is>
          <t>healthcare</t>
        </is>
      </c>
      <c r="D311" s="30" t="inlineStr">
        <is>
          <t>pharmaceuticals - indian - bulk drugs &amp; formln</t>
        </is>
      </c>
      <c r="E311" s="30" t="inlineStr">
        <is>
          <t>smallcap</t>
        </is>
      </c>
      <c r="F311" s="30" t="n">
        <v>4388.65</v>
      </c>
      <c r="G311" s="30" t="n">
        <v>380.25</v>
      </c>
      <c r="H311" s="30" t="n">
        <v>-3.02</v>
      </c>
      <c r="I311" s="30" t="n">
        <v>201230</v>
      </c>
      <c r="J311" s="30" t="inlineStr">
        <is>
          <t>540025</t>
        </is>
      </c>
    </row>
    <row r="312">
      <c r="A312" s="30" t="inlineStr">
        <is>
          <t>GRWRHITECH</t>
        </is>
      </c>
      <c r="B312" s="30" t="inlineStr">
        <is>
          <t>Garware Hi Tech Films Ltd</t>
        </is>
      </c>
      <c r="C312" s="30" t="inlineStr">
        <is>
          <t>industrials</t>
        </is>
      </c>
      <c r="D312" s="30" t="inlineStr">
        <is>
          <t>packaging</t>
        </is>
      </c>
      <c r="E312" s="30" t="inlineStr">
        <is>
          <t>midcap</t>
        </is>
      </c>
      <c r="F312" s="30" t="n">
        <v>13694.33</v>
      </c>
      <c r="G312" s="30" t="n">
        <v>5713.5</v>
      </c>
      <c r="H312" s="30" t="n">
        <v>-3.07</v>
      </c>
      <c r="I312" s="30" t="n">
        <v>102102</v>
      </c>
      <c r="J312" s="30" t="inlineStr">
        <is>
          <t>500655</t>
        </is>
      </c>
    </row>
    <row r="313">
      <c r="A313" s="30" t="inlineStr">
        <is>
          <t>DIACABS</t>
        </is>
      </c>
      <c r="B313" s="30" t="inlineStr">
        <is>
          <t>Diamond Power Infrastructure Ltd</t>
        </is>
      </c>
      <c r="C313" s="30" t="inlineStr">
        <is>
          <t>industrials</t>
        </is>
      </c>
      <c r="D313" s="30" t="inlineStr">
        <is>
          <t>cables - power</t>
        </is>
      </c>
      <c r="E313" s="30" t="inlineStr">
        <is>
          <t>midcap</t>
        </is>
      </c>
      <c r="F313" s="30" t="n">
        <v>10257.49</v>
      </c>
      <c r="G313" s="30" t="n">
        <v>188.68</v>
      </c>
      <c r="H313" s="30" t="n">
        <v>-3.07</v>
      </c>
      <c r="I313" s="30" t="n">
        <v>2369180</v>
      </c>
      <c r="J313" s="30" t="inlineStr">
        <is>
          <t>522163</t>
        </is>
      </c>
    </row>
    <row r="314">
      <c r="A314" s="30" t="inlineStr">
        <is>
          <t>INDSWFTLAB</t>
        </is>
      </c>
      <c r="B314" s="30" t="inlineStr">
        <is>
          <t>Ind-swift Laboratories Limited</t>
        </is>
      </c>
      <c r="C314" s="30" t="inlineStr">
        <is>
          <t>healthcare</t>
        </is>
      </c>
      <c r="D314" s="30" t="inlineStr">
        <is>
          <t>pharmaceuticals - indian - bulk drugs &amp; formln</t>
        </is>
      </c>
      <c r="E314" s="30" t="inlineStr">
        <is>
          <t>smallcap</t>
        </is>
      </c>
      <c r="F314" s="30" t="n">
        <v>1407.62</v>
      </c>
      <c r="G314" s="30" t="n">
        <v>157.11</v>
      </c>
      <c r="H314" s="30" t="n">
        <v>-3.08</v>
      </c>
      <c r="I314" s="30" t="n">
        <v>862853</v>
      </c>
      <c r="J314" s="30" t="inlineStr">
        <is>
          <t>532305</t>
        </is>
      </c>
    </row>
    <row r="315">
      <c r="A315" s="30" t="inlineStr">
        <is>
          <t>CYIENTDLM</t>
        </is>
      </c>
      <c r="B315" s="30" t="inlineStr">
        <is>
          <t>Cyient DLM Ltd</t>
        </is>
      </c>
      <c r="C315" s="30" t="inlineStr">
        <is>
          <t>consumer discretionary</t>
        </is>
      </c>
      <c r="D315" s="30" t="inlineStr">
        <is>
          <t>electronics - components</t>
        </is>
      </c>
      <c r="E315" s="30" t="inlineStr">
        <is>
          <t>smallcap</t>
        </is>
      </c>
      <c r="F315" s="30" t="n">
        <v>3681.71</v>
      </c>
      <c r="G315" s="30" t="n">
        <v>449.45</v>
      </c>
      <c r="H315" s="30" t="n">
        <v>-3.11</v>
      </c>
      <c r="I315" s="30" t="n">
        <v>245534</v>
      </c>
      <c r="J315" s="30" t="inlineStr">
        <is>
          <t>543933</t>
        </is>
      </c>
    </row>
    <row r="316">
      <c r="A316" s="30" t="inlineStr">
        <is>
          <t>ARVIND</t>
        </is>
      </c>
      <c r="B316" s="30" t="inlineStr">
        <is>
          <t>Arvind Limited</t>
        </is>
      </c>
      <c r="C316" s="30" t="inlineStr">
        <is>
          <t>textiles</t>
        </is>
      </c>
      <c r="D316" s="30" t="inlineStr">
        <is>
          <t>textiles - cotton/blended</t>
        </is>
      </c>
      <c r="E316" s="30" t="inlineStr">
        <is>
          <t>midcap</t>
        </is>
      </c>
      <c r="F316" s="30" t="n">
        <v>13122.77</v>
      </c>
      <c r="G316" s="30" t="n">
        <v>485.05</v>
      </c>
      <c r="H316" s="30" t="n">
        <v>-3.12</v>
      </c>
      <c r="I316" s="30" t="n">
        <v>692347</v>
      </c>
      <c r="J316" s="30" t="inlineStr">
        <is>
          <t>500101</t>
        </is>
      </c>
    </row>
    <row r="317">
      <c r="A317" s="30" t="inlineStr">
        <is>
          <t>OFSS</t>
        </is>
      </c>
      <c r="B317" s="30" t="inlineStr">
        <is>
          <t>Oracle Financial Services Software Limited</t>
        </is>
      </c>
      <c r="C317" s="30" t="inlineStr">
        <is>
          <t>i.t</t>
        </is>
      </c>
      <c r="D317" s="30" t="inlineStr">
        <is>
          <t>computers - software - large</t>
        </is>
      </c>
      <c r="E317" s="30" t="inlineStr">
        <is>
          <t>largecap</t>
        </is>
      </c>
      <c r="F317" s="30" t="n">
        <v>90033.49000000001</v>
      </c>
      <c r="G317" s="30" t="n">
        <v>9997.5</v>
      </c>
      <c r="H317" s="30" t="n">
        <v>-3.35</v>
      </c>
      <c r="I317" s="30" t="n">
        <v>235347</v>
      </c>
      <c r="J317" s="30" t="inlineStr">
        <is>
          <t>532466</t>
        </is>
      </c>
    </row>
    <row r="318">
      <c r="A318" s="30" t="inlineStr">
        <is>
          <t>THERMAX</t>
        </is>
      </c>
      <c r="B318" s="30" t="inlineStr">
        <is>
          <t>Thermax Limited</t>
        </is>
      </c>
      <c r="C318" s="30" t="inlineStr">
        <is>
          <t>industrials</t>
        </is>
      </c>
      <c r="D318" s="30" t="inlineStr">
        <is>
          <t>electric equipment</t>
        </is>
      </c>
      <c r="E318" s="30" t="inlineStr">
        <is>
          <t>largecap</t>
        </is>
      </c>
      <c r="F318" s="30" t="n">
        <v>59217.11</v>
      </c>
      <c r="G318" s="30" t="n">
        <v>4784.5</v>
      </c>
      <c r="H318" s="30" t="n">
        <v>-3.73</v>
      </c>
      <c r="I318" s="30" t="n">
        <v>323481</v>
      </c>
      <c r="J318" s="30" t="inlineStr">
        <is>
          <t>500411</t>
        </is>
      </c>
    </row>
    <row r="319">
      <c r="A319" s="30" t="inlineStr">
        <is>
          <t>UNIVCABLES</t>
        </is>
      </c>
      <c r="B319" s="30" t="inlineStr">
        <is>
          <t>Universal Cables Limited</t>
        </is>
      </c>
      <c r="C319" s="30" t="inlineStr">
        <is>
          <t>industrials</t>
        </is>
      </c>
      <c r="D319" s="30" t="inlineStr">
        <is>
          <t>cables - power</t>
        </is>
      </c>
      <c r="E319" s="30" t="inlineStr">
        <is>
          <t>smallcap</t>
        </is>
      </c>
      <c r="F319" s="30" t="n">
        <v>4299.45</v>
      </c>
      <c r="G319" s="30" t="n">
        <v>1189.9</v>
      </c>
      <c r="H319" s="30" t="n">
        <v>-3.98</v>
      </c>
      <c r="I319" s="30" t="n">
        <v>730688</v>
      </c>
      <c r="J319" s="30" t="inlineStr">
        <is>
          <t>504212</t>
        </is>
      </c>
    </row>
    <row r="320">
      <c r="A320" s="30" t="inlineStr">
        <is>
          <t>SPORTKING</t>
        </is>
      </c>
      <c r="B320" s="30" t="inlineStr">
        <is>
          <t>Sportking India Ltd</t>
        </is>
      </c>
      <c r="C320" s="30" t="inlineStr">
        <is>
          <t>textiles</t>
        </is>
      </c>
      <c r="D320" s="30" t="inlineStr">
        <is>
          <t>textiles - spinning - synthetic / blended</t>
        </is>
      </c>
      <c r="E320" s="30" t="inlineStr">
        <is>
          <t>smallcap</t>
        </is>
      </c>
      <c r="F320" s="30" t="n">
        <v>2422.5</v>
      </c>
      <c r="G320" s="30" t="n">
        <v>182.43</v>
      </c>
      <c r="H320" s="30" t="n">
        <v>-4.31</v>
      </c>
      <c r="I320" s="30" t="n">
        <v>376789</v>
      </c>
      <c r="J320" s="30" t="inlineStr">
        <is>
          <t>539221</t>
        </is>
      </c>
    </row>
    <row r="321">
      <c r="A321" s="30" t="inlineStr">
        <is>
          <t>PRECOT</t>
        </is>
      </c>
      <c r="B321" s="30" t="inlineStr">
        <is>
          <t>Precot Meridian Limited</t>
        </is>
      </c>
      <c r="C321" s="30" t="inlineStr">
        <is>
          <t>textiles</t>
        </is>
      </c>
      <c r="D321" s="30" t="inlineStr">
        <is>
          <t>textiles - cotton/blended</t>
        </is>
      </c>
      <c r="E321" s="30" t="inlineStr">
        <is>
          <t>smallcap</t>
        </is>
      </c>
      <c r="F321" s="30" t="n">
        <v>920.04</v>
      </c>
      <c r="G321" s="30" t="n">
        <v>733.55</v>
      </c>
      <c r="H321" s="30" t="n">
        <v>-4.32</v>
      </c>
      <c r="I321" s="30" t="n">
        <v>5878</v>
      </c>
      <c r="J321" s="30" t="inlineStr">
        <is>
          <t>521184</t>
        </is>
      </c>
    </row>
    <row r="322">
      <c r="A322" s="30" t="inlineStr">
        <is>
          <t>KOPRAN</t>
        </is>
      </c>
      <c r="B322" s="30" t="inlineStr">
        <is>
          <t>Kopran Limited</t>
        </is>
      </c>
      <c r="C322" s="30" t="inlineStr">
        <is>
          <t>healthcare</t>
        </is>
      </c>
      <c r="D322" s="30" t="inlineStr">
        <is>
          <t>pharmaceuticals - indian - bulk drugs &amp; formln</t>
        </is>
      </c>
      <c r="E322" s="30" t="inlineStr">
        <is>
          <t>smallcap</t>
        </is>
      </c>
      <c r="F322" s="30" t="n">
        <v>946.01</v>
      </c>
      <c r="G322" s="30" t="n">
        <v>186.43</v>
      </c>
      <c r="H322" s="30" t="n">
        <v>-4.84</v>
      </c>
      <c r="I322" s="30" t="n">
        <v>226423</v>
      </c>
      <c r="J322" s="30" t="inlineStr">
        <is>
          <t>524280</t>
        </is>
      </c>
    </row>
    <row r="323">
      <c r="A323" s="30" t="inlineStr">
        <is>
          <t>E2E</t>
        </is>
      </c>
      <c r="B323" s="30" t="inlineStr">
        <is>
          <t>E2E Networks Ltd</t>
        </is>
      </c>
      <c r="C323" s="30" t="inlineStr">
        <is>
          <t>i.t</t>
        </is>
      </c>
      <c r="D323" s="30" t="inlineStr">
        <is>
          <t>computers - software - medium / small</t>
        </is>
      </c>
      <c r="E323" s="30" t="inlineStr">
        <is>
          <t>midcap</t>
        </is>
      </c>
      <c r="F323" s="30" t="n">
        <v>8889.450000000001</v>
      </c>
      <c r="G323" s="30" t="n">
        <v>4108.2</v>
      </c>
      <c r="H323" s="30" t="n">
        <v>-5</v>
      </c>
      <c r="I323" s="30" t="n">
        <v>450792</v>
      </c>
      <c r="J323" s="30" t="inlineStr">
        <is>
          <t>535080</t>
        </is>
      </c>
    </row>
    <row r="324">
      <c r="A324" s="30" t="inlineStr">
        <is>
          <t>SASKEN</t>
        </is>
      </c>
      <c r="B324" s="30" t="inlineStr">
        <is>
          <t>Sasken Communication Technologies Limited</t>
        </is>
      </c>
      <c r="C324" s="30" t="inlineStr">
        <is>
          <t>i.t</t>
        </is>
      </c>
      <c r="D324" s="30" t="inlineStr">
        <is>
          <t>computers - software - medium / small</t>
        </is>
      </c>
      <c r="E324" s="30" t="inlineStr">
        <is>
          <t>smallcap</t>
        </is>
      </c>
      <c r="F324" s="30" t="n">
        <v>3551.36</v>
      </c>
      <c r="G324" s="30" t="n">
        <v>2207</v>
      </c>
      <c r="H324" s="30" t="n">
        <v>-5.62</v>
      </c>
      <c r="I324" s="30" t="n">
        <v>126144</v>
      </c>
      <c r="J324" s="30" t="inlineStr">
        <is>
          <t>532663</t>
        </is>
      </c>
    </row>
    <row r="325">
      <c r="A325" s="30" t="inlineStr">
        <is>
          <t>APOLLO</t>
        </is>
      </c>
      <c r="B325" s="30" t="inlineStr">
        <is>
          <t>Apollo Micro Systems Ltd</t>
        </is>
      </c>
      <c r="C325" s="30" t="inlineStr">
        <is>
          <t>aerospace &amp; defence</t>
        </is>
      </c>
      <c r="D325" s="30" t="inlineStr">
        <is>
          <t>electronics - components</t>
        </is>
      </c>
      <c r="E325" s="30" t="inlineStr">
        <is>
          <t>midcap</t>
        </is>
      </c>
      <c r="F325" s="30" t="n">
        <v>15613.68</v>
      </c>
      <c r="G325" s="30" t="n">
        <v>407.55</v>
      </c>
      <c r="H325" s="30" t="n">
        <v>-6.74</v>
      </c>
      <c r="I325" s="30" t="n">
        <v>42624969</v>
      </c>
      <c r="J325" s="30" t="inlineStr">
        <is>
          <t>540879</t>
        </is>
      </c>
    </row>
    <row r="326">
      <c r="A326" s="30" t="inlineStr">
        <is>
          <t>NOVARTIND</t>
        </is>
      </c>
      <c r="B326" s="30" t="inlineStr">
        <is>
          <t>Novartis India Ltd</t>
        </is>
      </c>
      <c r="C326" s="30" t="inlineStr">
        <is>
          <t>healthcare</t>
        </is>
      </c>
      <c r="D326" s="30" t="inlineStr">
        <is>
          <t>pharmaceuticals - multinational</t>
        </is>
      </c>
      <c r="E326" s="30" t="inlineStr">
        <is>
          <t>smallcap</t>
        </is>
      </c>
      <c r="F326" s="30" t="n">
        <v>3618.44</v>
      </c>
      <c r="G326" s="30" t="n">
        <v>1323.1</v>
      </c>
      <c r="H326" s="30" t="n">
        <v>-9.720000000000001</v>
      </c>
      <c r="I326" s="30" t="n">
        <v>53812</v>
      </c>
      <c r="J326" s="30" t="inlineStr">
        <is>
          <t>500672</t>
        </is>
      </c>
    </row>
  </sheetData>
  <autoFilter ref="A1:J3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29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IF(B2=0,"",RANK(B2,$B$2:$B$293,0))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personal care - indian</t>
        </is>
      </c>
      <c r="G2" s="30" t="inlineStr">
        <is>
          <t>midcap</t>
        </is>
      </c>
      <c r="H2" s="31" t="n">
        <v>7466.8</v>
      </c>
      <c r="I2" s="31" t="n">
        <v>555.4</v>
      </c>
      <c r="J2" s="31" t="n">
        <v>-2.84</v>
      </c>
      <c r="K2" s="31" t="n">
        <v>693422</v>
      </c>
      <c r="L2" s="30" t="n">
        <v>91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74.64</v>
      </c>
      <c r="P2" s="31" t="n">
        <v>51.77</v>
      </c>
      <c r="Q2" s="31" t="n">
        <v>441.56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-13.76</v>
      </c>
      <c r="U2" s="31" t="n">
        <v>219.1</v>
      </c>
      <c r="V2" s="31" t="n">
        <v>270.02</v>
      </c>
      <c r="W2" s="31" t="n">
        <v>37.16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IF(B3=0,"",RANK(B3,$B$2:$B$293,0))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OMAXAUTO</t>
        </is>
      </c>
      <c r="D3" s="30" t="inlineStr">
        <is>
          <t>Omax Autos Limited</t>
        </is>
      </c>
      <c r="E3" s="30" t="inlineStr">
        <is>
          <t>auto</t>
        </is>
      </c>
      <c r="F3" s="30" t="inlineStr">
        <is>
          <t>auto ancillaries</t>
        </is>
      </c>
      <c r="G3" s="30" t="inlineStr">
        <is>
          <t>smallcap</t>
        </is>
      </c>
      <c r="H3" s="31" t="n">
        <v>522.51</v>
      </c>
      <c r="I3" s="31" t="n">
        <v>237.3</v>
      </c>
      <c r="J3" s="31" t="n">
        <v>-2.87</v>
      </c>
      <c r="K3" s="31" t="n">
        <v>79756</v>
      </c>
      <c r="L3" s="30" t="n">
        <v>97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74.23999999999999</v>
      </c>
      <c r="P3" s="31" t="n">
        <v>35.13</v>
      </c>
      <c r="Q3" s="31" t="n">
        <v>177.41</v>
      </c>
      <c r="R3" s="30" t="inlineStr">
        <is>
          <t>Near 52W High Breakout</t>
        </is>
      </c>
      <c r="S3" s="30" t="inlineStr">
        <is>
          <t>Nifty Auto</t>
        </is>
      </c>
      <c r="T3" s="31" t="n">
        <v>10.28</v>
      </c>
      <c r="U3" s="31" t="n">
        <v>165.99</v>
      </c>
      <c r="V3" s="31" t="n">
        <v>141.2</v>
      </c>
      <c r="W3" s="31" t="n">
        <v>60.28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IF(B4=0,"",RANK(B4,$B$2:$B$293,0))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CONFIPET</t>
        </is>
      </c>
      <c r="D4" s="30" t="inlineStr">
        <is>
          <t>Confidence Petroleum India Ltd</t>
        </is>
      </c>
      <c r="E4" s="30" t="inlineStr">
        <is>
          <t>miscellaneous</t>
        </is>
      </c>
      <c r="F4" s="30" t="inlineStr">
        <is>
          <t>miscellaneous</t>
        </is>
      </c>
      <c r="G4" s="30" t="inlineStr">
        <is>
          <t>smallcap</t>
        </is>
      </c>
      <c r="H4" s="31" t="n">
        <v>2319.37</v>
      </c>
      <c r="I4" s="31" t="n">
        <v>76.79000000000001</v>
      </c>
      <c r="J4" s="31" t="n">
        <v>10</v>
      </c>
      <c r="K4" s="31" t="n">
        <v>13245255</v>
      </c>
      <c r="L4" s="30" t="n">
        <v>95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78.56</v>
      </c>
      <c r="P4" s="31" t="n">
        <v>45.9</v>
      </c>
      <c r="Q4" s="31" t="n">
        <v>52.79</v>
      </c>
      <c r="R4" s="30" t="inlineStr">
        <is>
          <t>Near 52W High Breakout</t>
        </is>
      </c>
      <c r="S4" s="30" t="inlineStr">
        <is>
          <t>Nifty Energy</t>
        </is>
      </c>
      <c r="T4" s="31" t="n">
        <v>11.89</v>
      </c>
      <c r="U4" s="31" t="n">
        <v>29.1</v>
      </c>
      <c r="V4" s="31" t="n">
        <v>15.37</v>
      </c>
      <c r="W4" s="31" t="n">
        <v>50.98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IF(B5=0,"",RANK(B5,$B$2:$B$293,0))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IBULLSLTD</t>
        </is>
      </c>
      <c r="D5" s="30" t="inlineStr">
        <is>
          <t>Indiabulls Limited</t>
        </is>
      </c>
      <c r="E5" s="30" t="inlineStr">
        <is>
          <t>miscellaneous</t>
        </is>
      </c>
      <c r="F5" s="30" t="inlineStr">
        <is>
          <t>diversified - medium / small</t>
        </is>
      </c>
      <c r="G5" s="30" t="inlineStr">
        <is>
          <t>midcap</t>
        </is>
      </c>
      <c r="H5" s="31" t="n">
        <v>5387.92</v>
      </c>
      <c r="I5" s="31" t="n">
        <v>24.33</v>
      </c>
      <c r="J5" s="31" t="n">
        <v>4.96</v>
      </c>
      <c r="K5" s="31" t="n">
        <v>20613396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73.27</v>
      </c>
      <c r="P5" s="31" t="n">
        <v>35.77</v>
      </c>
      <c r="Q5" s="31" t="n">
        <v>17.43</v>
      </c>
      <c r="R5" s="30" t="inlineStr">
        <is>
          <t>Near 52W High Breakout</t>
        </is>
      </c>
      <c r="S5" s="30" t="inlineStr">
        <is>
          <t>Nifty 50</t>
        </is>
      </c>
      <c r="T5" s="31" t="n">
        <v>-6.39</v>
      </c>
      <c r="U5" s="31" t="n">
        <v>54.67</v>
      </c>
      <c r="V5" s="31" t="n">
        <v>65.23</v>
      </c>
      <c r="W5" s="31" t="n">
        <v>56.33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IF(B6=0,"",RANK(B6,$B$2:$B$293,0))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ADANIPOWER</t>
        </is>
      </c>
      <c r="D6" s="30" t="inlineStr">
        <is>
          <t>Adani Power Limited</t>
        </is>
      </c>
      <c r="E6" s="30" t="inlineStr">
        <is>
          <t>power &amp; utilities</t>
        </is>
      </c>
      <c r="F6" s="30" t="inlineStr">
        <is>
          <t>power generation and supply</t>
        </is>
      </c>
      <c r="G6" s="30" t="inlineStr">
        <is>
          <t>largecap</t>
        </is>
      </c>
      <c r="H6" s="31" t="n">
        <v>454983.8</v>
      </c>
      <c r="I6" s="31" t="n">
        <v>232.52</v>
      </c>
      <c r="J6" s="31" t="n">
        <v>-1.45</v>
      </c>
      <c r="K6" s="31" t="n">
        <v>22600806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74.44</v>
      </c>
      <c r="P6" s="31" t="n">
        <v>44.77</v>
      </c>
      <c r="Q6" s="31" t="n">
        <v>196.93</v>
      </c>
      <c r="R6" s="30" t="inlineStr">
        <is>
          <t>Near 52W High Breakout</t>
        </is>
      </c>
      <c r="S6" s="30" t="inlineStr">
        <is>
          <t>Nifty IT</t>
        </is>
      </c>
      <c r="T6" s="31" t="n">
        <v>-21.21</v>
      </c>
      <c r="U6" s="31" t="n">
        <v>109.38</v>
      </c>
      <c r="V6" s="31" t="n">
        <v>165.75</v>
      </c>
      <c r="W6" s="31" t="n">
        <v>31.79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Between 0.7 to 1.2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IF(B7=0,"",RANK(B7,$B$2:$B$293,0))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GAYAPROJ</t>
        </is>
      </c>
      <c r="D7" s="30" t="inlineStr">
        <is>
          <t>Gayatri Projects Limited</t>
        </is>
      </c>
      <c r="E7" s="30" t="inlineStr">
        <is>
          <t>realty</t>
        </is>
      </c>
      <c r="F7" s="30" t="inlineStr">
        <is>
          <t>construction</t>
        </is>
      </c>
      <c r="G7" s="30" t="inlineStr">
        <is>
          <t>smallcap</t>
        </is>
      </c>
      <c r="H7" s="31" t="n">
        <v>610.47</v>
      </c>
      <c r="I7" s="31" t="n">
        <v>20.1</v>
      </c>
      <c r="J7" s="31" t="n">
        <v>-2.47</v>
      </c>
      <c r="K7" s="31" t="n">
        <v>807968</v>
      </c>
      <c r="L7" s="30" t="n">
        <v>88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71.89</v>
      </c>
      <c r="P7" s="31" t="n">
        <v>62.89</v>
      </c>
      <c r="Q7" s="31" t="n">
        <v>16</v>
      </c>
      <c r="R7" s="30" t="inlineStr">
        <is>
          <t>Volume Spike &amp; Near 52W High Breakout</t>
        </is>
      </c>
      <c r="S7" s="30" t="inlineStr">
        <is>
          <t>Nifty Realty</t>
        </is>
      </c>
      <c r="T7" s="31" t="n">
        <v>-26.64</v>
      </c>
      <c r="U7" s="31" t="n">
        <v>135.36</v>
      </c>
      <c r="V7" s="31" t="n">
        <v>220.85</v>
      </c>
      <c r="W7" s="31" t="n">
        <v>32.42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IF(B8=0,"",RANK(B8,$B$2:$B$293,0))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VENUSREM</t>
        </is>
      </c>
      <c r="D8" s="30" t="inlineStr">
        <is>
          <t>Venus Remedies Limited</t>
        </is>
      </c>
      <c r="E8" s="30" t="inlineStr">
        <is>
          <t>healthcare</t>
        </is>
      </c>
      <c r="F8" s="30" t="inlineStr">
        <is>
          <t>pharmaceuticals - indian - formulations</t>
        </is>
      </c>
      <c r="G8" s="30" t="inlineStr">
        <is>
          <t>smallcap</t>
        </is>
      </c>
      <c r="H8" s="31" t="n">
        <v>1886.48</v>
      </c>
      <c r="I8" s="31" t="n">
        <v>1481.8</v>
      </c>
      <c r="J8" s="31" t="n">
        <v>5</v>
      </c>
      <c r="K8" s="31" t="n">
        <v>49108</v>
      </c>
      <c r="L8" s="30" t="n">
        <v>96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77.69</v>
      </c>
      <c r="P8" s="31" t="n">
        <v>45.46</v>
      </c>
      <c r="Q8" s="31" t="n">
        <v>1115.07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11.08</v>
      </c>
      <c r="U8" s="31" t="n">
        <v>244.6</v>
      </c>
      <c r="V8" s="31" t="n">
        <v>210.24</v>
      </c>
      <c r="W8" s="31" t="n">
        <v>56.82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IF(B9=0,"",RANK(B9,$B$2:$B$293,0))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ATHERENERG</t>
        </is>
      </c>
      <c r="D9" s="30" t="inlineStr">
        <is>
          <t>Ather Energy Ltd</t>
        </is>
      </c>
      <c r="E9" s="30" t="inlineStr">
        <is>
          <t>auto</t>
        </is>
      </c>
      <c r="F9" s="30" t="inlineStr">
        <is>
          <t>automobiles - scooters and 3 - wheelers</t>
        </is>
      </c>
      <c r="G9" s="30" t="inlineStr">
        <is>
          <t>largecap</t>
        </is>
      </c>
      <c r="H9" s="31" t="n">
        <v>36759.58</v>
      </c>
      <c r="I9" s="31" t="n">
        <v>1022.05</v>
      </c>
      <c r="J9" s="31" t="n">
        <v>6.4</v>
      </c>
      <c r="K9" s="31" t="n">
        <v>13219934</v>
      </c>
      <c r="L9" s="30" t="n">
        <v>93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73.14</v>
      </c>
      <c r="P9" s="31" t="n">
        <v>45.08</v>
      </c>
      <c r="Q9" s="31" t="n">
        <v>769.11</v>
      </c>
      <c r="R9" s="30" t="inlineStr">
        <is>
          <t>Near 52W High Breakout</t>
        </is>
      </c>
      <c r="S9" s="30" t="inlineStr">
        <is>
          <t>Nifty Auto</t>
        </is>
      </c>
      <c r="T9" s="31" t="n">
        <v>10.28</v>
      </c>
      <c r="U9" s="31" t="n">
        <v>230.76</v>
      </c>
      <c r="V9" s="31" t="n">
        <v>199.94</v>
      </c>
      <c r="W9" s="31" t="n">
        <v>39.98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Negative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IF(B10=0,"",RANK(B10,$B$2:$B$293,0))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GVT&amp;D</t>
        </is>
      </c>
      <c r="D10" s="30" t="inlineStr">
        <is>
          <t>GE Vernova T&amp;D India Ltd</t>
        </is>
      </c>
      <c r="E10" s="30" t="inlineStr">
        <is>
          <t>industrials</t>
        </is>
      </c>
      <c r="F10" s="30" t="inlineStr">
        <is>
          <t>electric equipment</t>
        </is>
      </c>
      <c r="G10" s="30" t="inlineStr">
        <is>
          <t>largecap</t>
        </is>
      </c>
      <c r="H10" s="31" t="n">
        <v>122415.85</v>
      </c>
      <c r="I10" s="31" t="n">
        <v>4964.5</v>
      </c>
      <c r="J10" s="31" t="n">
        <v>3.84</v>
      </c>
      <c r="K10" s="31" t="n">
        <v>1305674</v>
      </c>
      <c r="L10" s="30" t="n">
        <v>76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70.20999999999999</v>
      </c>
      <c r="P10" s="31" t="n">
        <v>49.15</v>
      </c>
      <c r="Q10" s="31" t="n">
        <v>3909.13</v>
      </c>
      <c r="R10" s="30" t="inlineStr">
        <is>
          <t>Near 52W High Breakout</t>
        </is>
      </c>
      <c r="S10" s="30" t="inlineStr">
        <is>
          <t>Nifty 500</t>
        </is>
      </c>
      <c r="T10" s="31" t="n">
        <v>-3.08</v>
      </c>
      <c r="U10" s="31" t="n">
        <v>114.78</v>
      </c>
      <c r="V10" s="31" t="n">
        <v>121.6</v>
      </c>
      <c r="W10" s="31" t="n">
        <v>23.2</v>
      </c>
      <c r="X10" s="30" t="inlineStr">
        <is>
          <t>Cyclical in an Upturn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IF(B11=0,"",RANK(B11,$B$2:$B$293,0))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STYLAMIND</t>
        </is>
      </c>
      <c r="D11" s="30" t="inlineStr">
        <is>
          <t>Stylam Industries Ltd</t>
        </is>
      </c>
      <c r="E11" s="30" t="inlineStr">
        <is>
          <t>building materials</t>
        </is>
      </c>
      <c r="F11" s="30" t="inlineStr">
        <is>
          <t>miscellaneous</t>
        </is>
      </c>
      <c r="G11" s="30" t="inlineStr">
        <is>
          <t>midcap</t>
        </is>
      </c>
      <c r="H11" s="31" t="n">
        <v>5013.07</v>
      </c>
      <c r="I11" s="31" t="n">
        <v>2989.8</v>
      </c>
      <c r="J11" s="31" t="n">
        <v>1.08</v>
      </c>
      <c r="K11" s="31" t="n">
        <v>35488</v>
      </c>
      <c r="L11" s="30" t="n">
        <v>69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88.15000000000001</v>
      </c>
      <c r="P11" s="31" t="n">
        <v>54.19</v>
      </c>
      <c r="Q11" s="31" t="n">
        <v>2560.6</v>
      </c>
      <c r="R11" s="30" t="inlineStr">
        <is>
          <t>Near 52W High Breakout</t>
        </is>
      </c>
      <c r="S11" s="30" t="inlineStr">
        <is>
          <t>Nifty Infra</t>
        </is>
      </c>
      <c r="T11" s="31" t="n">
        <v>1.52</v>
      </c>
      <c r="U11" s="31" t="n">
        <v>76.63</v>
      </c>
      <c r="V11" s="31" t="n">
        <v>73.98999999999999</v>
      </c>
      <c r="W11" s="31" t="n">
        <v>19.93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IF(B12=0,"",RANK(B12,$B$2:$B$293,0))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INDOBORAX</t>
        </is>
      </c>
      <c r="D12" s="30" t="inlineStr">
        <is>
          <t>Indo Borax &amp; Chemicals Ltd</t>
        </is>
      </c>
      <c r="E12" s="30" t="inlineStr">
        <is>
          <t>chemicals</t>
        </is>
      </c>
      <c r="F12" s="30" t="inlineStr">
        <is>
          <t>chemicals</t>
        </is>
      </c>
      <c r="G12" s="30" t="inlineStr">
        <is>
          <t>smallcap</t>
        </is>
      </c>
      <c r="H12" s="31" t="n">
        <v>1109.99</v>
      </c>
      <c r="I12" s="31" t="n">
        <v>346.1</v>
      </c>
      <c r="J12" s="31" t="n">
        <v>0.06</v>
      </c>
      <c r="K12" s="31" t="n">
        <v>51555</v>
      </c>
      <c r="L12" s="30" t="n">
        <v>71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79</v>
      </c>
      <c r="P12" s="31" t="n">
        <v>45.65</v>
      </c>
      <c r="Q12" s="31" t="n">
        <v>273.42</v>
      </c>
      <c r="R12" s="30" t="inlineStr">
        <is>
          <t>Near 52W High Breakout</t>
        </is>
      </c>
      <c r="S12" s="30" t="inlineStr">
        <is>
          <t>Nifty 50</t>
        </is>
      </c>
      <c r="T12" s="31" t="n">
        <v>-6.39</v>
      </c>
      <c r="U12" s="31" t="n">
        <v>77.11</v>
      </c>
      <c r="V12" s="31" t="n">
        <v>89.2</v>
      </c>
      <c r="W12" s="31" t="n">
        <v>21.36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IF(B13=0,"",RANK(B13,$B$2:$B$293,0))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SEAMECLTD</t>
        </is>
      </c>
      <c r="D13" s="30" t="inlineStr">
        <is>
          <t>Seamec Limited</t>
        </is>
      </c>
      <c r="E13" s="30" t="inlineStr">
        <is>
          <t>miscellaneous</t>
        </is>
      </c>
      <c r="F13" s="30" t="inlineStr">
        <is>
          <t>miscellaneous</t>
        </is>
      </c>
      <c r="G13" s="30" t="inlineStr">
        <is>
          <t>smallcap</t>
        </is>
      </c>
      <c r="H13" s="31" t="n">
        <v>4178.09</v>
      </c>
      <c r="I13" s="31" t="n">
        <v>1617.3</v>
      </c>
      <c r="J13" s="31" t="n">
        <v>-1.58</v>
      </c>
      <c r="K13" s="31" t="n">
        <v>184075</v>
      </c>
      <c r="L13" s="30" t="n">
        <v>65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73.26000000000001</v>
      </c>
      <c r="P13" s="31" t="n">
        <v>55.66</v>
      </c>
      <c r="Q13" s="31" t="n">
        <v>1250.16</v>
      </c>
      <c r="R13" s="30" t="inlineStr">
        <is>
          <t>Near 52W High Breakout</t>
        </is>
      </c>
      <c r="S13" s="30" t="inlineStr">
        <is>
          <t>Nifty 50</t>
        </is>
      </c>
      <c r="T13" s="31" t="n">
        <v>-6.39</v>
      </c>
      <c r="U13" s="31" t="n">
        <v>84.09</v>
      </c>
      <c r="V13" s="31" t="n">
        <v>96.65000000000001</v>
      </c>
      <c r="W13" s="31" t="n">
        <v>17.6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IF(B14=0,"",RANK(B14,$B$2:$B$293,0))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PGHL</t>
        </is>
      </c>
      <c r="D14" s="30" t="inlineStr">
        <is>
          <t>Procter &amp; Gamble Health Ltd</t>
        </is>
      </c>
      <c r="E14" s="30" t="inlineStr">
        <is>
          <t>healthcare</t>
        </is>
      </c>
      <c r="F14" s="30" t="inlineStr">
        <is>
          <t>pharmaceuticals - multinational</t>
        </is>
      </c>
      <c r="G14" s="30" t="inlineStr">
        <is>
          <t>midcap</t>
        </is>
      </c>
      <c r="H14" s="31" t="n">
        <v>10010.26</v>
      </c>
      <c r="I14" s="31" t="n">
        <v>6108.5</v>
      </c>
      <c r="J14" s="31" t="n">
        <v>1.29</v>
      </c>
      <c r="K14" s="31" t="n">
        <v>13938</v>
      </c>
      <c r="L14" s="30" t="n">
        <v>31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72.79000000000001</v>
      </c>
      <c r="P14" s="31" t="n">
        <v>29.9</v>
      </c>
      <c r="Q14" s="31" t="n">
        <v>5138.21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11.08</v>
      </c>
      <c r="U14" s="31" t="n">
        <v>13.97</v>
      </c>
      <c r="V14" s="31" t="n">
        <v>2.6</v>
      </c>
      <c r="W14" s="31" t="n">
        <v>8.710000000000001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20 to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IF(B15=0,"",RANK(B15,$B$2:$B$293,0))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TIPSMUSIC</t>
        </is>
      </c>
      <c r="D15" s="30" t="inlineStr">
        <is>
          <t>Tips Music Ltd</t>
        </is>
      </c>
      <c r="E15" s="30" t="inlineStr">
        <is>
          <t>media</t>
        </is>
      </c>
      <c r="F15" s="30" t="inlineStr">
        <is>
          <t>entertainment / electronic media software</t>
        </is>
      </c>
      <c r="G15" s="30" t="inlineStr">
        <is>
          <t>midcap</t>
        </is>
      </c>
      <c r="H15" s="31" t="n">
        <v>8594.120000000001</v>
      </c>
      <c r="I15" s="31" t="n">
        <v>659.85</v>
      </c>
      <c r="J15" s="31" t="n">
        <v>-1.85</v>
      </c>
      <c r="K15" s="31" t="n">
        <v>116411</v>
      </c>
      <c r="L15" s="30" t="n">
        <v>23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63.47</v>
      </c>
      <c r="P15" s="31" t="n">
        <v>23.07</v>
      </c>
      <c r="Q15" s="31" t="n">
        <v>532.4299999999999</v>
      </c>
      <c r="R15" s="30" t="inlineStr">
        <is>
          <t>Near 52W High Breakout</t>
        </is>
      </c>
      <c r="S15" s="30" t="inlineStr">
        <is>
          <t>Nifty IT</t>
        </is>
      </c>
      <c r="T15" s="31" t="n">
        <v>-21.21</v>
      </c>
      <c r="U15" s="31" t="n">
        <v>-1.33</v>
      </c>
      <c r="V15" s="31" t="n">
        <v>25.23</v>
      </c>
      <c r="W15" s="31" t="n">
        <v>6.64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IF(B16=0,"",RANK(B16,$B$2:$B$293,0))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IDEA</t>
        </is>
      </c>
      <c r="D16" s="30" t="inlineStr">
        <is>
          <t>Vodafone Idea Ltd</t>
        </is>
      </c>
      <c r="E16" s="30" t="inlineStr">
        <is>
          <t>telecom-service</t>
        </is>
      </c>
      <c r="F16" s="30" t="inlineStr">
        <is>
          <t>telecommunications - service provider</t>
        </is>
      </c>
      <c r="G16" s="30" t="inlineStr">
        <is>
          <t>largecap</t>
        </is>
      </c>
      <c r="H16" s="31" t="n">
        <v>153413.74</v>
      </c>
      <c r="I16" s="31" t="n">
        <v>14.85</v>
      </c>
      <c r="J16" s="31" t="n">
        <v>4.87</v>
      </c>
      <c r="K16" s="31" t="n">
        <v>1132162694</v>
      </c>
      <c r="L16" s="30" t="n">
        <v>84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74.94</v>
      </c>
      <c r="P16" s="31" t="n">
        <v>22.58</v>
      </c>
      <c r="Q16" s="31" t="n">
        <v>11.66</v>
      </c>
      <c r="R16" s="30" t="inlineStr">
        <is>
          <t>Near 52W High Breakout</t>
        </is>
      </c>
      <c r="S16" s="30" t="inlineStr">
        <is>
          <t>Nifty 500</t>
        </is>
      </c>
      <c r="T16" s="31" t="n">
        <v>-3.08</v>
      </c>
      <c r="U16" s="31" t="n">
        <v>114.6</v>
      </c>
      <c r="V16" s="31" t="n">
        <v>121.41</v>
      </c>
      <c r="W16" s="31" t="n">
        <v>28.45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Oligopoly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20 to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IF(B17=0,"",RANK(B17,$B$2:$B$293,0))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AMBIKCO</t>
        </is>
      </c>
      <c r="D17" s="30" t="inlineStr">
        <is>
          <t>Ambika Cotton Mills Limited</t>
        </is>
      </c>
      <c r="E17" s="30" t="inlineStr">
        <is>
          <t>textiles</t>
        </is>
      </c>
      <c r="F17" s="30" t="inlineStr">
        <is>
          <t>textiles - cotton/blended</t>
        </is>
      </c>
      <c r="G17" s="30" t="inlineStr">
        <is>
          <t>smallcap</t>
        </is>
      </c>
      <c r="H17" s="31" t="n">
        <v>971.88</v>
      </c>
      <c r="I17" s="31" t="n">
        <v>1711</v>
      </c>
      <c r="J17" s="31" t="n">
        <v>0.79</v>
      </c>
      <c r="K17" s="31" t="n">
        <v>11285</v>
      </c>
      <c r="L17" s="30" t="n">
        <v>24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70.38</v>
      </c>
      <c r="P17" s="31" t="n">
        <v>21.51</v>
      </c>
      <c r="Q17" s="31" t="n">
        <v>1365.91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-6.39</v>
      </c>
      <c r="U17" s="31" t="n">
        <v>3.91</v>
      </c>
      <c r="V17" s="31" t="n">
        <v>11</v>
      </c>
      <c r="W17" s="31" t="n">
        <v>6.69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Close to 52 week high or retracement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IF(B18=0,"",RANK(B18,$B$2:$B$293,0))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MAYURUNIQ</t>
        </is>
      </c>
      <c r="D18" s="30" t="inlineStr">
        <is>
          <t>Mayur Uniquoters Ltd</t>
        </is>
      </c>
      <c r="E18" s="30" t="inlineStr">
        <is>
          <t>consumer discretionary</t>
        </is>
      </c>
      <c r="F18" s="30" t="inlineStr">
        <is>
          <t>leather / leather products</t>
        </is>
      </c>
      <c r="G18" s="30" t="inlineStr">
        <is>
          <t>smallcap</t>
        </is>
      </c>
      <c r="H18" s="31" t="n">
        <v>3238.31</v>
      </c>
      <c r="I18" s="31" t="n">
        <v>735.05</v>
      </c>
      <c r="J18" s="31" t="n">
        <v>-1.37</v>
      </c>
      <c r="K18" s="31" t="n">
        <v>125593</v>
      </c>
      <c r="L18" s="30" t="n">
        <v>54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73.77</v>
      </c>
      <c r="P18" s="31" t="n">
        <v>31.28</v>
      </c>
      <c r="Q18" s="31" t="n">
        <v>591.3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-6.39</v>
      </c>
      <c r="U18" s="31" t="n">
        <v>27.66</v>
      </c>
      <c r="V18" s="31" t="n">
        <v>36.38</v>
      </c>
      <c r="W18" s="31" t="n">
        <v>14.84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IF(B19=0,"",RANK(B19,$B$2:$B$293,0))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NETWEB</t>
        </is>
      </c>
      <c r="D19" s="30" t="inlineStr">
        <is>
          <t>Netweb Technologies India Ltd</t>
        </is>
      </c>
      <c r="E19" s="30" t="inlineStr">
        <is>
          <t>i.t</t>
        </is>
      </c>
      <c r="F19" s="30" t="inlineStr">
        <is>
          <t>computers - hardware</t>
        </is>
      </c>
      <c r="G19" s="30" t="inlineStr">
        <is>
          <t>largecap</t>
        </is>
      </c>
      <c r="H19" s="31" t="n">
        <v>27233.59</v>
      </c>
      <c r="I19" s="31" t="n">
        <v>4705.3</v>
      </c>
      <c r="J19" s="31" t="n">
        <v>-1.62</v>
      </c>
      <c r="K19" s="31" t="n">
        <v>2662374</v>
      </c>
      <c r="L19" s="30" t="n">
        <v>85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66.56</v>
      </c>
      <c r="P19" s="31" t="n">
        <v>43.58</v>
      </c>
      <c r="Q19" s="31" t="n">
        <v>3299.01</v>
      </c>
      <c r="R19" s="30" t="inlineStr">
        <is>
          <t>Near 52W High Breakout</t>
        </is>
      </c>
      <c r="S19" s="30" t="inlineStr">
        <is>
          <t>Nifty IT</t>
        </is>
      </c>
      <c r="T19" s="31" t="n">
        <v>-21.21</v>
      </c>
      <c r="U19" s="31" t="n">
        <v>138.34</v>
      </c>
      <c r="V19" s="31" t="n">
        <v>202.5</v>
      </c>
      <c r="W19" s="31" t="n">
        <v>30.53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IF(B20=0,"",RANK(B20,$B$2:$B$293,0))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ADFFOODS</t>
        </is>
      </c>
      <c r="D20" s="30" t="inlineStr">
        <is>
          <t>Adf Foods Limited</t>
        </is>
      </c>
      <c r="E20" s="30" t="inlineStr">
        <is>
          <t>fmcg</t>
        </is>
      </c>
      <c r="F20" s="30" t="inlineStr">
        <is>
          <t>food - processing - indian</t>
        </is>
      </c>
      <c r="G20" s="30" t="inlineStr">
        <is>
          <t>smallcap</t>
        </is>
      </c>
      <c r="H20" s="31" t="n">
        <v>3000.92</v>
      </c>
      <c r="I20" s="31" t="n">
        <v>290.3</v>
      </c>
      <c r="J20" s="31" t="n">
        <v>6.28</v>
      </c>
      <c r="K20" s="31" t="n">
        <v>1286693</v>
      </c>
      <c r="L20" s="30" t="n">
        <v>57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65.44</v>
      </c>
      <c r="P20" s="31" t="n">
        <v>26.78</v>
      </c>
      <c r="Q20" s="31" t="n">
        <v>207.92</v>
      </c>
      <c r="R20" s="30" t="inlineStr">
        <is>
          <t>Near 52W High Breakout</t>
        </is>
      </c>
      <c r="S20" s="30" t="inlineStr">
        <is>
          <t>Nifty FMCG</t>
        </is>
      </c>
      <c r="T20" s="31" t="n">
        <v>-13.76</v>
      </c>
      <c r="U20" s="31" t="n">
        <v>13.34</v>
      </c>
      <c r="V20" s="31" t="n">
        <v>31.43</v>
      </c>
      <c r="W20" s="31" t="n">
        <v>15.66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IF(B21=0,"",RANK(B21,$B$2:$B$293,0))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BLISSGVS</t>
        </is>
      </c>
      <c r="D21" s="30" t="inlineStr">
        <is>
          <t>Bliss Gvs Pharma Limited</t>
        </is>
      </c>
      <c r="E21" s="30" t="inlineStr">
        <is>
          <t>healthcare</t>
        </is>
      </c>
      <c r="F21" s="30" t="inlineStr">
        <is>
          <t>pharmaceuticals - indian - formulations</t>
        </is>
      </c>
      <c r="G21" s="30" t="inlineStr">
        <is>
          <t>smallcap</t>
        </is>
      </c>
      <c r="H21" s="31" t="n">
        <v>4596</v>
      </c>
      <c r="I21" s="31" t="n">
        <v>439.65</v>
      </c>
      <c r="J21" s="31" t="n">
        <v>1.2</v>
      </c>
      <c r="K21" s="31" t="n">
        <v>2648317</v>
      </c>
      <c r="L21" s="30" t="n">
        <v>95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88.5</v>
      </c>
      <c r="P21" s="31" t="n">
        <v>57.25</v>
      </c>
      <c r="Q21" s="31" t="n">
        <v>338.91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11.08</v>
      </c>
      <c r="U21" s="31" t="n">
        <v>223.87</v>
      </c>
      <c r="V21" s="31" t="n">
        <v>191.57</v>
      </c>
      <c r="W21" s="31" t="n">
        <v>52.14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Less than 12%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IF(B22=0,"",RANK(B22,$B$2:$B$293,0))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GVPIL</t>
        </is>
      </c>
      <c r="D22" s="30" t="inlineStr">
        <is>
          <t>GE Power India Ltd</t>
        </is>
      </c>
      <c r="E22" s="30" t="inlineStr">
        <is>
          <t>realty</t>
        </is>
      </c>
      <c r="F22" s="30" t="inlineStr">
        <is>
          <t>engineering - turnkey services</t>
        </is>
      </c>
      <c r="G22" s="30" t="inlineStr">
        <is>
          <t>midcap</t>
        </is>
      </c>
      <c r="H22" s="31" t="n">
        <v>5774.5</v>
      </c>
      <c r="I22" s="31" t="n">
        <v>868.45</v>
      </c>
      <c r="J22" s="31" t="n">
        <v>1.11</v>
      </c>
      <c r="K22" s="31" t="n">
        <v>554623</v>
      </c>
      <c r="L22" s="30" t="n">
        <v>95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86.70999999999999</v>
      </c>
      <c r="P22" s="31" t="n">
        <v>53.84</v>
      </c>
      <c r="Q22" s="31" t="n">
        <v>659.01</v>
      </c>
      <c r="R22" s="30" t="inlineStr">
        <is>
          <t>Volume Spike &amp; Near 52W High Breakout</t>
        </is>
      </c>
      <c r="S22" s="30" t="inlineStr">
        <is>
          <t>Nifty Realty</t>
        </is>
      </c>
      <c r="T22" s="31" t="n">
        <v>-26.64</v>
      </c>
      <c r="U22" s="31" t="n">
        <v>218.52</v>
      </c>
      <c r="V22" s="31" t="n">
        <v>334.22</v>
      </c>
      <c r="W22" s="31" t="n">
        <v>49.21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Duopoly That Cooperate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Shallow Cyclical (2 to 3 Years Growth)</t>
        </is>
      </c>
      <c r="AG22" s="30">
        <f>IF(AF22="Structural (10 Years Consistency)",10,IF(AF22="Shallow Cyclical (2 to 3 years growth)",5,0))</f>
        <v/>
      </c>
      <c r="AH22" s="30" t="inlineStr">
        <is>
          <t>Yes due to Product Mix change or Operating Leverage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B2C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Fully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only for next 1 to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IF(B23=0,"",RANK(B23,$B$2:$B$293,0))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IOLCP</t>
        </is>
      </c>
      <c r="D23" s="30" t="inlineStr">
        <is>
          <t>Iol Chemicals And Pharmaceuticals Limited</t>
        </is>
      </c>
      <c r="E23" s="30" t="inlineStr">
        <is>
          <t>healthcare</t>
        </is>
      </c>
      <c r="F23" s="30" t="inlineStr">
        <is>
          <t>pharmaceuticals - indian - bulk drugs &amp; formln</t>
        </is>
      </c>
      <c r="G23" s="30" t="inlineStr">
        <is>
          <t>smallcap</t>
        </is>
      </c>
      <c r="H23" s="31" t="n">
        <v>3857.54</v>
      </c>
      <c r="I23" s="31" t="n">
        <v>130.97</v>
      </c>
      <c r="J23" s="31" t="n">
        <v>-0.34</v>
      </c>
      <c r="K23" s="31" t="n">
        <v>1772252</v>
      </c>
      <c r="L23" s="30" t="n">
        <v>83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80.03</v>
      </c>
      <c r="P23" s="31" t="n">
        <v>35.37</v>
      </c>
      <c r="Q23" s="31" t="n">
        <v>99.19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11.08</v>
      </c>
      <c r="U23" s="31" t="n">
        <v>49.59</v>
      </c>
      <c r="V23" s="31" t="n">
        <v>34.67</v>
      </c>
      <c r="W23" s="31" t="n">
        <v>27.84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IF(B24=0,"",RANK(B24,$B$2:$B$293,0))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GLAND</t>
        </is>
      </c>
      <c r="D24" s="30" t="inlineStr">
        <is>
          <t>Gland Pharma Ltd</t>
        </is>
      </c>
      <c r="E24" s="30" t="inlineStr">
        <is>
          <t>healthcare</t>
        </is>
      </c>
      <c r="F24" s="30" t="inlineStr">
        <is>
          <t>pharmaceuticals - indian - formulations</t>
        </is>
      </c>
      <c r="G24" s="30" t="inlineStr">
        <is>
          <t>largecap</t>
        </is>
      </c>
      <c r="H24" s="31" t="n">
        <v>37515.04</v>
      </c>
      <c r="I24" s="31" t="n">
        <v>2232.3</v>
      </c>
      <c r="J24" s="31" t="n">
        <v>-1.96</v>
      </c>
      <c r="K24" s="31" t="n">
        <v>255715</v>
      </c>
      <c r="L24" s="30" t="n">
        <v>52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67.34</v>
      </c>
      <c r="P24" s="31" t="n">
        <v>26.1</v>
      </c>
      <c r="Q24" s="31" t="n">
        <v>1885.13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11.08</v>
      </c>
      <c r="U24" s="31" t="n">
        <v>37.22</v>
      </c>
      <c r="V24" s="31" t="n">
        <v>23.53</v>
      </c>
      <c r="W24" s="31" t="n">
        <v>14.33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IF(B25=0,"",RANK(B25,$B$2:$B$293,0))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SAKAR</t>
        </is>
      </c>
      <c r="D25" s="30" t="inlineStr">
        <is>
          <t>Sakar Healthcare Ltd</t>
        </is>
      </c>
      <c r="E25" s="30" t="inlineStr">
        <is>
          <t>healthcare</t>
        </is>
      </c>
      <c r="F25" s="30" t="inlineStr">
        <is>
          <t>pharmaceuticals - indian - bulk drugs &amp; formln</t>
        </is>
      </c>
      <c r="G25" s="30" t="inlineStr">
        <is>
          <t>smallcap</t>
        </is>
      </c>
      <c r="H25" s="31" t="n">
        <v>1856.98</v>
      </c>
      <c r="I25" s="31" t="n">
        <v>812.85</v>
      </c>
      <c r="J25" s="31" t="n">
        <v>-2.61</v>
      </c>
      <c r="K25" s="31" t="n">
        <v>140577</v>
      </c>
      <c r="L25" s="30" t="n">
        <v>88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78.37</v>
      </c>
      <c r="P25" s="31" t="n">
        <v>52.59</v>
      </c>
      <c r="Q25" s="31" t="n">
        <v>581.48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11.08</v>
      </c>
      <c r="U25" s="31" t="n">
        <v>155.37</v>
      </c>
      <c r="V25" s="31" t="n">
        <v>129.9</v>
      </c>
      <c r="W25" s="31" t="n">
        <v>33.18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IF(B26=0,"",RANK(B26,$B$2:$B$293,0))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E2E</t>
        </is>
      </c>
      <c r="D26" s="30" t="inlineStr">
        <is>
          <t>E2E Networks Ltd</t>
        </is>
      </c>
      <c r="E26" s="30" t="inlineStr">
        <is>
          <t>i.t</t>
        </is>
      </c>
      <c r="F26" s="30" t="inlineStr">
        <is>
          <t>computers - software - medium / small</t>
        </is>
      </c>
      <c r="G26" s="30" t="inlineStr">
        <is>
          <t>midcap</t>
        </is>
      </c>
      <c r="H26" s="31" t="n">
        <v>8889.450000000001</v>
      </c>
      <c r="I26" s="31" t="n">
        <v>4108.2</v>
      </c>
      <c r="J26" s="31" t="n">
        <v>-5</v>
      </c>
      <c r="K26" s="31" t="n">
        <v>450792</v>
      </c>
      <c r="L26" s="30" t="n">
        <v>84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72.04000000000001</v>
      </c>
      <c r="P26" s="31" t="n">
        <v>30.26</v>
      </c>
      <c r="Q26" s="31" t="n">
        <v>2922.46</v>
      </c>
      <c r="R26" s="30" t="inlineStr">
        <is>
          <t>Volume Spike &amp; Near 52W High Breakout</t>
        </is>
      </c>
      <c r="S26" s="30" t="inlineStr">
        <is>
          <t>Nifty IT</t>
        </is>
      </c>
      <c r="T26" s="31" t="n">
        <v>-21.21</v>
      </c>
      <c r="U26" s="31" t="n">
        <v>50.43</v>
      </c>
      <c r="V26" s="31" t="n">
        <v>90.92</v>
      </c>
      <c r="W26" s="31" t="n">
        <v>28.77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Less than 12%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IF(B27=0,"",RANK(B27,$B$2:$B$293,0))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BHAGYANGR</t>
        </is>
      </c>
      <c r="D27" s="30" t="inlineStr">
        <is>
          <t>Bhagyanagar India</t>
        </is>
      </c>
      <c r="E27" s="30" t="inlineStr">
        <is>
          <t>power &amp; utilities</t>
        </is>
      </c>
      <c r="F27" s="30" t="inlineStr">
        <is>
          <t>power generation and supply</t>
        </is>
      </c>
      <c r="G27" s="30" t="inlineStr">
        <is>
          <t>smallcap</t>
        </is>
      </c>
      <c r="H27" s="31" t="n">
        <v>1034.08</v>
      </c>
      <c r="I27" s="31" t="n">
        <v>339.35</v>
      </c>
      <c r="J27" s="31" t="n">
        <v>5</v>
      </c>
      <c r="K27" s="31" t="n">
        <v>233358</v>
      </c>
      <c r="L27" s="30" t="n">
        <v>98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78.01000000000001</v>
      </c>
      <c r="P27" s="31" t="n">
        <v>56.53</v>
      </c>
      <c r="Q27" s="31" t="n">
        <v>244.13</v>
      </c>
      <c r="R27" s="30" t="inlineStr">
        <is>
          <t>Near 52W High Breakout</t>
        </is>
      </c>
      <c r="S27" s="30" t="inlineStr">
        <is>
          <t>Nifty IT</t>
        </is>
      </c>
      <c r="T27" s="31" t="n">
        <v>-21.21</v>
      </c>
      <c r="U27" s="31" t="n">
        <v>329.99</v>
      </c>
      <c r="V27" s="31" t="n">
        <v>445.75</v>
      </c>
      <c r="W27" s="31" t="n">
        <v>60.94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Between 0.7 to 1.2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IF(B28=0,"",RANK(B28,$B$2:$B$293,0))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MODISONLTD</t>
        </is>
      </c>
      <c r="D28" s="30" t="inlineStr">
        <is>
          <t>Modison Ltd</t>
        </is>
      </c>
      <c r="E28" s="30" t="inlineStr">
        <is>
          <t>industrials</t>
        </is>
      </c>
      <c r="F28" s="30" t="inlineStr">
        <is>
          <t>electric equipment</t>
        </is>
      </c>
      <c r="G28" s="30" t="inlineStr">
        <is>
          <t>smallcap</t>
        </is>
      </c>
      <c r="H28" s="31" t="n">
        <v>1017.96</v>
      </c>
      <c r="I28" s="31" t="n">
        <v>329</v>
      </c>
      <c r="J28" s="31" t="n">
        <v>4.88</v>
      </c>
      <c r="K28" s="31" t="n">
        <v>200782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85.59</v>
      </c>
      <c r="P28" s="31" t="n">
        <v>28.82</v>
      </c>
      <c r="Q28" s="31" t="n">
        <v>252.87</v>
      </c>
      <c r="R28" s="30" t="inlineStr">
        <is>
          <t>Near 52W High Breakout</t>
        </is>
      </c>
      <c r="S28" s="30" t="inlineStr">
        <is>
          <t>Nifty 50</t>
        </is>
      </c>
      <c r="T28" s="31" t="n">
        <v>-6.39</v>
      </c>
      <c r="U28" s="31" t="n">
        <v>108.43</v>
      </c>
      <c r="V28" s="31" t="n">
        <v>122.66</v>
      </c>
      <c r="W28" s="31" t="n">
        <v>57.15</v>
      </c>
      <c r="X28" s="30" t="inlineStr">
        <is>
          <t>Cyclical in an Upturn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IF(B29=0,"",RANK(B29,$B$2:$B$293,0))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SYRMA</t>
        </is>
      </c>
      <c r="D29" s="30" t="inlineStr">
        <is>
          <t>Syrma SGS Technology Ltd</t>
        </is>
      </c>
      <c r="E29" s="30" t="inlineStr">
        <is>
          <t>consumer discretionary</t>
        </is>
      </c>
      <c r="F29" s="30" t="inlineStr">
        <is>
          <t>electronics - components</t>
        </is>
      </c>
      <c r="G29" s="30" t="inlineStr">
        <is>
          <t>largecap</t>
        </is>
      </c>
      <c r="H29" s="31" t="n">
        <v>22499.46</v>
      </c>
      <c r="I29" s="31" t="n">
        <v>1195.3</v>
      </c>
      <c r="J29" s="31" t="n">
        <v>2.44</v>
      </c>
      <c r="K29" s="31" t="n">
        <v>2008192</v>
      </c>
      <c r="L29" s="30" t="n">
        <v>87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71.84999999999999</v>
      </c>
      <c r="P29" s="31" t="n">
        <v>29.27</v>
      </c>
      <c r="Q29" s="31" t="n">
        <v>915.03</v>
      </c>
      <c r="R29" s="30" t="inlineStr">
        <is>
          <t>Near 52W High Breakout</t>
        </is>
      </c>
      <c r="S29" s="30" t="inlineStr">
        <is>
          <t>Nifty 50</t>
        </is>
      </c>
      <c r="T29" s="31" t="n">
        <v>-6.39</v>
      </c>
      <c r="U29" s="31" t="n">
        <v>123.88</v>
      </c>
      <c r="V29" s="31" t="n">
        <v>139.16</v>
      </c>
      <c r="W29" s="31" t="n">
        <v>32.27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Between 1.5 to 2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IF(B30=0,"",RANK(B30,$B$2:$B$293,0))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SHAILY</t>
        </is>
      </c>
      <c r="D30" s="30" t="inlineStr">
        <is>
          <t>Shaily Engineering Plastics Ltd</t>
        </is>
      </c>
      <c r="E30" s="30" t="inlineStr">
        <is>
          <t>plastic products</t>
        </is>
      </c>
      <c r="F30" s="30" t="inlineStr">
        <is>
          <t>plastics products</t>
        </is>
      </c>
      <c r="G30" s="30" t="inlineStr">
        <is>
          <t>midcap</t>
        </is>
      </c>
      <c r="H30" s="31" t="n">
        <v>13961.16</v>
      </c>
      <c r="I30" s="31" t="n">
        <v>3070.7</v>
      </c>
      <c r="J30" s="31" t="n">
        <v>1.08</v>
      </c>
      <c r="K30" s="31" t="n">
        <v>224422</v>
      </c>
      <c r="L30" s="30" t="n">
        <v>83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69.52</v>
      </c>
      <c r="P30" s="31" t="n">
        <v>23.08</v>
      </c>
      <c r="Q30" s="31" t="n">
        <v>2184.82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-6.39</v>
      </c>
      <c r="U30" s="31" t="n">
        <v>75.22</v>
      </c>
      <c r="V30" s="31" t="n">
        <v>87.17</v>
      </c>
      <c r="W30" s="31" t="n">
        <v>27.31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IF(B31=0,"",RANK(B31,$B$2:$B$293,0))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VTL</t>
        </is>
      </c>
      <c r="D31" s="30" t="inlineStr">
        <is>
          <t>Vardhman Textiles Limited</t>
        </is>
      </c>
      <c r="E31" s="30" t="inlineStr">
        <is>
          <t>textiles</t>
        </is>
      </c>
      <c r="F31" s="30" t="inlineStr">
        <is>
          <t>textiles - cotton/blended</t>
        </is>
      </c>
      <c r="G31" s="30" t="inlineStr">
        <is>
          <t>midcap</t>
        </is>
      </c>
      <c r="H31" s="31" t="n">
        <v>17757.56</v>
      </c>
      <c r="I31" s="31" t="n">
        <v>620.15</v>
      </c>
      <c r="J31" s="31" t="n">
        <v>1.03</v>
      </c>
      <c r="K31" s="31" t="n">
        <v>256100</v>
      </c>
      <c r="L31" s="30" t="n">
        <v>33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66.98999999999999</v>
      </c>
      <c r="P31" s="31" t="n">
        <v>50.62</v>
      </c>
      <c r="Q31" s="31" t="n">
        <v>485.98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-6.39</v>
      </c>
      <c r="U31" s="31" t="n">
        <v>29.24</v>
      </c>
      <c r="V31" s="31" t="n">
        <v>38.07</v>
      </c>
      <c r="W31" s="31" t="n">
        <v>9.220000000000001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Less than 12%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IF(B32=0,"",RANK(B32,$B$2:$B$293,0))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AVALON</t>
        </is>
      </c>
      <c r="D32" s="30" t="inlineStr">
        <is>
          <t>Avalon Technologies Ltd</t>
        </is>
      </c>
      <c r="E32" s="30" t="inlineStr">
        <is>
          <t>consumer discretionary</t>
        </is>
      </c>
      <c r="F32" s="30" t="inlineStr">
        <is>
          <t>electronics - components</t>
        </is>
      </c>
      <c r="G32" s="30" t="inlineStr">
        <is>
          <t>midcap</t>
        </is>
      </c>
      <c r="H32" s="31" t="n">
        <v>10094.38</v>
      </c>
      <c r="I32" s="31" t="n">
        <v>1515.8</v>
      </c>
      <c r="J32" s="31" t="n">
        <v>0.26</v>
      </c>
      <c r="K32" s="31" t="n">
        <v>223256</v>
      </c>
      <c r="L32" s="30" t="n">
        <v>82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71.76000000000001</v>
      </c>
      <c r="P32" s="31" t="n">
        <v>27.98</v>
      </c>
      <c r="Q32" s="31" t="n">
        <v>1093.24</v>
      </c>
      <c r="R32" s="30" t="inlineStr">
        <is>
          <t>Near 52W High Breakout</t>
        </is>
      </c>
      <c r="S32" s="30" t="inlineStr">
        <is>
          <t>Nifty 50</t>
        </is>
      </c>
      <c r="T32" s="31" t="n">
        <v>-6.39</v>
      </c>
      <c r="U32" s="31" t="n">
        <v>74.95999999999999</v>
      </c>
      <c r="V32" s="31" t="n">
        <v>86.91</v>
      </c>
      <c r="W32" s="31" t="n">
        <v>26.74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IF(B33=0,"",RANK(B33,$B$2:$B$293,0))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NRBBEARING</t>
        </is>
      </c>
      <c r="D33" s="30" t="inlineStr">
        <is>
          <t>Nrb Bearing Limited</t>
        </is>
      </c>
      <c r="E33" s="30" t="inlineStr">
        <is>
          <t>industrials</t>
        </is>
      </c>
      <c r="F33" s="30" t="inlineStr">
        <is>
          <t>bearings</t>
        </is>
      </c>
      <c r="G33" s="30" t="inlineStr">
        <is>
          <t>smallcap</t>
        </is>
      </c>
      <c r="H33" s="31" t="n">
        <v>3454.81</v>
      </c>
      <c r="I33" s="31" t="n">
        <v>357.35</v>
      </c>
      <c r="J33" s="31" t="n">
        <v>0.25</v>
      </c>
      <c r="K33" s="31" t="n">
        <v>267676</v>
      </c>
      <c r="L33" s="30" t="n">
        <v>56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67.78</v>
      </c>
      <c r="P33" s="31" t="n">
        <v>25.61</v>
      </c>
      <c r="Q33" s="31" t="n">
        <v>291.57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-6.39</v>
      </c>
      <c r="U33" s="31" t="n">
        <v>39.02</v>
      </c>
      <c r="V33" s="31" t="n">
        <v>48.51</v>
      </c>
      <c r="W33" s="31" t="n">
        <v>15.37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Between 1.5 to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IF(B34=0,"",RANK(B34,$B$2:$B$293,0))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NITINSPIN</t>
        </is>
      </c>
      <c r="D34" s="30" t="inlineStr">
        <is>
          <t>Nitin Spinners Limited</t>
        </is>
      </c>
      <c r="E34" s="30" t="inlineStr">
        <is>
          <t>textiles</t>
        </is>
      </c>
      <c r="F34" s="30" t="inlineStr">
        <is>
          <t>textiles - cotton/blended</t>
        </is>
      </c>
      <c r="G34" s="30" t="inlineStr">
        <is>
          <t>smallcap</t>
        </is>
      </c>
      <c r="H34" s="31" t="n">
        <v>2852.04</v>
      </c>
      <c r="I34" s="31" t="n">
        <v>507.8</v>
      </c>
      <c r="J34" s="31" t="n">
        <v>0.1</v>
      </c>
      <c r="K34" s="31" t="n">
        <v>87914</v>
      </c>
      <c r="L34" s="30" t="n">
        <v>51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76.22</v>
      </c>
      <c r="P34" s="31" t="n">
        <v>51.06</v>
      </c>
      <c r="Q34" s="31" t="n">
        <v>392.74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-6.39</v>
      </c>
      <c r="U34" s="31" t="n">
        <v>28.84</v>
      </c>
      <c r="V34" s="31" t="n">
        <v>37.63</v>
      </c>
      <c r="W34" s="31" t="n">
        <v>13.89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Between 0.7 to 1.2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IF(B35=0,"",RANK(B35,$B$2:$B$293,0))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RPTECH</t>
        </is>
      </c>
      <c r="D35" s="30" t="inlineStr">
        <is>
          <t>Rashi Peripherals Ltd</t>
        </is>
      </c>
      <c r="E35" s="30" t="inlineStr">
        <is>
          <t>services</t>
        </is>
      </c>
      <c r="F35" s="30" t="inlineStr">
        <is>
          <t>trading</t>
        </is>
      </c>
      <c r="G35" s="30" t="inlineStr">
        <is>
          <t>smallcap</t>
        </is>
      </c>
      <c r="H35" s="31" t="n">
        <v>3652.16</v>
      </c>
      <c r="I35" s="31" t="n">
        <v>542.25</v>
      </c>
      <c r="J35" s="31" t="n">
        <v>-2.16</v>
      </c>
      <c r="K35" s="31" t="n">
        <v>114532</v>
      </c>
      <c r="L35" s="30" t="n">
        <v>78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76.72</v>
      </c>
      <c r="P35" s="31" t="n">
        <v>45.85</v>
      </c>
      <c r="Q35" s="31" t="n">
        <v>419.44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-6.39</v>
      </c>
      <c r="U35" s="31" t="n">
        <v>72.75</v>
      </c>
      <c r="V35" s="31" t="n">
        <v>84.54000000000001</v>
      </c>
      <c r="W35" s="31" t="n">
        <v>24.15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Less than 50%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IF(B36=0,"",RANK(B36,$B$2:$B$293,0))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NINSYS</t>
        </is>
      </c>
      <c r="D36" s="30" t="inlineStr">
        <is>
          <t>NINtec Systems Ltd</t>
        </is>
      </c>
      <c r="E36" s="30" t="inlineStr">
        <is>
          <t>i.t</t>
        </is>
      </c>
      <c r="F36" s="30" t="inlineStr">
        <is>
          <t>computers - software - medium / small</t>
        </is>
      </c>
      <c r="G36" s="30" t="inlineStr">
        <is>
          <t>smallcap</t>
        </is>
      </c>
      <c r="H36" s="31" t="n">
        <v>1339.98</v>
      </c>
      <c r="I36" s="31" t="n">
        <v>722.9</v>
      </c>
      <c r="J36" s="31" t="n">
        <v>0.21</v>
      </c>
      <c r="K36" s="31" t="n">
        <v>3755</v>
      </c>
      <c r="L36" s="30" t="n">
        <v>94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86.09</v>
      </c>
      <c r="P36" s="31" t="n">
        <v>48.22</v>
      </c>
      <c r="Q36" s="31" t="n">
        <v>544.39</v>
      </c>
      <c r="R36" s="30" t="inlineStr">
        <is>
          <t>Near 52W High Breakout</t>
        </is>
      </c>
      <c r="S36" s="30" t="inlineStr">
        <is>
          <t>Nifty IT</t>
        </is>
      </c>
      <c r="T36" s="31" t="n">
        <v>-21.21</v>
      </c>
      <c r="U36" s="31" t="n">
        <v>61.69</v>
      </c>
      <c r="V36" s="31" t="n">
        <v>105.21</v>
      </c>
      <c r="W36" s="31" t="n">
        <v>47.99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Between 12 to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IF(B37=0,"",RANK(B37,$B$2:$B$293,0))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RATEGAIN</t>
        </is>
      </c>
      <c r="D37" s="30" t="inlineStr">
        <is>
          <t>Rategain Travel Technologies Ltd</t>
        </is>
      </c>
      <c r="E37" s="30" t="inlineStr">
        <is>
          <t>i.t</t>
        </is>
      </c>
      <c r="F37" s="30" t="inlineStr">
        <is>
          <t>computers - software - medium / small</t>
        </is>
      </c>
      <c r="G37" s="30" t="inlineStr">
        <is>
          <t>midcap</t>
        </is>
      </c>
      <c r="H37" s="31" t="n">
        <v>9155.459999999999</v>
      </c>
      <c r="I37" s="31" t="n">
        <v>765.25</v>
      </c>
      <c r="J37" s="31" t="n">
        <v>-1.23</v>
      </c>
      <c r="K37" s="31" t="n">
        <v>213632</v>
      </c>
      <c r="L37" s="30" t="n">
        <v>83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70.98999999999999</v>
      </c>
      <c r="P37" s="31" t="n">
        <v>25.5</v>
      </c>
      <c r="Q37" s="31" t="n">
        <v>582.14</v>
      </c>
      <c r="R37" s="30" t="inlineStr">
        <is>
          <t>Near 52W High Breakout</t>
        </is>
      </c>
      <c r="S37" s="30" t="inlineStr">
        <is>
          <t>Nifty IT</t>
        </is>
      </c>
      <c r="T37" s="31" t="n">
        <v>-21.21</v>
      </c>
      <c r="U37" s="31" t="n">
        <v>71.97</v>
      </c>
      <c r="V37" s="31" t="n">
        <v>118.26</v>
      </c>
      <c r="W37" s="31" t="n">
        <v>27.51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Between 1.5 to 2</t>
        </is>
      </c>
      <c r="BU37" s="30">
        <f>IF(BT37="Above 2",0,IF(BT37="Between 1.5 to 2",5,IF(BT37="Less than 1.5",10,0)))</f>
        <v/>
      </c>
      <c r="BV37" s="30" t="inlineStr">
        <is>
          <t>Between 50% to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IF(B38=0,"",RANK(B38,$B$2:$B$293,0))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SUPRIYA</t>
        </is>
      </c>
      <c r="D38" s="30" t="inlineStr">
        <is>
          <t>Supriya Lifescience Ltd</t>
        </is>
      </c>
      <c r="E38" s="30" t="inlineStr">
        <is>
          <t>healthcare</t>
        </is>
      </c>
      <c r="F38" s="30" t="inlineStr">
        <is>
          <t>pharmaceuticals - indian - bulk drugs &amp; formln</t>
        </is>
      </c>
      <c r="G38" s="30" t="inlineStr">
        <is>
          <t>midcap</t>
        </is>
      </c>
      <c r="H38" s="31" t="n">
        <v>7382.28</v>
      </c>
      <c r="I38" s="31" t="n">
        <v>900.95</v>
      </c>
      <c r="J38" s="31" t="n">
        <v>-1.78</v>
      </c>
      <c r="K38" s="31" t="n">
        <v>999067</v>
      </c>
      <c r="L38" s="30" t="n">
        <v>58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68.91</v>
      </c>
      <c r="P38" s="31" t="n">
        <v>31.75</v>
      </c>
      <c r="Q38" s="31" t="n">
        <v>735.83</v>
      </c>
      <c r="R38" s="30" t="inlineStr">
        <is>
          <t>Volume Spike / Accumulation</t>
        </is>
      </c>
      <c r="S38" s="30" t="inlineStr">
        <is>
          <t>Nifty Pharma</t>
        </is>
      </c>
      <c r="T38" s="31" t="n">
        <v>11.08</v>
      </c>
      <c r="U38" s="31" t="n">
        <v>30.67</v>
      </c>
      <c r="V38" s="31" t="n">
        <v>17.63</v>
      </c>
      <c r="W38" s="31" t="n">
        <v>16.03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IF(B39=0,"",RANK(B39,$B$2:$B$293,0))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ADVENZYMES</t>
        </is>
      </c>
      <c r="D39" s="30" t="inlineStr">
        <is>
          <t>Advanced Enzyme Technologies Limited</t>
        </is>
      </c>
      <c r="E39" s="30" t="inlineStr">
        <is>
          <t>healthcare</t>
        </is>
      </c>
      <c r="F39" s="30" t="inlineStr">
        <is>
          <t>pharmaceuticals - indian - bulk drugs &amp; formln</t>
        </is>
      </c>
      <c r="G39" s="30" t="inlineStr">
        <is>
          <t>smallcap</t>
        </is>
      </c>
      <c r="H39" s="31" t="n">
        <v>4388.65</v>
      </c>
      <c r="I39" s="31" t="n">
        <v>380.25</v>
      </c>
      <c r="J39" s="31" t="n">
        <v>-3.02</v>
      </c>
      <c r="K39" s="31" t="n">
        <v>201230</v>
      </c>
      <c r="L39" s="30" t="n">
        <v>40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67.78</v>
      </c>
      <c r="P39" s="31" t="n">
        <v>26.73</v>
      </c>
      <c r="Q39" s="31" t="n">
        <v>292.62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11.08</v>
      </c>
      <c r="U39" s="31" t="n">
        <v>25.69</v>
      </c>
      <c r="V39" s="31" t="n">
        <v>13.16</v>
      </c>
      <c r="W39" s="31" t="n">
        <v>11.07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IF(B40=0,"",RANK(B40,$B$2:$B$293,0))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STLTECH</t>
        </is>
      </c>
      <c r="D40" s="30" t="inlineStr">
        <is>
          <t>Sterlite Technologies Limited</t>
        </is>
      </c>
      <c r="E40" s="30" t="inlineStr">
        <is>
          <t>industrials</t>
        </is>
      </c>
      <c r="F40" s="30" t="inlineStr">
        <is>
          <t>cables - telephone</t>
        </is>
      </c>
      <c r="G40" s="30" t="inlineStr">
        <is>
          <t>largecap</t>
        </is>
      </c>
      <c r="H40" s="31" t="n">
        <v>28851.07</v>
      </c>
      <c r="I40" s="31" t="n">
        <v>620.6</v>
      </c>
      <c r="J40" s="31" t="n">
        <v>5</v>
      </c>
      <c r="K40" s="31" t="n">
        <v>3222970</v>
      </c>
      <c r="L40" s="30" t="n">
        <v>99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96.08</v>
      </c>
      <c r="P40" s="31" t="n">
        <v>76.43000000000001</v>
      </c>
      <c r="Q40" s="31" t="n">
        <v>498.26</v>
      </c>
      <c r="R40" s="30" t="inlineStr">
        <is>
          <t>Near 52W High Breakout</t>
        </is>
      </c>
      <c r="S40" s="30" t="inlineStr">
        <is>
          <t>Nifty Infra</t>
        </is>
      </c>
      <c r="T40" s="31" t="n">
        <v>1.52</v>
      </c>
      <c r="U40" s="31" t="n">
        <v>718.73</v>
      </c>
      <c r="V40" s="31" t="n">
        <v>706.48</v>
      </c>
      <c r="W40" s="31" t="n">
        <v>120.58</v>
      </c>
      <c r="X40" s="30" t="inlineStr">
        <is>
          <t>Cyclical in an Upturn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Between 0.7 to 1.2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IF(B41=0,"",RANK(B41,$B$2:$B$293,0))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THANGAMAYL</t>
        </is>
      </c>
      <c r="D41" s="30" t="inlineStr">
        <is>
          <t>Thangamayil Jewellery Limited</t>
        </is>
      </c>
      <c r="E41" s="30" t="inlineStr">
        <is>
          <t>consumer discretionary</t>
        </is>
      </c>
      <c r="F41" s="30" t="inlineStr">
        <is>
          <t>diamond cutting / jewellery</t>
        </is>
      </c>
      <c r="G41" s="30" t="inlineStr">
        <is>
          <t>midcap</t>
        </is>
      </c>
      <c r="H41" s="31" t="n">
        <v>14268.82</v>
      </c>
      <c r="I41" s="31" t="n">
        <v>4795</v>
      </c>
      <c r="J41" s="31" t="n">
        <v>4.45</v>
      </c>
      <c r="K41" s="31" t="n">
        <v>224232</v>
      </c>
      <c r="L41" s="30" t="n">
        <v>83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66.05</v>
      </c>
      <c r="P41" s="31" t="n">
        <v>38.71</v>
      </c>
      <c r="Q41" s="31" t="n">
        <v>3461.45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-6.39</v>
      </c>
      <c r="U41" s="31" t="n">
        <v>152.19</v>
      </c>
      <c r="V41" s="31" t="n">
        <v>169.4</v>
      </c>
      <c r="W41" s="31" t="n">
        <v>27.29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IF(B42=0,"",RANK(B42,$B$2:$B$293,0))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UNIPARTS</t>
        </is>
      </c>
      <c r="D42" s="30" t="inlineStr">
        <is>
          <t>Uniparts India Ltd</t>
        </is>
      </c>
      <c r="E42" s="30" t="inlineStr">
        <is>
          <t>industrials</t>
        </is>
      </c>
      <c r="F42" s="30" t="inlineStr">
        <is>
          <t>engineering</t>
        </is>
      </c>
      <c r="G42" s="30" t="inlineStr">
        <is>
          <t>smallcap</t>
        </is>
      </c>
      <c r="H42" s="31" t="n">
        <v>2704.98</v>
      </c>
      <c r="I42" s="31" t="n">
        <v>625.65</v>
      </c>
      <c r="J42" s="31" t="n">
        <v>4.41</v>
      </c>
      <c r="K42" s="31" t="n">
        <v>354943</v>
      </c>
      <c r="L42" s="30" t="n">
        <v>70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70.95999999999999</v>
      </c>
      <c r="P42" s="31" t="n">
        <v>30.78</v>
      </c>
      <c r="Q42" s="31" t="n">
        <v>481.58</v>
      </c>
      <c r="R42" s="30" t="inlineStr">
        <is>
          <t>Near 52W High Breakout</t>
        </is>
      </c>
      <c r="S42" s="30" t="inlineStr">
        <is>
          <t>Nifty 50</t>
        </is>
      </c>
      <c r="T42" s="31" t="n">
        <v>-6.39</v>
      </c>
      <c r="U42" s="31" t="n">
        <v>80.15000000000001</v>
      </c>
      <c r="V42" s="31" t="n">
        <v>92.44</v>
      </c>
      <c r="W42" s="31" t="n">
        <v>20.68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IF(B43=0,"",RANK(B43,$B$2:$B$293,0))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GOCLCORP</t>
        </is>
      </c>
      <c r="D43" s="30" t="inlineStr">
        <is>
          <t>Gocl Corporation Limited</t>
        </is>
      </c>
      <c r="E43" s="30" t="inlineStr">
        <is>
          <t>miscellaneous</t>
        </is>
      </c>
      <c r="F43" s="30" t="inlineStr">
        <is>
          <t>diversified - medium / small</t>
        </is>
      </c>
      <c r="G43" s="30" t="inlineStr">
        <is>
          <t>smallcap</t>
        </is>
      </c>
      <c r="H43" s="31" t="n">
        <v>1986.87</v>
      </c>
      <c r="I43" s="31" t="n">
        <v>418.1</v>
      </c>
      <c r="J43" s="31" t="n">
        <v>4.32</v>
      </c>
      <c r="K43" s="31" t="n">
        <v>354544</v>
      </c>
      <c r="L43" s="30" t="n">
        <v>78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72.40000000000001</v>
      </c>
      <c r="P43" s="31" t="n">
        <v>25.06</v>
      </c>
      <c r="Q43" s="31" t="n">
        <v>310.68</v>
      </c>
      <c r="R43" s="30" t="inlineStr">
        <is>
          <t>Near 52W High Breakout</t>
        </is>
      </c>
      <c r="S43" s="30" t="inlineStr">
        <is>
          <t>Nifty IT</t>
        </is>
      </c>
      <c r="T43" s="31" t="n">
        <v>-21.21</v>
      </c>
      <c r="U43" s="31" t="n">
        <v>35.69</v>
      </c>
      <c r="V43" s="31" t="n">
        <v>72.20999999999999</v>
      </c>
      <c r="W43" s="31" t="n">
        <v>23.88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IF(B44=0,"",RANK(B44,$B$2:$B$293,0))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KERNEX</t>
        </is>
      </c>
      <c r="D44" s="30" t="inlineStr">
        <is>
          <t>Kernex Microsystems (india) Limited</t>
        </is>
      </c>
      <c r="E44" s="30" t="inlineStr">
        <is>
          <t>consumer discretionary</t>
        </is>
      </c>
      <c r="F44" s="30" t="inlineStr">
        <is>
          <t>electronics - components</t>
        </is>
      </c>
      <c r="G44" s="30" t="inlineStr">
        <is>
          <t>smallcap</t>
        </is>
      </c>
      <c r="H44" s="31" t="n">
        <v>3032.33</v>
      </c>
      <c r="I44" s="31" t="n">
        <v>1877.9</v>
      </c>
      <c r="J44" s="31" t="n">
        <v>4.06</v>
      </c>
      <c r="K44" s="31" t="n">
        <v>535959</v>
      </c>
      <c r="L44" s="30" t="n">
        <v>85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71.08</v>
      </c>
      <c r="P44" s="31" t="n">
        <v>27.28</v>
      </c>
      <c r="Q44" s="31" t="n">
        <v>1360.43</v>
      </c>
      <c r="R44" s="30" t="inlineStr">
        <is>
          <t>Volume Spike &amp; Near 52W High Breakout</t>
        </is>
      </c>
      <c r="S44" s="30" t="inlineStr">
        <is>
          <t>Nifty 50</t>
        </is>
      </c>
      <c r="T44" s="31" t="n">
        <v>-6.39</v>
      </c>
      <c r="U44" s="31" t="n">
        <v>52.5</v>
      </c>
      <c r="V44" s="31" t="n">
        <v>62.91</v>
      </c>
      <c r="W44" s="31" t="n">
        <v>29.22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Less than 12%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IF(B45=0,"",RANK(B45,$B$2:$B$293,0))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MTARTECH</t>
        </is>
      </c>
      <c r="D45" s="30" t="inlineStr">
        <is>
          <t>MTAR Technologies Ltd</t>
        </is>
      </c>
      <c r="E45" s="30" t="inlineStr">
        <is>
          <t>aerospace &amp; defence</t>
        </is>
      </c>
      <c r="F45" s="30" t="inlineStr">
        <is>
          <t>engineering</t>
        </is>
      </c>
      <c r="G45" s="30" t="inlineStr">
        <is>
          <t>largecap</t>
        </is>
      </c>
      <c r="H45" s="31" t="n">
        <v>22196.12</v>
      </c>
      <c r="I45" s="31" t="n">
        <v>7468</v>
      </c>
      <c r="J45" s="31" t="n">
        <v>3.49</v>
      </c>
      <c r="K45" s="31" t="n">
        <v>1337901</v>
      </c>
      <c r="L45" s="30" t="n">
        <v>97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80.72</v>
      </c>
      <c r="P45" s="31" t="n">
        <v>64.09999999999999</v>
      </c>
      <c r="Q45" s="31" t="n">
        <v>5930.46</v>
      </c>
      <c r="R45" s="30" t="inlineStr">
        <is>
          <t>Earnings / Momentum Support</t>
        </is>
      </c>
      <c r="S45" s="30" t="inlineStr">
        <is>
          <t>Nifty 50</t>
        </is>
      </c>
      <c r="T45" s="31" t="n">
        <v>-6.39</v>
      </c>
      <c r="U45" s="31" t="n">
        <v>321.75</v>
      </c>
      <c r="V45" s="31" t="n">
        <v>350.54</v>
      </c>
      <c r="W45" s="31" t="n">
        <v>60.48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No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IF(B46=0,"",RANK(B46,$B$2:$B$293,0))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TALBROAUTO</t>
        </is>
      </c>
      <c r="D46" s="30" t="inlineStr">
        <is>
          <t>Talbros Automotive Components Limited</t>
        </is>
      </c>
      <c r="E46" s="30" t="inlineStr">
        <is>
          <t>auto</t>
        </is>
      </c>
      <c r="F46" s="30" t="inlineStr">
        <is>
          <t>auto ancillaries</t>
        </is>
      </c>
      <c r="G46" s="30" t="inlineStr">
        <is>
          <t>smallcap</t>
        </is>
      </c>
      <c r="H46" s="31" t="n">
        <v>2113.26</v>
      </c>
      <c r="I46" s="31" t="n">
        <v>352.95</v>
      </c>
      <c r="J46" s="31" t="n">
        <v>3.1</v>
      </c>
      <c r="K46" s="31" t="n">
        <v>227685</v>
      </c>
      <c r="L46" s="30" t="n">
        <v>57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67.48</v>
      </c>
      <c r="P46" s="31" t="n">
        <v>26.52</v>
      </c>
      <c r="Q46" s="31" t="n">
        <v>271.31</v>
      </c>
      <c r="R46" s="30" t="inlineStr">
        <is>
          <t>Near 52W High Breakout</t>
        </is>
      </c>
      <c r="S46" s="30" t="inlineStr">
        <is>
          <t>Nifty Auto</t>
        </is>
      </c>
      <c r="T46" s="31" t="n">
        <v>10.28</v>
      </c>
      <c r="U46" s="31" t="n">
        <v>23.94</v>
      </c>
      <c r="V46" s="31" t="n">
        <v>12.39</v>
      </c>
      <c r="W46" s="31" t="n">
        <v>15.54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Between 12 to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Between 50% to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IF(B47=0,"",RANK(B47,$B$2:$B$293,0))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PRECWIRE</t>
        </is>
      </c>
      <c r="D47" s="30" t="inlineStr">
        <is>
          <t>Precision Wires India Limited</t>
        </is>
      </c>
      <c r="E47" s="30" t="inlineStr">
        <is>
          <t>metals &amp; mining</t>
        </is>
      </c>
      <c r="F47" s="30" t="inlineStr">
        <is>
          <t>mining / minerals / metals</t>
        </is>
      </c>
      <c r="G47" s="30" t="inlineStr">
        <is>
          <t>midcap</t>
        </is>
      </c>
      <c r="H47" s="31" t="n">
        <v>7832.41</v>
      </c>
      <c r="I47" s="31" t="n">
        <v>436.7</v>
      </c>
      <c r="J47" s="31" t="n">
        <v>1.93</v>
      </c>
      <c r="K47" s="31" t="n">
        <v>305731</v>
      </c>
      <c r="L47" s="30" t="n">
        <v>81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72.05</v>
      </c>
      <c r="P47" s="31" t="n">
        <v>70.11</v>
      </c>
      <c r="Q47" s="31" t="n">
        <v>317.4</v>
      </c>
      <c r="R47" s="30" t="inlineStr">
        <is>
          <t>Near 52W High Breakout</t>
        </is>
      </c>
      <c r="S47" s="30" t="inlineStr">
        <is>
          <t>Nifty Metal</t>
        </is>
      </c>
      <c r="T47" s="31" t="n">
        <v>43.89</v>
      </c>
      <c r="U47" s="31" t="n">
        <v>134.91</v>
      </c>
      <c r="V47" s="31" t="n">
        <v>63.25</v>
      </c>
      <c r="W47" s="31" t="n">
        <v>26.45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Cyclical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Volatile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IF(B48=0,"",RANK(B48,$B$2:$B$293,0))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LUMAXTECH</t>
        </is>
      </c>
      <c r="D48" s="30" t="inlineStr">
        <is>
          <t>Lumax Auto Technologies Limited</t>
        </is>
      </c>
      <c r="E48" s="30" t="inlineStr">
        <is>
          <t>auto</t>
        </is>
      </c>
      <c r="F48" s="30" t="inlineStr">
        <is>
          <t>auto ancillaries</t>
        </is>
      </c>
      <c r="G48" s="30" t="inlineStr">
        <is>
          <t>midcap</t>
        </is>
      </c>
      <c r="H48" s="31" t="n">
        <v>11905.79</v>
      </c>
      <c r="I48" s="31" t="n">
        <v>1771.9</v>
      </c>
      <c r="J48" s="31" t="n">
        <v>1.44</v>
      </c>
      <c r="K48" s="31" t="n">
        <v>193931</v>
      </c>
      <c r="L48" s="30" t="n">
        <v>64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58.86</v>
      </c>
      <c r="P48" s="31" t="n">
        <v>22.41</v>
      </c>
      <c r="Q48" s="31" t="n">
        <v>1301.7</v>
      </c>
      <c r="R48" s="30" t="inlineStr">
        <is>
          <t>Near 52W High Breakout</t>
        </is>
      </c>
      <c r="S48" s="30" t="inlineStr">
        <is>
          <t>Nifty Auto</t>
        </is>
      </c>
      <c r="T48" s="31" t="n">
        <v>10.28</v>
      </c>
      <c r="U48" s="31" t="n">
        <v>85.20999999999999</v>
      </c>
      <c r="V48" s="31" t="n">
        <v>67.95</v>
      </c>
      <c r="W48" s="31" t="n">
        <v>17.24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Between 0.7 to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IF(B49=0,"",RANK(B49,$B$2:$B$293,0))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SOLARINDS</t>
        </is>
      </c>
      <c r="D49" s="30" t="inlineStr">
        <is>
          <t>Solar Industries India Limited</t>
        </is>
      </c>
      <c r="E49" s="30" t="inlineStr">
        <is>
          <t>aerospace &amp; defence</t>
        </is>
      </c>
      <c r="F49" s="30" t="inlineStr">
        <is>
          <t>chemicals</t>
        </is>
      </c>
      <c r="G49" s="30" t="inlineStr">
        <is>
          <t>largecap</t>
        </is>
      </c>
      <c r="H49" s="31" t="n">
        <v>166375.02</v>
      </c>
      <c r="I49" s="31" t="n">
        <v>18577</v>
      </c>
      <c r="J49" s="31" t="n">
        <v>1.04</v>
      </c>
      <c r="K49" s="31" t="n">
        <v>266212</v>
      </c>
      <c r="L49" s="30" t="n">
        <v>29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74.29000000000001</v>
      </c>
      <c r="P49" s="31" t="n">
        <v>30.89</v>
      </c>
      <c r="Q49" s="31" t="n">
        <v>15271.87</v>
      </c>
      <c r="R49" s="30" t="inlineStr">
        <is>
          <t>Near 52W High Breakout</t>
        </is>
      </c>
      <c r="S49" s="30" t="inlineStr">
        <is>
          <t>Nifty 50</t>
        </is>
      </c>
      <c r="T49" s="31" t="n">
        <v>-6.39</v>
      </c>
      <c r="U49" s="31" t="n">
        <v>12.5</v>
      </c>
      <c r="V49" s="31" t="n">
        <v>20.18</v>
      </c>
      <c r="W49" s="31" t="n">
        <v>7.96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Less than 50%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IF(B50=0,"",RANK(B50,$B$2:$B$293,0))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ABB</t>
        </is>
      </c>
      <c r="D50" s="30" t="inlineStr">
        <is>
          <t>Abb India Limited</t>
        </is>
      </c>
      <c r="E50" s="30" t="inlineStr">
        <is>
          <t>industrials</t>
        </is>
      </c>
      <c r="F50" s="30" t="inlineStr">
        <is>
          <t>electric equipment</t>
        </is>
      </c>
      <c r="G50" s="30" t="inlineStr">
        <is>
          <t>largecap</t>
        </is>
      </c>
      <c r="H50" s="31" t="n">
        <v>151429.72</v>
      </c>
      <c r="I50" s="31" t="n">
        <v>7196</v>
      </c>
      <c r="J50" s="31" t="n">
        <v>0.7</v>
      </c>
      <c r="K50" s="31" t="n">
        <v>309040</v>
      </c>
      <c r="L50" s="30" t="n">
        <v>30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64.72</v>
      </c>
      <c r="P50" s="31" t="n">
        <v>45.4</v>
      </c>
      <c r="Q50" s="31" t="n">
        <v>5962.29</v>
      </c>
      <c r="R50" s="30" t="inlineStr">
        <is>
          <t>Near 52W High Breakout</t>
        </is>
      </c>
      <c r="S50" s="30" t="inlineStr">
        <is>
          <t>Nifty 50</t>
        </is>
      </c>
      <c r="T50" s="31" t="n">
        <v>-6.39</v>
      </c>
      <c r="U50" s="31" t="n">
        <v>19.63</v>
      </c>
      <c r="V50" s="31" t="n">
        <v>27.79</v>
      </c>
      <c r="W50" s="31" t="n">
        <v>8.279999999999999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IF(B51=0,"",RANK(B51,$B$2:$B$293,0))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MOTHERSON</t>
        </is>
      </c>
      <c r="D51" s="30" t="inlineStr">
        <is>
          <t>Samvardhana Motherson International Ltd</t>
        </is>
      </c>
      <c r="E51" s="30" t="inlineStr">
        <is>
          <t>auto</t>
        </is>
      </c>
      <c r="F51" s="30" t="inlineStr">
        <is>
          <t>auto ancillaries</t>
        </is>
      </c>
      <c r="G51" s="30" t="inlineStr">
        <is>
          <t>largecap</t>
        </is>
      </c>
      <c r="H51" s="31" t="n">
        <v>152923.32</v>
      </c>
      <c r="I51" s="31" t="n">
        <v>145.61</v>
      </c>
      <c r="J51" s="31" t="n">
        <v>0.5</v>
      </c>
      <c r="K51" s="31" t="n">
        <v>19595325</v>
      </c>
      <c r="L51" s="30" t="n">
        <v>41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68.02</v>
      </c>
      <c r="P51" s="31" t="n">
        <v>18.72</v>
      </c>
      <c r="Q51" s="31" t="n">
        <v>115.6</v>
      </c>
      <c r="R51" s="30" t="inlineStr">
        <is>
          <t>Near 52W High Breakout</t>
        </is>
      </c>
      <c r="S51" s="30" t="inlineStr">
        <is>
          <t>Nifty Auto</t>
        </is>
      </c>
      <c r="T51" s="31" t="n">
        <v>10.28</v>
      </c>
      <c r="U51" s="31" t="n">
        <v>39.44</v>
      </c>
      <c r="V51" s="31" t="n">
        <v>26.45</v>
      </c>
      <c r="W51" s="31" t="n">
        <v>11.37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0 to 20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IF(B52=0,"",RANK(B52,$B$2:$B$293,0))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SOMANYCERA</t>
        </is>
      </c>
      <c r="D52" s="30" t="inlineStr">
        <is>
          <t>Somany Ceramics Limited</t>
        </is>
      </c>
      <c r="E52" s="30" t="inlineStr">
        <is>
          <t>building materials</t>
        </is>
      </c>
      <c r="F52" s="30" t="inlineStr">
        <is>
          <t>ceramics - tiles / sanitaryware</t>
        </is>
      </c>
      <c r="G52" s="30" t="inlineStr">
        <is>
          <t>smallcap</t>
        </is>
      </c>
      <c r="H52" s="31" t="n">
        <v>2124.67</v>
      </c>
      <c r="I52" s="31" t="n">
        <v>517.75</v>
      </c>
      <c r="J52" s="31" t="n">
        <v>-0.06</v>
      </c>
      <c r="K52" s="31" t="n">
        <v>148617</v>
      </c>
      <c r="L52" s="30" t="n">
        <v>42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63.31</v>
      </c>
      <c r="P52" s="31" t="n">
        <v>28.51</v>
      </c>
      <c r="Q52" s="31" t="n">
        <v>399.62</v>
      </c>
      <c r="R52" s="30" t="inlineStr">
        <is>
          <t>Earnings / Momentum Support</t>
        </is>
      </c>
      <c r="S52" s="30" t="inlineStr">
        <is>
          <t>Nifty Infra</t>
        </is>
      </c>
      <c r="T52" s="31" t="n">
        <v>1.52</v>
      </c>
      <c r="U52" s="31" t="n">
        <v>11.79</v>
      </c>
      <c r="V52" s="31" t="n">
        <v>10.12</v>
      </c>
      <c r="W52" s="31" t="n">
        <v>11.52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IF(B53=0,"",RANK(B53,$B$2:$B$293,0))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CENTENKA</t>
        </is>
      </c>
      <c r="D53" s="30" t="inlineStr">
        <is>
          <t>Century Enka Limited</t>
        </is>
      </c>
      <c r="E53" s="30" t="inlineStr">
        <is>
          <t>textiles</t>
        </is>
      </c>
      <c r="F53" s="30" t="inlineStr">
        <is>
          <t>textiles - manmade</t>
        </is>
      </c>
      <c r="G53" s="30" t="inlineStr">
        <is>
          <t>smallcap</t>
        </is>
      </c>
      <c r="H53" s="31" t="n">
        <v>1104</v>
      </c>
      <c r="I53" s="31" t="n">
        <v>502.45</v>
      </c>
      <c r="J53" s="31" t="n">
        <v>-0.55</v>
      </c>
      <c r="K53" s="31" t="n">
        <v>49805</v>
      </c>
      <c r="L53" s="30" t="n">
        <v>24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59.94</v>
      </c>
      <c r="P53" s="31" t="n">
        <v>24.08</v>
      </c>
      <c r="Q53" s="31" t="n">
        <v>404.94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-6.39</v>
      </c>
      <c r="U53" s="31" t="n">
        <v>10.04</v>
      </c>
      <c r="V53" s="31" t="n">
        <v>17.55</v>
      </c>
      <c r="W53" s="31" t="n">
        <v>6.7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IF(B54=0,"",RANK(B54,$B$2:$B$293,0))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PGIL</t>
        </is>
      </c>
      <c r="D54" s="30" t="inlineStr">
        <is>
          <t>Pearl Global Industries Limited</t>
        </is>
      </c>
      <c r="E54" s="30" t="inlineStr">
        <is>
          <t>consumer discretionary</t>
        </is>
      </c>
      <c r="F54" s="30" t="inlineStr">
        <is>
          <t>textiles - products</t>
        </is>
      </c>
      <c r="G54" s="30" t="inlineStr">
        <is>
          <t>midcap</t>
        </is>
      </c>
      <c r="H54" s="31" t="n">
        <v>7591.48</v>
      </c>
      <c r="I54" s="31" t="n">
        <v>1635.3</v>
      </c>
      <c r="J54" s="31" t="n">
        <v>-0.6</v>
      </c>
      <c r="K54" s="31" t="n">
        <v>22673</v>
      </c>
      <c r="L54" s="30" t="n">
        <v>21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54.93</v>
      </c>
      <c r="P54" s="31" t="n">
        <v>28.77</v>
      </c>
      <c r="Q54" s="31" t="n">
        <v>1198.78</v>
      </c>
      <c r="R54" s="30" t="inlineStr">
        <is>
          <t>Earnings / Momentum Support</t>
        </is>
      </c>
      <c r="S54" s="30" t="inlineStr">
        <is>
          <t>Nifty 50</t>
        </is>
      </c>
      <c r="T54" s="31" t="n">
        <v>-6.39</v>
      </c>
      <c r="U54" s="31" t="n">
        <v>18.33</v>
      </c>
      <c r="V54" s="31" t="n">
        <v>26.4</v>
      </c>
      <c r="W54" s="31" t="n">
        <v>6.35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IF(B55=0,"",RANK(B55,$B$2:$B$293,0))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CEMPRO</t>
        </is>
      </c>
      <c r="D55" s="30" t="inlineStr">
        <is>
          <t>Cemindia Projects Ltd</t>
        </is>
      </c>
      <c r="E55" s="30" t="inlineStr">
        <is>
          <t>realty</t>
        </is>
      </c>
      <c r="F55" s="30" t="inlineStr">
        <is>
          <t>construction</t>
        </is>
      </c>
      <c r="G55" s="30" t="inlineStr">
        <is>
          <t>midcap</t>
        </is>
      </c>
      <c r="H55" s="31" t="n">
        <v>17895.11</v>
      </c>
      <c r="I55" s="31" t="n">
        <v>1024.9</v>
      </c>
      <c r="J55" s="31" t="n">
        <v>-1.61</v>
      </c>
      <c r="K55" s="31" t="n">
        <v>433507</v>
      </c>
      <c r="L55" s="30" t="n">
        <v>84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68.89</v>
      </c>
      <c r="P55" s="31" t="n">
        <v>35.1</v>
      </c>
      <c r="Q55" s="31" t="n">
        <v>813.6799999999999</v>
      </c>
      <c r="R55" s="30" t="inlineStr">
        <is>
          <t>Near 52W High Breakout</t>
        </is>
      </c>
      <c r="S55" s="30" t="inlineStr">
        <is>
          <t>Nifty Realty</t>
        </is>
      </c>
      <c r="T55" s="31" t="n">
        <v>-26.64</v>
      </c>
      <c r="U55" s="31" t="n">
        <v>37.4</v>
      </c>
      <c r="V55" s="31" t="n">
        <v>87.3</v>
      </c>
      <c r="W55" s="31" t="n">
        <v>28.34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Less than 50%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IF(B56=0,"",RANK(B56,$B$2:$B$293,0))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SPORTKING</t>
        </is>
      </c>
      <c r="D56" s="30" t="inlineStr">
        <is>
          <t>Sportking India Ltd</t>
        </is>
      </c>
      <c r="E56" s="30" t="inlineStr">
        <is>
          <t>textiles</t>
        </is>
      </c>
      <c r="F56" s="30" t="inlineStr">
        <is>
          <t>textiles - spinning - synthetic / blended</t>
        </is>
      </c>
      <c r="G56" s="30" t="inlineStr">
        <is>
          <t>smallcap</t>
        </is>
      </c>
      <c r="H56" s="31" t="n">
        <v>2422.5</v>
      </c>
      <c r="I56" s="31" t="n">
        <v>182.43</v>
      </c>
      <c r="J56" s="31" t="n">
        <v>-4.31</v>
      </c>
      <c r="K56" s="31" t="n">
        <v>376789</v>
      </c>
      <c r="L56" s="30" t="n">
        <v>81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80.86</v>
      </c>
      <c r="P56" s="31" t="n">
        <v>51.15</v>
      </c>
      <c r="Q56" s="31" t="n">
        <v>135.88</v>
      </c>
      <c r="R56" s="30" t="inlineStr">
        <is>
          <t>Volume Spike &amp; Near 52W High Breakout</t>
        </is>
      </c>
      <c r="S56" s="30" t="inlineStr">
        <is>
          <t>Nifty 50</t>
        </is>
      </c>
      <c r="T56" s="31" t="n">
        <v>-6.39</v>
      </c>
      <c r="U56" s="31" t="n">
        <v>56.71</v>
      </c>
      <c r="V56" s="31" t="n">
        <v>67.40000000000001</v>
      </c>
      <c r="W56" s="31" t="n">
        <v>25.93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Less than 12%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IF(B57=0,"",RANK(B57,$B$2:$B$293,0))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ACUTAAS</t>
        </is>
      </c>
      <c r="D57" s="30" t="inlineStr">
        <is>
          <t>Acutaas Chemicals Ltd</t>
        </is>
      </c>
      <c r="E57" s="30" t="inlineStr">
        <is>
          <t>healthcare</t>
        </is>
      </c>
      <c r="F57" s="30" t="inlineStr">
        <is>
          <t>pharmaceuticals - indian - bulk drugs</t>
        </is>
      </c>
      <c r="G57" s="30" t="inlineStr">
        <is>
          <t>largecap</t>
        </is>
      </c>
      <c r="H57" s="31" t="n">
        <v>24869.17</v>
      </c>
      <c r="I57" s="31" t="n">
        <v>3135.7</v>
      </c>
      <c r="J57" s="31" t="n">
        <v>3.23</v>
      </c>
      <c r="K57" s="31" t="n">
        <v>385864</v>
      </c>
      <c r="L57" s="30" t="n">
        <v>85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77.04000000000001</v>
      </c>
      <c r="P57" s="31" t="n">
        <v>64.17</v>
      </c>
      <c r="Q57" s="31" t="n">
        <v>2445.32</v>
      </c>
      <c r="R57" s="30" t="inlineStr">
        <is>
          <t>Near 52W High Breakout</t>
        </is>
      </c>
      <c r="S57" s="30" t="inlineStr">
        <is>
          <t>Nifty Pharma</t>
        </is>
      </c>
      <c r="T57" s="31" t="n">
        <v>11.08</v>
      </c>
      <c r="U57" s="31" t="n">
        <v>175.22</v>
      </c>
      <c r="V57" s="31" t="n">
        <v>147.77</v>
      </c>
      <c r="W57" s="31" t="n">
        <v>31.13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IF(B58=0,"",RANK(B58,$B$2:$B$293,0))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GRANULES</t>
        </is>
      </c>
      <c r="D58" s="30" t="inlineStr">
        <is>
          <t>Granules India Limited</t>
        </is>
      </c>
      <c r="E58" s="30" t="inlineStr">
        <is>
          <t>healthcare</t>
        </is>
      </c>
      <c r="F58" s="30" t="inlineStr">
        <is>
          <t>pharmaceuticals - indian - bulk drugs &amp; formln</t>
        </is>
      </c>
      <c r="G58" s="30" t="inlineStr">
        <is>
          <t>midcap</t>
        </is>
      </c>
      <c r="H58" s="31" t="n">
        <v>19267.45</v>
      </c>
      <c r="I58" s="31" t="n">
        <v>793.8</v>
      </c>
      <c r="J58" s="31" t="n">
        <v>2.09</v>
      </c>
      <c r="K58" s="31" t="n">
        <v>769581</v>
      </c>
      <c r="L58" s="30" t="n">
        <v>63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78.22</v>
      </c>
      <c r="P58" s="31" t="n">
        <v>32.31</v>
      </c>
      <c r="Q58" s="31" t="n">
        <v>666.15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11.08</v>
      </c>
      <c r="U58" s="31" t="n">
        <v>50.25</v>
      </c>
      <c r="V58" s="31" t="n">
        <v>35.26</v>
      </c>
      <c r="W58" s="31" t="n">
        <v>16.89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IF(B59=0,"",RANK(B59,$B$2:$B$293,0))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SPARC</t>
        </is>
      </c>
      <c r="D59" s="30" t="inlineStr">
        <is>
          <t>Sun Pharma Advanced Research Company Limited</t>
        </is>
      </c>
      <c r="E59" s="30" t="inlineStr">
        <is>
          <t>healthcare</t>
        </is>
      </c>
      <c r="F59" s="30" t="inlineStr">
        <is>
          <t>miscellaneous</t>
        </is>
      </c>
      <c r="G59" s="30" t="inlineStr">
        <is>
          <t>midcap</t>
        </is>
      </c>
      <c r="H59" s="31" t="n">
        <v>6628.03</v>
      </c>
      <c r="I59" s="31" t="n">
        <v>208.5</v>
      </c>
      <c r="J59" s="31" t="n">
        <v>2.09</v>
      </c>
      <c r="K59" s="31" t="n">
        <v>4848519</v>
      </c>
      <c r="L59" s="30" t="n">
        <v>73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72.06</v>
      </c>
      <c r="P59" s="31" t="n">
        <v>43.38</v>
      </c>
      <c r="Q59" s="31" t="n">
        <v>146.18</v>
      </c>
      <c r="R59" s="30" t="inlineStr">
        <is>
          <t>Near 52W High Breakout</t>
        </is>
      </c>
      <c r="S59" s="30" t="inlineStr">
        <is>
          <t>Nifty Pharma</t>
        </is>
      </c>
      <c r="T59" s="31" t="n">
        <v>11.08</v>
      </c>
      <c r="U59" s="31" t="n">
        <v>25.94</v>
      </c>
      <c r="V59" s="31" t="n">
        <v>13.38</v>
      </c>
      <c r="W59" s="31" t="n">
        <v>22.1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IF(B60=0,"",RANK(B60,$B$2:$B$293,0))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THYROCARE</t>
        </is>
      </c>
      <c r="D60" s="30" t="inlineStr">
        <is>
          <t>Thyrocare Technologies Limited</t>
        </is>
      </c>
      <c r="E60" s="30" t="inlineStr">
        <is>
          <t>healthcare</t>
        </is>
      </c>
      <c r="F60" s="30" t="inlineStr">
        <is>
          <t>healthcare</t>
        </is>
      </c>
      <c r="G60" s="30" t="inlineStr">
        <is>
          <t>midcap</t>
        </is>
      </c>
      <c r="H60" s="31" t="n">
        <v>8302.860000000001</v>
      </c>
      <c r="I60" s="31" t="n">
        <v>525.2</v>
      </c>
      <c r="J60" s="31" t="n">
        <v>0.68</v>
      </c>
      <c r="K60" s="31" t="n">
        <v>312888</v>
      </c>
      <c r="L60" s="30" t="n">
        <v>73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68.51000000000001</v>
      </c>
      <c r="P60" s="31" t="n">
        <v>21.69</v>
      </c>
      <c r="Q60" s="31" t="n">
        <v>400.84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11.08</v>
      </c>
      <c r="U60" s="31" t="n">
        <v>68.95</v>
      </c>
      <c r="V60" s="31" t="n">
        <v>52.1</v>
      </c>
      <c r="W60" s="31" t="n">
        <v>21.78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IF(B61=0,"",RANK(B61,$B$2:$B$293,0))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JAGRAN</t>
        </is>
      </c>
      <c r="D61" s="30" t="inlineStr">
        <is>
          <t>Jagran Prakashan Limited</t>
        </is>
      </c>
      <c r="E61" s="30" t="inlineStr">
        <is>
          <t>media</t>
        </is>
      </c>
      <c r="F61" s="30" t="inlineStr">
        <is>
          <t>entertainment / electronic media software</t>
        </is>
      </c>
      <c r="G61" s="30" t="inlineStr">
        <is>
          <t>smallcap</t>
        </is>
      </c>
      <c r="H61" s="31" t="n">
        <v>1675.72</v>
      </c>
      <c r="I61" s="31" t="n">
        <v>77.44</v>
      </c>
      <c r="J61" s="31" t="n">
        <v>0.58</v>
      </c>
      <c r="K61" s="31" t="n">
        <v>2975250</v>
      </c>
      <c r="L61" s="30" t="n">
        <v>21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73</v>
      </c>
      <c r="P61" s="31" t="n">
        <v>30.13</v>
      </c>
      <c r="Q61" s="31" t="n">
        <v>67.33</v>
      </c>
      <c r="R61" s="30" t="inlineStr">
        <is>
          <t>Volume Spike &amp; Near 52W High Breakout</t>
        </is>
      </c>
      <c r="S61" s="30" t="inlineStr">
        <is>
          <t>Nifty IT</t>
        </is>
      </c>
      <c r="T61" s="31" t="n">
        <v>-21.21</v>
      </c>
      <c r="U61" s="31" t="n">
        <v>5.95</v>
      </c>
      <c r="V61" s="31" t="n">
        <v>34.47</v>
      </c>
      <c r="W61" s="31" t="n">
        <v>6.13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Annuity, Lower One Time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Between 50% to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IF(B62=0,"",RANK(B62,$B$2:$B$293,0))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NGLFINE</t>
        </is>
      </c>
      <c r="D62" s="30" t="inlineStr">
        <is>
          <t>NGL Fine Chem Ltd</t>
        </is>
      </c>
      <c r="E62" s="30" t="inlineStr">
        <is>
          <t>healthcare</t>
        </is>
      </c>
      <c r="F62" s="30" t="inlineStr">
        <is>
          <t>pharmaceuticals - indian - bulk drugs</t>
        </is>
      </c>
      <c r="G62" s="30" t="inlineStr">
        <is>
          <t>smallcap</t>
        </is>
      </c>
      <c r="H62" s="31" t="n">
        <v>1639.96</v>
      </c>
      <c r="I62" s="31" t="n">
        <v>2645.1</v>
      </c>
      <c r="J62" s="31" t="n">
        <v>-0.35</v>
      </c>
      <c r="K62" s="31" t="n">
        <v>17530</v>
      </c>
      <c r="L62" s="30" t="n">
        <v>82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69.47</v>
      </c>
      <c r="P62" s="31" t="n">
        <v>66.69</v>
      </c>
      <c r="Q62" s="31" t="n">
        <v>1819.82</v>
      </c>
      <c r="R62" s="30" t="inlineStr">
        <is>
          <t>Earnings / Momentum Support</t>
        </is>
      </c>
      <c r="S62" s="30" t="inlineStr">
        <is>
          <t>Nifty Pharma</t>
        </is>
      </c>
      <c r="T62" s="31" t="n">
        <v>11.08</v>
      </c>
      <c r="U62" s="31" t="n">
        <v>149.94</v>
      </c>
      <c r="V62" s="31" t="n">
        <v>125.02</v>
      </c>
      <c r="W62" s="31" t="n">
        <v>26.71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IF(B63=0,"",RANK(B63,$B$2:$B$293,0))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KEI</t>
        </is>
      </c>
      <c r="D63" s="30" t="inlineStr">
        <is>
          <t>Kei Industries Limited</t>
        </is>
      </c>
      <c r="E63" s="30" t="inlineStr">
        <is>
          <t>industrials</t>
        </is>
      </c>
      <c r="F63" s="30" t="inlineStr">
        <is>
          <t>cables - power</t>
        </is>
      </c>
      <c r="G63" s="30" t="inlineStr">
        <is>
          <t>largecap</t>
        </is>
      </c>
      <c r="H63" s="31" t="n">
        <v>50300.25</v>
      </c>
      <c r="I63" s="31" t="n">
        <v>5222</v>
      </c>
      <c r="J63" s="31" t="n">
        <v>-0.75</v>
      </c>
      <c r="K63" s="31" t="n">
        <v>265111</v>
      </c>
      <c r="L63" s="30" t="n">
        <v>30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64.42</v>
      </c>
      <c r="P63" s="31" t="n">
        <v>22.66</v>
      </c>
      <c r="Q63" s="31" t="n">
        <v>4189.89</v>
      </c>
      <c r="R63" s="30" t="inlineStr">
        <is>
          <t>Near 52W High Breakout</t>
        </is>
      </c>
      <c r="S63" s="30" t="inlineStr">
        <is>
          <t>Nifty Energy</t>
        </is>
      </c>
      <c r="T63" s="31" t="n">
        <v>11.89</v>
      </c>
      <c r="U63" s="31" t="n">
        <v>39.5</v>
      </c>
      <c r="V63" s="31" t="n">
        <v>24.67</v>
      </c>
      <c r="W63" s="31" t="n">
        <v>8.279999999999999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Fully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Yes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Yes, More Than 10%</t>
        </is>
      </c>
      <c r="CE63" s="30">
        <f>IF(CD63="Yes, more than 10%",-10,IF(CD63="No",10,0))</f>
        <v/>
      </c>
    </row>
    <row r="64">
      <c r="A64" s="30">
        <f>IF(B64=0,"",RANK(B64,$B$2:$B$293,0))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SOFTTECH</t>
        </is>
      </c>
      <c r="D64" s="30" t="inlineStr">
        <is>
          <t>Softtech Engineers Ltd</t>
        </is>
      </c>
      <c r="E64" s="30" t="inlineStr">
        <is>
          <t>i.t</t>
        </is>
      </c>
      <c r="F64" s="30" t="inlineStr">
        <is>
          <t>computers - software - medium / small</t>
        </is>
      </c>
      <c r="G64" s="30" t="inlineStr">
        <is>
          <t>smallcap</t>
        </is>
      </c>
      <c r="H64" s="31" t="n">
        <v>640.89</v>
      </c>
      <c r="I64" s="31" t="n">
        <v>456</v>
      </c>
      <c r="J64" s="31" t="n">
        <v>-1.51</v>
      </c>
      <c r="K64" s="31" t="n">
        <v>1835</v>
      </c>
      <c r="L64" s="30" t="n">
        <v>77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69.34999999999999</v>
      </c>
      <c r="P64" s="31" t="n">
        <v>33.14</v>
      </c>
      <c r="Q64" s="31" t="n">
        <v>334.52</v>
      </c>
      <c r="R64" s="30" t="inlineStr">
        <is>
          <t>Near 52W High Breakout</t>
        </is>
      </c>
      <c r="S64" s="30" t="inlineStr">
        <is>
          <t>Nifty IT</t>
        </is>
      </c>
      <c r="T64" s="31" t="n">
        <v>-21.21</v>
      </c>
      <c r="U64" s="31" t="n">
        <v>30.29</v>
      </c>
      <c r="V64" s="31" t="n">
        <v>65.36</v>
      </c>
      <c r="W64" s="31" t="n">
        <v>23.64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IF(B65=0,"",RANK(B65,$B$2:$B$293,0))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MCLEODRUSS</t>
        </is>
      </c>
      <c r="D65" s="30" t="inlineStr">
        <is>
          <t>Mcleod Russel India Limited</t>
        </is>
      </c>
      <c r="E65" s="30" t="inlineStr">
        <is>
          <t>fmcg</t>
        </is>
      </c>
      <c r="F65" s="30" t="inlineStr">
        <is>
          <t>tea</t>
        </is>
      </c>
      <c r="G65" s="30" t="inlineStr">
        <is>
          <t>smallcap</t>
        </is>
      </c>
      <c r="H65" s="31" t="n">
        <v>786.76</v>
      </c>
      <c r="I65" s="31" t="n">
        <v>73.81999999999999</v>
      </c>
      <c r="J65" s="31" t="n">
        <v>-1.99</v>
      </c>
      <c r="K65" s="31" t="n">
        <v>124129</v>
      </c>
      <c r="L65" s="30" t="n">
        <v>93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71.12</v>
      </c>
      <c r="P65" s="31" t="n">
        <v>27.05</v>
      </c>
      <c r="Q65" s="31" t="n">
        <v>58.81</v>
      </c>
      <c r="R65" s="30" t="inlineStr">
        <is>
          <t>Earnings / Momentum Support</t>
        </is>
      </c>
      <c r="S65" s="30" t="inlineStr">
        <is>
          <t>Nifty FMCG</t>
        </is>
      </c>
      <c r="T65" s="31" t="n">
        <v>-13.76</v>
      </c>
      <c r="U65" s="31" t="n">
        <v>109.54</v>
      </c>
      <c r="V65" s="31" t="n">
        <v>142.97</v>
      </c>
      <c r="W65" s="31" t="n">
        <v>39.98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B2C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More than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IF(B66=0,"",RANK(B66,$B$2:$B$293,0))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VIJAYA</t>
        </is>
      </c>
      <c r="D66" s="30" t="inlineStr">
        <is>
          <t>Vijaya Diagnostic Centre Ltd</t>
        </is>
      </c>
      <c r="E66" s="30" t="inlineStr">
        <is>
          <t>healthcare</t>
        </is>
      </c>
      <c r="F66" s="30" t="inlineStr">
        <is>
          <t>healthcare</t>
        </is>
      </c>
      <c r="G66" s="30" t="inlineStr">
        <is>
          <t>midcap</t>
        </is>
      </c>
      <c r="H66" s="31" t="n">
        <v>13551.5</v>
      </c>
      <c r="I66" s="31" t="n">
        <v>1279.4</v>
      </c>
      <c r="J66" s="31" t="n">
        <v>-2.86</v>
      </c>
      <c r="K66" s="31" t="n">
        <v>109859</v>
      </c>
      <c r="L66" s="30" t="n">
        <v>50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65.45999999999999</v>
      </c>
      <c r="P66" s="31" t="n">
        <v>28.17</v>
      </c>
      <c r="Q66" s="31" t="n">
        <v>1062.81</v>
      </c>
      <c r="R66" s="30" t="inlineStr">
        <is>
          <t>Near 52W High Breakout</t>
        </is>
      </c>
      <c r="S66" s="30" t="inlineStr">
        <is>
          <t>Nifty Pharma</t>
        </is>
      </c>
      <c r="T66" s="31" t="n">
        <v>11.08</v>
      </c>
      <c r="U66" s="31" t="n">
        <v>31.48</v>
      </c>
      <c r="V66" s="31" t="n">
        <v>18.37</v>
      </c>
      <c r="W66" s="31" t="n">
        <v>13.45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IF(B67=0,"",RANK(B67,$B$2:$B$293,0))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CARYSIL</t>
        </is>
      </c>
      <c r="D67" s="30" t="inlineStr">
        <is>
          <t>Carysil Ltd</t>
        </is>
      </c>
      <c r="E67" s="30" t="inlineStr">
        <is>
          <t>consumer discretionary</t>
        </is>
      </c>
      <c r="F67" s="30" t="inlineStr">
        <is>
          <t>domestic appliances</t>
        </is>
      </c>
      <c r="G67" s="30" t="inlineStr">
        <is>
          <t>smallcap</t>
        </is>
      </c>
      <c r="H67" s="31" t="n">
        <v>3167.08</v>
      </c>
      <c r="I67" s="31" t="n">
        <v>1138</v>
      </c>
      <c r="J67" s="31" t="n">
        <v>2.2</v>
      </c>
      <c r="K67" s="31" t="n">
        <v>182936</v>
      </c>
      <c r="L67" s="30" t="n">
        <v>46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69.06999999999999</v>
      </c>
      <c r="P67" s="31" t="n">
        <v>18.25</v>
      </c>
      <c r="Q67" s="31" t="n">
        <v>858.78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-6.39</v>
      </c>
      <c r="U67" s="31" t="n">
        <v>30.95</v>
      </c>
      <c r="V67" s="31" t="n">
        <v>39.89</v>
      </c>
      <c r="W67" s="31" t="n">
        <v>12.72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IF(B68=0,"",RANK(B68,$B$2:$B$293,0))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WELCORP</t>
        </is>
      </c>
      <c r="D68" s="30" t="inlineStr">
        <is>
          <t>Welspun Corp Limited</t>
        </is>
      </c>
      <c r="E68" s="30" t="inlineStr">
        <is>
          <t>industrials</t>
        </is>
      </c>
      <c r="F68" s="30" t="inlineStr">
        <is>
          <t>steel - large</t>
        </is>
      </c>
      <c r="G68" s="30" t="inlineStr">
        <is>
          <t>largecap</t>
        </is>
      </c>
      <c r="H68" s="31" t="n">
        <v>36582.49</v>
      </c>
      <c r="I68" s="31" t="n">
        <v>1413.6</v>
      </c>
      <c r="J68" s="31" t="n">
        <v>1.93</v>
      </c>
      <c r="K68" s="31" t="n">
        <v>1901113</v>
      </c>
      <c r="L68" s="30" t="n">
        <v>81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82.44</v>
      </c>
      <c r="P68" s="31" t="n">
        <v>46.38</v>
      </c>
      <c r="Q68" s="31" t="n">
        <v>1155.71</v>
      </c>
      <c r="R68" s="30" t="inlineStr">
        <is>
          <t>Near 52W High Breakout</t>
        </is>
      </c>
      <c r="S68" s="30" t="inlineStr">
        <is>
          <t>Nifty Metal</t>
        </is>
      </c>
      <c r="T68" s="31" t="n">
        <v>43.89</v>
      </c>
      <c r="U68" s="31" t="n">
        <v>47.08</v>
      </c>
      <c r="V68" s="31" t="n">
        <v>2.21</v>
      </c>
      <c r="W68" s="31" t="n">
        <v>26.6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Less than 12%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IF(B69=0,"",RANK(B69,$B$2:$B$293,0))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DIVGIITTS</t>
        </is>
      </c>
      <c r="D69" s="30" t="inlineStr">
        <is>
          <t>Divgi Torqtransfer Systems Ltd</t>
        </is>
      </c>
      <c r="E69" s="30" t="inlineStr">
        <is>
          <t>auto</t>
        </is>
      </c>
      <c r="F69" s="30" t="inlineStr">
        <is>
          <t>auto ancillaries</t>
        </is>
      </c>
      <c r="G69" s="30" t="inlineStr">
        <is>
          <t>smallcap</t>
        </is>
      </c>
      <c r="H69" s="31" t="n">
        <v>2414.37</v>
      </c>
      <c r="I69" s="31" t="n">
        <v>802.6</v>
      </c>
      <c r="J69" s="31" t="n">
        <v>1.67</v>
      </c>
      <c r="K69" s="31" t="n">
        <v>62546</v>
      </c>
      <c r="L69" s="30" t="n">
        <v>31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60.64</v>
      </c>
      <c r="P69" s="31" t="n">
        <v>26.07</v>
      </c>
      <c r="Q69" s="31" t="n">
        <v>585.7</v>
      </c>
      <c r="R69" s="30" t="inlineStr">
        <is>
          <t>Near 52W High Breakout</t>
        </is>
      </c>
      <c r="S69" s="30" t="inlineStr">
        <is>
          <t>Nifty Auto</t>
        </is>
      </c>
      <c r="T69" s="31" t="n">
        <v>10.28</v>
      </c>
      <c r="U69" s="31" t="n">
        <v>33.56</v>
      </c>
      <c r="V69" s="31" t="n">
        <v>21.12</v>
      </c>
      <c r="W69" s="31" t="n">
        <v>8.76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IF(B70=0,"",RANK(B70,$B$2:$B$293,0))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SANGAMIND</t>
        </is>
      </c>
      <c r="D70" s="30" t="inlineStr">
        <is>
          <t>Sangam (india) Limited</t>
        </is>
      </c>
      <c r="E70" s="30" t="inlineStr">
        <is>
          <t>textiles</t>
        </is>
      </c>
      <c r="F70" s="30" t="inlineStr">
        <is>
          <t>textiles - spinning - synthetic / blended</t>
        </is>
      </c>
      <c r="G70" s="30" t="inlineStr">
        <is>
          <t>smallcap</t>
        </is>
      </c>
      <c r="H70" s="31" t="n">
        <v>2649</v>
      </c>
      <c r="I70" s="31" t="n">
        <v>532.05</v>
      </c>
      <c r="J70" s="31" t="n">
        <v>0.92</v>
      </c>
      <c r="K70" s="31" t="n">
        <v>34349</v>
      </c>
      <c r="L70" s="30" t="n">
        <v>36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64.84</v>
      </c>
      <c r="P70" s="31" t="n">
        <v>26.44</v>
      </c>
      <c r="Q70" s="31" t="n">
        <v>409.27</v>
      </c>
      <c r="R70" s="30" t="inlineStr">
        <is>
          <t>Near 52W High Breakout</t>
        </is>
      </c>
      <c r="S70" s="30" t="inlineStr">
        <is>
          <t>Nifty 50</t>
        </is>
      </c>
      <c r="T70" s="31" t="n">
        <v>-6.39</v>
      </c>
      <c r="U70" s="31" t="n">
        <v>24.08</v>
      </c>
      <c r="V70" s="31" t="n">
        <v>32.55</v>
      </c>
      <c r="W70" s="31" t="n">
        <v>9.85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Between 0.7 to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IF(B71=0,"",RANK(B71,$B$2:$B$293,0))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GRINDWELL</t>
        </is>
      </c>
      <c r="D71" s="30" t="inlineStr">
        <is>
          <t>Grindwell Norton Limited</t>
        </is>
      </c>
      <c r="E71" s="30" t="inlineStr">
        <is>
          <t>industrials</t>
        </is>
      </c>
      <c r="F71" s="30" t="inlineStr">
        <is>
          <t>abrasives and grinding wheels</t>
        </is>
      </c>
      <c r="G71" s="30" t="inlineStr">
        <is>
          <t>largecap</t>
        </is>
      </c>
      <c r="H71" s="31" t="n">
        <v>20582.85</v>
      </c>
      <c r="I71" s="31" t="n">
        <v>1867</v>
      </c>
      <c r="J71" s="31" t="n">
        <v>0.43</v>
      </c>
      <c r="K71" s="31" t="n">
        <v>92642</v>
      </c>
      <c r="L71" s="30" t="n">
        <v>15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63.19</v>
      </c>
      <c r="P71" s="31" t="n">
        <v>25.01</v>
      </c>
      <c r="Q71" s="31" t="n">
        <v>1581.86</v>
      </c>
      <c r="R71" s="30" t="inlineStr">
        <is>
          <t>Near 52W High Breakout</t>
        </is>
      </c>
      <c r="S71" s="30" t="inlineStr">
        <is>
          <t>Nifty Infra</t>
        </is>
      </c>
      <c r="T71" s="31" t="n">
        <v>1.52</v>
      </c>
      <c r="U71" s="31" t="n">
        <v>2.38</v>
      </c>
      <c r="V71" s="31" t="n">
        <v>0.84</v>
      </c>
      <c r="W71" s="31" t="n">
        <v>4.79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Between 1.5 to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IF(B72=0,"",RANK(B72,$B$2:$B$293,0))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KIRLPNU</t>
        </is>
      </c>
      <c r="D72" s="30" t="inlineStr">
        <is>
          <t>Kirloskar Pneumatic Company Ltd</t>
        </is>
      </c>
      <c r="E72" s="30" t="inlineStr">
        <is>
          <t>industrials</t>
        </is>
      </c>
      <c r="F72" s="30" t="inlineStr">
        <is>
          <t>compressors / drilling equipment</t>
        </is>
      </c>
      <c r="G72" s="30" t="inlineStr">
        <is>
          <t>midcap</t>
        </is>
      </c>
      <c r="H72" s="31" t="n">
        <v>10253.65</v>
      </c>
      <c r="I72" s="31" t="n">
        <v>1579.5</v>
      </c>
      <c r="J72" s="31" t="n">
        <v>0.06</v>
      </c>
      <c r="K72" s="31" t="n">
        <v>51072</v>
      </c>
      <c r="L72" s="30" t="n">
        <v>43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74.20999999999999</v>
      </c>
      <c r="P72" s="31" t="n">
        <v>31.96</v>
      </c>
      <c r="Q72" s="31" t="n">
        <v>1281.06</v>
      </c>
      <c r="R72" s="30" t="inlineStr">
        <is>
          <t>Near 52W High Breakout</t>
        </is>
      </c>
      <c r="S72" s="30" t="inlineStr">
        <is>
          <t>Nifty 50</t>
        </is>
      </c>
      <c r="T72" s="31" t="n">
        <v>-6.39</v>
      </c>
      <c r="U72" s="31" t="n">
        <v>15.58</v>
      </c>
      <c r="V72" s="31" t="n">
        <v>23.47</v>
      </c>
      <c r="W72" s="31" t="n">
        <v>11.88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IF(B73=0,"",RANK(B73,$B$2:$B$293,0))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SKIPPER</t>
        </is>
      </c>
      <c r="D73" s="30" t="inlineStr">
        <is>
          <t>Skipper Limited</t>
        </is>
      </c>
      <c r="E73" s="30" t="inlineStr">
        <is>
          <t>industrials</t>
        </is>
      </c>
      <c r="F73" s="30" t="inlineStr">
        <is>
          <t>engineering</t>
        </is>
      </c>
      <c r="G73" s="30" t="inlineStr">
        <is>
          <t>midcap</t>
        </is>
      </c>
      <c r="H73" s="31" t="n">
        <v>6462.63</v>
      </c>
      <c r="I73" s="31" t="n">
        <v>570.5</v>
      </c>
      <c r="J73" s="31" t="n">
        <v>-0.33</v>
      </c>
      <c r="K73" s="31" t="n">
        <v>1743919</v>
      </c>
      <c r="L73" s="30" t="n">
        <v>70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72.27</v>
      </c>
      <c r="P73" s="31" t="n">
        <v>32.69</v>
      </c>
      <c r="Q73" s="31" t="n">
        <v>429.33</v>
      </c>
      <c r="R73" s="30" t="inlineStr">
        <is>
          <t>Volume Spike &amp; Near 52W High Breakout</t>
        </is>
      </c>
      <c r="S73" s="30" t="inlineStr">
        <is>
          <t>Nifty 50</t>
        </is>
      </c>
      <c r="T73" s="31" t="n">
        <v>-6.39</v>
      </c>
      <c r="U73" s="31" t="n">
        <v>17.23</v>
      </c>
      <c r="V73" s="31" t="n">
        <v>25.23</v>
      </c>
      <c r="W73" s="31" t="n">
        <v>20.51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IF(B74=0,"",RANK(B74,$B$2:$B$293,0))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VERANDA</t>
        </is>
      </c>
      <c r="D74" s="30" t="inlineStr">
        <is>
          <t>Veranda Learning Solutions Ltd</t>
        </is>
      </c>
      <c r="E74" s="30" t="inlineStr">
        <is>
          <t>services</t>
        </is>
      </c>
      <c r="F74" s="30" t="inlineStr">
        <is>
          <t>miscellaneous</t>
        </is>
      </c>
      <c r="G74" s="30" t="inlineStr">
        <is>
          <t>smallcap</t>
        </is>
      </c>
      <c r="H74" s="31" t="n">
        <v>2253.16</v>
      </c>
      <c r="I74" s="31" t="n">
        <v>232.99</v>
      </c>
      <c r="J74" s="31" t="n">
        <v>-0.55</v>
      </c>
      <c r="K74" s="31" t="n">
        <v>217170</v>
      </c>
      <c r="L74" s="30" t="n">
        <v>51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62.81</v>
      </c>
      <c r="P74" s="31" t="n">
        <v>31.62</v>
      </c>
      <c r="Q74" s="31" t="n">
        <v>170.78</v>
      </c>
      <c r="R74" s="30" t="inlineStr">
        <is>
          <t>Earnings / Momentum Support</t>
        </is>
      </c>
      <c r="S74" s="30" t="inlineStr">
        <is>
          <t>Nifty 50</t>
        </is>
      </c>
      <c r="T74" s="31" t="n">
        <v>-6.39</v>
      </c>
      <c r="U74" s="31" t="n">
        <v>17.66</v>
      </c>
      <c r="V74" s="31" t="n">
        <v>25.69</v>
      </c>
      <c r="W74" s="31" t="n">
        <v>13.93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Between 50% to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IF(B75=0,"",RANK(B75,$B$2:$B$293,0))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ADANIPORTS</t>
        </is>
      </c>
      <c r="D75" s="30" t="inlineStr">
        <is>
          <t>Adani Ports And Special Economic Zone Limited</t>
        </is>
      </c>
      <c r="E75" s="30" t="inlineStr">
        <is>
          <t>transportation</t>
        </is>
      </c>
      <c r="F75" s="30" t="inlineStr">
        <is>
          <t>miscellaneous</t>
        </is>
      </c>
      <c r="G75" s="30" t="inlineStr">
        <is>
          <t>largecap</t>
        </is>
      </c>
      <c r="H75" s="31" t="n">
        <v>418053.38</v>
      </c>
      <c r="I75" s="31" t="n">
        <v>1803.8</v>
      </c>
      <c r="J75" s="31" t="n">
        <v>-0.59</v>
      </c>
      <c r="K75" s="31" t="n">
        <v>2967709</v>
      </c>
      <c r="L75" s="30" t="n">
        <v>33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71.26000000000001</v>
      </c>
      <c r="P75" s="31" t="n">
        <v>25.7</v>
      </c>
      <c r="Q75" s="31" t="n">
        <v>1520.75</v>
      </c>
      <c r="R75" s="30" t="inlineStr">
        <is>
          <t>Near 52W High Breakout</t>
        </is>
      </c>
      <c r="S75" s="30" t="inlineStr">
        <is>
          <t>Nifty 50</t>
        </is>
      </c>
      <c r="T75" s="31" t="n">
        <v>-6.39</v>
      </c>
      <c r="U75" s="31" t="n">
        <v>23.16</v>
      </c>
      <c r="V75" s="31" t="n">
        <v>31.57</v>
      </c>
      <c r="W75" s="31" t="n">
        <v>9.300000000000001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Less than 12%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IF(B76=0,"",RANK(B76,$B$2:$B$293,0))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MIRCELECTR</t>
        </is>
      </c>
      <c r="D76" s="30" t="inlineStr">
        <is>
          <t>Mirc Electronics Limited</t>
        </is>
      </c>
      <c r="E76" s="30" t="inlineStr">
        <is>
          <t>consumer discretionary</t>
        </is>
      </c>
      <c r="F76" s="30" t="inlineStr">
        <is>
          <t>electronics - consumer</t>
        </is>
      </c>
      <c r="G76" s="30" t="inlineStr">
        <is>
          <t>smallcap</t>
        </is>
      </c>
      <c r="H76" s="31" t="n">
        <v>1515.99</v>
      </c>
      <c r="I76" s="31" t="n">
        <v>40.72</v>
      </c>
      <c r="J76" s="31" t="n">
        <v>-0.78</v>
      </c>
      <c r="K76" s="31" t="n">
        <v>266994</v>
      </c>
      <c r="L76" s="30" t="n">
        <v>93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66.16</v>
      </c>
      <c r="P76" s="31" t="n">
        <v>33.52</v>
      </c>
      <c r="Q76" s="31" t="n">
        <v>28.74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-6.39</v>
      </c>
      <c r="U76" s="31" t="n">
        <v>181.02</v>
      </c>
      <c r="V76" s="31" t="n">
        <v>200.2</v>
      </c>
      <c r="W76" s="31" t="n">
        <v>40.61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Negative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IF(B77=0,"",RANK(B77,$B$2:$B$293,0))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NLCINDIA</t>
        </is>
      </c>
      <c r="D77" s="30" t="inlineStr">
        <is>
          <t>Nlc India Limited</t>
        </is>
      </c>
      <c r="E77" s="30" t="inlineStr">
        <is>
          <t>power &amp; utilities</t>
        </is>
      </c>
      <c r="F77" s="30" t="inlineStr">
        <is>
          <t>power generation and supply</t>
        </is>
      </c>
      <c r="G77" s="30" t="inlineStr">
        <is>
          <t>largecap</t>
        </is>
      </c>
      <c r="H77" s="31" t="n">
        <v>48407.48</v>
      </c>
      <c r="I77" s="31" t="n">
        <v>346</v>
      </c>
      <c r="J77" s="31" t="n">
        <v>-0.89</v>
      </c>
      <c r="K77" s="31" t="n">
        <v>3487960</v>
      </c>
      <c r="L77" s="30" t="n">
        <v>60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73.44</v>
      </c>
      <c r="P77" s="31" t="n">
        <v>41.56</v>
      </c>
      <c r="Q77" s="31" t="n">
        <v>275.23</v>
      </c>
      <c r="R77" s="30" t="inlineStr">
        <is>
          <t>Near 52W High Breakout</t>
        </is>
      </c>
      <c r="S77" s="30" t="inlineStr">
        <is>
          <t>Nifty IT</t>
        </is>
      </c>
      <c r="T77" s="31" t="n">
        <v>-21.21</v>
      </c>
      <c r="U77" s="31" t="n">
        <v>49.88</v>
      </c>
      <c r="V77" s="31" t="n">
        <v>90.23</v>
      </c>
      <c r="W77" s="31" t="n">
        <v>16.33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IF(B78=0,"",RANK(B78,$B$2:$B$293,0))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BHEL</t>
        </is>
      </c>
      <c r="D78" s="30" t="inlineStr">
        <is>
          <t>Bharat Heavy Electricals Limited</t>
        </is>
      </c>
      <c r="E78" s="30" t="inlineStr">
        <is>
          <t>industrials</t>
        </is>
      </c>
      <c r="F78" s="30" t="inlineStr">
        <is>
          <t>electric equipment</t>
        </is>
      </c>
      <c r="G78" s="30" t="inlineStr">
        <is>
          <t>largecap</t>
        </is>
      </c>
      <c r="H78" s="31" t="n">
        <v>143025.75</v>
      </c>
      <c r="I78" s="31" t="n">
        <v>406.3</v>
      </c>
      <c r="J78" s="31" t="n">
        <v>-1.08</v>
      </c>
      <c r="K78" s="31" t="n">
        <v>10000048</v>
      </c>
      <c r="L78" s="30" t="n">
        <v>79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74.69</v>
      </c>
      <c r="P78" s="31" t="n">
        <v>37.12</v>
      </c>
      <c r="Q78" s="31" t="n">
        <v>343.11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-6.39</v>
      </c>
      <c r="U78" s="31" t="n">
        <v>59.23</v>
      </c>
      <c r="V78" s="31" t="n">
        <v>70.09999999999999</v>
      </c>
      <c r="W78" s="31" t="n">
        <v>24.21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IF(B79=0,"",RANK(B79,$B$2:$B$293,0))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PASUPTAC</t>
        </is>
      </c>
      <c r="D79" s="30" t="inlineStr">
        <is>
          <t>Pasupati Acrylon Ltd</t>
        </is>
      </c>
      <c r="E79" s="30" t="inlineStr">
        <is>
          <t>textiles</t>
        </is>
      </c>
      <c r="F79" s="30" t="inlineStr">
        <is>
          <t>textiles - manmade</t>
        </is>
      </c>
      <c r="G79" s="30" t="inlineStr">
        <is>
          <t>smallcap</t>
        </is>
      </c>
      <c r="H79" s="31" t="n">
        <v>606.91</v>
      </c>
      <c r="I79" s="31" t="n">
        <v>67.29000000000001</v>
      </c>
      <c r="J79" s="31" t="n">
        <v>-1.17</v>
      </c>
      <c r="K79" s="31" t="n">
        <v>483957</v>
      </c>
      <c r="L79" s="30" t="n">
        <v>62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70.54000000000001</v>
      </c>
      <c r="P79" s="31" t="n">
        <v>28.19</v>
      </c>
      <c r="Q79" s="31" t="n">
        <v>47.84</v>
      </c>
      <c r="R79" s="30" t="inlineStr">
        <is>
          <t>Volume Spike &amp; Near 52W High Breakout</t>
        </is>
      </c>
      <c r="S79" s="30" t="inlineStr">
        <is>
          <t>Nifty 50</t>
        </is>
      </c>
      <c r="T79" s="31" t="n">
        <v>-6.39</v>
      </c>
      <c r="U79" s="31" t="n">
        <v>38.17</v>
      </c>
      <c r="V79" s="31" t="n">
        <v>47.6</v>
      </c>
      <c r="W79" s="31" t="n">
        <v>16.72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Less than 50%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IF(B80=0,"",RANK(B80,$B$2:$B$293,0))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SANSERA</t>
        </is>
      </c>
      <c r="D80" s="30" t="inlineStr">
        <is>
          <t>Sansera Engineering Ltd</t>
        </is>
      </c>
      <c r="E80" s="30" t="inlineStr">
        <is>
          <t>auto</t>
        </is>
      </c>
      <c r="F80" s="30" t="inlineStr">
        <is>
          <t>auto ancillaries</t>
        </is>
      </c>
      <c r="G80" s="30" t="inlineStr">
        <is>
          <t>midcap</t>
        </is>
      </c>
      <c r="H80" s="31" t="n">
        <v>18408.52</v>
      </c>
      <c r="I80" s="31" t="n">
        <v>2914.8</v>
      </c>
      <c r="J80" s="31" t="n">
        <v>-1.3</v>
      </c>
      <c r="K80" s="31" t="n">
        <v>301913</v>
      </c>
      <c r="L80" s="30" t="n">
        <v>78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74.23</v>
      </c>
      <c r="P80" s="31" t="n">
        <v>39.79</v>
      </c>
      <c r="Q80" s="31" t="n">
        <v>2243.15</v>
      </c>
      <c r="R80" s="30" t="inlineStr">
        <is>
          <t>Near 52W High Breakout</t>
        </is>
      </c>
      <c r="S80" s="30" t="inlineStr">
        <is>
          <t>Nifty Auto</t>
        </is>
      </c>
      <c r="T80" s="31" t="n">
        <v>10.28</v>
      </c>
      <c r="U80" s="31" t="n">
        <v>116.13</v>
      </c>
      <c r="V80" s="31" t="n">
        <v>95.98999999999999</v>
      </c>
      <c r="W80" s="31" t="n">
        <v>24.11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IF(B81=0,"",RANK(B81,$B$2:$B$293,0))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WHEELS</t>
        </is>
      </c>
      <c r="D81" s="30" t="inlineStr">
        <is>
          <t>Wheels India Limited</t>
        </is>
      </c>
      <c r="E81" s="30" t="inlineStr">
        <is>
          <t>auto</t>
        </is>
      </c>
      <c r="F81" s="30" t="inlineStr">
        <is>
          <t>auto ancillaries</t>
        </is>
      </c>
      <c r="G81" s="30" t="inlineStr">
        <is>
          <t>smallcap</t>
        </is>
      </c>
      <c r="H81" s="31" t="n">
        <v>3708.69</v>
      </c>
      <c r="I81" s="31" t="n">
        <v>1497.7</v>
      </c>
      <c r="J81" s="31" t="n">
        <v>-1.33</v>
      </c>
      <c r="K81" s="31" t="n">
        <v>80547</v>
      </c>
      <c r="L81" s="30" t="n">
        <v>87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70.09</v>
      </c>
      <c r="P81" s="31" t="n">
        <v>46.71</v>
      </c>
      <c r="Q81" s="31" t="n">
        <v>1303.61</v>
      </c>
      <c r="R81" s="30" t="inlineStr">
        <is>
          <t>Earnings / Momentum Support</t>
        </is>
      </c>
      <c r="S81" s="30" t="inlineStr">
        <is>
          <t>Nifty Auto</t>
        </is>
      </c>
      <c r="T81" s="31" t="n">
        <v>10.28</v>
      </c>
      <c r="U81" s="31" t="n">
        <v>104.05</v>
      </c>
      <c r="V81" s="31" t="n">
        <v>85.03</v>
      </c>
      <c r="W81" s="31" t="n">
        <v>31.9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No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IF(B82=0,"",RANK(B82,$B$2:$B$293,0))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SKMEGGPROD</t>
        </is>
      </c>
      <c r="D82" s="30" t="inlineStr">
        <is>
          <t>Skm Egg Products Export (india) Limited</t>
        </is>
      </c>
      <c r="E82" s="30" t="inlineStr">
        <is>
          <t>fmcg</t>
        </is>
      </c>
      <c r="F82" s="30" t="inlineStr">
        <is>
          <t>food - processing - indian</t>
        </is>
      </c>
      <c r="G82" s="30" t="inlineStr">
        <is>
          <t>smallcap</t>
        </is>
      </c>
      <c r="H82" s="31" t="n">
        <v>1225.77</v>
      </c>
      <c r="I82" s="31" t="n">
        <v>243.51</v>
      </c>
      <c r="J82" s="31" t="n">
        <v>4.61</v>
      </c>
      <c r="K82" s="31" t="n">
        <v>2661942</v>
      </c>
      <c r="L82" s="30" t="n">
        <v>88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71.03</v>
      </c>
      <c r="P82" s="31" t="n">
        <v>15.81</v>
      </c>
      <c r="Q82" s="31" t="n">
        <v>169.86</v>
      </c>
      <c r="R82" s="30" t="inlineStr">
        <is>
          <t>Volume Spike &amp; Near 52W High Breakout</t>
        </is>
      </c>
      <c r="S82" s="30" t="inlineStr">
        <is>
          <t>Nifty FMCG</t>
        </is>
      </c>
      <c r="T82" s="31" t="n">
        <v>-13.76</v>
      </c>
      <c r="U82" s="31" t="n">
        <v>116.88</v>
      </c>
      <c r="V82" s="31" t="n">
        <v>151.49</v>
      </c>
      <c r="W82" s="31" t="n">
        <v>32.77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B2C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Less than 50%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IF(B83=0,"",RANK(B83,$B$2:$B$293,0))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SANSTAR</t>
        </is>
      </c>
      <c r="D83" s="30" t="inlineStr">
        <is>
          <t>Sanstar Ltd</t>
        </is>
      </c>
      <c r="E83" s="30" t="inlineStr">
        <is>
          <t>fmcg</t>
        </is>
      </c>
      <c r="F83" s="30" t="inlineStr">
        <is>
          <t>miscellaneous</t>
        </is>
      </c>
      <c r="G83" s="30" t="inlineStr">
        <is>
          <t>smallcap</t>
        </is>
      </c>
      <c r="H83" s="31" t="n">
        <v>2109.84</v>
      </c>
      <c r="I83" s="31" t="n">
        <v>118.27</v>
      </c>
      <c r="J83" s="31" t="n">
        <v>2.16</v>
      </c>
      <c r="K83" s="31" t="n">
        <v>735135</v>
      </c>
      <c r="L83" s="30" t="n">
        <v>55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75.7</v>
      </c>
      <c r="P83" s="31" t="n">
        <v>26.66</v>
      </c>
      <c r="Q83" s="31" t="n">
        <v>92.62</v>
      </c>
      <c r="R83" s="30" t="inlineStr">
        <is>
          <t>Near 52W High Breakout</t>
        </is>
      </c>
      <c r="S83" s="30" t="inlineStr">
        <is>
          <t>Nifty FMCG</t>
        </is>
      </c>
      <c r="T83" s="31" t="n">
        <v>-13.76</v>
      </c>
      <c r="U83" s="31" t="n">
        <v>32.16</v>
      </c>
      <c r="V83" s="31" t="n">
        <v>53.25</v>
      </c>
      <c r="W83" s="31" t="n">
        <v>14.85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B2C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IF(B84=0,"",RANK(B84,$B$2:$B$293,0))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CUPID</t>
        </is>
      </c>
      <c r="D84" s="30" t="inlineStr">
        <is>
          <t>Cupid Limited</t>
        </is>
      </c>
      <c r="E84" s="30" t="inlineStr">
        <is>
          <t>fmcg</t>
        </is>
      </c>
      <c r="F84" s="30" t="inlineStr">
        <is>
          <t>personal care - indian</t>
        </is>
      </c>
      <c r="G84" s="30" t="inlineStr">
        <is>
          <t>midcap</t>
        </is>
      </c>
      <c r="H84" s="31" t="n">
        <v>17258.72</v>
      </c>
      <c r="I84" s="31" t="n">
        <v>129.8</v>
      </c>
      <c r="J84" s="31" t="n">
        <v>1.13</v>
      </c>
      <c r="K84" s="31" t="n">
        <v>9280138</v>
      </c>
      <c r="L84" s="30" t="n">
        <v>98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73.94</v>
      </c>
      <c r="P84" s="31" t="n">
        <v>40.4</v>
      </c>
      <c r="Q84" s="31" t="n">
        <v>101.97</v>
      </c>
      <c r="R84" s="30" t="inlineStr">
        <is>
          <t>Near 52W High Breakout</t>
        </is>
      </c>
      <c r="S84" s="30" t="inlineStr">
        <is>
          <t>Nifty FMCG</t>
        </is>
      </c>
      <c r="T84" s="31" t="n">
        <v>-13.76</v>
      </c>
      <c r="U84" s="31" t="n">
        <v>500.93</v>
      </c>
      <c r="V84" s="31" t="n">
        <v>596.8099999999999</v>
      </c>
      <c r="W84" s="31" t="n">
        <v>60.7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B2C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Annuity, Lower One Time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Less than 50%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IF(B85=0,"",RANK(B85,$B$2:$B$293,0))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SAILIFE</t>
        </is>
      </c>
      <c r="D85" s="30" t="inlineStr">
        <is>
          <t>Sai Life Sciences Ltd</t>
        </is>
      </c>
      <c r="E85" s="30" t="inlineStr">
        <is>
          <t>healthcare</t>
        </is>
      </c>
      <c r="F85" s="30" t="inlineStr">
        <is>
          <t>pharmaceuticals - indian - bulk drugs &amp; formln</t>
        </is>
      </c>
      <c r="G85" s="30" t="inlineStr">
        <is>
          <t>largecap</t>
        </is>
      </c>
      <c r="H85" s="31" t="n">
        <v>23895.05</v>
      </c>
      <c r="I85" s="31" t="n">
        <v>1137.7</v>
      </c>
      <c r="J85" s="31" t="n">
        <v>0.83</v>
      </c>
      <c r="K85" s="31" t="n">
        <v>330755</v>
      </c>
      <c r="L85" s="30" t="n">
        <v>41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65.38</v>
      </c>
      <c r="P85" s="31" t="n">
        <v>30.23</v>
      </c>
      <c r="Q85" s="31" t="n">
        <v>914.88</v>
      </c>
      <c r="R85" s="30" t="inlineStr">
        <is>
          <t>Near 52W High Breakout</t>
        </is>
      </c>
      <c r="S85" s="30" t="inlineStr">
        <is>
          <t>Nifty Pharma</t>
        </is>
      </c>
      <c r="T85" s="31" t="n">
        <v>11.08</v>
      </c>
      <c r="U85" s="31" t="n">
        <v>54.33</v>
      </c>
      <c r="V85" s="31" t="n">
        <v>38.94</v>
      </c>
      <c r="W85" s="31" t="n">
        <v>11.26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Between 12 to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IF(B86=0,"",RANK(B86,$B$2:$B$293,0))</f>
        <v/>
      </c>
      <c r="B86" s="31">
        <f>SUM(N86,Y86,AA86,AC86,AE86,AG86,AI86,AK86,AM86,AO86,AQ86,AS86,AU86,AW86,AY86,BA86,BC86,BE86,BG86,BI86,BK86,BM86,BO86,BQ86,BS86,BU86,BW86,BY86,CA86,CC86,CE86)</f>
        <v/>
      </c>
      <c r="C86" s="32" t="inlineStr">
        <is>
          <t>MARKSANS</t>
        </is>
      </c>
      <c r="D86" s="32" t="inlineStr">
        <is>
          <t>Marksans Pharma Limited</t>
        </is>
      </c>
      <c r="E86" s="30" t="inlineStr">
        <is>
          <t>healthcare</t>
        </is>
      </c>
      <c r="F86" s="30" t="inlineStr">
        <is>
          <t>pharmaceuticals - indian - formulations</t>
        </is>
      </c>
      <c r="G86" s="30" t="inlineStr">
        <is>
          <t>midcap</t>
        </is>
      </c>
      <c r="H86" s="31" t="n">
        <v>10929.86</v>
      </c>
      <c r="I86" s="31" t="n">
        <v>242.37</v>
      </c>
      <c r="J86" s="31" t="n">
        <v>0.49</v>
      </c>
      <c r="K86" s="31" t="n">
        <v>2709024</v>
      </c>
      <c r="L86" s="30" t="n">
        <v>38</v>
      </c>
      <c r="M86" s="30" t="inlineStr">
        <is>
          <t>Underperforming</t>
        </is>
      </c>
      <c r="N86" s="31">
        <f>IF(M86="Underperforming",-5,IF(L86&gt;=95,15,IF(L86&gt;=90,10,IF(L86&gt;=80,5,0))))</f>
        <v/>
      </c>
      <c r="O86" s="31" t="n">
        <v>72.56999999999999</v>
      </c>
      <c r="P86" s="31" t="n">
        <v>25.72</v>
      </c>
      <c r="Q86" s="31" t="n">
        <v>191.22</v>
      </c>
      <c r="R86" s="30" t="inlineStr">
        <is>
          <t>Earnings / Momentum Support</t>
        </is>
      </c>
      <c r="S86" s="30" t="inlineStr">
        <is>
          <t>Nifty Pharma</t>
        </is>
      </c>
      <c r="T86" s="31" t="n">
        <v>11.08</v>
      </c>
      <c r="U86" s="31" t="n">
        <v>-3.46</v>
      </c>
      <c r="V86" s="31" t="n">
        <v>-13.09</v>
      </c>
      <c r="W86" s="31" t="n">
        <v>10.51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Yes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IF(B87=0,"",RANK(B87,$B$2:$B$293,0))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SUVEN</t>
        </is>
      </c>
      <c r="D87" s="30" t="inlineStr">
        <is>
          <t>Suven Life Sciences Limited</t>
        </is>
      </c>
      <c r="E87" s="30" t="inlineStr">
        <is>
          <t>healthcare</t>
        </is>
      </c>
      <c r="F87" s="30" t="inlineStr">
        <is>
          <t>miscellaneous</t>
        </is>
      </c>
      <c r="G87" s="30" t="inlineStr">
        <is>
          <t>midcap</t>
        </is>
      </c>
      <c r="H87" s="31" t="n">
        <v>7257.59</v>
      </c>
      <c r="I87" s="31" t="n">
        <v>275.35</v>
      </c>
      <c r="J87" s="31" t="n">
        <v>0.05</v>
      </c>
      <c r="K87" s="31" t="n">
        <v>1030873</v>
      </c>
      <c r="L87" s="30" t="n">
        <v>86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74.34</v>
      </c>
      <c r="P87" s="31" t="n">
        <v>34.4</v>
      </c>
      <c r="Q87" s="31" t="n">
        <v>201.83</v>
      </c>
      <c r="R87" s="30" t="inlineStr">
        <is>
          <t>Earnings / Momentum Support</t>
        </is>
      </c>
      <c r="S87" s="30" t="inlineStr">
        <is>
          <t>Nifty Pharma</t>
        </is>
      </c>
      <c r="T87" s="31" t="n">
        <v>11.08</v>
      </c>
      <c r="U87" s="31" t="n">
        <v>24.49</v>
      </c>
      <c r="V87" s="31" t="n">
        <v>12.07</v>
      </c>
      <c r="W87" s="31" t="n">
        <v>31.56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IF(B88=0,"",RANK(B88,$B$2:$B$293,0))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VBL</t>
        </is>
      </c>
      <c r="D88" s="30" t="inlineStr">
        <is>
          <t>Varun Beverages Limited</t>
        </is>
      </c>
      <c r="E88" s="30" t="inlineStr">
        <is>
          <t>fmcg</t>
        </is>
      </c>
      <c r="F88" s="30" t="inlineStr">
        <is>
          <t>food - processing - indian</t>
        </is>
      </c>
      <c r="G88" s="30" t="inlineStr">
        <is>
          <t>largecap</t>
        </is>
      </c>
      <c r="H88" s="31" t="n">
        <v>181618.47</v>
      </c>
      <c r="I88" s="31" t="n">
        <v>533.4</v>
      </c>
      <c r="J88" s="31" t="n">
        <v>-0.67</v>
      </c>
      <c r="K88" s="31" t="n">
        <v>4501572</v>
      </c>
      <c r="L88" s="30" t="n">
        <v>23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63.99</v>
      </c>
      <c r="P88" s="31" t="n">
        <v>29.43</v>
      </c>
      <c r="Q88" s="31" t="n">
        <v>446.75</v>
      </c>
      <c r="R88" s="30" t="inlineStr">
        <is>
          <t>Near 52W High Breakout</t>
        </is>
      </c>
      <c r="S88" s="30" t="inlineStr">
        <is>
          <t>Nifty FMCG</t>
        </is>
      </c>
      <c r="T88" s="31" t="n">
        <v>-13.76</v>
      </c>
      <c r="U88" s="31" t="n">
        <v>12.18</v>
      </c>
      <c r="V88" s="31" t="n">
        <v>30.08</v>
      </c>
      <c r="W88" s="31" t="n">
        <v>6.57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Duopoly That Cooperate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Shallow Cyclical (2 to 3 Years Growth)</t>
        </is>
      </c>
      <c r="AG88" s="30">
        <f>IF(AF88="Structural (10 Years Consistency)",10,IF(AF88="Shallow Cyclical (2 to 3 years growth)",5,0))</f>
        <v/>
      </c>
      <c r="AH88" s="30" t="inlineStr">
        <is>
          <t>Yes due to Product Mix change or Operating Leverage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B2C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Fully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only for next 1 to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Between 0.7 to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IF(B89=0,"",RANK(B89,$B$2:$B$293,0))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SBCL</t>
        </is>
      </c>
      <c r="D89" s="30" t="inlineStr">
        <is>
          <t>Shivalik Bimetal Controls Ltd</t>
        </is>
      </c>
      <c r="E89" s="30" t="inlineStr">
        <is>
          <t>metals &amp; mining</t>
        </is>
      </c>
      <c r="F89" s="30" t="inlineStr">
        <is>
          <t>mining / minerals / metals</t>
        </is>
      </c>
      <c r="G89" s="30" t="inlineStr">
        <is>
          <t>smallcap</t>
        </is>
      </c>
      <c r="H89" s="31" t="n">
        <v>4231.32</v>
      </c>
      <c r="I89" s="31" t="n">
        <v>723.9</v>
      </c>
      <c r="J89" s="31" t="n">
        <v>-1.45</v>
      </c>
      <c r="K89" s="31" t="n">
        <v>231427</v>
      </c>
      <c r="L89" s="30" t="n">
        <v>80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71.63</v>
      </c>
      <c r="P89" s="31" t="n">
        <v>30.36</v>
      </c>
      <c r="Q89" s="31" t="n">
        <v>554.47</v>
      </c>
      <c r="R89" s="30" t="inlineStr">
        <is>
          <t>Near 52W High Breakout</t>
        </is>
      </c>
      <c r="S89" s="30" t="inlineStr">
        <is>
          <t>Nifty Metal</t>
        </is>
      </c>
      <c r="T89" s="31" t="n">
        <v>43.89</v>
      </c>
      <c r="U89" s="31" t="n">
        <v>50.03</v>
      </c>
      <c r="V89" s="31" t="n">
        <v>4.27</v>
      </c>
      <c r="W89" s="31" t="n">
        <v>25.87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Monopoly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Shallow Cyclical (2 to 3 Years Growth)</t>
        </is>
      </c>
      <c r="AG89" s="30">
        <f>IF(AF89="Structural (10 Years Consistency)",10,IF(AF89="Shallow Cyclical (2 to 3 years growth)",5,0))</f>
        <v/>
      </c>
      <c r="AH89" s="30" t="inlineStr">
        <is>
          <t>Yes due to Product Mix change or Operating Leverage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Fully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Yes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Between 1.5 to 2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IF(B90=0,"",RANK(B90,$B$2:$B$293,0))</f>
        <v/>
      </c>
      <c r="B90" s="31">
        <f>SUM(N90,Y90,AA90,AC90,AE90,AG90,AI90,AK90,AM90,AO90,AQ90,AS90,AU90,AW90,AY90,BA90,BC90,BE90,BG90,BI90,BK90,BM90,BO90,BQ90,BS90,BU90,BW90,BY90,CA90,CC90,CE90)</f>
        <v/>
      </c>
      <c r="C90" s="32" t="inlineStr">
        <is>
          <t>KOPRAN</t>
        </is>
      </c>
      <c r="D90" s="32" t="inlineStr">
        <is>
          <t>Kopran Limited</t>
        </is>
      </c>
      <c r="E90" s="30" t="inlineStr">
        <is>
          <t>healthcare</t>
        </is>
      </c>
      <c r="F90" s="30" t="inlineStr">
        <is>
          <t>pharmaceuticals - indian - bulk drugs &amp; formln</t>
        </is>
      </c>
      <c r="G90" s="30" t="inlineStr">
        <is>
          <t>smallcap</t>
        </is>
      </c>
      <c r="H90" s="31" t="n">
        <v>946.01</v>
      </c>
      <c r="I90" s="31" t="n">
        <v>186.43</v>
      </c>
      <c r="J90" s="31" t="n">
        <v>-4.84</v>
      </c>
      <c r="K90" s="31" t="n">
        <v>226423</v>
      </c>
      <c r="L90" s="30" t="n">
        <v>46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61.72</v>
      </c>
      <c r="P90" s="31" t="n">
        <v>25.16</v>
      </c>
      <c r="Q90" s="31" t="n">
        <v>149.79</v>
      </c>
      <c r="R90" s="30" t="inlineStr">
        <is>
          <t>Earnings / Momentum Support</t>
        </is>
      </c>
      <c r="S90" s="30" t="inlineStr">
        <is>
          <t>Nifty Pharma</t>
        </is>
      </c>
      <c r="T90" s="31" t="n">
        <v>11.08</v>
      </c>
      <c r="U90" s="31" t="n">
        <v>-1.78</v>
      </c>
      <c r="V90" s="31" t="n">
        <v>-11.58</v>
      </c>
      <c r="W90" s="31" t="n">
        <v>12.75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IF(B91=0,"",RANK(B91,$B$2:$B$293,0))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SPECTRUM</t>
        </is>
      </c>
      <c r="D91" s="30" t="inlineStr">
        <is>
          <t>Spectrum Electrical Industries Ltd</t>
        </is>
      </c>
      <c r="E91" s="30" t="inlineStr">
        <is>
          <t>industrials</t>
        </is>
      </c>
      <c r="F91" s="30" t="inlineStr">
        <is>
          <t>electric equipment</t>
        </is>
      </c>
      <c r="G91" s="30" t="inlineStr">
        <is>
          <t>smallcap</t>
        </is>
      </c>
      <c r="H91" s="31" t="n">
        <v>2315.75</v>
      </c>
      <c r="I91" s="31" t="n">
        <v>1621.1</v>
      </c>
      <c r="J91" s="31" t="n">
        <v>10</v>
      </c>
      <c r="K91" s="31" t="n">
        <v>273765</v>
      </c>
      <c r="L91" s="30" t="n">
        <v>11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62.21</v>
      </c>
      <c r="P91" s="31" t="n">
        <v>23.28</v>
      </c>
      <c r="Q91" s="31" t="n">
        <v>1100.7</v>
      </c>
      <c r="R91" s="30" t="inlineStr">
        <is>
          <t>Volume Spike &amp; Near 52W High Breakout</t>
        </is>
      </c>
      <c r="S91" s="30" t="inlineStr">
        <is>
          <t>Nifty 50</t>
        </is>
      </c>
      <c r="T91" s="31" t="n">
        <v>-6.39</v>
      </c>
      <c r="U91" s="31" t="n">
        <v>-1.27</v>
      </c>
      <c r="V91" s="31" t="n">
        <v>5.47</v>
      </c>
      <c r="W91" s="31" t="n">
        <v>3.94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Between 0.7 to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IF(B92=0,"",RANK(B92,$B$2:$B$293,0))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SIGMAADV</t>
        </is>
      </c>
      <c r="D92" s="30" t="inlineStr">
        <is>
          <t>Sigma Advanced System Ltd</t>
        </is>
      </c>
      <c r="E92" s="30" t="inlineStr">
        <is>
          <t>aerospace &amp; defence</t>
        </is>
      </c>
      <c r="F92" s="30" t="inlineStr">
        <is>
          <t>electronics - components</t>
        </is>
      </c>
      <c r="G92" s="30" t="inlineStr">
        <is>
          <t>midcap</t>
        </is>
      </c>
      <c r="H92" s="31" t="n">
        <v>7333.33</v>
      </c>
      <c r="I92" s="31" t="n">
        <v>436.9</v>
      </c>
      <c r="J92" s="31" t="n">
        <v>5</v>
      </c>
      <c r="K92" s="31" t="n">
        <v>840720</v>
      </c>
      <c r="L92" s="30" t="n">
        <v>99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84.04000000000001</v>
      </c>
      <c r="P92" s="31" t="n">
        <v>33.95</v>
      </c>
      <c r="Q92" s="31" t="n">
        <v>333.84</v>
      </c>
      <c r="R92" s="30" t="inlineStr">
        <is>
          <t>Volume Spike &amp; Near 52W High Breakout</t>
        </is>
      </c>
      <c r="S92" s="30" t="inlineStr">
        <is>
          <t>Nifty 50</t>
        </is>
      </c>
      <c r="T92" s="31" t="n">
        <v>-6.39</v>
      </c>
      <c r="U92" s="31" t="n">
        <v>373.14</v>
      </c>
      <c r="V92" s="31" t="n">
        <v>405.44</v>
      </c>
      <c r="W92" s="31" t="n">
        <v>83.97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Negative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Between 0.7 to 1.2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IF(B93=0,"",RANK(B93,$B$2:$B$293,0))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HFCL</t>
        </is>
      </c>
      <c r="D93" s="30" t="inlineStr">
        <is>
          <t>HFCL Ltd</t>
        </is>
      </c>
      <c r="E93" s="30" t="inlineStr">
        <is>
          <t>telecom</t>
        </is>
      </c>
      <c r="F93" s="30" t="inlineStr">
        <is>
          <t>cables - telephone</t>
        </is>
      </c>
      <c r="G93" s="30" t="inlineStr">
        <is>
          <t>largecap</t>
        </is>
      </c>
      <c r="H93" s="31" t="n">
        <v>29072.26</v>
      </c>
      <c r="I93" s="31" t="n">
        <v>199.41</v>
      </c>
      <c r="J93" s="31" t="n">
        <v>4.99</v>
      </c>
      <c r="K93" s="31" t="n">
        <v>65716679</v>
      </c>
      <c r="L93" s="30" t="n">
        <v>98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92.53</v>
      </c>
      <c r="P93" s="31" t="n">
        <v>43.94</v>
      </c>
      <c r="Q93" s="31" t="n">
        <v>157.64</v>
      </c>
      <c r="R93" s="30" t="inlineStr">
        <is>
          <t>Near 52W High Breakout</t>
        </is>
      </c>
      <c r="S93" s="30" t="inlineStr">
        <is>
          <t>Nifty Infra</t>
        </is>
      </c>
      <c r="T93" s="31" t="n">
        <v>1.52</v>
      </c>
      <c r="U93" s="31" t="n">
        <v>118.44</v>
      </c>
      <c r="V93" s="31" t="n">
        <v>115.17</v>
      </c>
      <c r="W93" s="31" t="n">
        <v>69.79000000000001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Oligopoly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Negative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IF(B94=0,"",RANK(B94,$B$2:$B$293,0))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TDPOWERSYS</t>
        </is>
      </c>
      <c r="D94" s="30" t="inlineStr">
        <is>
          <t>Td Power Systems Limited</t>
        </is>
      </c>
      <c r="E94" s="30" t="inlineStr">
        <is>
          <t>industrials</t>
        </is>
      </c>
      <c r="F94" s="30" t="inlineStr">
        <is>
          <t>electric equipment</t>
        </is>
      </c>
      <c r="G94" s="30" t="inlineStr">
        <is>
          <t>midcap</t>
        </is>
      </c>
      <c r="H94" s="31" t="n">
        <v>19292.53</v>
      </c>
      <c r="I94" s="31" t="n">
        <v>1286.3</v>
      </c>
      <c r="J94" s="31" t="n">
        <v>4.15</v>
      </c>
      <c r="K94" s="31" t="n">
        <v>1309216</v>
      </c>
      <c r="L94" s="30" t="n">
        <v>86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76.20999999999999</v>
      </c>
      <c r="P94" s="31" t="n">
        <v>49.13</v>
      </c>
      <c r="Q94" s="31" t="n">
        <v>1000.14</v>
      </c>
      <c r="R94" s="30" t="inlineStr">
        <is>
          <t>Near 52W High Breakout</t>
        </is>
      </c>
      <c r="S94" s="30" t="inlineStr">
        <is>
          <t>Nifty 50</t>
        </is>
      </c>
      <c r="T94" s="31" t="n">
        <v>-6.39</v>
      </c>
      <c r="U94" s="31" t="n">
        <v>159.29</v>
      </c>
      <c r="V94" s="31" t="n">
        <v>176.99</v>
      </c>
      <c r="W94" s="31" t="n">
        <v>31.29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Less than 50%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IF(B95=0,"",RANK(B95,$B$2:$B$293,0))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FIEMIND</t>
        </is>
      </c>
      <c r="D95" s="30" t="inlineStr">
        <is>
          <t>Fiem Industries Limited</t>
        </is>
      </c>
      <c r="E95" s="30" t="inlineStr">
        <is>
          <t>auto</t>
        </is>
      </c>
      <c r="F95" s="30" t="inlineStr">
        <is>
          <t>auto ancillaries</t>
        </is>
      </c>
      <c r="G95" s="30" t="inlineStr">
        <is>
          <t>midcap</t>
        </is>
      </c>
      <c r="H95" s="31" t="n">
        <v>5983.51</v>
      </c>
      <c r="I95" s="31" t="n">
        <v>2347</v>
      </c>
      <c r="J95" s="31" t="n">
        <v>3.24</v>
      </c>
      <c r="K95" s="31" t="n">
        <v>187989</v>
      </c>
      <c r="L95" s="30" t="n">
        <v>27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60.47</v>
      </c>
      <c r="P95" s="31" t="n">
        <v>14.13</v>
      </c>
      <c r="Q95" s="31" t="n">
        <v>1869.91</v>
      </c>
      <c r="R95" s="30" t="inlineStr">
        <is>
          <t>Near 52W High Breakout</t>
        </is>
      </c>
      <c r="S95" s="30" t="inlineStr">
        <is>
          <t>Nifty Auto</t>
        </is>
      </c>
      <c r="T95" s="31" t="n">
        <v>10.28</v>
      </c>
      <c r="U95" s="31" t="n">
        <v>26.65</v>
      </c>
      <c r="V95" s="31" t="n">
        <v>14.85</v>
      </c>
      <c r="W95" s="31" t="n">
        <v>7.52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0 to 20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Less than 50%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IF(B96=0,"",RANK(B96,$B$2:$B$293,0))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ADOR</t>
        </is>
      </c>
      <c r="D96" s="30" t="inlineStr">
        <is>
          <t>Ador Welding Ltd</t>
        </is>
      </c>
      <c r="E96" s="30" t="inlineStr">
        <is>
          <t>industrials</t>
        </is>
      </c>
      <c r="F96" s="30" t="inlineStr">
        <is>
          <t>electrodes - welding equipment</t>
        </is>
      </c>
      <c r="G96" s="30" t="inlineStr">
        <is>
          <t>smallcap</t>
        </is>
      </c>
      <c r="H96" s="31" t="n">
        <v>1929.62</v>
      </c>
      <c r="I96" s="31" t="n">
        <v>1141.1</v>
      </c>
      <c r="J96" s="31" t="n">
        <v>2.91</v>
      </c>
      <c r="K96" s="31" t="n">
        <v>20820</v>
      </c>
      <c r="L96" s="30" t="n">
        <v>20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62.11</v>
      </c>
      <c r="P96" s="31" t="n">
        <v>18.66</v>
      </c>
      <c r="Q96" s="31" t="n">
        <v>870.99</v>
      </c>
      <c r="R96" s="30" t="inlineStr">
        <is>
          <t>Near 52W High Breakout</t>
        </is>
      </c>
      <c r="S96" s="30" t="inlineStr">
        <is>
          <t>Nifty 50</t>
        </is>
      </c>
      <c r="T96" s="31" t="n">
        <v>-6.39</v>
      </c>
      <c r="U96" s="31" t="n">
        <v>17.31</v>
      </c>
      <c r="V96" s="31" t="n">
        <v>25.31</v>
      </c>
      <c r="W96" s="31" t="n">
        <v>6.04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0 to 20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IF(B97=0,"",RANK(B97,$B$2:$B$293,0))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APARINDS</t>
        </is>
      </c>
      <c r="D97" s="30" t="inlineStr">
        <is>
          <t>Apar Industries Limited</t>
        </is>
      </c>
      <c r="E97" s="30" t="inlineStr">
        <is>
          <t>industrials</t>
        </is>
      </c>
      <c r="F97" s="30" t="inlineStr">
        <is>
          <t>electric equipment</t>
        </is>
      </c>
      <c r="G97" s="30" t="inlineStr">
        <is>
          <t>largecap</t>
        </is>
      </c>
      <c r="H97" s="31" t="n">
        <v>53303.35</v>
      </c>
      <c r="I97" s="31" t="n">
        <v>13538</v>
      </c>
      <c r="J97" s="31" t="n">
        <v>2.02</v>
      </c>
      <c r="K97" s="31" t="n">
        <v>231576</v>
      </c>
      <c r="L97" s="30" t="n">
        <v>65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70.83</v>
      </c>
      <c r="P97" s="31" t="n">
        <v>37.19</v>
      </c>
      <c r="Q97" s="31" t="n">
        <v>10360.29</v>
      </c>
      <c r="R97" s="30" t="inlineStr">
        <is>
          <t>Near 52W High Breakout</t>
        </is>
      </c>
      <c r="S97" s="30" t="inlineStr">
        <is>
          <t>Nifty 500</t>
        </is>
      </c>
      <c r="T97" s="31" t="n">
        <v>-3.08</v>
      </c>
      <c r="U97" s="31" t="n">
        <v>68.04000000000001</v>
      </c>
      <c r="V97" s="31" t="n">
        <v>73.38</v>
      </c>
      <c r="W97" s="31" t="n">
        <v>17.65</v>
      </c>
      <c r="X97" s="30" t="inlineStr">
        <is>
          <t>Cyclical in an Upturn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Between 12 to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IF(B98=0,"",RANK(B98,$B$2:$B$293,0))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USHAMART</t>
        </is>
      </c>
      <c r="D98" s="30" t="inlineStr">
        <is>
          <t>Usha Martin Limited</t>
        </is>
      </c>
      <c r="E98" s="30" t="inlineStr">
        <is>
          <t>metals &amp; mining</t>
        </is>
      </c>
      <c r="F98" s="30" t="inlineStr">
        <is>
          <t>steel - medium / small</t>
        </is>
      </c>
      <c r="G98" s="30" t="inlineStr">
        <is>
          <t>midcap</t>
        </is>
      </c>
      <c r="H98" s="31" t="n">
        <v>14993.31</v>
      </c>
      <c r="I98" s="31" t="n">
        <v>497.95</v>
      </c>
      <c r="J98" s="31" t="n">
        <v>1.21</v>
      </c>
      <c r="K98" s="31" t="n">
        <v>574928</v>
      </c>
      <c r="L98" s="30" t="n">
        <v>54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68.13</v>
      </c>
      <c r="P98" s="31" t="n">
        <v>28.91</v>
      </c>
      <c r="Q98" s="31" t="n">
        <v>411.79</v>
      </c>
      <c r="R98" s="30" t="inlineStr">
        <is>
          <t>Near 52W High Breakout</t>
        </is>
      </c>
      <c r="S98" s="30" t="inlineStr">
        <is>
          <t>Nifty Metal</t>
        </is>
      </c>
      <c r="T98" s="31" t="n">
        <v>43.89</v>
      </c>
      <c r="U98" s="31" t="n">
        <v>63.95</v>
      </c>
      <c r="V98" s="31" t="n">
        <v>13.94</v>
      </c>
      <c r="W98" s="31" t="n">
        <v>14.71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Cyclical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Volatile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IF(B99=0,"",RANK(B99,$B$2:$B$293,0))</f>
        <v/>
      </c>
      <c r="B99" s="31">
        <f>SUM(N99,Y99,AA99,AC99,AE99,AG99,AI99,AK99,AM99,AO99,AQ99,AS99,AU99,AW99,AY99,BA99,BC99,BE99,BG99,BI99,BK99,BM99,BO99,BQ99,BS99,BU99,BW99,BY99,CA99,CC99,CE99)</f>
        <v/>
      </c>
      <c r="C99" s="32" t="inlineStr">
        <is>
          <t>NMDC</t>
        </is>
      </c>
      <c r="D99" s="32" t="inlineStr">
        <is>
          <t>Nmdc Limited</t>
        </is>
      </c>
      <c r="E99" s="30" t="inlineStr">
        <is>
          <t>metals &amp; mining</t>
        </is>
      </c>
      <c r="F99" s="30" t="inlineStr">
        <is>
          <t>mining / minerals / metals</t>
        </is>
      </c>
      <c r="G99" s="30" t="inlineStr">
        <is>
          <t>largecap</t>
        </is>
      </c>
      <c r="H99" s="31" t="n">
        <v>83794.81</v>
      </c>
      <c r="I99" s="31" t="n">
        <v>96.04000000000001</v>
      </c>
      <c r="J99" s="31" t="n">
        <v>0.77</v>
      </c>
      <c r="K99" s="31" t="n">
        <v>48441070</v>
      </c>
      <c r="L99" s="30" t="n">
        <v>39</v>
      </c>
      <c r="M99" s="30" t="inlineStr">
        <is>
          <t>Underperforming</t>
        </is>
      </c>
      <c r="N99" s="31">
        <f>IF(M99="Underperforming",-5,IF(L99&gt;=95,15,IF(L99&gt;=90,10,IF(L99&gt;=80,5,0))))</f>
        <v/>
      </c>
      <c r="O99" s="31" t="n">
        <v>67.94</v>
      </c>
      <c r="P99" s="31" t="n">
        <v>43.28</v>
      </c>
      <c r="Q99" s="31" t="n">
        <v>79.34</v>
      </c>
      <c r="R99" s="30" t="inlineStr">
        <is>
          <t>Volume Spike &amp; Near 52W High Breakout</t>
        </is>
      </c>
      <c r="S99" s="30" t="inlineStr">
        <is>
          <t>Nifty Metal</t>
        </is>
      </c>
      <c r="T99" s="31" t="n">
        <v>43.89</v>
      </c>
      <c r="U99" s="31" t="n">
        <v>38.42</v>
      </c>
      <c r="V99" s="31" t="n">
        <v>-3.8</v>
      </c>
      <c r="W99" s="31" t="n">
        <v>11.02</v>
      </c>
      <c r="X99" s="30" t="inlineStr">
        <is>
          <t>Cyclical in an Upturn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Cyclical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Volatile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Between 50% to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IF(B100=0,"",RANK(B100,$B$2:$B$293,0))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POWERINDIA</t>
        </is>
      </c>
      <c r="D100" s="30" t="inlineStr">
        <is>
          <t>Hitachi Energy India Ltd</t>
        </is>
      </c>
      <c r="E100" s="30" t="inlineStr">
        <is>
          <t>industrials</t>
        </is>
      </c>
      <c r="F100" s="30" t="inlineStr">
        <is>
          <t>electric equipment</t>
        </is>
      </c>
      <c r="G100" s="30" t="inlineStr">
        <is>
          <t>largecap</t>
        </is>
      </c>
      <c r="H100" s="31" t="n">
        <v>156471.28</v>
      </c>
      <c r="I100" s="31" t="n">
        <v>35190</v>
      </c>
      <c r="J100" s="31" t="n">
        <v>0.24</v>
      </c>
      <c r="K100" s="31" t="n">
        <v>235330</v>
      </c>
      <c r="L100" s="30" t="n">
        <v>74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68.92</v>
      </c>
      <c r="P100" s="31" t="n">
        <v>59.34</v>
      </c>
      <c r="Q100" s="31" t="n">
        <v>30707.04</v>
      </c>
      <c r="R100" s="30" t="inlineStr">
        <is>
          <t>Earnings / Momentum Support</t>
        </is>
      </c>
      <c r="S100" s="30" t="inlineStr">
        <is>
          <t>Nifty 50</t>
        </is>
      </c>
      <c r="T100" s="31" t="n">
        <v>-6.39</v>
      </c>
      <c r="U100" s="31" t="n">
        <v>93.38</v>
      </c>
      <c r="V100" s="31" t="n">
        <v>106.57</v>
      </c>
      <c r="W100" s="31" t="n">
        <v>22.42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No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IF(B101=0,"",RANK(B101,$B$2:$B$293,0))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2" t="inlineStr">
        <is>
          <t>COALINDIA</t>
        </is>
      </c>
      <c r="D101" s="32" t="inlineStr">
        <is>
          <t>Coal India Limited</t>
        </is>
      </c>
      <c r="E101" s="30" t="inlineStr">
        <is>
          <t>metals &amp; mining</t>
        </is>
      </c>
      <c r="F101" s="30" t="inlineStr">
        <is>
          <t>mining / minerals / metals</t>
        </is>
      </c>
      <c r="G101" s="30" t="inlineStr">
        <is>
          <t>largecap</t>
        </is>
      </c>
      <c r="H101" s="31" t="n">
        <v>290973.22</v>
      </c>
      <c r="I101" s="31" t="n">
        <v>472.3</v>
      </c>
      <c r="J101" s="31" t="n">
        <v>0.03</v>
      </c>
      <c r="K101" s="31" t="n">
        <v>15291450</v>
      </c>
      <c r="L101" s="30" t="n">
        <v>22</v>
      </c>
      <c r="M101" s="30" t="inlineStr">
        <is>
          <t>Underperforming</t>
        </is>
      </c>
      <c r="N101" s="31">
        <f>IF(M101="Underperforming",-5,IF(L101&gt;=95,15,IF(L101&gt;=90,10,IF(L101&gt;=80,5,0))))</f>
        <v/>
      </c>
      <c r="O101" s="31" t="n">
        <v>62.11</v>
      </c>
      <c r="P101" s="31" t="n">
        <v>48.53</v>
      </c>
      <c r="Q101" s="31" t="n">
        <v>403.6</v>
      </c>
      <c r="R101" s="30" t="inlineStr">
        <is>
          <t>Near 52W High Breakout</t>
        </is>
      </c>
      <c r="S101" s="30" t="inlineStr">
        <is>
          <t>Nifty Metal</t>
        </is>
      </c>
      <c r="T101" s="31" t="n">
        <v>43.89</v>
      </c>
      <c r="U101" s="31" t="n">
        <v>26.71</v>
      </c>
      <c r="V101" s="31" t="n">
        <v>-11.94</v>
      </c>
      <c r="W101" s="31" t="n">
        <v>6.51</v>
      </c>
      <c r="X101" s="30" t="inlineStr">
        <is>
          <t>Cyclical in an Upturn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Cyclical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Volatile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Between 12 to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IF(B102=0,"",RANK(B102,$B$2:$B$293,0))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ASTRAMICRO</t>
        </is>
      </c>
      <c r="D102" s="30" t="inlineStr">
        <is>
          <t>Astra Microwave Products Limited</t>
        </is>
      </c>
      <c r="E102" s="30" t="inlineStr">
        <is>
          <t>aerospace &amp; defence</t>
        </is>
      </c>
      <c r="F102" s="30" t="inlineStr">
        <is>
          <t>telecommunications - equipment</t>
        </is>
      </c>
      <c r="G102" s="30" t="inlineStr">
        <is>
          <t>midcap</t>
        </is>
      </c>
      <c r="H102" s="31" t="n">
        <v>12568.82</v>
      </c>
      <c r="I102" s="31" t="n">
        <v>1323.7</v>
      </c>
      <c r="J102" s="31" t="n">
        <v>-0.01</v>
      </c>
      <c r="K102" s="31" t="n">
        <v>511436</v>
      </c>
      <c r="L102" s="30" t="n">
        <v>36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67.48</v>
      </c>
      <c r="P102" s="31" t="n">
        <v>26.7</v>
      </c>
      <c r="Q102" s="31" t="n">
        <v>1094.45</v>
      </c>
      <c r="R102" s="30" t="inlineStr">
        <is>
          <t>Earnings / Momentum Support</t>
        </is>
      </c>
      <c r="S102" s="30" t="inlineStr">
        <is>
          <t>Nifty 50</t>
        </is>
      </c>
      <c r="T102" s="31" t="n">
        <v>-6.39</v>
      </c>
      <c r="U102" s="31" t="n">
        <v>17.18</v>
      </c>
      <c r="V102" s="31" t="n">
        <v>25.18</v>
      </c>
      <c r="W102" s="31" t="n">
        <v>9.73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Oligopoly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Yes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No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IF(B103=0,"",RANK(B103,$B$2:$B$293,0))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KPIL</t>
        </is>
      </c>
      <c r="D103" s="30" t="inlineStr">
        <is>
          <t>Kalpataru Projects International Ltd</t>
        </is>
      </c>
      <c r="E103" s="30" t="inlineStr">
        <is>
          <t>realty</t>
        </is>
      </c>
      <c r="F103" s="30" t="inlineStr">
        <is>
          <t>transmisson line towers / equipment</t>
        </is>
      </c>
      <c r="G103" s="30" t="inlineStr">
        <is>
          <t>largecap</t>
        </is>
      </c>
      <c r="H103" s="31" t="n">
        <v>22043.32</v>
      </c>
      <c r="I103" s="31" t="n">
        <v>1287.8</v>
      </c>
      <c r="J103" s="31" t="n">
        <v>-0.23</v>
      </c>
      <c r="K103" s="31" t="n">
        <v>142476</v>
      </c>
      <c r="L103" s="30" t="n">
        <v>17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59.76</v>
      </c>
      <c r="P103" s="31" t="n">
        <v>18.53</v>
      </c>
      <c r="Q103" s="31" t="n">
        <v>1057.49</v>
      </c>
      <c r="R103" s="30" t="inlineStr">
        <is>
          <t>Near 52W High Breakout</t>
        </is>
      </c>
      <c r="S103" s="30" t="inlineStr">
        <is>
          <t>Nifty Realty</t>
        </is>
      </c>
      <c r="T103" s="31" t="n">
        <v>-26.64</v>
      </c>
      <c r="U103" s="31" t="n">
        <v>12.88</v>
      </c>
      <c r="V103" s="31" t="n">
        <v>53.88</v>
      </c>
      <c r="W103" s="31" t="n">
        <v>5.49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0 to 20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IF(B104=0,"",RANK(B104,$B$2:$B$293,0))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CUMMINSIND</t>
        </is>
      </c>
      <c r="D104" s="30" t="inlineStr">
        <is>
          <t>Cummins India Limited</t>
        </is>
      </c>
      <c r="E104" s="30" t="inlineStr">
        <is>
          <t>industrials</t>
        </is>
      </c>
      <c r="F104" s="30" t="inlineStr">
        <is>
          <t>engines</t>
        </is>
      </c>
      <c r="G104" s="30" t="inlineStr">
        <is>
          <t>largecap</t>
        </is>
      </c>
      <c r="H104" s="31" t="n">
        <v>158225.76</v>
      </c>
      <c r="I104" s="31" t="n">
        <v>5692.5</v>
      </c>
      <c r="J104" s="31" t="n">
        <v>-0.27</v>
      </c>
      <c r="K104" s="31" t="n">
        <v>384967</v>
      </c>
      <c r="L104" s="30" t="n">
        <v>56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72.40000000000001</v>
      </c>
      <c r="P104" s="31" t="n">
        <v>38.7</v>
      </c>
      <c r="Q104" s="31" t="n">
        <v>4943.2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-6.39</v>
      </c>
      <c r="U104" s="31" t="n">
        <v>70.56999999999999</v>
      </c>
      <c r="V104" s="31" t="n">
        <v>82.20999999999999</v>
      </c>
      <c r="W104" s="31" t="n">
        <v>15.2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Between 50% to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IF(B105=0,"",RANK(B105,$B$2:$B$293,0))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CENTUM</t>
        </is>
      </c>
      <c r="D105" s="30" t="inlineStr">
        <is>
          <t>Centum Electronics Limited</t>
        </is>
      </c>
      <c r="E105" s="30" t="inlineStr">
        <is>
          <t>consumer discretionary</t>
        </is>
      </c>
      <c r="F105" s="30" t="inlineStr">
        <is>
          <t>electronics - components</t>
        </is>
      </c>
      <c r="G105" s="30" t="inlineStr">
        <is>
          <t>midcap</t>
        </is>
      </c>
      <c r="H105" s="31" t="n">
        <v>5306.75</v>
      </c>
      <c r="I105" s="31" t="n">
        <v>3589.9</v>
      </c>
      <c r="J105" s="31" t="n">
        <v>-0.28</v>
      </c>
      <c r="K105" s="31" t="n">
        <v>57472</v>
      </c>
      <c r="L105" s="30" t="n">
        <v>60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68.8</v>
      </c>
      <c r="P105" s="31" t="n">
        <v>56.24</v>
      </c>
      <c r="Q105" s="31" t="n">
        <v>2602.65</v>
      </c>
      <c r="R105" s="30" t="inlineStr">
        <is>
          <t>Near 52W High Breakout</t>
        </is>
      </c>
      <c r="S105" s="30" t="inlineStr">
        <is>
          <t>Nifty 50</t>
        </is>
      </c>
      <c r="T105" s="31" t="n">
        <v>-6.39</v>
      </c>
      <c r="U105" s="31" t="n">
        <v>52.79</v>
      </c>
      <c r="V105" s="31" t="n">
        <v>63.22</v>
      </c>
      <c r="W105" s="31" t="n">
        <v>16.27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Less than 12%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Less than 50%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IF(B106=0,"",RANK(B106,$B$2:$B$293,0))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SOUTHWEST</t>
        </is>
      </c>
      <c r="D106" s="30" t="inlineStr">
        <is>
          <t>South West Pinnacle Exploration Ltd</t>
        </is>
      </c>
      <c r="E106" s="30" t="inlineStr">
        <is>
          <t>metals &amp; mining</t>
        </is>
      </c>
      <c r="F106" s="30" t="inlineStr">
        <is>
          <t>mining / minerals / metals</t>
        </is>
      </c>
      <c r="G106" s="30" t="inlineStr">
        <is>
          <t>smallcap</t>
        </is>
      </c>
      <c r="H106" s="31" t="n">
        <v>790.5</v>
      </c>
      <c r="I106" s="31" t="n">
        <v>262.5</v>
      </c>
      <c r="J106" s="31" t="n">
        <v>-0.9399999999999999</v>
      </c>
      <c r="K106" s="31" t="n">
        <v>167281</v>
      </c>
      <c r="L106" s="30" t="n">
        <v>73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64.83</v>
      </c>
      <c r="P106" s="31" t="n">
        <v>46.03</v>
      </c>
      <c r="Q106" s="31" t="n">
        <v>174.45</v>
      </c>
      <c r="R106" s="30" t="inlineStr">
        <is>
          <t>Near 52W High Breakout</t>
        </is>
      </c>
      <c r="S106" s="30" t="inlineStr">
        <is>
          <t>Nifty Metal</t>
        </is>
      </c>
      <c r="T106" s="31" t="n">
        <v>43.89</v>
      </c>
      <c r="U106" s="31" t="n">
        <v>78.69</v>
      </c>
      <c r="V106" s="31" t="n">
        <v>24.18</v>
      </c>
      <c r="W106" s="31" t="n">
        <v>21.87</v>
      </c>
      <c r="X106" s="30" t="inlineStr">
        <is>
          <t>Cyclical in an Upturn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Cyclical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Volatile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Above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Less than 50%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IF(B107=0,"",RANK(B107,$B$2:$B$293,0))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HONASA</t>
        </is>
      </c>
      <c r="D107" s="30" t="inlineStr">
        <is>
          <t>Honasa Consumer Ltd</t>
        </is>
      </c>
      <c r="E107" s="30" t="inlineStr">
        <is>
          <t>services</t>
        </is>
      </c>
      <c r="F107" s="30" t="inlineStr">
        <is>
          <t>trading</t>
        </is>
      </c>
      <c r="G107" s="30" t="inlineStr">
        <is>
          <t>midcap</t>
        </is>
      </c>
      <c r="H107" s="31" t="n">
        <v>13244.18</v>
      </c>
      <c r="I107" s="31" t="n">
        <v>402.1</v>
      </c>
      <c r="J107" s="31" t="n">
        <v>-1.22</v>
      </c>
      <c r="K107" s="31" t="n">
        <v>715535</v>
      </c>
      <c r="L107" s="30" t="n">
        <v>50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73.17</v>
      </c>
      <c r="P107" s="31" t="n">
        <v>27.04</v>
      </c>
      <c r="Q107" s="31" t="n">
        <v>326.22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-6.39</v>
      </c>
      <c r="U107" s="31" t="n">
        <v>25.66</v>
      </c>
      <c r="V107" s="31" t="n">
        <v>34.23</v>
      </c>
      <c r="W107" s="31" t="n">
        <v>13.54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Between 50% to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IF(B108=0,"",RANK(B108,$B$2:$B$293,0))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2" t="inlineStr">
        <is>
          <t>EXIDEIND</t>
        </is>
      </c>
      <c r="D108" s="32" t="inlineStr">
        <is>
          <t>Exide Industries Limited</t>
        </is>
      </c>
      <c r="E108" s="30" t="inlineStr">
        <is>
          <t>auto</t>
        </is>
      </c>
      <c r="F108" s="30" t="inlineStr">
        <is>
          <t>auto ancillaries</t>
        </is>
      </c>
      <c r="G108" s="30" t="inlineStr">
        <is>
          <t>largecap</t>
        </is>
      </c>
      <c r="H108" s="31" t="n">
        <v>34531.25</v>
      </c>
      <c r="I108" s="31" t="n">
        <v>398.95</v>
      </c>
      <c r="J108" s="31" t="n">
        <v>-1.8</v>
      </c>
      <c r="K108" s="31" t="n">
        <v>3802136</v>
      </c>
      <c r="L108" s="30" t="n">
        <v>23</v>
      </c>
      <c r="M108" s="30" t="inlineStr">
        <is>
          <t>Underperforming</t>
        </is>
      </c>
      <c r="N108" s="31">
        <f>IF(M108="Underperforming",-5,IF(L108&gt;=95,15,IF(L108&gt;=90,10,IF(L108&gt;=80,5,0))))</f>
        <v/>
      </c>
      <c r="O108" s="31" t="n">
        <v>65.44</v>
      </c>
      <c r="P108" s="31" t="n">
        <v>30.66</v>
      </c>
      <c r="Q108" s="31" t="n">
        <v>326.26</v>
      </c>
      <c r="R108" s="30" t="inlineStr">
        <is>
          <t>Near 52W High Breakout</t>
        </is>
      </c>
      <c r="S108" s="30" t="inlineStr">
        <is>
          <t>Nifty Auto</t>
        </is>
      </c>
      <c r="T108" s="31" t="n">
        <v>10.28</v>
      </c>
      <c r="U108" s="31" t="n">
        <v>1.97</v>
      </c>
      <c r="V108" s="31" t="n">
        <v>-7.53</v>
      </c>
      <c r="W108" s="31" t="n">
        <v>6.65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Between 12 to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IF(B109=0,"",RANK(B109,$B$2:$B$293,0))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PARACABLES</t>
        </is>
      </c>
      <c r="D109" s="30" t="inlineStr">
        <is>
          <t>Paramount Communications Limited</t>
        </is>
      </c>
      <c r="E109" s="30" t="inlineStr">
        <is>
          <t>industrials</t>
        </is>
      </c>
      <c r="F109" s="30" t="inlineStr">
        <is>
          <t>cables - power</t>
        </is>
      </c>
      <c r="G109" s="30" t="inlineStr">
        <is>
          <t>smallcap</t>
        </is>
      </c>
      <c r="H109" s="31" t="n">
        <v>2011.33</v>
      </c>
      <c r="I109" s="31" t="n">
        <v>64.25</v>
      </c>
      <c r="J109" s="31" t="n">
        <v>-2.5</v>
      </c>
      <c r="K109" s="31" t="n">
        <v>3240166</v>
      </c>
      <c r="L109" s="30" t="n">
        <v>85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71.83</v>
      </c>
      <c r="P109" s="31" t="n">
        <v>29.87</v>
      </c>
      <c r="Q109" s="31" t="n">
        <v>46.23</v>
      </c>
      <c r="R109" s="30" t="inlineStr">
        <is>
          <t>Near 52W High Breakout</t>
        </is>
      </c>
      <c r="S109" s="30" t="inlineStr">
        <is>
          <t>Nifty Energy</t>
        </is>
      </c>
      <c r="T109" s="31" t="n">
        <v>11.89</v>
      </c>
      <c r="U109" s="31" t="n">
        <v>17.98</v>
      </c>
      <c r="V109" s="31" t="n">
        <v>5.44</v>
      </c>
      <c r="W109" s="31" t="n">
        <v>29.29</v>
      </c>
      <c r="X109" s="30" t="inlineStr">
        <is>
          <t>Cyclical in an Upturn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Less than 12%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IF(B110=0,"",RANK(B110,$B$2:$B$293,0))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UFBL</t>
        </is>
      </c>
      <c r="D110" s="30" t="inlineStr">
        <is>
          <t>United Foodbrands Ltd</t>
        </is>
      </c>
      <c r="E110" s="30" t="inlineStr">
        <is>
          <t>consumer discretionary</t>
        </is>
      </c>
      <c r="F110" s="30" t="inlineStr">
        <is>
          <t>hotels</t>
        </is>
      </c>
      <c r="G110" s="30" t="inlineStr">
        <is>
          <t>smallcap</t>
        </is>
      </c>
      <c r="H110" s="31" t="n">
        <v>1904.29</v>
      </c>
      <c r="I110" s="31" t="n">
        <v>474.85</v>
      </c>
      <c r="J110" s="31" t="n">
        <v>-2.53</v>
      </c>
      <c r="K110" s="31" t="n">
        <v>190107</v>
      </c>
      <c r="L110" s="30" t="n">
        <v>90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72.78</v>
      </c>
      <c r="P110" s="31" t="n">
        <v>33.79</v>
      </c>
      <c r="Q110" s="31" t="n">
        <v>349.44</v>
      </c>
      <c r="R110" s="30" t="inlineStr">
        <is>
          <t>Near 52W High Breakout</t>
        </is>
      </c>
      <c r="S110" s="30" t="inlineStr">
        <is>
          <t>Nifty 50</t>
        </is>
      </c>
      <c r="T110" s="31" t="n">
        <v>-6.39</v>
      </c>
      <c r="U110" s="31" t="n">
        <v>52.24</v>
      </c>
      <c r="V110" s="31" t="n">
        <v>62.64</v>
      </c>
      <c r="W110" s="31" t="n">
        <v>36.83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More than 1.2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IF(B111=0,"",RANK(B111,$B$2:$B$293,0))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GRWRHITECH</t>
        </is>
      </c>
      <c r="D111" s="30" t="inlineStr">
        <is>
          <t>Garware Hi Tech Films Ltd</t>
        </is>
      </c>
      <c r="E111" s="30" t="inlineStr">
        <is>
          <t>industrials</t>
        </is>
      </c>
      <c r="F111" s="30" t="inlineStr">
        <is>
          <t>packaging</t>
        </is>
      </c>
      <c r="G111" s="30" t="inlineStr">
        <is>
          <t>midcap</t>
        </is>
      </c>
      <c r="H111" s="31" t="n">
        <v>13694.33</v>
      </c>
      <c r="I111" s="31" t="n">
        <v>5713.5</v>
      </c>
      <c r="J111" s="31" t="n">
        <v>-3.07</v>
      </c>
      <c r="K111" s="31" t="n">
        <v>102102</v>
      </c>
      <c r="L111" s="30" t="n">
        <v>64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68.98999999999999</v>
      </c>
      <c r="P111" s="31" t="n">
        <v>25</v>
      </c>
      <c r="Q111" s="31" t="n">
        <v>4496.39</v>
      </c>
      <c r="R111" s="30" t="inlineStr">
        <is>
          <t>Earnings / Momentum Support</t>
        </is>
      </c>
      <c r="S111" s="30" t="inlineStr">
        <is>
          <t>Nifty 50</t>
        </is>
      </c>
      <c r="T111" s="31" t="n">
        <v>-6.39</v>
      </c>
      <c r="U111" s="31" t="n">
        <v>28.1</v>
      </c>
      <c r="V111" s="31" t="n">
        <v>36.84</v>
      </c>
      <c r="W111" s="31" t="n">
        <v>17.24</v>
      </c>
      <c r="X111" s="30" t="inlineStr">
        <is>
          <t>Cyclical in an Upturn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No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Between 50% to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IF(B112=0,"",RANK(B112,$B$2:$B$293,0))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IKS</t>
        </is>
      </c>
      <c r="D112" s="30" t="inlineStr">
        <is>
          <t>Inventurus Knowledge Solutions Ltd</t>
        </is>
      </c>
      <c r="E112" s="30" t="inlineStr">
        <is>
          <t>i.t</t>
        </is>
      </c>
      <c r="F112" s="30" t="inlineStr">
        <is>
          <t>computers - software - medium / small</t>
        </is>
      </c>
      <c r="G112" s="30" t="inlineStr">
        <is>
          <t>largecap</t>
        </is>
      </c>
      <c r="H112" s="31" t="n">
        <v>28656.15</v>
      </c>
      <c r="I112" s="31" t="n">
        <v>1706</v>
      </c>
      <c r="J112" s="31" t="n">
        <v>2.14</v>
      </c>
      <c r="K112" s="31" t="n">
        <v>159895</v>
      </c>
      <c r="L112" s="30" t="n">
        <v>29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58.62</v>
      </c>
      <c r="P112" s="31" t="n">
        <v>14.83</v>
      </c>
      <c r="Q112" s="31" t="n">
        <v>1312.27</v>
      </c>
      <c r="R112" s="30" t="inlineStr">
        <is>
          <t>Near 52W High Breakout</t>
        </is>
      </c>
      <c r="S112" s="30" t="inlineStr">
        <is>
          <t>Nifty IT</t>
        </is>
      </c>
      <c r="T112" s="31" t="n">
        <v>-21.21</v>
      </c>
      <c r="U112" s="31" t="n">
        <v>5.98</v>
      </c>
      <c r="V112" s="31" t="n">
        <v>34.51</v>
      </c>
      <c r="W112" s="31" t="n">
        <v>7.96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Annuity, Lower One Time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0 to 20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Between 50% to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IF(B113=0,"",RANK(B113,$B$2:$B$293,0))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LAURUSLABS</t>
        </is>
      </c>
      <c r="D113" s="30" t="inlineStr">
        <is>
          <t>Laurus Labs Limited</t>
        </is>
      </c>
      <c r="E113" s="30" t="inlineStr">
        <is>
          <t>healthcare</t>
        </is>
      </c>
      <c r="F113" s="30" t="inlineStr">
        <is>
          <t>pharmaceuticals - indian - bulk drugs &amp; formln</t>
        </is>
      </c>
      <c r="G113" s="30" t="inlineStr">
        <is>
          <t>largecap</t>
        </is>
      </c>
      <c r="H113" s="31" t="n">
        <v>74640.57000000001</v>
      </c>
      <c r="I113" s="31" t="n">
        <v>1394.3</v>
      </c>
      <c r="J113" s="31" t="n">
        <v>0.85</v>
      </c>
      <c r="K113" s="31" t="n">
        <v>1443846</v>
      </c>
      <c r="L113" s="30" t="n">
        <v>80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77.95</v>
      </c>
      <c r="P113" s="31" t="n">
        <v>29.67</v>
      </c>
      <c r="Q113" s="31" t="n">
        <v>1182.99</v>
      </c>
      <c r="R113" s="30" t="inlineStr">
        <is>
          <t>Near 52W High Breakout</t>
        </is>
      </c>
      <c r="S113" s="30" t="inlineStr">
        <is>
          <t>Nifty Pharma</t>
        </is>
      </c>
      <c r="T113" s="31" t="n">
        <v>11.08</v>
      </c>
      <c r="U113" s="31" t="n">
        <v>117.56</v>
      </c>
      <c r="V113" s="31" t="n">
        <v>95.86</v>
      </c>
      <c r="W113" s="31" t="n">
        <v>25.16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Yes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Annuity, Lower One Time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Above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Between 12 to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Yes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IF(B114=0,"",RANK(B114,$B$2:$B$293,0))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BLSE</t>
        </is>
      </c>
      <c r="D114" s="30" t="inlineStr">
        <is>
          <t>BLS E-Services Ltd</t>
        </is>
      </c>
      <c r="E114" s="30" t="inlineStr">
        <is>
          <t>i.t</t>
        </is>
      </c>
      <c r="F114" s="30" t="inlineStr">
        <is>
          <t>computers - software - medium / small</t>
        </is>
      </c>
      <c r="G114" s="30" t="inlineStr">
        <is>
          <t>smallcap</t>
        </is>
      </c>
      <c r="H114" s="31" t="n">
        <v>2037.09</v>
      </c>
      <c r="I114" s="31" t="n">
        <v>225.02</v>
      </c>
      <c r="J114" s="31" t="n">
        <v>0.36</v>
      </c>
      <c r="K114" s="31" t="n">
        <v>293697</v>
      </c>
      <c r="L114" s="30" t="n">
        <v>72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68.04000000000001</v>
      </c>
      <c r="P114" s="31" t="n">
        <v>21.55</v>
      </c>
      <c r="Q114" s="31" t="n">
        <v>171.87</v>
      </c>
      <c r="R114" s="30" t="inlineStr">
        <is>
          <t>Near 52W High Breakout</t>
        </is>
      </c>
      <c r="S114" s="30" t="inlineStr">
        <is>
          <t>Nifty IT</t>
        </is>
      </c>
      <c r="T114" s="31" t="n">
        <v>-21.21</v>
      </c>
      <c r="U114" s="31" t="n">
        <v>7.5</v>
      </c>
      <c r="V114" s="31" t="n">
        <v>36.45</v>
      </c>
      <c r="W114" s="31" t="n">
        <v>21.57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Annuity, Lower One Time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Less than 12%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Between 50% to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IF(B115=0,"",RANK(B115,$B$2:$B$293,0))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2" t="inlineStr">
        <is>
          <t>GPTHEALTH</t>
        </is>
      </c>
      <c r="D115" s="32" t="inlineStr">
        <is>
          <t>GPT Healthcare Ltd</t>
        </is>
      </c>
      <c r="E115" s="30" t="inlineStr">
        <is>
          <t>healthcare</t>
        </is>
      </c>
      <c r="F115" s="30" t="inlineStr">
        <is>
          <t>healthcare</t>
        </is>
      </c>
      <c r="G115" s="30" t="inlineStr">
        <is>
          <t>smallcap</t>
        </is>
      </c>
      <c r="H115" s="31" t="n">
        <v>1242.39</v>
      </c>
      <c r="I115" s="31" t="n">
        <v>151.44</v>
      </c>
      <c r="J115" s="31" t="n">
        <v>0.02</v>
      </c>
      <c r="K115" s="31" t="n">
        <v>305310</v>
      </c>
      <c r="L115" s="30" t="n">
        <v>15</v>
      </c>
      <c r="M115" s="30" t="inlineStr">
        <is>
          <t>Underperforming</t>
        </is>
      </c>
      <c r="N115" s="31">
        <f>IF(M115="Underperforming",-5,IF(L115&gt;=95,15,IF(L115&gt;=90,10,IF(L115&gt;=80,5,0))))</f>
        <v/>
      </c>
      <c r="O115" s="31" t="n">
        <v>63.73</v>
      </c>
      <c r="P115" s="31" t="n">
        <v>26.9</v>
      </c>
      <c r="Q115" s="31" t="n">
        <v>122.79</v>
      </c>
      <c r="R115" s="30" t="inlineStr">
        <is>
          <t>Volume Spike / Accumulation</t>
        </is>
      </c>
      <c r="S115" s="30" t="inlineStr">
        <is>
          <t>Nifty Pharma</t>
        </is>
      </c>
      <c r="T115" s="31" t="n">
        <v>11.08</v>
      </c>
      <c r="U115" s="31" t="n">
        <v>2.61</v>
      </c>
      <c r="V115" s="31" t="n">
        <v>-7.63</v>
      </c>
      <c r="W115" s="31" t="n">
        <v>5.18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Yes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Annuity, Lower One Time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Between 12 to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IF(B116=0,"",RANK(B116,$B$2:$B$293,0))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SHILPAMED</t>
        </is>
      </c>
      <c r="D116" s="30" t="inlineStr">
        <is>
          <t>Shilpa Medicare Limited</t>
        </is>
      </c>
      <c r="E116" s="30" t="inlineStr">
        <is>
          <t>healthcare</t>
        </is>
      </c>
      <c r="F116" s="30" t="inlineStr">
        <is>
          <t>pharmaceuticals - indian - formulations</t>
        </is>
      </c>
      <c r="G116" s="30" t="inlineStr">
        <is>
          <t>midcap</t>
        </is>
      </c>
      <c r="H116" s="31" t="n">
        <v>10118.43</v>
      </c>
      <c r="I116" s="31" t="n">
        <v>515.4</v>
      </c>
      <c r="J116" s="31" t="n">
        <v>-0.38</v>
      </c>
      <c r="K116" s="31" t="n">
        <v>1776974</v>
      </c>
      <c r="L116" s="30" t="n">
        <v>59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76.73</v>
      </c>
      <c r="P116" s="31" t="n">
        <v>39.55</v>
      </c>
      <c r="Q116" s="31" t="n">
        <v>399.28</v>
      </c>
      <c r="R116" s="30" t="inlineStr">
        <is>
          <t>Near 52W High Breakout</t>
        </is>
      </c>
      <c r="S116" s="30" t="inlineStr">
        <is>
          <t>Nifty Pharma</t>
        </is>
      </c>
      <c r="T116" s="31" t="n">
        <v>11.08</v>
      </c>
      <c r="U116" s="31" t="n">
        <v>12.86</v>
      </c>
      <c r="V116" s="31" t="n">
        <v>1.6</v>
      </c>
      <c r="W116" s="31" t="n">
        <v>16.18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Yes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Above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IF(B117=0,"",RANK(B117,$B$2:$B$293,0))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TATATECH</t>
        </is>
      </c>
      <c r="D117" s="30" t="inlineStr">
        <is>
          <t>Tata Technologies Ltd</t>
        </is>
      </c>
      <c r="E117" s="30" t="inlineStr">
        <is>
          <t>i.t</t>
        </is>
      </c>
      <c r="F117" s="30" t="inlineStr">
        <is>
          <t>computers - software - medium / small</t>
        </is>
      </c>
      <c r="G117" s="30" t="inlineStr">
        <is>
          <t>largecap</t>
        </is>
      </c>
      <c r="H117" s="31" t="n">
        <v>29959.24</v>
      </c>
      <c r="I117" s="31" t="n">
        <v>731.05</v>
      </c>
      <c r="J117" s="31" t="n">
        <v>-0.9399999999999999</v>
      </c>
      <c r="K117" s="31" t="n">
        <v>1460058</v>
      </c>
      <c r="L117" s="30" t="n">
        <v>19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68.87</v>
      </c>
      <c r="P117" s="31" t="n">
        <v>33.37</v>
      </c>
      <c r="Q117" s="31" t="n">
        <v>603.23</v>
      </c>
      <c r="R117" s="30" t="inlineStr">
        <is>
          <t>Near 52W High Breakout</t>
        </is>
      </c>
      <c r="S117" s="30" t="inlineStr">
        <is>
          <t>Nifty IT</t>
        </is>
      </c>
      <c r="T117" s="31" t="n">
        <v>-21.21</v>
      </c>
      <c r="U117" s="31" t="n">
        <v>-2.09</v>
      </c>
      <c r="V117" s="31" t="n">
        <v>24.26</v>
      </c>
      <c r="W117" s="31" t="n">
        <v>5.86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Less than 12%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IF(B118=0,"",RANK(B118,$B$2:$B$293,0))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AVTNPL</t>
        </is>
      </c>
      <c r="D118" s="30" t="inlineStr">
        <is>
          <t>Avt Natural Products Limited</t>
        </is>
      </c>
      <c r="E118" s="30" t="inlineStr">
        <is>
          <t>fmcg</t>
        </is>
      </c>
      <c r="F118" s="30" t="inlineStr">
        <is>
          <t>solvent extraction</t>
        </is>
      </c>
      <c r="G118" s="30" t="inlineStr">
        <is>
          <t>smallcap</t>
        </is>
      </c>
      <c r="H118" s="31" t="n">
        <v>1081.37</v>
      </c>
      <c r="I118" s="31" t="n">
        <v>70.22</v>
      </c>
      <c r="J118" s="31" t="n">
        <v>-1.11</v>
      </c>
      <c r="K118" s="31" t="n">
        <v>52085</v>
      </c>
      <c r="L118" s="30" t="n">
        <v>18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57.04</v>
      </c>
      <c r="P118" s="31" t="n">
        <v>21.77</v>
      </c>
      <c r="Q118" s="31" t="n">
        <v>55.2</v>
      </c>
      <c r="R118" s="30" t="inlineStr">
        <is>
          <t>Earnings / Momentum Support</t>
        </is>
      </c>
      <c r="S118" s="30" t="inlineStr">
        <is>
          <t>Nifty FMCG</t>
        </is>
      </c>
      <c r="T118" s="31" t="n">
        <v>-13.76</v>
      </c>
      <c r="U118" s="31" t="n">
        <v>10.14</v>
      </c>
      <c r="V118" s="31" t="n">
        <v>27.71</v>
      </c>
      <c r="W118" s="31" t="n">
        <v>5.67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B2C</t>
        </is>
      </c>
      <c r="AO118" s="30">
        <f>IF(AN118="B2C",10,IF(AN118="B2B",5,0))</f>
        <v/>
      </c>
      <c r="AP118" s="30" t="inlineStr">
        <is>
          <t>No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Less than 12%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IF(B119=0,"",RANK(B119,$B$2:$B$293,0))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APOLLO</t>
        </is>
      </c>
      <c r="D119" s="30" t="inlineStr">
        <is>
          <t>Apollo Micro Systems Ltd</t>
        </is>
      </c>
      <c r="E119" s="30" t="inlineStr">
        <is>
          <t>aerospace &amp; defence</t>
        </is>
      </c>
      <c r="F119" s="30" t="inlineStr">
        <is>
          <t>electronics - components</t>
        </is>
      </c>
      <c r="G119" s="30" t="inlineStr">
        <is>
          <t>midcap</t>
        </is>
      </c>
      <c r="H119" s="31" t="n">
        <v>15613.68</v>
      </c>
      <c r="I119" s="31" t="n">
        <v>407.55</v>
      </c>
      <c r="J119" s="31" t="n">
        <v>-6.74</v>
      </c>
      <c r="K119" s="31" t="n">
        <v>42624969</v>
      </c>
      <c r="L119" s="30" t="n">
        <v>91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73.39</v>
      </c>
      <c r="P119" s="31" t="n">
        <v>30.38</v>
      </c>
      <c r="Q119" s="31" t="n">
        <v>289.15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-6.39</v>
      </c>
      <c r="U119" s="31" t="n">
        <v>99</v>
      </c>
      <c r="V119" s="31" t="n">
        <v>112.58</v>
      </c>
      <c r="W119" s="31" t="n">
        <v>37.77</v>
      </c>
      <c r="X119" s="30" t="inlineStr">
        <is>
          <t>Cyclical in an Upturn</t>
        </is>
      </c>
      <c r="Y119" s="30">
        <f>IF(X119="Growing Industry",10,IF(X119="Cyclical in an Upturn",5,0))</f>
        <v/>
      </c>
      <c r="Z119" s="30" t="inlineStr">
        <is>
          <t>Oligopoly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Cyclical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B2C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Fully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Above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Yes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Between 1.5 to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IF(B120=0,"",RANK(B120,$B$2:$B$293,0))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FCL</t>
        </is>
      </c>
      <c r="D120" s="30" t="inlineStr">
        <is>
          <t>Fineotex Chemical Limited</t>
        </is>
      </c>
      <c r="E120" s="30" t="inlineStr">
        <is>
          <t>chemicals</t>
        </is>
      </c>
      <c r="F120" s="30" t="inlineStr">
        <is>
          <t>chemicals</t>
        </is>
      </c>
      <c r="G120" s="30" t="inlineStr">
        <is>
          <t>smallcap</t>
        </is>
      </c>
      <c r="H120" s="31" t="n">
        <v>4932.83</v>
      </c>
      <c r="I120" s="31" t="n">
        <v>43.54</v>
      </c>
      <c r="J120" s="31" t="n">
        <v>2.79</v>
      </c>
      <c r="K120" s="31" t="n">
        <v>29794119</v>
      </c>
      <c r="L120" s="30" t="n">
        <v>90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78.79000000000001</v>
      </c>
      <c r="P120" s="31" t="n">
        <v>27.7</v>
      </c>
      <c r="Q120" s="31" t="n">
        <v>33.06</v>
      </c>
      <c r="R120" s="30" t="inlineStr">
        <is>
          <t>Near 52W High Breakout</t>
        </is>
      </c>
      <c r="S120" s="30" t="inlineStr">
        <is>
          <t>Nifty IT</t>
        </is>
      </c>
      <c r="T120" s="31" t="n">
        <v>-21.21</v>
      </c>
      <c r="U120" s="31" t="n">
        <v>72.16</v>
      </c>
      <c r="V120" s="31" t="n">
        <v>118.51</v>
      </c>
      <c r="W120" s="31" t="n">
        <v>36.93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Above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Negative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IF(B121=0,"",RANK(B121,$B$2:$B$293,0))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NH</t>
        </is>
      </c>
      <c r="D121" s="30" t="inlineStr">
        <is>
          <t>Narayana Hrudayalaya Ltd.</t>
        </is>
      </c>
      <c r="E121" s="30" t="inlineStr">
        <is>
          <t>healthcare</t>
        </is>
      </c>
      <c r="F121" s="30" t="inlineStr">
        <is>
          <t>healthcare</t>
        </is>
      </c>
      <c r="G121" s="30" t="inlineStr">
        <is>
          <t>largecap</t>
        </is>
      </c>
      <c r="H121" s="31" t="n">
        <v>39527.47</v>
      </c>
      <c r="I121" s="31" t="n">
        <v>1980.6</v>
      </c>
      <c r="J121" s="31" t="n">
        <v>2.4</v>
      </c>
      <c r="K121" s="31" t="n">
        <v>428361</v>
      </c>
      <c r="L121" s="30" t="n">
        <v>16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62.88</v>
      </c>
      <c r="P121" s="31" t="n">
        <v>17.23</v>
      </c>
      <c r="Q121" s="31" t="n">
        <v>1641.11</v>
      </c>
      <c r="R121" s="30" t="inlineStr">
        <is>
          <t>Earnings / Momentum Support</t>
        </is>
      </c>
      <c r="S121" s="30" t="inlineStr">
        <is>
          <t>Nifty Pharma</t>
        </is>
      </c>
      <c r="T121" s="31" t="n">
        <v>11.08</v>
      </c>
      <c r="U121" s="31" t="n">
        <v>13.4</v>
      </c>
      <c r="V121" s="31" t="n">
        <v>2.09</v>
      </c>
      <c r="W121" s="31" t="n">
        <v>5.37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Shallow Cyclical (2 to 3 Years Growth)</t>
        </is>
      </c>
      <c r="AG121" s="30">
        <f>IF(AF121="Structural (10 Years Consistency)",10,IF(AF121="Shallow Cyclical (2 to 3 years growth)",5,0))</f>
        <v/>
      </c>
      <c r="AH121" s="30" t="inlineStr">
        <is>
          <t>Yes due to Product Mix change or Operating Leverage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B2C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Between 12 to 20%</t>
        </is>
      </c>
      <c r="BO121" s="30">
        <f>IF(BN121="More than 20%",10,IF(BN121="Between 12 to 20%",5,IF(BN121="Less than 12%",0,0)))</f>
        <v/>
      </c>
      <c r="BP121" s="30" t="inlineStr">
        <is>
          <t>Yes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IF(B122=0,"",RANK(B122,$B$2:$B$293,0))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RUBYMILLS</t>
        </is>
      </c>
      <c r="D122" s="30" t="inlineStr">
        <is>
          <t>The Ruby Mills Limited</t>
        </is>
      </c>
      <c r="E122" s="30" t="inlineStr">
        <is>
          <t>textiles</t>
        </is>
      </c>
      <c r="F122" s="30" t="inlineStr">
        <is>
          <t>textiles - composite</t>
        </is>
      </c>
      <c r="G122" s="30" t="inlineStr">
        <is>
          <t>smallcap</t>
        </is>
      </c>
      <c r="H122" s="31" t="n">
        <v>933.14</v>
      </c>
      <c r="I122" s="31" t="n">
        <v>284</v>
      </c>
      <c r="J122" s="31" t="n">
        <v>1.77</v>
      </c>
      <c r="K122" s="31" t="n">
        <v>152102</v>
      </c>
      <c r="L122" s="30" t="n">
        <v>47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69.09</v>
      </c>
      <c r="P122" s="31" t="n">
        <v>33.99</v>
      </c>
      <c r="Q122" s="31" t="n">
        <v>212.79</v>
      </c>
      <c r="R122" s="30" t="inlineStr">
        <is>
          <t>Volume Spike &amp; Near 52W High Breakout</t>
        </is>
      </c>
      <c r="S122" s="30" t="inlineStr">
        <is>
          <t>Nifty 50</t>
        </is>
      </c>
      <c r="T122" s="31" t="n">
        <v>-6.39</v>
      </c>
      <c r="U122" s="31" t="n">
        <v>31.37</v>
      </c>
      <c r="V122" s="31" t="n">
        <v>40.33</v>
      </c>
      <c r="W122" s="31" t="n">
        <v>12.81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Less than 12%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No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Between 50% to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IF(B123=0,"",RANK(B123,$B$2:$B$293,0))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SIS</t>
        </is>
      </c>
      <c r="D123" s="30" t="inlineStr">
        <is>
          <t>Security &amp; Intelligence Services India</t>
        </is>
      </c>
      <c r="E123" s="30" t="inlineStr">
        <is>
          <t>miscellaneous</t>
        </is>
      </c>
      <c r="F123" s="30" t="inlineStr">
        <is>
          <t>miscellaneous</t>
        </is>
      </c>
      <c r="G123" s="30" t="inlineStr">
        <is>
          <t>midcap</t>
        </is>
      </c>
      <c r="H123" s="31" t="n">
        <v>5827.48</v>
      </c>
      <c r="I123" s="31" t="n">
        <v>419.4</v>
      </c>
      <c r="J123" s="31" t="n">
        <v>1.67</v>
      </c>
      <c r="K123" s="31" t="n">
        <v>428422</v>
      </c>
      <c r="L123" s="30" t="n">
        <v>46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75.75</v>
      </c>
      <c r="P123" s="31" t="n">
        <v>35.04</v>
      </c>
      <c r="Q123" s="31" t="n">
        <v>338.9</v>
      </c>
      <c r="R123" s="30" t="inlineStr">
        <is>
          <t>Near 52W High Breakout</t>
        </is>
      </c>
      <c r="S123" s="30" t="inlineStr">
        <is>
          <t>Nifty 50</t>
        </is>
      </c>
      <c r="T123" s="31" t="n">
        <v>-6.39</v>
      </c>
      <c r="U123" s="31" t="n">
        <v>15.68</v>
      </c>
      <c r="V123" s="31" t="n">
        <v>23.57</v>
      </c>
      <c r="W123" s="31" t="n">
        <v>12.52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Above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Less than 1.5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Between 0.7 to 1.2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IF(B124=0,"",RANK(B124,$B$2:$B$293,0))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AGIIL</t>
        </is>
      </c>
      <c r="D124" s="30" t="inlineStr">
        <is>
          <t>AGI Infra Ltd</t>
        </is>
      </c>
      <c r="E124" s="30" t="inlineStr">
        <is>
          <t>realty</t>
        </is>
      </c>
      <c r="F124" s="30" t="inlineStr">
        <is>
          <t>construction</t>
        </is>
      </c>
      <c r="G124" s="30" t="inlineStr">
        <is>
          <t>smallcap</t>
        </is>
      </c>
      <c r="H124" s="31" t="n">
        <v>4769.9</v>
      </c>
      <c r="I124" s="31" t="n">
        <v>387.1</v>
      </c>
      <c r="J124" s="31" t="n">
        <v>1.44</v>
      </c>
      <c r="K124" s="31" t="n">
        <v>1920321</v>
      </c>
      <c r="L124" s="30" t="n">
        <v>75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61.51</v>
      </c>
      <c r="P124" s="31" t="n">
        <v>46.5</v>
      </c>
      <c r="Q124" s="31" t="n">
        <v>299.81</v>
      </c>
      <c r="R124" s="30" t="inlineStr">
        <is>
          <t>Earnings / Momentum Support</t>
        </is>
      </c>
      <c r="S124" s="30" t="inlineStr">
        <is>
          <t>Nifty Realty</t>
        </is>
      </c>
      <c r="T124" s="31" t="n">
        <v>-26.64</v>
      </c>
      <c r="U124" s="31" t="n">
        <v>115.43</v>
      </c>
      <c r="V124" s="31" t="n">
        <v>193.68</v>
      </c>
      <c r="W124" s="31" t="n">
        <v>23.01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Above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Negative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IF(B125=0,"",RANK(B125,$B$2:$B$293,0))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POLYCAB</t>
        </is>
      </c>
      <c r="D125" s="30" t="inlineStr">
        <is>
          <t>Polycab India Ltd</t>
        </is>
      </c>
      <c r="E125" s="30" t="inlineStr">
        <is>
          <t>industrials</t>
        </is>
      </c>
      <c r="F125" s="30" t="inlineStr">
        <is>
          <t>cables - power</t>
        </is>
      </c>
      <c r="G125" s="30" t="inlineStr">
        <is>
          <t>largecap</t>
        </is>
      </c>
      <c r="H125" s="31" t="n">
        <v>143497.22</v>
      </c>
      <c r="I125" s="31" t="n">
        <v>9571.5</v>
      </c>
      <c r="J125" s="31" t="n">
        <v>0.42</v>
      </c>
      <c r="K125" s="31" t="n">
        <v>162922</v>
      </c>
      <c r="L125" s="30" t="n">
        <v>43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69.58</v>
      </c>
      <c r="P125" s="31" t="n">
        <v>22.51</v>
      </c>
      <c r="Q125" s="31" t="n">
        <v>7977.13</v>
      </c>
      <c r="R125" s="30" t="inlineStr">
        <is>
          <t>Near 52W High Breakout</t>
        </is>
      </c>
      <c r="S125" s="30" t="inlineStr">
        <is>
          <t>Nifty Energy</t>
        </is>
      </c>
      <c r="T125" s="31" t="n">
        <v>11.89</v>
      </c>
      <c r="U125" s="31" t="n">
        <v>57.57</v>
      </c>
      <c r="V125" s="31" t="n">
        <v>40.82</v>
      </c>
      <c r="W125" s="31" t="n">
        <v>12.22</v>
      </c>
      <c r="X125" s="30" t="inlineStr">
        <is>
          <t>Cyclical in an Upturn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IF(B126=0,"",RANK(B126,$B$2:$B$293,0))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WABAG</t>
        </is>
      </c>
      <c r="D126" s="30" t="inlineStr">
        <is>
          <t>Va Tech Wabag Limited</t>
        </is>
      </c>
      <c r="E126" s="30" t="inlineStr">
        <is>
          <t>realty</t>
        </is>
      </c>
      <c r="F126" s="30" t="inlineStr">
        <is>
          <t>engineering - turnkey services</t>
        </is>
      </c>
      <c r="G126" s="30" t="inlineStr">
        <is>
          <t>midcap</t>
        </is>
      </c>
      <c r="H126" s="31" t="n">
        <v>9669.200000000001</v>
      </c>
      <c r="I126" s="31" t="n">
        <v>1557.9</v>
      </c>
      <c r="J126" s="31" t="n">
        <v>0.39</v>
      </c>
      <c r="K126" s="31" t="n">
        <v>230885</v>
      </c>
      <c r="L126" s="30" t="n">
        <v>20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63.89</v>
      </c>
      <c r="P126" s="31" t="n">
        <v>15.03</v>
      </c>
      <c r="Q126" s="31" t="n">
        <v>1220.92</v>
      </c>
      <c r="R126" s="30" t="inlineStr">
        <is>
          <t>Near 52W High Breakout</t>
        </is>
      </c>
      <c r="S126" s="30" t="inlineStr">
        <is>
          <t>Nifty Realty</t>
        </is>
      </c>
      <c r="T126" s="31" t="n">
        <v>-26.64</v>
      </c>
      <c r="U126" s="31" t="n">
        <v>-1.52</v>
      </c>
      <c r="V126" s="31" t="n">
        <v>34.25</v>
      </c>
      <c r="W126" s="31" t="n">
        <v>5.99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0 to 20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Less than 50%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IF(B127=0,"",RANK(B127,$B$2:$B$293,0))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CGPOWER</t>
        </is>
      </c>
      <c r="D127" s="30" t="inlineStr">
        <is>
          <t>CG Power and Industrial Solutions Ltd</t>
        </is>
      </c>
      <c r="E127" s="30" t="inlineStr">
        <is>
          <t>industrials</t>
        </is>
      </c>
      <c r="F127" s="30" t="inlineStr">
        <is>
          <t>electric equipment</t>
        </is>
      </c>
      <c r="G127" s="30" t="inlineStr">
        <is>
          <t>largecap</t>
        </is>
      </c>
      <c r="H127" s="31" t="n">
        <v>142955.6</v>
      </c>
      <c r="I127" s="31" t="n">
        <v>906.65</v>
      </c>
      <c r="J127" s="31" t="n">
        <v>-0.12</v>
      </c>
      <c r="K127" s="31" t="n">
        <v>3685445</v>
      </c>
      <c r="L127" s="30" t="n">
        <v>43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69.86</v>
      </c>
      <c r="P127" s="31" t="n">
        <v>22.68</v>
      </c>
      <c r="Q127" s="31" t="n">
        <v>752.28</v>
      </c>
      <c r="R127" s="30" t="inlineStr">
        <is>
          <t>Near 52W High Breakout</t>
        </is>
      </c>
      <c r="S127" s="30" t="inlineStr">
        <is>
          <t>Nifty 500</t>
        </is>
      </c>
      <c r="T127" s="31" t="n">
        <v>-3.08</v>
      </c>
      <c r="U127" s="31" t="n">
        <v>33.31</v>
      </c>
      <c r="V127" s="31" t="n">
        <v>37.55</v>
      </c>
      <c r="W127" s="31" t="n">
        <v>11.94</v>
      </c>
      <c r="X127" s="30" t="inlineStr">
        <is>
          <t>Cyclical in an Upturn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Less than 50%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IF(B128=0,"",RANK(B128,$B$2:$B$293,0))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ICIL</t>
        </is>
      </c>
      <c r="D128" s="30" t="inlineStr">
        <is>
          <t>Indo Count Industries Limited</t>
        </is>
      </c>
      <c r="E128" s="30" t="inlineStr">
        <is>
          <t>textiles</t>
        </is>
      </c>
      <c r="F128" s="30" t="inlineStr">
        <is>
          <t>textiles - cotton/blended</t>
        </is>
      </c>
      <c r="G128" s="30" t="inlineStr">
        <is>
          <t>midcap</t>
        </is>
      </c>
      <c r="H128" s="31" t="n">
        <v>6857.63</v>
      </c>
      <c r="I128" s="31" t="n">
        <v>344.65</v>
      </c>
      <c r="J128" s="31" t="n">
        <v>-0.46</v>
      </c>
      <c r="K128" s="31" t="n">
        <v>1037221</v>
      </c>
      <c r="L128" s="30" t="n">
        <v>49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64.37</v>
      </c>
      <c r="P128" s="31" t="n">
        <v>21.46</v>
      </c>
      <c r="Q128" s="31" t="n">
        <v>247.38</v>
      </c>
      <c r="R128" s="30" t="inlineStr">
        <is>
          <t>Volume Spike &amp; Near 52W High Breakout</t>
        </is>
      </c>
      <c r="S128" s="30" t="inlineStr">
        <is>
          <t>Nifty 50</t>
        </is>
      </c>
      <c r="T128" s="31" t="n">
        <v>-6.39</v>
      </c>
      <c r="U128" s="31" t="n">
        <v>29.49</v>
      </c>
      <c r="V128" s="31" t="n">
        <v>38.33</v>
      </c>
      <c r="W128" s="31" t="n">
        <v>13.3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Less than 12%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IF(B129=0,"",RANK(B129,$B$2:$B$293,0))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HARDWYN</t>
        </is>
      </c>
      <c r="D129" s="30" t="inlineStr">
        <is>
          <t>Hardwyn India Ltd</t>
        </is>
      </c>
      <c r="E129" s="30" t="inlineStr">
        <is>
          <t>services</t>
        </is>
      </c>
      <c r="F129" s="30" t="inlineStr">
        <is>
          <t>trading</t>
        </is>
      </c>
      <c r="G129" s="30" t="inlineStr">
        <is>
          <t>smallcap</t>
        </is>
      </c>
      <c r="H129" s="31" t="n">
        <v>1242.58</v>
      </c>
      <c r="I129" s="31" t="n">
        <v>25.31</v>
      </c>
      <c r="J129" s="31" t="n">
        <v>-0.51</v>
      </c>
      <c r="K129" s="31" t="n">
        <v>3479230</v>
      </c>
      <c r="L129" s="30" t="n">
        <v>78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67.84</v>
      </c>
      <c r="P129" s="31" t="n">
        <v>42.63</v>
      </c>
      <c r="Q129" s="31" t="n">
        <v>20.71</v>
      </c>
      <c r="R129" s="30" t="inlineStr">
        <is>
          <t>Earnings / Momentum Support</t>
        </is>
      </c>
      <c r="S129" s="30" t="inlineStr">
        <is>
          <t>Nifty 50</t>
        </is>
      </c>
      <c r="T129" s="31" t="n">
        <v>-6.39</v>
      </c>
      <c r="U129" s="31" t="n">
        <v>74.55</v>
      </c>
      <c r="V129" s="31" t="n">
        <v>86.47</v>
      </c>
      <c r="W129" s="31" t="n">
        <v>23.87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Less than 12%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IF(B130=0,"",RANK(B130,$B$2:$B$293,0))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MINDACORP</t>
        </is>
      </c>
      <c r="D130" s="30" t="inlineStr">
        <is>
          <t>Minda Corporation Limited</t>
        </is>
      </c>
      <c r="E130" s="30" t="inlineStr">
        <is>
          <t>auto</t>
        </is>
      </c>
      <c r="F130" s="30" t="inlineStr">
        <is>
          <t>auto ancillaries</t>
        </is>
      </c>
      <c r="G130" s="30" t="inlineStr">
        <is>
          <t>midcap</t>
        </is>
      </c>
      <c r="H130" s="31" t="n">
        <v>15058.42</v>
      </c>
      <c r="I130" s="31" t="n">
        <v>626.4</v>
      </c>
      <c r="J130" s="31" t="n">
        <v>-0.55</v>
      </c>
      <c r="K130" s="31" t="n">
        <v>679928</v>
      </c>
      <c r="L130" s="30" t="n">
        <v>26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63.56</v>
      </c>
      <c r="P130" s="31" t="n">
        <v>19.22</v>
      </c>
      <c r="Q130" s="31" t="n">
        <v>498.11</v>
      </c>
      <c r="R130" s="30" t="inlineStr">
        <is>
          <t>Near 52W High Breakout</t>
        </is>
      </c>
      <c r="S130" s="30" t="inlineStr">
        <is>
          <t>Nifty Auto</t>
        </is>
      </c>
      <c r="T130" s="31" t="n">
        <v>10.28</v>
      </c>
      <c r="U130" s="31" t="n">
        <v>12.17</v>
      </c>
      <c r="V130" s="31" t="n">
        <v>1.71</v>
      </c>
      <c r="W130" s="31" t="n">
        <v>7.18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0 to 20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Blue sky scenario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IF(B131=0,"",RANK(B131,$B$2:$B$293,0))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AIAENG</t>
        </is>
      </c>
      <c r="D131" s="30" t="inlineStr">
        <is>
          <t>Aia Engineering Limited</t>
        </is>
      </c>
      <c r="E131" s="30" t="inlineStr">
        <is>
          <t>industrials</t>
        </is>
      </c>
      <c r="F131" s="30" t="inlineStr">
        <is>
          <t>castings &amp; forgings</t>
        </is>
      </c>
      <c r="G131" s="30" t="inlineStr">
        <is>
          <t>largecap</t>
        </is>
      </c>
      <c r="H131" s="31" t="n">
        <v>42482.23</v>
      </c>
      <c r="I131" s="31" t="n">
        <v>4521.3</v>
      </c>
      <c r="J131" s="31" t="n">
        <v>-0.68</v>
      </c>
      <c r="K131" s="31" t="n">
        <v>49880</v>
      </c>
      <c r="L131" s="30" t="n">
        <v>39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69.83</v>
      </c>
      <c r="P131" s="31" t="n">
        <v>15.33</v>
      </c>
      <c r="Q131" s="31" t="n">
        <v>3686.33</v>
      </c>
      <c r="R131" s="30" t="inlineStr">
        <is>
          <t>Near 52W High Breakout</t>
        </is>
      </c>
      <c r="S131" s="30" t="inlineStr">
        <is>
          <t>Nifty 50</t>
        </is>
      </c>
      <c r="T131" s="31" t="n">
        <v>-6.39</v>
      </c>
      <c r="U131" s="31" t="n">
        <v>29.78</v>
      </c>
      <c r="V131" s="31" t="n">
        <v>38.64</v>
      </c>
      <c r="W131" s="31" t="n">
        <v>10.97</v>
      </c>
      <c r="X131" s="30" t="inlineStr">
        <is>
          <t>Cyclical in an Upturn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0 to 20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Less than 50%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IF(B132=0,"",RANK(B132,$B$2:$B$293,0))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AEGISLOG</t>
        </is>
      </c>
      <c r="D132" s="30" t="inlineStr">
        <is>
          <t>Aegis Logistics Ltd</t>
        </is>
      </c>
      <c r="E132" s="30" t="inlineStr">
        <is>
          <t>services</t>
        </is>
      </c>
      <c r="F132" s="30" t="inlineStr">
        <is>
          <t>trading</t>
        </is>
      </c>
      <c r="G132" s="30" t="inlineStr">
        <is>
          <t>largecap</t>
        </is>
      </c>
      <c r="H132" s="31" t="n">
        <v>26926.97</v>
      </c>
      <c r="I132" s="31" t="n">
        <v>760.5</v>
      </c>
      <c r="J132" s="31" t="n">
        <v>-0.87</v>
      </c>
      <c r="K132" s="31" t="n">
        <v>499925</v>
      </c>
      <c r="L132" s="30" t="n">
        <v>6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58.07</v>
      </c>
      <c r="P132" s="31" t="n">
        <v>16.52</v>
      </c>
      <c r="Q132" s="31" t="n">
        <v>576.16</v>
      </c>
      <c r="R132" s="30" t="inlineStr">
        <is>
          <t>Earnings / Momentum Support</t>
        </is>
      </c>
      <c r="S132" s="30" t="inlineStr">
        <is>
          <t>Nifty 50</t>
        </is>
      </c>
      <c r="T132" s="31" t="n">
        <v>-6.39</v>
      </c>
      <c r="U132" s="31" t="n">
        <v>-3.92</v>
      </c>
      <c r="V132" s="31" t="n">
        <v>2.63</v>
      </c>
      <c r="W132" s="31" t="n">
        <v>2.55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No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0 to 20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IF(B133=0,"",RANK(B133,$B$2:$B$293,0))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GHCLTEXTIL</t>
        </is>
      </c>
      <c r="D133" s="30" t="inlineStr">
        <is>
          <t>GHCL Textiles Ltd</t>
        </is>
      </c>
      <c r="E133" s="30" t="inlineStr">
        <is>
          <t>textiles</t>
        </is>
      </c>
      <c r="F133" s="30" t="inlineStr">
        <is>
          <t>textiles - spinning - synthetic / blended</t>
        </is>
      </c>
      <c r="G133" s="30" t="inlineStr">
        <is>
          <t>smallcap</t>
        </is>
      </c>
      <c r="H133" s="31" t="n">
        <v>928.8099999999999</v>
      </c>
      <c r="I133" s="31" t="n">
        <v>95.95</v>
      </c>
      <c r="J133" s="31" t="n">
        <v>-1.26</v>
      </c>
      <c r="K133" s="31" t="n">
        <v>293393</v>
      </c>
      <c r="L133" s="30" t="n">
        <v>32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64.45999999999999</v>
      </c>
      <c r="P133" s="31" t="n">
        <v>16.5</v>
      </c>
      <c r="Q133" s="31" t="n">
        <v>70.59999999999999</v>
      </c>
      <c r="R133" s="30" t="inlineStr">
        <is>
          <t>Near 52W High Breakout</t>
        </is>
      </c>
      <c r="S133" s="30" t="inlineStr">
        <is>
          <t>Nifty 50</t>
        </is>
      </c>
      <c r="T133" s="31" t="n">
        <v>-6.39</v>
      </c>
      <c r="U133" s="31" t="n">
        <v>5.78</v>
      </c>
      <c r="V133" s="31" t="n">
        <v>13</v>
      </c>
      <c r="W133" s="31" t="n">
        <v>8.85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0 to 20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Less than 50%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IF(B134=0,"",RANK(B134,$B$2:$B$293,0))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SONACOMS</t>
        </is>
      </c>
      <c r="D134" s="30" t="inlineStr">
        <is>
          <t>Sona BLW Precision Forgings Ltd</t>
        </is>
      </c>
      <c r="E134" s="30" t="inlineStr">
        <is>
          <t>auto</t>
        </is>
      </c>
      <c r="F134" s="30" t="inlineStr">
        <is>
          <t>auto ancillaries</t>
        </is>
      </c>
      <c r="G134" s="30" t="inlineStr">
        <is>
          <t>largecap</t>
        </is>
      </c>
      <c r="H134" s="31" t="n">
        <v>38016.61</v>
      </c>
      <c r="I134" s="31" t="n">
        <v>603.45</v>
      </c>
      <c r="J134" s="31" t="n">
        <v>-1.29</v>
      </c>
      <c r="K134" s="31" t="n">
        <v>1008198</v>
      </c>
      <c r="L134" s="30" t="n">
        <v>27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62.99</v>
      </c>
      <c r="P134" s="31" t="n">
        <v>23.21</v>
      </c>
      <c r="Q134" s="31" t="n">
        <v>493.18</v>
      </c>
      <c r="R134" s="30" t="inlineStr">
        <is>
          <t>Near 52W High Breakout</t>
        </is>
      </c>
      <c r="S134" s="30" t="inlineStr">
        <is>
          <t>Nifty Auto</t>
        </is>
      </c>
      <c r="T134" s="31" t="n">
        <v>10.28</v>
      </c>
      <c r="U134" s="31" t="n">
        <v>19.07</v>
      </c>
      <c r="V134" s="31" t="n">
        <v>7.97</v>
      </c>
      <c r="W134" s="31" t="n">
        <v>7.54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Between 12 to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Between 50% to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IF(B135=0,"",RANK(B135,$B$2:$B$293,0))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VISHNU</t>
        </is>
      </c>
      <c r="D135" s="30" t="inlineStr">
        <is>
          <t>Vishnu Chemicals Limited</t>
        </is>
      </c>
      <c r="E135" s="30" t="inlineStr">
        <is>
          <t>chemicals</t>
        </is>
      </c>
      <c r="F135" s="30" t="inlineStr">
        <is>
          <t>chemicals</t>
        </is>
      </c>
      <c r="G135" s="30" t="inlineStr">
        <is>
          <t>smallcap</t>
        </is>
      </c>
      <c r="H135" s="31" t="n">
        <v>4218.65</v>
      </c>
      <c r="I135" s="31" t="n">
        <v>615.3</v>
      </c>
      <c r="J135" s="31" t="n">
        <v>-1.82</v>
      </c>
      <c r="K135" s="31" t="n">
        <v>141623</v>
      </c>
      <c r="L135" s="30" t="n">
        <v>33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64.87</v>
      </c>
      <c r="P135" s="31" t="n">
        <v>37.69</v>
      </c>
      <c r="Q135" s="31" t="n">
        <v>479.95</v>
      </c>
      <c r="R135" s="30" t="inlineStr">
        <is>
          <t>Volume Spike &amp; Near 52W High Breakout</t>
        </is>
      </c>
      <c r="S135" s="30" t="inlineStr">
        <is>
          <t>Nifty IT</t>
        </is>
      </c>
      <c r="T135" s="31" t="n">
        <v>-21.21</v>
      </c>
      <c r="U135" s="31" t="n">
        <v>18.03</v>
      </c>
      <c r="V135" s="31" t="n">
        <v>49.8</v>
      </c>
      <c r="W135" s="31" t="n">
        <v>9.279999999999999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Less than 50%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IF(B136=0,"",RANK(B136,$B$2:$B$293,0))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ARVIND</t>
        </is>
      </c>
      <c r="D136" s="30" t="inlineStr">
        <is>
          <t>Arvind Limited</t>
        </is>
      </c>
      <c r="E136" s="30" t="inlineStr">
        <is>
          <t>textiles</t>
        </is>
      </c>
      <c r="F136" s="30" t="inlineStr">
        <is>
          <t>textiles - cotton/blended</t>
        </is>
      </c>
      <c r="G136" s="30" t="inlineStr">
        <is>
          <t>midcap</t>
        </is>
      </c>
      <c r="H136" s="31" t="n">
        <v>13122.77</v>
      </c>
      <c r="I136" s="31" t="n">
        <v>485.05</v>
      </c>
      <c r="J136" s="31" t="n">
        <v>-3.12</v>
      </c>
      <c r="K136" s="31" t="n">
        <v>692347</v>
      </c>
      <c r="L136" s="30" t="n">
        <v>61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75.34999999999999</v>
      </c>
      <c r="P136" s="31" t="n">
        <v>33.68</v>
      </c>
      <c r="Q136" s="31" t="n">
        <v>386.3</v>
      </c>
      <c r="R136" s="30" t="inlineStr">
        <is>
          <t>Near 52W High Breakout</t>
        </is>
      </c>
      <c r="S136" s="30" t="inlineStr">
        <is>
          <t>Nifty 50</t>
        </is>
      </c>
      <c r="T136" s="31" t="n">
        <v>-6.39</v>
      </c>
      <c r="U136" s="31" t="n">
        <v>37.54</v>
      </c>
      <c r="V136" s="31" t="n">
        <v>46.92</v>
      </c>
      <c r="W136" s="31" t="n">
        <v>16.53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Above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Less than 12%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IF(B137=0,"",RANK(B137,$B$2:$B$293,0))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UNIVCABLES</t>
        </is>
      </c>
      <c r="D137" s="30" t="inlineStr">
        <is>
          <t>Universal Cables Limited</t>
        </is>
      </c>
      <c r="E137" s="30" t="inlineStr">
        <is>
          <t>industrials</t>
        </is>
      </c>
      <c r="F137" s="30" t="inlineStr">
        <is>
          <t>cables - power</t>
        </is>
      </c>
      <c r="G137" s="30" t="inlineStr">
        <is>
          <t>smallcap</t>
        </is>
      </c>
      <c r="H137" s="31" t="n">
        <v>4299.45</v>
      </c>
      <c r="I137" s="31" t="n">
        <v>1189.9</v>
      </c>
      <c r="J137" s="31" t="n">
        <v>-3.98</v>
      </c>
      <c r="K137" s="31" t="n">
        <v>730688</v>
      </c>
      <c r="L137" s="30" t="n">
        <v>89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68.68000000000001</v>
      </c>
      <c r="P137" s="31" t="n">
        <v>31.27</v>
      </c>
      <c r="Q137" s="31" t="n">
        <v>804.98</v>
      </c>
      <c r="R137" s="30" t="inlineStr">
        <is>
          <t>Volume Spike &amp; Near 52W High Breakout</t>
        </is>
      </c>
      <c r="S137" s="30" t="inlineStr">
        <is>
          <t>Nifty Energy</t>
        </is>
      </c>
      <c r="T137" s="31" t="n">
        <v>11.89</v>
      </c>
      <c r="U137" s="31" t="n">
        <v>95.45999999999999</v>
      </c>
      <c r="V137" s="31" t="n">
        <v>74.69</v>
      </c>
      <c r="W137" s="31" t="n">
        <v>34.02</v>
      </c>
      <c r="X137" s="30" t="inlineStr">
        <is>
          <t>Cyclical in an Upturn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Less than 50%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IF(B138=0,"",RANK(B138,$B$2:$B$293,0))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DIAMONDYD</t>
        </is>
      </c>
      <c r="D138" s="30" t="inlineStr">
        <is>
          <t>Prataap Snacks Ltd</t>
        </is>
      </c>
      <c r="E138" s="30" t="inlineStr">
        <is>
          <t>fmcg</t>
        </is>
      </c>
      <c r="F138" s="30" t="inlineStr">
        <is>
          <t>food - processing - indian</t>
        </is>
      </c>
      <c r="G138" s="30" t="inlineStr">
        <is>
          <t>smallcap</t>
        </is>
      </c>
      <c r="H138" s="31" t="n">
        <v>2598.55</v>
      </c>
      <c r="I138" s="31" t="n">
        <v>1186.6</v>
      </c>
      <c r="J138" s="31" t="n">
        <v>9.15</v>
      </c>
      <c r="K138" s="31" t="n">
        <v>173024</v>
      </c>
      <c r="L138" s="30" t="n">
        <v>19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65.98999999999999</v>
      </c>
      <c r="P138" s="31" t="n">
        <v>17.89</v>
      </c>
      <c r="Q138" s="31" t="n">
        <v>935.65</v>
      </c>
      <c r="R138" s="30" t="inlineStr">
        <is>
          <t>Near 52W High Breakout</t>
        </is>
      </c>
      <c r="S138" s="30" t="inlineStr">
        <is>
          <t>Nifty FMCG</t>
        </is>
      </c>
      <c r="T138" s="31" t="n">
        <v>-13.76</v>
      </c>
      <c r="U138" s="31" t="n">
        <v>6.08</v>
      </c>
      <c r="V138" s="31" t="n">
        <v>23</v>
      </c>
      <c r="W138" s="31" t="n">
        <v>5.78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B2C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0 to 20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Between 50% to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IF(B139=0,"",RANK(B139,$B$2:$B$293,0))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WOCKPHARMA</t>
        </is>
      </c>
      <c r="D139" s="30" t="inlineStr">
        <is>
          <t>Wockhardt Limited</t>
        </is>
      </c>
      <c r="E139" s="30" t="inlineStr">
        <is>
          <t>healthcare</t>
        </is>
      </c>
      <c r="F139" s="30" t="inlineStr">
        <is>
          <t>pharmaceuticals - indian - bulk drugs &amp; formln</t>
        </is>
      </c>
      <c r="G139" s="30" t="inlineStr">
        <is>
          <t>largecap</t>
        </is>
      </c>
      <c r="H139" s="31" t="n">
        <v>31949.21</v>
      </c>
      <c r="I139" s="31" t="n">
        <v>2073.9</v>
      </c>
      <c r="J139" s="31" t="n">
        <v>5.48</v>
      </c>
      <c r="K139" s="31" t="n">
        <v>7368265</v>
      </c>
      <c r="L139" s="30" t="n">
        <v>71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78.20999999999999</v>
      </c>
      <c r="P139" s="31" t="n">
        <v>27.69</v>
      </c>
      <c r="Q139" s="31" t="n">
        <v>1509.63</v>
      </c>
      <c r="R139" s="30" t="inlineStr">
        <is>
          <t>Volume Spike &amp; Near 52W High Breakout</t>
        </is>
      </c>
      <c r="S139" s="30" t="inlineStr">
        <is>
          <t>Nifty Pharma</t>
        </is>
      </c>
      <c r="T139" s="31" t="n">
        <v>11.08</v>
      </c>
      <c r="U139" s="31" t="n">
        <v>37.76</v>
      </c>
      <c r="V139" s="31" t="n">
        <v>24.02</v>
      </c>
      <c r="W139" s="31" t="n">
        <v>20.98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Above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Between 50% to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IF(B140=0,"",RANK(B140,$B$2:$B$293,0))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PIXTRANS</t>
        </is>
      </c>
      <c r="D140" s="30" t="inlineStr">
        <is>
          <t>Pix Transmission Ltd</t>
        </is>
      </c>
      <c r="E140" s="30" t="inlineStr">
        <is>
          <t>fmcg</t>
        </is>
      </c>
      <c r="F140" s="30" t="inlineStr">
        <is>
          <t>miscellaneous</t>
        </is>
      </c>
      <c r="G140" s="30" t="inlineStr">
        <is>
          <t>smallcap</t>
        </is>
      </c>
      <c r="H140" s="31" t="n">
        <v>2192.16</v>
      </c>
      <c r="I140" s="31" t="n">
        <v>1632.5</v>
      </c>
      <c r="J140" s="31" t="n">
        <v>1.47</v>
      </c>
      <c r="K140" s="31" t="n">
        <v>14541</v>
      </c>
      <c r="L140" s="30" t="n">
        <v>9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61.74</v>
      </c>
      <c r="P140" s="31" t="n">
        <v>17.37</v>
      </c>
      <c r="Q140" s="31" t="n">
        <v>1318.97</v>
      </c>
      <c r="R140" s="30" t="inlineStr">
        <is>
          <t>Near 52W High Breakout</t>
        </is>
      </c>
      <c r="S140" s="30" t="inlineStr">
        <is>
          <t>Nifty FMCG</t>
        </is>
      </c>
      <c r="T140" s="31" t="n">
        <v>-13.76</v>
      </c>
      <c r="U140" s="31" t="n">
        <v>2.59</v>
      </c>
      <c r="V140" s="31" t="n">
        <v>18.96</v>
      </c>
      <c r="W140" s="31" t="n">
        <v>3.19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B2C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0 to 20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IF(B141=0,"",RANK(B141,$B$2:$B$293,0))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ORCHPHARMA</t>
        </is>
      </c>
      <c r="D141" s="30" t="inlineStr">
        <is>
          <t>Orchid Pharma Ltd</t>
        </is>
      </c>
      <c r="E141" s="30" t="inlineStr">
        <is>
          <t>healthcare</t>
        </is>
      </c>
      <c r="F141" s="30" t="inlineStr">
        <is>
          <t>pharmaceuticals - indian - bulk drugs &amp; formln</t>
        </is>
      </c>
      <c r="G141" s="30" t="inlineStr">
        <is>
          <t>smallcap</t>
        </is>
      </c>
      <c r="H141" s="31" t="n">
        <v>4183.31</v>
      </c>
      <c r="I141" s="31" t="n">
        <v>836.85</v>
      </c>
      <c r="J141" s="31" t="n">
        <v>1.46</v>
      </c>
      <c r="K141" s="31" t="n">
        <v>248298</v>
      </c>
      <c r="L141" s="30" t="n">
        <v>72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66.61</v>
      </c>
      <c r="P141" s="31" t="n">
        <v>36.01</v>
      </c>
      <c r="Q141" s="31" t="n">
        <v>629.4299999999999</v>
      </c>
      <c r="R141" s="30" t="inlineStr">
        <is>
          <t>Near 52W High Breakout</t>
        </is>
      </c>
      <c r="S141" s="30" t="inlineStr">
        <is>
          <t>Nifty Pharma</t>
        </is>
      </c>
      <c r="T141" s="31" t="n">
        <v>11.08</v>
      </c>
      <c r="U141" s="31" t="n">
        <v>16.53</v>
      </c>
      <c r="V141" s="31" t="n">
        <v>4.91</v>
      </c>
      <c r="W141" s="31" t="n">
        <v>21.74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Headwind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IF(B142=0,"",RANK(B142,$B$2:$B$293,0))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2" t="inlineStr">
        <is>
          <t>CAPLIPOINT</t>
        </is>
      </c>
      <c r="D142" s="32" t="inlineStr">
        <is>
          <t>Caplin Point Laboratories Limited</t>
        </is>
      </c>
      <c r="E142" s="30" t="inlineStr">
        <is>
          <t>healthcare</t>
        </is>
      </c>
      <c r="F142" s="30" t="inlineStr">
        <is>
          <t>pharmaceuticals - indian - formulations</t>
        </is>
      </c>
      <c r="G142" s="30" t="inlineStr">
        <is>
          <t>midcap</t>
        </is>
      </c>
      <c r="H142" s="31" t="n">
        <v>15111.89</v>
      </c>
      <c r="I142" s="31" t="n">
        <v>1972.9</v>
      </c>
      <c r="J142" s="31" t="n">
        <v>-0.76</v>
      </c>
      <c r="K142" s="31" t="n">
        <v>45721</v>
      </c>
      <c r="L142" s="30" t="n">
        <v>8</v>
      </c>
      <c r="M142" s="30" t="inlineStr">
        <is>
          <t>Underperforming</t>
        </is>
      </c>
      <c r="N142" s="31">
        <f>IF(M142="Underperforming",-5,IF(L142&gt;=95,15,IF(L142&gt;=90,10,IF(L142&gt;=80,5,0))))</f>
        <v/>
      </c>
      <c r="O142" s="31" t="n">
        <v>58.94</v>
      </c>
      <c r="P142" s="31" t="n">
        <v>23.27</v>
      </c>
      <c r="Q142" s="31" t="n">
        <v>1660.9</v>
      </c>
      <c r="R142" s="30" t="inlineStr">
        <is>
          <t>Earnings / Momentum Support</t>
        </is>
      </c>
      <c r="S142" s="30" t="inlineStr">
        <is>
          <t>Nifty Pharma</t>
        </is>
      </c>
      <c r="T142" s="31" t="n">
        <v>11.08</v>
      </c>
      <c r="U142" s="31" t="n">
        <v>-5.63</v>
      </c>
      <c r="V142" s="31" t="n">
        <v>-15.04</v>
      </c>
      <c r="W142" s="31" t="n">
        <v>3.18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Yes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No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Between 12 to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Less than 1.5</t>
        </is>
      </c>
      <c r="BU142" s="30">
        <f>IF(BT142="Above 2",0,IF(BT142="Between 1.5 to 2",5,IF(BT142="Less than 1.5",10,0)))</f>
        <v/>
      </c>
      <c r="BV142" s="30" t="inlineStr">
        <is>
          <t>Between 50% to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IF(B143=0,"",RANK(B143,$B$2:$B$293,0))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2" t="inlineStr">
        <is>
          <t>HESTERBIO</t>
        </is>
      </c>
      <c r="D143" s="32" t="inlineStr">
        <is>
          <t>Hester Biosciences Limited</t>
        </is>
      </c>
      <c r="E143" s="30" t="inlineStr">
        <is>
          <t>healthcare</t>
        </is>
      </c>
      <c r="F143" s="30" t="inlineStr">
        <is>
          <t>pharmaceuticals - indian - formulations</t>
        </is>
      </c>
      <c r="G143" s="30" t="inlineStr">
        <is>
          <t>smallcap</t>
        </is>
      </c>
      <c r="H143" s="31" t="n">
        <v>1714.47</v>
      </c>
      <c r="I143" s="31" t="n">
        <v>1956.9</v>
      </c>
      <c r="J143" s="31" t="n">
        <v>-2.9</v>
      </c>
      <c r="K143" s="31" t="n">
        <v>8024</v>
      </c>
      <c r="L143" s="30" t="n">
        <v>34</v>
      </c>
      <c r="M143" s="30" t="inlineStr">
        <is>
          <t>Underperforming</t>
        </is>
      </c>
      <c r="N143" s="31">
        <f>IF(M143="Underperforming",-5,IF(L143&gt;=95,15,IF(L143&gt;=90,10,IF(L143&gt;=80,5,0))))</f>
        <v/>
      </c>
      <c r="O143" s="31" t="n">
        <v>67.3</v>
      </c>
      <c r="P143" s="31" t="n">
        <v>32.52</v>
      </c>
      <c r="Q143" s="31" t="n">
        <v>1536.85</v>
      </c>
      <c r="R143" s="30" t="inlineStr">
        <is>
          <t>Earnings / Momentum Support</t>
        </is>
      </c>
      <c r="S143" s="30" t="inlineStr">
        <is>
          <t>Nifty Pharma</t>
        </is>
      </c>
      <c r="T143" s="31" t="n">
        <v>11.08</v>
      </c>
      <c r="U143" s="31" t="n">
        <v>5.76</v>
      </c>
      <c r="V143" s="31" t="n">
        <v>-4.79</v>
      </c>
      <c r="W143" s="31" t="n">
        <v>9.48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Yes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No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IF(B144=0,"",RANK(B144,$B$2:$B$293,0))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RRKABEL</t>
        </is>
      </c>
      <c r="D144" s="30" t="inlineStr">
        <is>
          <t>R R Kabel Ltd</t>
        </is>
      </c>
      <c r="E144" s="30" t="inlineStr">
        <is>
          <t>industrials</t>
        </is>
      </c>
      <c r="F144" s="30" t="inlineStr">
        <is>
          <t>cables - power</t>
        </is>
      </c>
      <c r="G144" s="30" t="inlineStr">
        <is>
          <t>largecap</t>
        </is>
      </c>
      <c r="H144" s="31" t="n">
        <v>22890.29</v>
      </c>
      <c r="I144" s="31" t="n">
        <v>2155.9</v>
      </c>
      <c r="J144" s="31" t="n">
        <v>6.53</v>
      </c>
      <c r="K144" s="31" t="n">
        <v>1528524</v>
      </c>
      <c r="L144" s="30" t="n">
        <v>67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77.28</v>
      </c>
      <c r="P144" s="31" t="n">
        <v>32.05</v>
      </c>
      <c r="Q144" s="31" t="n">
        <v>1705.72</v>
      </c>
      <c r="R144" s="30" t="inlineStr">
        <is>
          <t>Near 52W High Breakout</t>
        </is>
      </c>
      <c r="S144" s="30" t="inlineStr">
        <is>
          <t>Nifty Energy</t>
        </is>
      </c>
      <c r="T144" s="31" t="n">
        <v>11.89</v>
      </c>
      <c r="U144" s="31" t="n">
        <v>53.33</v>
      </c>
      <c r="V144" s="31" t="n">
        <v>37.03</v>
      </c>
      <c r="W144" s="31" t="n">
        <v>18.62</v>
      </c>
      <c r="X144" s="30" t="inlineStr">
        <is>
          <t>Cyclical in an Upturn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Above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Between 1.5 to 2</t>
        </is>
      </c>
      <c r="BU144" s="30">
        <f>IF(BT144="Above 2",0,IF(BT144="Between 1.5 to 2",5,IF(BT144="Less than 1.5",10,0)))</f>
        <v/>
      </c>
      <c r="BV144" s="30" t="inlineStr">
        <is>
          <t>Less than 50%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IF(B145=0,"",RANK(B145,$B$2:$B$293,0))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JNKINDIA</t>
        </is>
      </c>
      <c r="D145" s="30" t="inlineStr">
        <is>
          <t>JNK India Ltd</t>
        </is>
      </c>
      <c r="E145" s="30" t="inlineStr">
        <is>
          <t>realty</t>
        </is>
      </c>
      <c r="F145" s="30" t="inlineStr">
        <is>
          <t>engineering - turnkey services</t>
        </is>
      </c>
      <c r="G145" s="30" t="inlineStr">
        <is>
          <t>smallcap</t>
        </is>
      </c>
      <c r="H145" s="31" t="n">
        <v>2022.17</v>
      </c>
      <c r="I145" s="31" t="n">
        <v>383.3</v>
      </c>
      <c r="J145" s="31" t="n">
        <v>6.06</v>
      </c>
      <c r="K145" s="31" t="n">
        <v>361196</v>
      </c>
      <c r="L145" s="30" t="n">
        <v>68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66.59</v>
      </c>
      <c r="P145" s="31" t="n">
        <v>23.9</v>
      </c>
      <c r="Q145" s="31" t="n">
        <v>267.64</v>
      </c>
      <c r="R145" s="30" t="inlineStr">
        <is>
          <t>Near 52W High Breakout</t>
        </is>
      </c>
      <c r="S145" s="30" t="inlineStr">
        <is>
          <t>Nifty Realty</t>
        </is>
      </c>
      <c r="T145" s="31" t="n">
        <v>-26.64</v>
      </c>
      <c r="U145" s="31" t="n">
        <v>10.97</v>
      </c>
      <c r="V145" s="31" t="n">
        <v>51.28</v>
      </c>
      <c r="W145" s="31" t="n">
        <v>19.44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Negative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IF(B146=0,"",RANK(B146,$B$2:$B$293,0))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CHENNPETRO</t>
        </is>
      </c>
      <c r="D146" s="30" t="inlineStr">
        <is>
          <t>Chennai Petroleum Corporation Limited</t>
        </is>
      </c>
      <c r="E146" s="30" t="inlineStr">
        <is>
          <t>energy</t>
        </is>
      </c>
      <c r="F146" s="30" t="inlineStr">
        <is>
          <t>refineries</t>
        </is>
      </c>
      <c r="G146" s="30" t="inlineStr">
        <is>
          <t>midcap</t>
        </is>
      </c>
      <c r="H146" s="31" t="n">
        <v>16999.73</v>
      </c>
      <c r="I146" s="31" t="n">
        <v>1189.8</v>
      </c>
      <c r="J146" s="31" t="n">
        <v>4.22</v>
      </c>
      <c r="K146" s="31" t="n">
        <v>3461172</v>
      </c>
      <c r="L146" s="30" t="n">
        <v>65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64.53</v>
      </c>
      <c r="P146" s="31" t="n">
        <v>43.09</v>
      </c>
      <c r="Q146" s="31" t="n">
        <v>887.45</v>
      </c>
      <c r="R146" s="30" t="inlineStr">
        <is>
          <t>Near 52W High Breakout</t>
        </is>
      </c>
      <c r="S146" s="30" t="inlineStr">
        <is>
          <t>Nifty Energy</t>
        </is>
      </c>
      <c r="T146" s="31" t="n">
        <v>11.89</v>
      </c>
      <c r="U146" s="31" t="n">
        <v>86.33</v>
      </c>
      <c r="V146" s="31" t="n">
        <v>66.52</v>
      </c>
      <c r="W146" s="31" t="n">
        <v>17.58</v>
      </c>
      <c r="X146" s="30" t="inlineStr">
        <is>
          <t>Cyclical in an Upturn</t>
        </is>
      </c>
      <c r="Y146" s="30">
        <f>IF(X146="Growing Industry",10,IF(X146="Cyclical in an Upturn",5,0))</f>
        <v/>
      </c>
      <c r="Z146" s="30" t="inlineStr">
        <is>
          <t>Oligopoly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Yes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Cyclical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Volatile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Between 50% to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IF(B147=0,"",RANK(B147,$B$2:$B$293,0))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2" t="inlineStr">
        <is>
          <t>JINDALSAW</t>
        </is>
      </c>
      <c r="D147" s="32" t="inlineStr">
        <is>
          <t>Jindal Saw Limited</t>
        </is>
      </c>
      <c r="E147" s="30" t="inlineStr">
        <is>
          <t>industrials</t>
        </is>
      </c>
      <c r="F147" s="30" t="inlineStr">
        <is>
          <t>steel - large</t>
        </is>
      </c>
      <c r="G147" s="30" t="inlineStr">
        <is>
          <t>midcap</t>
        </is>
      </c>
      <c r="H147" s="31" t="n">
        <v>15419.82</v>
      </c>
      <c r="I147" s="31" t="n">
        <v>250.87</v>
      </c>
      <c r="J147" s="31" t="n">
        <v>4.04</v>
      </c>
      <c r="K147" s="31" t="n">
        <v>4135336</v>
      </c>
      <c r="L147" s="30" t="n">
        <v>59</v>
      </c>
      <c r="M147" s="30" t="inlineStr">
        <is>
          <t>Underperforming</t>
        </is>
      </c>
      <c r="N147" s="31">
        <f>IF(M147="Underperforming",-5,IF(L147&gt;=95,15,IF(L147&gt;=90,10,IF(L147&gt;=80,5,0))))</f>
        <v/>
      </c>
      <c r="O147" s="31" t="n">
        <v>64.08</v>
      </c>
      <c r="P147" s="31" t="n">
        <v>27.28</v>
      </c>
      <c r="Q147" s="31" t="n">
        <v>188.84</v>
      </c>
      <c r="R147" s="30" t="inlineStr">
        <is>
          <t>Near 52W High Breakout</t>
        </is>
      </c>
      <c r="S147" s="30" t="inlineStr">
        <is>
          <t>Nifty Metal</t>
        </is>
      </c>
      <c r="T147" s="31" t="n">
        <v>43.89</v>
      </c>
      <c r="U147" s="31" t="n">
        <v>17.3</v>
      </c>
      <c r="V147" s="31" t="n">
        <v>-18.48</v>
      </c>
      <c r="W147" s="31" t="n">
        <v>16.08</v>
      </c>
      <c r="X147" s="30" t="inlineStr">
        <is>
          <t>Cyclical in an Upturn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IF(B148=0,"",RANK(B148,$B$2:$B$293,0))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VINDHYATEL</t>
        </is>
      </c>
      <c r="D148" s="30" t="inlineStr">
        <is>
          <t>Vindhya Telelinks Limited</t>
        </is>
      </c>
      <c r="E148" s="30" t="inlineStr">
        <is>
          <t>realty</t>
        </is>
      </c>
      <c r="F148" s="30" t="inlineStr">
        <is>
          <t>construction</t>
        </is>
      </c>
      <c r="G148" s="30" t="inlineStr">
        <is>
          <t>smallcap</t>
        </is>
      </c>
      <c r="H148" s="31" t="n">
        <v>2509.89</v>
      </c>
      <c r="I148" s="31" t="n">
        <v>2200</v>
      </c>
      <c r="J148" s="31" t="n">
        <v>3.88</v>
      </c>
      <c r="K148" s="31" t="n">
        <v>202231</v>
      </c>
      <c r="L148" s="30" t="n">
        <v>92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72.17</v>
      </c>
      <c r="P148" s="31" t="n">
        <v>32.21</v>
      </c>
      <c r="Q148" s="31" t="n">
        <v>1566.6</v>
      </c>
      <c r="R148" s="30" t="inlineStr">
        <is>
          <t>Near 52W High Breakout</t>
        </is>
      </c>
      <c r="S148" s="30" t="inlineStr">
        <is>
          <t>Nifty Realty</t>
        </is>
      </c>
      <c r="T148" s="31" t="n">
        <v>-26.64</v>
      </c>
      <c r="U148" s="31" t="n">
        <v>32.02</v>
      </c>
      <c r="V148" s="31" t="n">
        <v>79.98</v>
      </c>
      <c r="W148" s="31" t="n">
        <v>38.94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Less than 12%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Negative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IF(B149=0,"",RANK(B149,$B$2:$B$293,0))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IDEAFORGE</t>
        </is>
      </c>
      <c r="D149" s="30" t="inlineStr">
        <is>
          <t>Ideaforge Technology Ltd</t>
        </is>
      </c>
      <c r="E149" s="30" t="inlineStr">
        <is>
          <t>aerospace &amp; defence</t>
        </is>
      </c>
      <c r="F149" s="30" t="inlineStr">
        <is>
          <t>engineering</t>
        </is>
      </c>
      <c r="G149" s="30" t="inlineStr">
        <is>
          <t>smallcap</t>
        </is>
      </c>
      <c r="H149" s="31" t="n">
        <v>3587.14</v>
      </c>
      <c r="I149" s="31" t="n">
        <v>857.15</v>
      </c>
      <c r="J149" s="31" t="n">
        <v>3.41</v>
      </c>
      <c r="K149" s="31" t="n">
        <v>329383</v>
      </c>
      <c r="L149" s="30" t="n">
        <v>87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77.64</v>
      </c>
      <c r="P149" s="31" t="n">
        <v>36.89</v>
      </c>
      <c r="Q149" s="31" t="n">
        <v>610.49</v>
      </c>
      <c r="R149" s="30" t="inlineStr">
        <is>
          <t>Near 52W High Breakout</t>
        </is>
      </c>
      <c r="S149" s="30" t="inlineStr">
        <is>
          <t>Nifty Infra</t>
        </is>
      </c>
      <c r="T149" s="31" t="n">
        <v>1.52</v>
      </c>
      <c r="U149" s="31" t="n">
        <v>44.95</v>
      </c>
      <c r="V149" s="31" t="n">
        <v>42.78</v>
      </c>
      <c r="W149" s="31" t="n">
        <v>32.24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Negative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IF(B150=0,"",RANK(B150,$B$2:$B$293,0))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SANDHAR</t>
        </is>
      </c>
      <c r="D150" s="30" t="inlineStr">
        <is>
          <t>Sandhar Technologies Limited</t>
        </is>
      </c>
      <c r="E150" s="30" t="inlineStr">
        <is>
          <t>auto</t>
        </is>
      </c>
      <c r="F150" s="30" t="inlineStr">
        <is>
          <t>auto ancillaries</t>
        </is>
      </c>
      <c r="G150" s="30" t="inlineStr">
        <is>
          <t>smallcap</t>
        </is>
      </c>
      <c r="H150" s="31" t="n">
        <v>4196.2</v>
      </c>
      <c r="I150" s="31" t="n">
        <v>718.25</v>
      </c>
      <c r="J150" s="31" t="n">
        <v>3.03</v>
      </c>
      <c r="K150" s="31" t="n">
        <v>1154289</v>
      </c>
      <c r="L150" s="30" t="n">
        <v>66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72.36</v>
      </c>
      <c r="P150" s="31" t="n">
        <v>15.54</v>
      </c>
      <c r="Q150" s="31" t="n">
        <v>540.63</v>
      </c>
      <c r="R150" s="30" t="inlineStr">
        <is>
          <t>Near 52W High Breakout</t>
        </is>
      </c>
      <c r="S150" s="30" t="inlineStr">
        <is>
          <t>Nifty Auto</t>
        </is>
      </c>
      <c r="T150" s="31" t="n">
        <v>10.28</v>
      </c>
      <c r="U150" s="31" t="n">
        <v>41.01</v>
      </c>
      <c r="V150" s="31" t="n">
        <v>27.87</v>
      </c>
      <c r="W150" s="31" t="n">
        <v>17.81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0 to 20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Less than 50%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Between 0.7 to 1.2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IF(B151=0,"",RANK(B151,$B$2:$B$293,0))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ELGIEQUIP</t>
        </is>
      </c>
      <c r="D151" s="30" t="inlineStr">
        <is>
          <t>Elgi Equipments Limited</t>
        </is>
      </c>
      <c r="E151" s="30" t="inlineStr">
        <is>
          <t>industrials</t>
        </is>
      </c>
      <c r="F151" s="30" t="inlineStr">
        <is>
          <t>compressors / drilling equipment</t>
        </is>
      </c>
      <c r="G151" s="30" t="inlineStr">
        <is>
          <t>midcap</t>
        </is>
      </c>
      <c r="H151" s="31" t="n">
        <v>18677.03</v>
      </c>
      <c r="I151" s="31" t="n">
        <v>601.2</v>
      </c>
      <c r="J151" s="31" t="n">
        <v>2.01</v>
      </c>
      <c r="K151" s="31" t="n">
        <v>1223194</v>
      </c>
      <c r="L151" s="30" t="n">
        <v>21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65.58</v>
      </c>
      <c r="P151" s="31" t="n">
        <v>15.79</v>
      </c>
      <c r="Q151" s="31" t="n">
        <v>473.13</v>
      </c>
      <c r="R151" s="30" t="inlineStr">
        <is>
          <t>Near 52W High Breakout</t>
        </is>
      </c>
      <c r="S151" s="30" t="inlineStr">
        <is>
          <t>Nifty 50</t>
        </is>
      </c>
      <c r="T151" s="31" t="n">
        <v>-6.39</v>
      </c>
      <c r="U151" s="31" t="n">
        <v>14.02</v>
      </c>
      <c r="V151" s="31" t="n">
        <v>21.8</v>
      </c>
      <c r="W151" s="31" t="n">
        <v>6.15</v>
      </c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0 to 20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Between 1.5 to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IF(B152=0,"",RANK(B152,$B$2:$B$293,0))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KIRLOSENG</t>
        </is>
      </c>
      <c r="D152" s="30" t="inlineStr">
        <is>
          <t>Kirloskar Oil Engines Limited</t>
        </is>
      </c>
      <c r="E152" s="30" t="inlineStr">
        <is>
          <t>industrials</t>
        </is>
      </c>
      <c r="F152" s="30" t="inlineStr">
        <is>
          <t>engines</t>
        </is>
      </c>
      <c r="G152" s="30" t="inlineStr">
        <is>
          <t>largecap</t>
        </is>
      </c>
      <c r="H152" s="31" t="n">
        <v>26991.75</v>
      </c>
      <c r="I152" s="31" t="n">
        <v>1889.5</v>
      </c>
      <c r="J152" s="31" t="n">
        <v>1.76</v>
      </c>
      <c r="K152" s="31" t="n">
        <v>250338</v>
      </c>
      <c r="L152" s="30" t="n">
        <v>75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73.13</v>
      </c>
      <c r="P152" s="31" t="n">
        <v>40.1</v>
      </c>
      <c r="Q152" s="31" t="n">
        <v>1491.99</v>
      </c>
      <c r="R152" s="30" t="inlineStr">
        <is>
          <t>Near 52W High Breakout</t>
        </is>
      </c>
      <c r="S152" s="30" t="inlineStr">
        <is>
          <t>Nifty 50</t>
        </is>
      </c>
      <c r="T152" s="31" t="n">
        <v>-6.39</v>
      </c>
      <c r="U152" s="31" t="n">
        <v>118.61</v>
      </c>
      <c r="V152" s="31" t="n">
        <v>133.53</v>
      </c>
      <c r="W152" s="31" t="n">
        <v>22.91</v>
      </c>
      <c r="X152" s="30" t="inlineStr">
        <is>
          <t>Cyclical in an Upturn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Above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Yes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More than 1.2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IF(B153=0,"",RANK(B153,$B$2:$B$293,0))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TIRUPATIFL</t>
        </is>
      </c>
      <c r="D153" s="30" t="inlineStr">
        <is>
          <t>Tirupati Forge Ltd</t>
        </is>
      </c>
      <c r="E153" s="30" t="inlineStr">
        <is>
          <t>industrials</t>
        </is>
      </c>
      <c r="F153" s="30" t="inlineStr">
        <is>
          <t>castings &amp; forgings</t>
        </is>
      </c>
      <c r="G153" s="30" t="inlineStr">
        <is>
          <t>smallcap</t>
        </is>
      </c>
      <c r="H153" s="31" t="n">
        <v>582</v>
      </c>
      <c r="I153" s="31" t="n">
        <v>45.75</v>
      </c>
      <c r="J153" s="31" t="n">
        <v>1.55</v>
      </c>
      <c r="K153" s="31" t="n">
        <v>149101</v>
      </c>
      <c r="L153" s="30" t="n">
        <v>37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58.37</v>
      </c>
      <c r="P153" s="31" t="n">
        <v>30.9</v>
      </c>
      <c r="Q153" s="31" t="n">
        <v>31.08</v>
      </c>
      <c r="R153" s="30" t="inlineStr">
        <is>
          <t>Near 52W High Breakout</t>
        </is>
      </c>
      <c r="S153" s="30" t="inlineStr">
        <is>
          <t>Nifty 50</t>
        </is>
      </c>
      <c r="T153" s="31" t="n">
        <v>-6.39</v>
      </c>
      <c r="U153" s="31" t="n">
        <v>21.32</v>
      </c>
      <c r="V153" s="31" t="n">
        <v>29.6</v>
      </c>
      <c r="W153" s="31" t="n">
        <v>10.38</v>
      </c>
      <c r="X153" s="30" t="inlineStr">
        <is>
          <t>Cyclical in an Upturn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Less than 12%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IF(B154=0,"",RANK(B154,$B$2:$B$293,0))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PREMIERENE</t>
        </is>
      </c>
      <c r="D154" s="30" t="inlineStr">
        <is>
          <t>Premier Energies Ltd</t>
        </is>
      </c>
      <c r="E154" s="30" t="inlineStr">
        <is>
          <t>services</t>
        </is>
      </c>
      <c r="F154" s="30" t="inlineStr">
        <is>
          <t>trading</t>
        </is>
      </c>
      <c r="G154" s="30" t="inlineStr">
        <is>
          <t>largecap</t>
        </is>
      </c>
      <c r="H154" s="31" t="n">
        <v>48669.71</v>
      </c>
      <c r="I154" s="31" t="n">
        <v>1089</v>
      </c>
      <c r="J154" s="31" t="n">
        <v>1.36</v>
      </c>
      <c r="K154" s="31" t="n">
        <v>2316777</v>
      </c>
      <c r="L154" s="30" t="n">
        <v>49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66.05</v>
      </c>
      <c r="P154" s="31" t="n">
        <v>18.66</v>
      </c>
      <c r="Q154" s="31" t="n">
        <v>858.83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-6.39</v>
      </c>
      <c r="U154" s="31" t="n">
        <v>3.5</v>
      </c>
      <c r="V154" s="31" t="n">
        <v>10.57</v>
      </c>
      <c r="W154" s="31" t="n">
        <v>13.32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0 to 20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Less than 1.5</t>
        </is>
      </c>
      <c r="BU154" s="30">
        <f>IF(BT154="Above 2",0,IF(BT154="Between 1.5 to 2",5,IF(BT154="Less than 1.5",10,0)))</f>
        <v/>
      </c>
      <c r="BV154" s="30" t="inlineStr">
        <is>
          <t>Between 50% to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Between 0.7 to 1.2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IF(B155=0,"",RANK(B155,$B$2:$B$293,0))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RAIN</t>
        </is>
      </c>
      <c r="D155" s="30" t="inlineStr">
        <is>
          <t>Rain Industries Limited</t>
        </is>
      </c>
      <c r="E155" s="30" t="inlineStr">
        <is>
          <t>miscellaneous</t>
        </is>
      </c>
      <c r="F155" s="30" t="inlineStr">
        <is>
          <t>miscellaneous</t>
        </is>
      </c>
      <c r="G155" s="30" t="inlineStr">
        <is>
          <t>midcap</t>
        </is>
      </c>
      <c r="H155" s="31" t="n">
        <v>6656.28</v>
      </c>
      <c r="I155" s="31" t="n">
        <v>200.47</v>
      </c>
      <c r="J155" s="31" t="n">
        <v>1.3</v>
      </c>
      <c r="K155" s="31" t="n">
        <v>12216194</v>
      </c>
      <c r="L155" s="30" t="n">
        <v>68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73.20999999999999</v>
      </c>
      <c r="P155" s="31" t="n">
        <v>18.85</v>
      </c>
      <c r="Q155" s="31" t="n">
        <v>150.36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-6.39</v>
      </c>
      <c r="U155" s="31" t="n">
        <v>37.87</v>
      </c>
      <c r="V155" s="31" t="n">
        <v>47.28</v>
      </c>
      <c r="W155" s="31" t="n">
        <v>19.89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0 to 20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Less than 1.5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More than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IF(B156=0,"",RANK(B156,$B$2:$B$293,0))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SALSTEEL</t>
        </is>
      </c>
      <c r="D156" s="30" t="inlineStr">
        <is>
          <t>SAL Steel</t>
        </is>
      </c>
      <c r="E156" s="30" t="inlineStr">
        <is>
          <t>metals &amp; mining</t>
        </is>
      </c>
      <c r="F156" s="30" t="inlineStr">
        <is>
          <t>steel - sponge iron</t>
        </is>
      </c>
      <c r="G156" s="30" t="inlineStr">
        <is>
          <t>smallcap</t>
        </is>
      </c>
      <c r="H156" s="31" t="n">
        <v>892.78</v>
      </c>
      <c r="I156" s="31" t="n">
        <v>62.13</v>
      </c>
      <c r="J156" s="31" t="n">
        <v>0.75</v>
      </c>
      <c r="K156" s="31" t="n">
        <v>118244</v>
      </c>
      <c r="L156" s="30" t="n">
        <v>91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68.61</v>
      </c>
      <c r="P156" s="31" t="n">
        <v>27.91</v>
      </c>
      <c r="Q156" s="31" t="n">
        <v>44.86</v>
      </c>
      <c r="R156" s="30" t="inlineStr">
        <is>
          <t>Near 52W High Breakout</t>
        </is>
      </c>
      <c r="S156" s="30" t="inlineStr">
        <is>
          <t>Nifty Metal</t>
        </is>
      </c>
      <c r="T156" s="31" t="n">
        <v>43.89</v>
      </c>
      <c r="U156" s="31" t="n">
        <v>242.69</v>
      </c>
      <c r="V156" s="31" t="n">
        <v>138.16</v>
      </c>
      <c r="W156" s="31" t="n">
        <v>37.37</v>
      </c>
      <c r="X156" s="30" t="inlineStr">
        <is>
          <t>Cyclical in an Upturn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Cyclical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Volatile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More than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IF(B157=0,"",RANK(B157,$B$2:$B$293,0))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DREDGECORP</t>
        </is>
      </c>
      <c r="D157" s="30" t="inlineStr">
        <is>
          <t>Dredging Corporation Of India Limited</t>
        </is>
      </c>
      <c r="E157" s="30" t="inlineStr">
        <is>
          <t>miscellaneous</t>
        </is>
      </c>
      <c r="F157" s="30" t="inlineStr">
        <is>
          <t>miscellaneous</t>
        </is>
      </c>
      <c r="G157" s="30" t="inlineStr">
        <is>
          <t>smallcap</t>
        </is>
      </c>
      <c r="H157" s="31" t="n">
        <v>3425.24</v>
      </c>
      <c r="I157" s="31" t="n">
        <v>1232.5</v>
      </c>
      <c r="J157" s="31" t="n">
        <v>0.75</v>
      </c>
      <c r="K157" s="31" t="n">
        <v>665429</v>
      </c>
      <c r="L157" s="30" t="n">
        <v>60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67.20999999999999</v>
      </c>
      <c r="P157" s="31" t="n">
        <v>36.61</v>
      </c>
      <c r="Q157" s="31" t="n">
        <v>837.6</v>
      </c>
      <c r="R157" s="30" t="inlineStr">
        <is>
          <t>Near 52W High Breakout</t>
        </is>
      </c>
      <c r="S157" s="30" t="inlineStr">
        <is>
          <t>Nifty 50</t>
        </is>
      </c>
      <c r="T157" s="31" t="n">
        <v>-6.39</v>
      </c>
      <c r="U157" s="31" t="n">
        <v>55.86</v>
      </c>
      <c r="V157" s="31" t="n">
        <v>66.5</v>
      </c>
      <c r="W157" s="31" t="n">
        <v>16.4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Between 50% to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Between 0.7 to 1.2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IF(B158=0,"",RANK(B158,$B$2:$B$293,0))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SKYGOLD</t>
        </is>
      </c>
      <c r="D158" s="30" t="inlineStr">
        <is>
          <t>Sky Gold Ltd</t>
        </is>
      </c>
      <c r="E158" s="30" t="inlineStr">
        <is>
          <t>consumer discretionary</t>
        </is>
      </c>
      <c r="F158" s="30" t="inlineStr">
        <is>
          <t>diamond cutting / jewellery</t>
        </is>
      </c>
      <c r="G158" s="30" t="inlineStr">
        <is>
          <t>midcap</t>
        </is>
      </c>
      <c r="H158" s="31" t="n">
        <v>8668.290000000001</v>
      </c>
      <c r="I158" s="31" t="n">
        <v>563.25</v>
      </c>
      <c r="J158" s="31" t="n">
        <v>0.63</v>
      </c>
      <c r="K158" s="31" t="n">
        <v>1758735</v>
      </c>
      <c r="L158" s="30" t="n">
        <v>80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69.67</v>
      </c>
      <c r="P158" s="31" t="n">
        <v>31.18</v>
      </c>
      <c r="Q158" s="31" t="n">
        <v>409.57</v>
      </c>
      <c r="R158" s="30" t="inlineStr">
        <is>
          <t>Near 52W High Breakout</t>
        </is>
      </c>
      <c r="S158" s="30" t="inlineStr">
        <is>
          <t>Nifty 50</t>
        </is>
      </c>
      <c r="T158" s="31" t="n">
        <v>-6.39</v>
      </c>
      <c r="U158" s="31" t="n">
        <v>49.24</v>
      </c>
      <c r="V158" s="31" t="n">
        <v>59.43</v>
      </c>
      <c r="W158" s="31" t="n">
        <v>25.54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Negative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Between 0.7 to 1.2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IF(B159=0,"",RANK(B159,$B$2:$B$293,0))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NATIONALUM</t>
        </is>
      </c>
      <c r="D159" s="30" t="inlineStr">
        <is>
          <t>National Aluminium Company Limited</t>
        </is>
      </c>
      <c r="E159" s="30" t="inlineStr">
        <is>
          <t>metals &amp; mining</t>
        </is>
      </c>
      <c r="F159" s="30" t="inlineStr">
        <is>
          <t>aluminium and aluminium products</t>
        </is>
      </c>
      <c r="G159" s="30" t="inlineStr">
        <is>
          <t>largecap</t>
        </is>
      </c>
      <c r="H159" s="31" t="n">
        <v>79783.28</v>
      </c>
      <c r="I159" s="31" t="n">
        <v>436.9</v>
      </c>
      <c r="J159" s="31" t="n">
        <v>0.58</v>
      </c>
      <c r="K159" s="31" t="n">
        <v>7827914</v>
      </c>
      <c r="L159" s="30" t="n">
        <v>74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71.67</v>
      </c>
      <c r="P159" s="31" t="n">
        <v>56.78</v>
      </c>
      <c r="Q159" s="31" t="n">
        <v>346.64</v>
      </c>
      <c r="R159" s="30" t="inlineStr">
        <is>
          <t>Near 52W High Breakout</t>
        </is>
      </c>
      <c r="S159" s="30" t="inlineStr">
        <is>
          <t>Nifty Metal</t>
        </is>
      </c>
      <c r="T159" s="31" t="n">
        <v>43.89</v>
      </c>
      <c r="U159" s="31" t="n">
        <v>142.28</v>
      </c>
      <c r="V159" s="31" t="n">
        <v>68.38</v>
      </c>
      <c r="W159" s="31" t="n">
        <v>22.67</v>
      </c>
      <c r="X159" s="30" t="inlineStr">
        <is>
          <t>Cyclical in an Upturn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Cyclical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Volatile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Above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IF(B160=0,"",RANK(B160,$B$2:$B$293,0))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SANGHVIMOV</t>
        </is>
      </c>
      <c r="D160" s="30" t="inlineStr">
        <is>
          <t>Sanghvi Movers Limited</t>
        </is>
      </c>
      <c r="E160" s="30" t="inlineStr">
        <is>
          <t>miscellaneous</t>
        </is>
      </c>
      <c r="F160" s="30" t="inlineStr">
        <is>
          <t>miscellaneous</t>
        </is>
      </c>
      <c r="G160" s="30" t="inlineStr">
        <is>
          <t>smallcap</t>
        </is>
      </c>
      <c r="H160" s="31" t="n">
        <v>3094.66</v>
      </c>
      <c r="I160" s="31" t="n">
        <v>359.3</v>
      </c>
      <c r="J160" s="31" t="n">
        <v>0.52</v>
      </c>
      <c r="K160" s="31" t="n">
        <v>204256</v>
      </c>
      <c r="L160" s="30" t="n">
        <v>57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59.67</v>
      </c>
      <c r="P160" s="31" t="n">
        <v>18.61</v>
      </c>
      <c r="Q160" s="31" t="n">
        <v>254.86</v>
      </c>
      <c r="R160" s="30" t="inlineStr">
        <is>
          <t>Earnings / Momentum Support</t>
        </is>
      </c>
      <c r="S160" s="30" t="inlineStr">
        <is>
          <t>Nifty 50</t>
        </is>
      </c>
      <c r="T160" s="31" t="n">
        <v>-6.39</v>
      </c>
      <c r="U160" s="31" t="n">
        <v>21.69</v>
      </c>
      <c r="V160" s="31" t="n">
        <v>30</v>
      </c>
      <c r="W160" s="31" t="n">
        <v>15.59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0 to 20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Between 50% to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IF(B161=0,"",RANK(B161,$B$2:$B$293,0))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SAIL</t>
        </is>
      </c>
      <c r="D161" s="30" t="inlineStr">
        <is>
          <t>Steel Authority Of India Limited</t>
        </is>
      </c>
      <c r="E161" s="30" t="inlineStr">
        <is>
          <t>metals &amp; mining</t>
        </is>
      </c>
      <c r="F161" s="30" t="inlineStr">
        <is>
          <t>steel - large</t>
        </is>
      </c>
      <c r="G161" s="30" t="inlineStr">
        <is>
          <t>largecap</t>
        </is>
      </c>
      <c r="H161" s="31" t="n">
        <v>85026.86</v>
      </c>
      <c r="I161" s="31" t="n">
        <v>203.87</v>
      </c>
      <c r="J161" s="31" t="n">
        <v>-0.96</v>
      </c>
      <c r="K161" s="31" t="n">
        <v>10280547</v>
      </c>
      <c r="L161" s="30" t="n">
        <v>58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76.95</v>
      </c>
      <c r="P161" s="31" t="n">
        <v>53.1</v>
      </c>
      <c r="Q161" s="31" t="n">
        <v>166.83</v>
      </c>
      <c r="R161" s="30" t="inlineStr">
        <is>
          <t>Near 52W High Breakout</t>
        </is>
      </c>
      <c r="S161" s="30" t="inlineStr">
        <is>
          <t>Nifty Metal</t>
        </is>
      </c>
      <c r="T161" s="31" t="n">
        <v>43.89</v>
      </c>
      <c r="U161" s="31" t="n">
        <v>52.86</v>
      </c>
      <c r="V161" s="31" t="n">
        <v>6.23</v>
      </c>
      <c r="W161" s="31" t="n">
        <v>15.92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Cyclical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Volatile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Above 40</t>
        </is>
      </c>
      <c r="AY161" s="30">
        <f>IF(AX161="Above 40",20,IF(AX161="20 to 40",10,IF(AX161="0 to 20",-5,0)))</f>
        <v/>
      </c>
      <c r="AZ161" s="30" t="inlineStr">
        <is>
          <t>Above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IF(B162=0,"",RANK(B162,$B$2:$B$293,0))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MGEL</t>
        </is>
      </c>
      <c r="D162" s="30" t="inlineStr">
        <is>
          <t>Mangalam Global Enterprise Ltd</t>
        </is>
      </c>
      <c r="E162" s="30" t="inlineStr">
        <is>
          <t>services</t>
        </is>
      </c>
      <c r="F162" s="30" t="inlineStr">
        <is>
          <t>trading</t>
        </is>
      </c>
      <c r="G162" s="30" t="inlineStr">
        <is>
          <t>smallcap</t>
        </is>
      </c>
      <c r="H162" s="31" t="n">
        <v>501.25</v>
      </c>
      <c r="I162" s="31" t="n">
        <v>15.04</v>
      </c>
      <c r="J162" s="31" t="n">
        <v>-1.12</v>
      </c>
      <c r="K162" s="31" t="n">
        <v>463747</v>
      </c>
      <c r="L162" s="30" t="n">
        <v>63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60.82</v>
      </c>
      <c r="P162" s="31" t="n">
        <v>30.11</v>
      </c>
      <c r="Q162" s="31" t="n">
        <v>10.38</v>
      </c>
      <c r="R162" s="30" t="inlineStr">
        <is>
          <t>Earnings / Momentum Support</t>
        </is>
      </c>
      <c r="S162" s="30" t="inlineStr">
        <is>
          <t>Nifty 50</t>
        </is>
      </c>
      <c r="T162" s="31" t="n">
        <v>-6.39</v>
      </c>
      <c r="U162" s="31" t="n">
        <v>18.22</v>
      </c>
      <c r="V162" s="31" t="n">
        <v>26.28</v>
      </c>
      <c r="W162" s="31" t="n">
        <v>16.86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Between 0.7 to 1.2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IF(B163=0,"",RANK(B163,$B$2:$B$293,0))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ADANIENT</t>
        </is>
      </c>
      <c r="D163" s="30" t="inlineStr">
        <is>
          <t>Adani Enterprises Limited</t>
        </is>
      </c>
      <c r="E163" s="30" t="inlineStr">
        <is>
          <t>services</t>
        </is>
      </c>
      <c r="F163" s="30" t="inlineStr">
        <is>
          <t>trading</t>
        </is>
      </c>
      <c r="G163" s="30" t="inlineStr">
        <is>
          <t>largecap</t>
        </is>
      </c>
      <c r="H163" s="31" t="n">
        <v>383681.07</v>
      </c>
      <c r="I163" s="31" t="n">
        <v>2925.6</v>
      </c>
      <c r="J163" s="31" t="n">
        <v>-1.43</v>
      </c>
      <c r="K163" s="31" t="n">
        <v>1346112</v>
      </c>
      <c r="L163" s="30" t="n">
        <v>48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72.44</v>
      </c>
      <c r="P163" s="31" t="n">
        <v>31.03</v>
      </c>
      <c r="Q163" s="31" t="n">
        <v>2407.86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-6.39</v>
      </c>
      <c r="U163" s="31" t="n">
        <v>15.5</v>
      </c>
      <c r="V163" s="31" t="n">
        <v>23.39</v>
      </c>
      <c r="W163" s="31" t="n">
        <v>13.25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Between 1.5 to 2</t>
        </is>
      </c>
      <c r="BU163" s="30">
        <f>IF(BT163="Above 2",0,IF(BT163="Between 1.5 to 2",5,IF(BT163="Less than 1.5",10,0)))</f>
        <v/>
      </c>
      <c r="BV163" s="30" t="inlineStr">
        <is>
          <t>Less than 50% and Borrowings are increasing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Between 0.7 to 1.2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IF(B164=0,"",RANK(B164,$B$2:$B$293,0))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PTCIL</t>
        </is>
      </c>
      <c r="D164" s="30" t="inlineStr">
        <is>
          <t>PTC Industries Ltd</t>
        </is>
      </c>
      <c r="E164" s="30" t="inlineStr">
        <is>
          <t>industrials</t>
        </is>
      </c>
      <c r="F164" s="30" t="inlineStr">
        <is>
          <t>castings &amp; forgings</t>
        </is>
      </c>
      <c r="G164" s="30" t="inlineStr">
        <is>
          <t>largecap</t>
        </is>
      </c>
      <c r="H164" s="31" t="n">
        <v>29055.56</v>
      </c>
      <c r="I164" s="31" t="n">
        <v>18919</v>
      </c>
      <c r="J164" s="31" t="n">
        <v>-2.38</v>
      </c>
      <c r="K164" s="31" t="n">
        <v>56063</v>
      </c>
      <c r="L164" s="30" t="n">
        <v>28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62.07</v>
      </c>
      <c r="P164" s="31" t="n">
        <v>12.32</v>
      </c>
      <c r="Q164" s="31" t="n">
        <v>14793.58</v>
      </c>
      <c r="R164" s="30" t="inlineStr">
        <is>
          <t>Volume Spike &amp; Near 52W High Breakout</t>
        </is>
      </c>
      <c r="S164" s="30" t="inlineStr">
        <is>
          <t>Nifty 50</t>
        </is>
      </c>
      <c r="T164" s="31" t="n">
        <v>-6.39</v>
      </c>
      <c r="U164" s="31" t="n">
        <v>29.55</v>
      </c>
      <c r="V164" s="31" t="n">
        <v>38.39</v>
      </c>
      <c r="W164" s="31" t="n">
        <v>7.81</v>
      </c>
      <c r="X164" s="30" t="inlineStr">
        <is>
          <t>Cyclical in an Upturn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0 to 20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Yes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IF(B165=0,"",RANK(B165,$B$2:$B$293,0))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JAYAGROGN</t>
        </is>
      </c>
      <c r="D165" s="30" t="inlineStr">
        <is>
          <t>Jayant Agro Organics Limited</t>
        </is>
      </c>
      <c r="E165" s="30" t="inlineStr">
        <is>
          <t>chemicals</t>
        </is>
      </c>
      <c r="F165" s="30" t="inlineStr">
        <is>
          <t>chemicals</t>
        </is>
      </c>
      <c r="G165" s="30" t="inlineStr">
        <is>
          <t>smallcap</t>
        </is>
      </c>
      <c r="H165" s="31" t="n">
        <v>706.89</v>
      </c>
      <c r="I165" s="31" t="n">
        <v>229.71</v>
      </c>
      <c r="J165" s="31" t="n">
        <v>-2.51</v>
      </c>
      <c r="K165" s="31" t="n">
        <v>6543</v>
      </c>
      <c r="L165" s="30" t="n">
        <v>11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63.63</v>
      </c>
      <c r="P165" s="31" t="n">
        <v>27.11</v>
      </c>
      <c r="Q165" s="31" t="n">
        <v>176.33</v>
      </c>
      <c r="R165" s="30" t="inlineStr">
        <is>
          <t>Earnings / Momentum Support</t>
        </is>
      </c>
      <c r="S165" s="30" t="inlineStr">
        <is>
          <t>Nifty IT</t>
        </is>
      </c>
      <c r="T165" s="31" t="n">
        <v>-21.21</v>
      </c>
      <c r="U165" s="31" t="n">
        <v>-9.85</v>
      </c>
      <c r="V165" s="31" t="n">
        <v>14.42</v>
      </c>
      <c r="W165" s="31" t="n">
        <v>3.95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Less than 12%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IF(B166=0,"",RANK(B166,$B$2:$B$293,0))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THERMAX</t>
        </is>
      </c>
      <c r="D166" s="30" t="inlineStr">
        <is>
          <t>Thermax Limited</t>
        </is>
      </c>
      <c r="E166" s="30" t="inlineStr">
        <is>
          <t>industrials</t>
        </is>
      </c>
      <c r="F166" s="30" t="inlineStr">
        <is>
          <t>electric equipment</t>
        </is>
      </c>
      <c r="G166" s="30" t="inlineStr">
        <is>
          <t>largecap</t>
        </is>
      </c>
      <c r="H166" s="31" t="n">
        <v>59217.11</v>
      </c>
      <c r="I166" s="31" t="n">
        <v>4784.5</v>
      </c>
      <c r="J166" s="31" t="n">
        <v>-3.73</v>
      </c>
      <c r="K166" s="31" t="n">
        <v>323481</v>
      </c>
      <c r="L166" s="30" t="n">
        <v>68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72.62</v>
      </c>
      <c r="P166" s="31" t="n">
        <v>34.22</v>
      </c>
      <c r="Q166" s="31" t="n">
        <v>3993.37</v>
      </c>
      <c r="R166" s="30" t="inlineStr">
        <is>
          <t>Near 52W High Breakout</t>
        </is>
      </c>
      <c r="S166" s="30" t="inlineStr">
        <is>
          <t>Nifty 500</t>
        </is>
      </c>
      <c r="T166" s="31" t="n">
        <v>-3.08</v>
      </c>
      <c r="U166" s="31" t="n">
        <v>35.99</v>
      </c>
      <c r="V166" s="31" t="n">
        <v>40.31</v>
      </c>
      <c r="W166" s="31" t="n">
        <v>18.75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Between 12 to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Between 50% to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IF(B167=0,"",RANK(B167,$B$2:$B$293,0))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2" t="inlineStr">
        <is>
          <t>GUFICBIO</t>
        </is>
      </c>
      <c r="D167" s="32" t="inlineStr">
        <is>
          <t>Gufic Biosciences Limited</t>
        </is>
      </c>
      <c r="E167" s="30" t="inlineStr">
        <is>
          <t>healthcare</t>
        </is>
      </c>
      <c r="F167" s="30" t="inlineStr">
        <is>
          <t>pharmaceuticals - indian - bulk drugs &amp; formln</t>
        </is>
      </c>
      <c r="G167" s="30" t="inlineStr">
        <is>
          <t>smallcap</t>
        </is>
      </c>
      <c r="H167" s="31" t="n">
        <v>3501.36</v>
      </c>
      <c r="I167" s="31" t="n">
        <v>361.95</v>
      </c>
      <c r="J167" s="31" t="n">
        <v>3.67</v>
      </c>
      <c r="K167" s="31" t="n">
        <v>260028</v>
      </c>
      <c r="L167" s="30" t="n">
        <v>26</v>
      </c>
      <c r="M167" s="30" t="inlineStr">
        <is>
          <t>Underperforming</t>
        </is>
      </c>
      <c r="N167" s="31">
        <f>IF(M167="Underperforming",-5,IF(L167&gt;=95,15,IF(L167&gt;=90,10,IF(L167&gt;=80,5,0))))</f>
        <v/>
      </c>
      <c r="O167" s="31" t="n">
        <v>63.83</v>
      </c>
      <c r="P167" s="31" t="n">
        <v>22.15</v>
      </c>
      <c r="Q167" s="31" t="n">
        <v>282.18</v>
      </c>
      <c r="R167" s="30" t="inlineStr">
        <is>
          <t>Volume Spike / Accumulation</t>
        </is>
      </c>
      <c r="S167" s="30" t="inlineStr">
        <is>
          <t>Nifty Pharma</t>
        </is>
      </c>
      <c r="T167" s="31" t="n">
        <v>11.08</v>
      </c>
      <c r="U167" s="31" t="n">
        <v>-1.64</v>
      </c>
      <c r="V167" s="31" t="n">
        <v>-11.45</v>
      </c>
      <c r="W167" s="31" t="n">
        <v>6.89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Yes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Less than 12%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IF(B168=0,"",RANK(B168,$B$2:$B$293,0))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APOLLOHOSP</t>
        </is>
      </c>
      <c r="D168" s="30" t="inlineStr">
        <is>
          <t>Apollo Hospitals Enterprise Limited</t>
        </is>
      </c>
      <c r="E168" s="30" t="inlineStr">
        <is>
          <t>healthcare</t>
        </is>
      </c>
      <c r="F168" s="30" t="inlineStr">
        <is>
          <t>healthcare</t>
        </is>
      </c>
      <c r="G168" s="30" t="inlineStr">
        <is>
          <t>largecap</t>
        </is>
      </c>
      <c r="H168" s="31" t="n">
        <v>116314.6</v>
      </c>
      <c r="I168" s="31" t="n">
        <v>8290.5</v>
      </c>
      <c r="J168" s="31" t="n">
        <v>2.48</v>
      </c>
      <c r="K168" s="31" t="n">
        <v>724687</v>
      </c>
      <c r="L168" s="30" t="n">
        <v>16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63.55</v>
      </c>
      <c r="P168" s="31" t="n">
        <v>13.03</v>
      </c>
      <c r="Q168" s="31" t="n">
        <v>7260.8</v>
      </c>
      <c r="R168" s="30" t="inlineStr">
        <is>
          <t>Near 52W High Breakout</t>
        </is>
      </c>
      <c r="S168" s="30" t="inlineStr">
        <is>
          <t>Nifty Pharma</t>
        </is>
      </c>
      <c r="T168" s="31" t="n">
        <v>11.08</v>
      </c>
      <c r="U168" s="31" t="n">
        <v>19.73</v>
      </c>
      <c r="V168" s="31" t="n">
        <v>7.79</v>
      </c>
      <c r="W168" s="31" t="n">
        <v>5.38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Oligopoly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Cyclical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B2C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Fully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Yes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Between 1.5 to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IF(B169=0,"",RANK(B169,$B$2:$B$293,0))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2" t="inlineStr">
        <is>
          <t>RAINBOW</t>
        </is>
      </c>
      <c r="D169" s="32" t="inlineStr">
        <is>
          <t>Rainbow Childrens Medicare Ltd</t>
        </is>
      </c>
      <c r="E169" s="30" t="inlineStr">
        <is>
          <t>healthcare</t>
        </is>
      </c>
      <c r="F169" s="30" t="inlineStr">
        <is>
          <t>healthcare</t>
        </is>
      </c>
      <c r="G169" s="30" t="inlineStr">
        <is>
          <t>midcap</t>
        </is>
      </c>
      <c r="H169" s="31" t="n">
        <v>13623.15</v>
      </c>
      <c r="I169" s="31" t="n">
        <v>1354.2</v>
      </c>
      <c r="J169" s="31" t="n">
        <v>0.95</v>
      </c>
      <c r="K169" s="31" t="n">
        <v>68546</v>
      </c>
      <c r="L169" s="30" t="n">
        <v>5</v>
      </c>
      <c r="M169" s="30" t="inlineStr">
        <is>
          <t>Underperforming</t>
        </is>
      </c>
      <c r="N169" s="31">
        <f>IF(M169="Underperforming",-5,IF(L169&gt;=95,15,IF(L169&gt;=90,10,IF(L169&gt;=80,5,0))))</f>
        <v/>
      </c>
      <c r="O169" s="31" t="n">
        <v>59.22</v>
      </c>
      <c r="P169" s="31" t="n">
        <v>26.11</v>
      </c>
      <c r="Q169" s="31" t="n">
        <v>1145.46</v>
      </c>
      <c r="R169" s="30" t="inlineStr">
        <is>
          <t>Earnings / Momentum Support</t>
        </is>
      </c>
      <c r="S169" s="30" t="inlineStr">
        <is>
          <t>Nifty Pharma</t>
        </is>
      </c>
      <c r="T169" s="31" t="n">
        <v>11.08</v>
      </c>
      <c r="U169" s="31" t="n">
        <v>-4.02</v>
      </c>
      <c r="V169" s="31" t="n">
        <v>-13.59</v>
      </c>
      <c r="W169" s="31" t="n">
        <v>2.22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Yes</t>
        </is>
      </c>
      <c r="AC169" s="30">
        <f>IF(AB169="No",5,0)</f>
        <v/>
      </c>
      <c r="AD169" s="30" t="inlineStr">
        <is>
          <t>Headwind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No</t>
        </is>
      </c>
      <c r="AQ169" s="30">
        <f>IF(AP169="Yes",10,0)</f>
        <v/>
      </c>
      <c r="AR169" s="30" t="inlineStr">
        <is>
          <t>Higher Annuity, Lower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IF(B170=0,"",RANK(B170,$B$2:$B$293,0))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SASKEN</t>
        </is>
      </c>
      <c r="D170" s="30" t="inlineStr">
        <is>
          <t>Sasken Communication Technologies Limited</t>
        </is>
      </c>
      <c r="E170" s="30" t="inlineStr">
        <is>
          <t>i.t</t>
        </is>
      </c>
      <c r="F170" s="30" t="inlineStr">
        <is>
          <t>computers - software - medium / small</t>
        </is>
      </c>
      <c r="G170" s="30" t="inlineStr">
        <is>
          <t>smallcap</t>
        </is>
      </c>
      <c r="H170" s="31" t="n">
        <v>3551.36</v>
      </c>
      <c r="I170" s="31" t="n">
        <v>2207</v>
      </c>
      <c r="J170" s="31" t="n">
        <v>-5.62</v>
      </c>
      <c r="K170" s="31" t="n">
        <v>126144</v>
      </c>
      <c r="L170" s="30" t="n">
        <v>89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75.89</v>
      </c>
      <c r="P170" s="31" t="n">
        <v>27.93</v>
      </c>
      <c r="Q170" s="31" t="n">
        <v>1699.6</v>
      </c>
      <c r="R170" s="30" t="inlineStr">
        <is>
          <t>Near 52W High Breakout</t>
        </is>
      </c>
      <c r="S170" s="30" t="inlineStr">
        <is>
          <t>Nifty IT</t>
        </is>
      </c>
      <c r="T170" s="31" t="n">
        <v>-21.21</v>
      </c>
      <c r="U170" s="31" t="n">
        <v>53.63</v>
      </c>
      <c r="V170" s="31" t="n">
        <v>94.98999999999999</v>
      </c>
      <c r="W170" s="31" t="n">
        <v>34.17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Negative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IF(B171=0,"",RANK(B171,$B$2:$B$293,0))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NOVARTIND</t>
        </is>
      </c>
      <c r="D171" s="30" t="inlineStr">
        <is>
          <t>Novartis India Ltd</t>
        </is>
      </c>
      <c r="E171" s="30" t="inlineStr">
        <is>
          <t>healthcare</t>
        </is>
      </c>
      <c r="F171" s="30" t="inlineStr">
        <is>
          <t>pharmaceuticals - multinational</t>
        </is>
      </c>
      <c r="G171" s="30" t="inlineStr">
        <is>
          <t>smallcap</t>
        </is>
      </c>
      <c r="H171" s="31" t="n">
        <v>3618.44</v>
      </c>
      <c r="I171" s="31" t="n">
        <v>1323.1</v>
      </c>
      <c r="J171" s="31" t="n">
        <v>-9.720000000000001</v>
      </c>
      <c r="K171" s="31" t="n">
        <v>53812</v>
      </c>
      <c r="L171" s="30" t="n">
        <v>61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65.06999999999999</v>
      </c>
      <c r="P171" s="31" t="n">
        <v>61.5</v>
      </c>
      <c r="Q171" s="31" t="n">
        <v>1213.36</v>
      </c>
      <c r="R171" s="30" t="inlineStr">
        <is>
          <t>Earnings / Momentum Support</t>
        </is>
      </c>
      <c r="S171" s="30" t="inlineStr">
        <is>
          <t>Nifty Pharma</t>
        </is>
      </c>
      <c r="T171" s="31" t="n">
        <v>11.08</v>
      </c>
      <c r="U171" s="31" t="n">
        <v>34.2</v>
      </c>
      <c r="V171" s="31" t="n">
        <v>20.81</v>
      </c>
      <c r="W171" s="31" t="n">
        <v>16.43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Yes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No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Less than 50%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IF(B172=0,"",RANK(B172,$B$2:$B$293,0))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SOTL</t>
        </is>
      </c>
      <c r="D172" s="30" t="inlineStr">
        <is>
          <t>Savita Oil Technologies Limited</t>
        </is>
      </c>
      <c r="E172" s="30" t="inlineStr">
        <is>
          <t>energy</t>
        </is>
      </c>
      <c r="F172" s="30" t="inlineStr">
        <is>
          <t>petrochemicals</t>
        </is>
      </c>
      <c r="G172" s="30" t="inlineStr">
        <is>
          <t>smallcap</t>
        </is>
      </c>
      <c r="H172" s="31" t="n">
        <v>3001.23</v>
      </c>
      <c r="I172" s="31" t="n">
        <v>514.6</v>
      </c>
      <c r="J172" s="31" t="n">
        <v>17.56</v>
      </c>
      <c r="K172" s="31" t="n">
        <v>4841240</v>
      </c>
      <c r="L172" s="30" t="n">
        <v>54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71.02</v>
      </c>
      <c r="P172" s="31" t="n">
        <v>22.87</v>
      </c>
      <c r="Q172" s="31" t="n">
        <v>392.11</v>
      </c>
      <c r="R172" s="30" t="inlineStr">
        <is>
          <t>Volume Spike &amp; Near 52W High Breakout</t>
        </is>
      </c>
      <c r="S172" s="30" t="inlineStr">
        <is>
          <t>Nifty Energy</t>
        </is>
      </c>
      <c r="T172" s="31" t="n">
        <v>11.89</v>
      </c>
      <c r="U172" s="31" t="n">
        <v>22.49</v>
      </c>
      <c r="V172" s="31" t="n">
        <v>9.470000000000001</v>
      </c>
      <c r="W172" s="31" t="n">
        <v>14.81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Oligopoly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Yes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Cyclical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Volatile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Close to 52 week high or retracement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Between 50% to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IF(B173=0,"",RANK(B173,$B$2:$B$293,0))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SPAL</t>
        </is>
      </c>
      <c r="D173" s="30" t="inlineStr">
        <is>
          <t>S. P. Apparels Limited</t>
        </is>
      </c>
      <c r="E173" s="30" t="inlineStr">
        <is>
          <t>textiles</t>
        </is>
      </c>
      <c r="F173" s="30" t="inlineStr">
        <is>
          <t>textiles - products</t>
        </is>
      </c>
      <c r="G173" s="30" t="inlineStr">
        <is>
          <t>smallcap</t>
        </is>
      </c>
      <c r="H173" s="31" t="n">
        <v>2028.96</v>
      </c>
      <c r="I173" s="31" t="n">
        <v>843.9</v>
      </c>
      <c r="J173" s="31" t="n">
        <v>4.56</v>
      </c>
      <c r="K173" s="31" t="n">
        <v>50111</v>
      </c>
      <c r="L173" s="30" t="n">
        <v>18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64.09</v>
      </c>
      <c r="P173" s="31" t="n">
        <v>18.18</v>
      </c>
      <c r="Q173" s="31" t="n">
        <v>647.87</v>
      </c>
      <c r="R173" s="30" t="inlineStr">
        <is>
          <t>Near 52W High Breakout</t>
        </is>
      </c>
      <c r="S173" s="30" t="inlineStr">
        <is>
          <t>Nifty 50</t>
        </is>
      </c>
      <c r="T173" s="31" t="n">
        <v>-6.39</v>
      </c>
      <c r="U173" s="31" t="n">
        <v>1.45</v>
      </c>
      <c r="V173" s="31" t="n">
        <v>8.369999999999999</v>
      </c>
      <c r="W173" s="31" t="n">
        <v>5.62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0 to 20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IF(B174=0,"",RANK(B174,$B$2:$B$293,0))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JAYBARMARU</t>
        </is>
      </c>
      <c r="D174" s="30" t="inlineStr">
        <is>
          <t>Jay Bharat Maruti Limited</t>
        </is>
      </c>
      <c r="E174" s="30" t="inlineStr">
        <is>
          <t>auto</t>
        </is>
      </c>
      <c r="F174" s="30" t="inlineStr">
        <is>
          <t>auto ancillaries</t>
        </is>
      </c>
      <c r="G174" s="30" t="inlineStr">
        <is>
          <t>smallcap</t>
        </is>
      </c>
      <c r="H174" s="31" t="n">
        <v>1365.47</v>
      </c>
      <c r="I174" s="31" t="n">
        <v>127.71</v>
      </c>
      <c r="J174" s="31" t="n">
        <v>1.24</v>
      </c>
      <c r="K174" s="31" t="n">
        <v>4481875</v>
      </c>
      <c r="L174" s="30" t="n">
        <v>68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65.36</v>
      </c>
      <c r="P174" s="31" t="n">
        <v>15.35</v>
      </c>
      <c r="Q174" s="31" t="n">
        <v>89.87</v>
      </c>
      <c r="R174" s="30" t="inlineStr">
        <is>
          <t>Near 52W High Breakout</t>
        </is>
      </c>
      <c r="S174" s="30" t="inlineStr">
        <is>
          <t>Nifty Auto</t>
        </is>
      </c>
      <c r="T174" s="31" t="n">
        <v>10.28</v>
      </c>
      <c r="U174" s="31" t="n">
        <v>64.66</v>
      </c>
      <c r="V174" s="31" t="n">
        <v>49.32</v>
      </c>
      <c r="W174" s="31" t="n">
        <v>18.75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0 to 20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Blue sky scenario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Between 50% to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Between 0.7 to 1.2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IF(B175=0,"",RANK(B175,$B$2:$B$293,0))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NAHARSPING</t>
        </is>
      </c>
      <c r="D175" s="30" t="inlineStr">
        <is>
          <t>Nahar Spinning Mills Limited</t>
        </is>
      </c>
      <c r="E175" s="30" t="inlineStr">
        <is>
          <t>textiles</t>
        </is>
      </c>
      <c r="F175" s="30" t="inlineStr">
        <is>
          <t>textiles - cotton/blended</t>
        </is>
      </c>
      <c r="G175" s="30" t="inlineStr">
        <is>
          <t>smallcap</t>
        </is>
      </c>
      <c r="H175" s="31" t="n">
        <v>991.8</v>
      </c>
      <c r="I175" s="31" t="n">
        <v>278</v>
      </c>
      <c r="J175" s="31" t="n">
        <v>1.09</v>
      </c>
      <c r="K175" s="31" t="n">
        <v>12994</v>
      </c>
      <c r="L175" s="30" t="n">
        <v>37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66.16</v>
      </c>
      <c r="P175" s="31" t="n">
        <v>19.53</v>
      </c>
      <c r="Q175" s="31" t="n">
        <v>213.32</v>
      </c>
      <c r="R175" s="30" t="inlineStr">
        <is>
          <t>Near 52W High Breakout</t>
        </is>
      </c>
      <c r="S175" s="30" t="inlineStr">
        <is>
          <t>Nifty 50</t>
        </is>
      </c>
      <c r="T175" s="31" t="n">
        <v>-6.39</v>
      </c>
      <c r="U175" s="31" t="n">
        <v>-1</v>
      </c>
      <c r="V175" s="31" t="n">
        <v>5.75</v>
      </c>
      <c r="W175" s="31" t="n">
        <v>10.04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0 to 20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Between 12 to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IF(B176=0,"",RANK(B176,$B$2:$B$293,0))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RSWM</t>
        </is>
      </c>
      <c r="D176" s="30" t="inlineStr">
        <is>
          <t>Rswm Limited</t>
        </is>
      </c>
      <c r="E176" s="30" t="inlineStr">
        <is>
          <t>textiles</t>
        </is>
      </c>
      <c r="F176" s="30" t="inlineStr">
        <is>
          <t>textiles - cotton/blended</t>
        </is>
      </c>
      <c r="G176" s="30" t="inlineStr">
        <is>
          <t>smallcap</t>
        </is>
      </c>
      <c r="H176" s="31" t="n">
        <v>807.61</v>
      </c>
      <c r="I176" s="31" t="n">
        <v>173.24</v>
      </c>
      <c r="J176" s="31" t="n">
        <v>1.04</v>
      </c>
      <c r="K176" s="31" t="n">
        <v>59035</v>
      </c>
      <c r="L176" s="30" t="n">
        <v>12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59.25</v>
      </c>
      <c r="P176" s="31" t="n">
        <v>18.63</v>
      </c>
      <c r="Q176" s="31" t="n">
        <v>133.38</v>
      </c>
      <c r="R176" s="30" t="inlineStr">
        <is>
          <t>Near 52W High Breakout</t>
        </is>
      </c>
      <c r="S176" s="30" t="inlineStr">
        <is>
          <t>Nifty 50</t>
        </is>
      </c>
      <c r="T176" s="31" t="n">
        <v>-6.39</v>
      </c>
      <c r="U176" s="31" t="n">
        <v>-0.28</v>
      </c>
      <c r="V176" s="31" t="n">
        <v>6.52</v>
      </c>
      <c r="W176" s="31" t="n">
        <v>4.16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0 to 20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More than 1.2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IF(B177=0,"",RANK(B177,$B$2:$B$293,0))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BELRISE</t>
        </is>
      </c>
      <c r="D177" s="30" t="inlineStr">
        <is>
          <t>Belrise Industries Ltd</t>
        </is>
      </c>
      <c r="E177" s="30" t="inlineStr">
        <is>
          <t>auto</t>
        </is>
      </c>
      <c r="F177" s="30" t="inlineStr">
        <is>
          <t>auto ancillaries</t>
        </is>
      </c>
      <c r="G177" s="30" t="inlineStr">
        <is>
          <t>midcap</t>
        </is>
      </c>
      <c r="H177" s="31" t="n">
        <v>19389.58</v>
      </c>
      <c r="I177" s="31" t="n">
        <v>219.54</v>
      </c>
      <c r="J177" s="31" t="n">
        <v>0.76</v>
      </c>
      <c r="K177" s="31" t="n">
        <v>3571070</v>
      </c>
      <c r="L177" s="30" t="n">
        <v>70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66.86</v>
      </c>
      <c r="P177" s="31" t="n">
        <v>50.69</v>
      </c>
      <c r="Q177" s="31" t="n">
        <v>175.14</v>
      </c>
      <c r="R177" s="30" t="inlineStr">
        <is>
          <t>Near 52W High Breakout</t>
        </is>
      </c>
      <c r="S177" s="30" t="inlineStr">
        <is>
          <t>Nifty Auto</t>
        </is>
      </c>
      <c r="T177" s="31" t="n">
        <v>10.28</v>
      </c>
      <c r="U177" s="31" t="n">
        <v>124.19</v>
      </c>
      <c r="V177" s="31" t="n">
        <v>103.3</v>
      </c>
      <c r="W177" s="31" t="n">
        <v>20.5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Above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Negative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Blue sky scenario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Less than 12%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No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IF(B178=0,"",RANK(B178,$B$2:$B$293,0))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INDNIPPON</t>
        </is>
      </c>
      <c r="D178" s="30" t="inlineStr">
        <is>
          <t>India Nippon Electricals Limited</t>
        </is>
      </c>
      <c r="E178" s="30" t="inlineStr">
        <is>
          <t>auto</t>
        </is>
      </c>
      <c r="F178" s="30" t="inlineStr">
        <is>
          <t>auto ancillaries</t>
        </is>
      </c>
      <c r="G178" s="30" t="inlineStr">
        <is>
          <t>smallcap</t>
        </is>
      </c>
      <c r="H178" s="31" t="n">
        <v>2026.2</v>
      </c>
      <c r="I178" s="31" t="n">
        <v>900.5</v>
      </c>
      <c r="J178" s="31" t="n">
        <v>0.54</v>
      </c>
      <c r="K178" s="31" t="n">
        <v>37732</v>
      </c>
      <c r="L178" s="30" t="n">
        <v>34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60.42</v>
      </c>
      <c r="P178" s="31" t="n">
        <v>10.62</v>
      </c>
      <c r="Q178" s="31" t="n">
        <v>713.77</v>
      </c>
      <c r="R178" s="30" t="inlineStr">
        <is>
          <t>Earnings / Momentum Support</t>
        </is>
      </c>
      <c r="S178" s="30" t="inlineStr">
        <is>
          <t>Nifty Auto</t>
        </is>
      </c>
      <c r="T178" s="31" t="n">
        <v>10.28</v>
      </c>
      <c r="U178" s="31" t="n">
        <v>33.12</v>
      </c>
      <c r="V178" s="31" t="n">
        <v>20.71</v>
      </c>
      <c r="W178" s="31" t="n">
        <v>9.380000000000001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0 to 20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Less than 50%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IF(B179=0,"",RANK(B179,$B$2:$B$293,0))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2" t="inlineStr">
        <is>
          <t>JSWSTEEL</t>
        </is>
      </c>
      <c r="D179" s="32" t="inlineStr">
        <is>
          <t>Jsw Steel Limited</t>
        </is>
      </c>
      <c r="E179" s="30" t="inlineStr">
        <is>
          <t>metals &amp; mining</t>
        </is>
      </c>
      <c r="F179" s="30" t="inlineStr">
        <is>
          <t>steel - large</t>
        </is>
      </c>
      <c r="G179" s="30" t="inlineStr">
        <is>
          <t>largecap</t>
        </is>
      </c>
      <c r="H179" s="31" t="n">
        <v>320550.11</v>
      </c>
      <c r="I179" s="31" t="n">
        <v>1312.9</v>
      </c>
      <c r="J179" s="31" t="n">
        <v>0.16</v>
      </c>
      <c r="K179" s="31" t="n">
        <v>814920</v>
      </c>
      <c r="L179" s="30" t="n">
        <v>25</v>
      </c>
      <c r="M179" s="30" t="inlineStr">
        <is>
          <t>Underperforming</t>
        </is>
      </c>
      <c r="N179" s="31">
        <f>IF(M179="Underperforming",-5,IF(L179&gt;=95,15,IF(L179&gt;=90,10,IF(L179&gt;=80,5,0))))</f>
        <v/>
      </c>
      <c r="O179" s="31" t="n">
        <v>65.15000000000001</v>
      </c>
      <c r="P179" s="31" t="n">
        <v>24.39</v>
      </c>
      <c r="Q179" s="31" t="n">
        <v>1135.66</v>
      </c>
      <c r="R179" s="30" t="inlineStr">
        <is>
          <t>Near 52W High Breakout</t>
        </is>
      </c>
      <c r="S179" s="30" t="inlineStr">
        <is>
          <t>Nifty Metal</t>
        </is>
      </c>
      <c r="T179" s="31" t="n">
        <v>43.89</v>
      </c>
      <c r="U179" s="31" t="n">
        <v>31</v>
      </c>
      <c r="V179" s="31" t="n">
        <v>-8.960000000000001</v>
      </c>
      <c r="W179" s="31" t="n">
        <v>6.87</v>
      </c>
      <c r="X179" s="30" t="inlineStr">
        <is>
          <t>Cyclical in an Upturn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Cyclical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Volatile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Between 0.7 to 1.2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IF(B180=0,"",RANK(B180,$B$2:$B$293,0))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2" t="inlineStr">
        <is>
          <t>HONAUT</t>
        </is>
      </c>
      <c r="D180" s="32" t="inlineStr">
        <is>
          <t>Honeywell Automation India Limited</t>
        </is>
      </c>
      <c r="E180" s="30" t="inlineStr">
        <is>
          <t>consumer discretionary</t>
        </is>
      </c>
      <c r="F180" s="30" t="inlineStr">
        <is>
          <t>electronics - components</t>
        </is>
      </c>
      <c r="G180" s="30" t="inlineStr">
        <is>
          <t>largecap</t>
        </is>
      </c>
      <c r="H180" s="31" t="n">
        <v>30852.49</v>
      </c>
      <c r="I180" s="31" t="n">
        <v>34750</v>
      </c>
      <c r="J180" s="31" t="n">
        <v>-0.42</v>
      </c>
      <c r="K180" s="31" t="n">
        <v>4528</v>
      </c>
      <c r="L180" s="30" t="n">
        <v>4</v>
      </c>
      <c r="M180" s="30" t="inlineStr">
        <is>
          <t>Underperforming</t>
        </is>
      </c>
      <c r="N180" s="31">
        <f>IF(M180="Underperforming",-5,IF(L180&gt;=95,15,IF(L180&gt;=90,10,IF(L180&gt;=80,5,0))))</f>
        <v/>
      </c>
      <c r="O180" s="31" t="n">
        <v>56.98</v>
      </c>
      <c r="P180" s="31" t="n">
        <v>24.61</v>
      </c>
      <c r="Q180" s="31" t="n">
        <v>28412.41</v>
      </c>
      <c r="R180" s="30" t="inlineStr">
        <is>
          <t>Earnings / Momentum Support</t>
        </is>
      </c>
      <c r="S180" s="30" t="inlineStr">
        <is>
          <t>Nifty 50</t>
        </is>
      </c>
      <c r="T180" s="31" t="n">
        <v>-6.39</v>
      </c>
      <c r="U180" s="31" t="n">
        <v>-10.81</v>
      </c>
      <c r="V180" s="31" t="n">
        <v>-4.72</v>
      </c>
      <c r="W180" s="31" t="n">
        <v>1.45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Between 12 to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IF(B181=0,"",RANK(B181,$B$2:$B$293,0))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MAHASTEEL</t>
        </is>
      </c>
      <c r="D181" s="30" t="inlineStr">
        <is>
          <t>Mahamaya Steel Industries Limited</t>
        </is>
      </c>
      <c r="E181" s="30" t="inlineStr">
        <is>
          <t>metals &amp; mining</t>
        </is>
      </c>
      <c r="F181" s="30" t="inlineStr">
        <is>
          <t>steel - medium / small</t>
        </is>
      </c>
      <c r="G181" s="30" t="inlineStr">
        <is>
          <t>smallcap</t>
        </is>
      </c>
      <c r="H181" s="31" t="n">
        <v>1567.68</v>
      </c>
      <c r="I181" s="31" t="n">
        <v>945.7</v>
      </c>
      <c r="J181" s="31" t="n">
        <v>-0.86</v>
      </c>
      <c r="K181" s="31" t="n">
        <v>2271</v>
      </c>
      <c r="L181" s="30" t="n">
        <v>88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62.22</v>
      </c>
      <c r="P181" s="31" t="n">
        <v>40.56</v>
      </c>
      <c r="Q181" s="31" t="n">
        <v>738.41</v>
      </c>
      <c r="R181" s="30" t="inlineStr">
        <is>
          <t>Earnings / Momentum Support</t>
        </is>
      </c>
      <c r="S181" s="30" t="inlineStr">
        <is>
          <t>Nifty Metal</t>
        </is>
      </c>
      <c r="T181" s="31" t="n">
        <v>43.89</v>
      </c>
      <c r="U181" s="31" t="n">
        <v>213.15</v>
      </c>
      <c r="V181" s="31" t="n">
        <v>117.62</v>
      </c>
      <c r="W181" s="31" t="n">
        <v>32.4</v>
      </c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Cyclical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Volatile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IF(B182=0,"",RANK(B182,$B$2:$B$293,0))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ADANIGREEN</t>
        </is>
      </c>
      <c r="D182" s="30" t="inlineStr">
        <is>
          <t>Adani Green Energy Ltd</t>
        </is>
      </c>
      <c r="E182" s="30" t="inlineStr">
        <is>
          <t>power &amp; utilities</t>
        </is>
      </c>
      <c r="F182" s="30" t="inlineStr">
        <is>
          <t>power generation and supply</t>
        </is>
      </c>
      <c r="G182" s="30" t="inlineStr">
        <is>
          <t>largecap</t>
        </is>
      </c>
      <c r="H182" s="31" t="n">
        <v>238741.71</v>
      </c>
      <c r="I182" s="31" t="n">
        <v>1427.5</v>
      </c>
      <c r="J182" s="31" t="n">
        <v>-1.51</v>
      </c>
      <c r="K182" s="31" t="n">
        <v>2227421</v>
      </c>
      <c r="L182" s="30" t="n">
        <v>76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70.45999999999999</v>
      </c>
      <c r="P182" s="31" t="n">
        <v>34.21</v>
      </c>
      <c r="Q182" s="31" t="n">
        <v>1158.25</v>
      </c>
      <c r="R182" s="30" t="inlineStr">
        <is>
          <t>Near 52W High Breakout</t>
        </is>
      </c>
      <c r="S182" s="30" t="inlineStr">
        <is>
          <t>Nifty IT</t>
        </is>
      </c>
      <c r="T182" s="31" t="n">
        <v>-21.21</v>
      </c>
      <c r="U182" s="31" t="n">
        <v>40.12</v>
      </c>
      <c r="V182" s="31" t="n">
        <v>77.84</v>
      </c>
      <c r="W182" s="31" t="n">
        <v>23.53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More than 1.2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IF(B183=0,"",RANK(B183,$B$2:$B$293,0))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KDDL</t>
        </is>
      </c>
      <c r="D183" s="30" t="inlineStr">
        <is>
          <t>Kddl Limited</t>
        </is>
      </c>
      <c r="E183" s="30" t="inlineStr">
        <is>
          <t>consumer discretionary</t>
        </is>
      </c>
      <c r="F183" s="30" t="inlineStr">
        <is>
          <t>miscellaneous</t>
        </is>
      </c>
      <c r="G183" s="30" t="inlineStr">
        <is>
          <t>smallcap</t>
        </is>
      </c>
      <c r="H183" s="31" t="n">
        <v>3482.66</v>
      </c>
      <c r="I183" s="31" t="n">
        <v>2782.6</v>
      </c>
      <c r="J183" s="31" t="n">
        <v>-1.73</v>
      </c>
      <c r="K183" s="31" t="n">
        <v>28024</v>
      </c>
      <c r="L183" s="30" t="n">
        <v>14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59.96</v>
      </c>
      <c r="P183" s="31" t="n">
        <v>12.93</v>
      </c>
      <c r="Q183" s="31" t="n">
        <v>2007.91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-6.39</v>
      </c>
      <c r="U183" s="31" t="n">
        <v>5.99</v>
      </c>
      <c r="V183" s="31" t="n">
        <v>13.23</v>
      </c>
      <c r="W183" s="31" t="n">
        <v>4.47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Between 1.5 to 2</t>
        </is>
      </c>
      <c r="BU183" s="30">
        <f>IF(BT183="Above 2",0,IF(BT183="Between 1.5 to 2",5,IF(BT183="Less than 1.5",10,0)))</f>
        <v/>
      </c>
      <c r="BV183" s="30" t="inlineStr">
        <is>
          <t>Less than 50%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IF(B184=0,"",RANK(B184,$B$2:$B$293,0))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DIACABS</t>
        </is>
      </c>
      <c r="D184" s="30" t="inlineStr">
        <is>
          <t>Diamond Power Infrastructure Ltd</t>
        </is>
      </c>
      <c r="E184" s="30" t="inlineStr">
        <is>
          <t>industrials</t>
        </is>
      </c>
      <c r="F184" s="30" t="inlineStr">
        <is>
          <t>cables - power</t>
        </is>
      </c>
      <c r="G184" s="30" t="inlineStr">
        <is>
          <t>midcap</t>
        </is>
      </c>
      <c r="H184" s="31" t="n">
        <v>10257.49</v>
      </c>
      <c r="I184" s="31" t="n">
        <v>188.68</v>
      </c>
      <c r="J184" s="31" t="n">
        <v>-3.07</v>
      </c>
      <c r="K184" s="31" t="n">
        <v>2369180</v>
      </c>
      <c r="L184" s="30" t="n">
        <v>75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69.68000000000001</v>
      </c>
      <c r="P184" s="31" t="n">
        <v>29.5</v>
      </c>
      <c r="Q184" s="31" t="n">
        <v>146.93</v>
      </c>
      <c r="R184" s="30" t="inlineStr">
        <is>
          <t>Near 52W High Breakout</t>
        </is>
      </c>
      <c r="S184" s="30" t="inlineStr">
        <is>
          <t>Nifty Energy</t>
        </is>
      </c>
      <c r="T184" s="31" t="n">
        <v>11.89</v>
      </c>
      <c r="U184" s="31" t="n">
        <v>86.3</v>
      </c>
      <c r="V184" s="31" t="n">
        <v>66.48999999999999</v>
      </c>
      <c r="W184" s="31" t="n">
        <v>23.02</v>
      </c>
      <c r="X184" s="30" t="inlineStr">
        <is>
          <t>Cyclical in an Upturn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Negative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IF(B185=0,"",RANK(B185,$B$2:$B$293,0))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BBOX</t>
        </is>
      </c>
      <c r="D185" s="30" t="inlineStr">
        <is>
          <t>Black Box Ltd</t>
        </is>
      </c>
      <c r="E185" s="30" t="inlineStr">
        <is>
          <t>i.t</t>
        </is>
      </c>
      <c r="F185" s="30" t="inlineStr">
        <is>
          <t>computers - software - medium / small</t>
        </is>
      </c>
      <c r="G185" s="30" t="inlineStr">
        <is>
          <t>midcap</t>
        </is>
      </c>
      <c r="H185" s="31" t="n">
        <v>18313.96</v>
      </c>
      <c r="I185" s="31" t="n">
        <v>1056.3</v>
      </c>
      <c r="J185" s="31" t="n">
        <v>2.37</v>
      </c>
      <c r="K185" s="31" t="n">
        <v>934234</v>
      </c>
      <c r="L185" s="30" t="n">
        <v>93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85.53</v>
      </c>
      <c r="P185" s="31" t="n">
        <v>31.28</v>
      </c>
      <c r="Q185" s="31" t="n">
        <v>836.64</v>
      </c>
      <c r="R185" s="30" t="inlineStr">
        <is>
          <t>Near 52W High Breakout</t>
        </is>
      </c>
      <c r="S185" s="30" t="inlineStr">
        <is>
          <t>Nifty IT</t>
        </is>
      </c>
      <c r="T185" s="31" t="n">
        <v>-21.21</v>
      </c>
      <c r="U185" s="31" t="n">
        <v>88.84999999999999</v>
      </c>
      <c r="V185" s="31" t="n">
        <v>139.69</v>
      </c>
      <c r="W185" s="31" t="n">
        <v>41.55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Annuity, Lower One Time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Above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Less than 50%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Between 0.7 to 1.2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IF(B186=0,"",RANK(B186,$B$2:$B$293,0))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VIYASH</t>
        </is>
      </c>
      <c r="D186" s="30" t="inlineStr">
        <is>
          <t>Viyash Scientific Ltd</t>
        </is>
      </c>
      <c r="E186" s="30" t="inlineStr">
        <is>
          <t>healthcare</t>
        </is>
      </c>
      <c r="F186" s="30" t="inlineStr">
        <is>
          <t>pharmaceuticals - indian - bulk drugs &amp; formln</t>
        </is>
      </c>
      <c r="G186" s="30" t="inlineStr">
        <is>
          <t>midcap</t>
        </is>
      </c>
      <c r="H186" s="31" t="n">
        <v>10919.09</v>
      </c>
      <c r="I186" s="31" t="n">
        <v>248</v>
      </c>
      <c r="J186" s="31" t="n">
        <v>-0.78</v>
      </c>
      <c r="K186" s="31" t="n">
        <v>2593757</v>
      </c>
      <c r="L186" s="30" t="n">
        <v>38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64.39</v>
      </c>
      <c r="P186" s="31" t="n">
        <v>28.69</v>
      </c>
      <c r="Q186" s="31" t="n">
        <v>196.16</v>
      </c>
      <c r="R186" s="30" t="inlineStr">
        <is>
          <t>Earnings / Momentum Support</t>
        </is>
      </c>
      <c r="S186" s="30" t="inlineStr">
        <is>
          <t>Nifty Pharma</t>
        </is>
      </c>
      <c r="T186" s="31" t="n">
        <v>11.08</v>
      </c>
      <c r="U186" s="31" t="n">
        <v>32.02</v>
      </c>
      <c r="V186" s="31" t="n">
        <v>18.85</v>
      </c>
      <c r="W186" s="31" t="n">
        <v>10.51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Yes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No</t>
        </is>
      </c>
      <c r="AQ186" s="30">
        <f>IF(AP186="Yes",10,0)</f>
        <v/>
      </c>
      <c r="AR186" s="30" t="inlineStr">
        <is>
          <t>Higher Annuity, Lower One Time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Less than 50%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IF(B187=0,"",RANK(B187,$B$2:$B$293,0))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METROPOLIS</t>
        </is>
      </c>
      <c r="D187" s="30" t="inlineStr">
        <is>
          <t>Metropolis Healthcare Ltd</t>
        </is>
      </c>
      <c r="E187" s="30" t="inlineStr">
        <is>
          <t>healthcare</t>
        </is>
      </c>
      <c r="F187" s="30" t="inlineStr">
        <is>
          <t>healthcare</t>
        </is>
      </c>
      <c r="G187" s="30" t="inlineStr">
        <is>
          <t>midcap</t>
        </is>
      </c>
      <c r="H187" s="31" t="n">
        <v>11226.8</v>
      </c>
      <c r="I187" s="31" t="n">
        <v>536.15</v>
      </c>
      <c r="J187" s="31" t="n">
        <v>-0.99</v>
      </c>
      <c r="K187" s="31" t="n">
        <v>72278</v>
      </c>
      <c r="L187" s="30" t="n">
        <v>38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59.97</v>
      </c>
      <c r="P187" s="31" t="n">
        <v>22.28</v>
      </c>
      <c r="Q187" s="31" t="n">
        <v>431.41</v>
      </c>
      <c r="R187" s="30" t="inlineStr">
        <is>
          <t>Near 52W High Breakout</t>
        </is>
      </c>
      <c r="S187" s="30" t="inlineStr">
        <is>
          <t>Nifty Pharma</t>
        </is>
      </c>
      <c r="T187" s="31" t="n">
        <v>11.08</v>
      </c>
      <c r="U187" s="31" t="n">
        <v>30.33</v>
      </c>
      <c r="V187" s="31" t="n">
        <v>17.33</v>
      </c>
      <c r="W187" s="31" t="n">
        <v>10.81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Yes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Annuity, Lower One Time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Negative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IF(B188=0,"",RANK(B188,$B$2:$B$293,0))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BIRLACABLE</t>
        </is>
      </c>
      <c r="D188" s="30" t="inlineStr">
        <is>
          <t>Birla Cable Limited</t>
        </is>
      </c>
      <c r="E188" s="30" t="inlineStr">
        <is>
          <t>industrials</t>
        </is>
      </c>
      <c r="F188" s="30" t="inlineStr">
        <is>
          <t>cables - telephone</t>
        </is>
      </c>
      <c r="G188" s="30" t="inlineStr">
        <is>
          <t>smallcap</t>
        </is>
      </c>
      <c r="H188" s="31" t="n">
        <v>641.34</v>
      </c>
      <c r="I188" s="31" t="n">
        <v>224.46</v>
      </c>
      <c r="J188" s="31" t="n">
        <v>5</v>
      </c>
      <c r="K188" s="31" t="n">
        <v>267244</v>
      </c>
      <c r="L188" s="30" t="n">
        <v>68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73.73</v>
      </c>
      <c r="P188" s="31" t="n">
        <v>27.12</v>
      </c>
      <c r="Q188" s="31" t="n">
        <v>168.86</v>
      </c>
      <c r="R188" s="30" t="inlineStr">
        <is>
          <t>Near 52W High Breakout</t>
        </is>
      </c>
      <c r="S188" s="30" t="inlineStr">
        <is>
          <t>Nifty Infra</t>
        </is>
      </c>
      <c r="T188" s="31" t="n">
        <v>1.52</v>
      </c>
      <c r="U188" s="31" t="n">
        <v>23.7</v>
      </c>
      <c r="V188" s="31" t="n">
        <v>21.85</v>
      </c>
      <c r="W188" s="31" t="n">
        <v>19.59</v>
      </c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Negative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IF(B189=0,"",RANK(B189,$B$2:$B$293,0))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CEIGALL</t>
        </is>
      </c>
      <c r="D189" s="30" t="inlineStr">
        <is>
          <t>Ceigall India Ltd</t>
        </is>
      </c>
      <c r="E189" s="30" t="inlineStr">
        <is>
          <t>realty</t>
        </is>
      </c>
      <c r="F189" s="30" t="inlineStr">
        <is>
          <t>construction</t>
        </is>
      </c>
      <c r="G189" s="30" t="inlineStr">
        <is>
          <t>midcap</t>
        </is>
      </c>
      <c r="H189" s="31" t="n">
        <v>6058.85</v>
      </c>
      <c r="I189" s="31" t="n">
        <v>360.6</v>
      </c>
      <c r="J189" s="31" t="n">
        <v>3.68</v>
      </c>
      <c r="K189" s="31" t="n">
        <v>699251</v>
      </c>
      <c r="L189" s="30" t="n">
        <v>55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69.23</v>
      </c>
      <c r="P189" s="31" t="n">
        <v>41.58</v>
      </c>
      <c r="Q189" s="31" t="n">
        <v>298.21</v>
      </c>
      <c r="R189" s="30" t="inlineStr">
        <is>
          <t>Near 52W High Breakout</t>
        </is>
      </c>
      <c r="S189" s="30" t="inlineStr">
        <is>
          <t>Nifty Realty</t>
        </is>
      </c>
      <c r="T189" s="31" t="n">
        <v>-26.64</v>
      </c>
      <c r="U189" s="31" t="n">
        <v>47.29</v>
      </c>
      <c r="V189" s="31" t="n">
        <v>100.78</v>
      </c>
      <c r="W189" s="31" t="n">
        <v>15.16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Negative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Less than 1.5</t>
        </is>
      </c>
      <c r="BU189" s="30">
        <f>IF(BT189="Above 2",0,IF(BT189="Between 1.5 to 2",5,IF(BT189="Less than 1.5",10,0)))</f>
        <v/>
      </c>
      <c r="BV189" s="30" t="inlineStr">
        <is>
          <t>Negative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IF(B190=0,"",RANK(B190,$B$2:$B$293,0))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GOLDIAM</t>
        </is>
      </c>
      <c r="D190" s="30" t="inlineStr">
        <is>
          <t>Goldiam International Limited</t>
        </is>
      </c>
      <c r="E190" s="30" t="inlineStr">
        <is>
          <t>consumer discretionary</t>
        </is>
      </c>
      <c r="F190" s="30" t="inlineStr">
        <is>
          <t>diamond cutting / jewellery</t>
        </is>
      </c>
      <c r="G190" s="30" t="inlineStr">
        <is>
          <t>smallcap</t>
        </is>
      </c>
      <c r="H190" s="31" t="n">
        <v>4792.8</v>
      </c>
      <c r="I190" s="31" t="n">
        <v>435.3</v>
      </c>
      <c r="J190" s="31" t="n">
        <v>2.56</v>
      </c>
      <c r="K190" s="31" t="n">
        <v>1129953</v>
      </c>
      <c r="L190" s="30" t="n">
        <v>45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60.22</v>
      </c>
      <c r="P190" s="31" t="n">
        <v>21.91</v>
      </c>
      <c r="Q190" s="31" t="n">
        <v>308.21</v>
      </c>
      <c r="R190" s="30" t="inlineStr">
        <is>
          <t>Near 52W High Breakout</t>
        </is>
      </c>
      <c r="S190" s="30" t="inlineStr">
        <is>
          <t>Nifty 50</t>
        </is>
      </c>
      <c r="T190" s="31" t="n">
        <v>-6.39</v>
      </c>
      <c r="U190" s="31" t="n">
        <v>22.23</v>
      </c>
      <c r="V190" s="31" t="n">
        <v>30.57</v>
      </c>
      <c r="W190" s="31" t="n">
        <v>12.47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Negative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Less than 50%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IF(B191=0,"",RANK(B191,$B$2:$B$293,0))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V2RETAIL</t>
        </is>
      </c>
      <c r="D191" s="30" t="inlineStr">
        <is>
          <t>V2 Retail Limited</t>
        </is>
      </c>
      <c r="E191" s="30" t="inlineStr">
        <is>
          <t>consumer discretionary</t>
        </is>
      </c>
      <c r="F191" s="30" t="inlineStr">
        <is>
          <t>textiles - products</t>
        </is>
      </c>
      <c r="G191" s="30" t="inlineStr">
        <is>
          <t>midcap</t>
        </is>
      </c>
      <c r="H191" s="31" t="n">
        <v>8762.969999999999</v>
      </c>
      <c r="I191" s="31" t="n">
        <v>245.65</v>
      </c>
      <c r="J191" s="31" t="n">
        <v>2.22</v>
      </c>
      <c r="K191" s="31" t="n">
        <v>2722841</v>
      </c>
      <c r="L191" s="30" t="n">
        <v>50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65.81999999999999</v>
      </c>
      <c r="P191" s="31" t="n">
        <v>25.8</v>
      </c>
      <c r="Q191" s="31" t="n">
        <v>183.09</v>
      </c>
      <c r="R191" s="30" t="inlineStr">
        <is>
          <t>Near 52W High Breakout</t>
        </is>
      </c>
      <c r="S191" s="30" t="inlineStr">
        <is>
          <t>Nifty 50</t>
        </is>
      </c>
      <c r="T191" s="31" t="n">
        <v>-6.39</v>
      </c>
      <c r="U191" s="31" t="n">
        <v>34.91</v>
      </c>
      <c r="V191" s="31" t="n">
        <v>44.12</v>
      </c>
      <c r="W191" s="31" t="n">
        <v>13.38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Negative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Between 0.7 to 1.2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IF(B192=0,"",RANK(B192,$B$2:$B$293,0))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ANTELOPUS</t>
        </is>
      </c>
      <c r="D192" s="30" t="inlineStr">
        <is>
          <t>Antelopus Selan Energy Ltd</t>
        </is>
      </c>
      <c r="E192" s="30" t="inlineStr">
        <is>
          <t>energy</t>
        </is>
      </c>
      <c r="F192" s="30" t="inlineStr">
        <is>
          <t>oil drilling / allied services</t>
        </is>
      </c>
      <c r="G192" s="30" t="inlineStr">
        <is>
          <t>smallcap</t>
        </is>
      </c>
      <c r="H192" s="31" t="n">
        <v>3003.57</v>
      </c>
      <c r="I192" s="31" t="n">
        <v>871.8</v>
      </c>
      <c r="J192" s="31" t="n">
        <v>2.06</v>
      </c>
      <c r="K192" s="31" t="n">
        <v>254667</v>
      </c>
      <c r="L192" s="30" t="n">
        <v>74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70.56999999999999</v>
      </c>
      <c r="P192" s="31" t="n">
        <v>39.47</v>
      </c>
      <c r="Q192" s="31" t="n">
        <v>607.26</v>
      </c>
      <c r="R192" s="30" t="inlineStr">
        <is>
          <t>Near 52W High Breakout</t>
        </is>
      </c>
      <c r="S192" s="30" t="inlineStr">
        <is>
          <t>Nifty Energy</t>
        </is>
      </c>
      <c r="T192" s="31" t="n">
        <v>11.89</v>
      </c>
      <c r="U192" s="31" t="n">
        <v>44.71</v>
      </c>
      <c r="V192" s="31" t="n">
        <v>29.33</v>
      </c>
      <c r="W192" s="31" t="n">
        <v>22.19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Oligopoly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Yes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Cyclical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Volatile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Yes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IF(B193=0,"",RANK(B193,$B$2:$B$293,0))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WELSPUNLIV</t>
        </is>
      </c>
      <c r="D193" s="30" t="inlineStr">
        <is>
          <t>Welspun Living Ltd</t>
        </is>
      </c>
      <c r="E193" s="30" t="inlineStr">
        <is>
          <t>textiles</t>
        </is>
      </c>
      <c r="F193" s="30" t="inlineStr">
        <is>
          <t>textiles - products</t>
        </is>
      </c>
      <c r="G193" s="30" t="inlineStr">
        <is>
          <t>midcap</t>
        </is>
      </c>
      <c r="H193" s="31" t="n">
        <v>13778.23</v>
      </c>
      <c r="I193" s="31" t="n">
        <v>145.57</v>
      </c>
      <c r="J193" s="31" t="n">
        <v>1.34</v>
      </c>
      <c r="K193" s="31" t="n">
        <v>1396222</v>
      </c>
      <c r="L193" s="30" t="n">
        <v>24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62.63</v>
      </c>
      <c r="P193" s="31" t="n">
        <v>16.23</v>
      </c>
      <c r="Q193" s="31" t="n">
        <v>113.35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-6.39</v>
      </c>
      <c r="U193" s="31" t="n">
        <v>7.36</v>
      </c>
      <c r="V193" s="31" t="n">
        <v>14.68</v>
      </c>
      <c r="W193" s="31" t="n">
        <v>6.69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0 to 20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IF(B194=0,"",RANK(B194,$B$2:$B$293,0))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HIRECT</t>
        </is>
      </c>
      <c r="D194" s="30" t="inlineStr">
        <is>
          <t>Hind Rectifiers Limited</t>
        </is>
      </c>
      <c r="E194" s="30" t="inlineStr">
        <is>
          <t>consumer discretionary</t>
        </is>
      </c>
      <c r="F194" s="30" t="inlineStr">
        <is>
          <t>electronics - components</t>
        </is>
      </c>
      <c r="G194" s="30" t="inlineStr">
        <is>
          <t>smallcap</t>
        </is>
      </c>
      <c r="H194" s="31" t="n">
        <v>3813.09</v>
      </c>
      <c r="I194" s="31" t="n">
        <v>1118.3</v>
      </c>
      <c r="J194" s="31" t="n">
        <v>0.79</v>
      </c>
      <c r="K194" s="31" t="n">
        <v>103107</v>
      </c>
      <c r="L194" s="30" t="n">
        <v>79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76.23</v>
      </c>
      <c r="P194" s="31" t="n">
        <v>23.28</v>
      </c>
      <c r="Q194" s="31" t="n">
        <v>790.17</v>
      </c>
      <c r="R194" s="30" t="inlineStr">
        <is>
          <t>Near 52W High Breakout</t>
        </is>
      </c>
      <c r="S194" s="30" t="inlineStr">
        <is>
          <t>Nifty Infra</t>
        </is>
      </c>
      <c r="T194" s="31" t="n">
        <v>1.52</v>
      </c>
      <c r="U194" s="31" t="n">
        <v>71.62</v>
      </c>
      <c r="V194" s="31" t="n">
        <v>69.05</v>
      </c>
      <c r="W194" s="31" t="n">
        <v>24.45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Above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Between 0.7 to 1.2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IF(B195=0,"",RANK(B195,$B$2:$B$293,0))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2" t="inlineStr">
        <is>
          <t>LMW</t>
        </is>
      </c>
      <c r="D195" s="32" t="inlineStr">
        <is>
          <t>LMW Ltd</t>
        </is>
      </c>
      <c r="E195" s="30" t="inlineStr">
        <is>
          <t>industrials</t>
        </is>
      </c>
      <c r="F195" s="30" t="inlineStr">
        <is>
          <t>textile machinery</t>
        </is>
      </c>
      <c r="G195" s="30" t="inlineStr">
        <is>
          <t>midcap</t>
        </is>
      </c>
      <c r="H195" s="31" t="n">
        <v>16925.08</v>
      </c>
      <c r="I195" s="31" t="n">
        <v>15899</v>
      </c>
      <c r="J195" s="31" t="n">
        <v>0.35</v>
      </c>
      <c r="K195" s="31" t="n">
        <v>1912</v>
      </c>
      <c r="L195" s="30" t="n">
        <v>3</v>
      </c>
      <c r="M195" s="30" t="inlineStr">
        <is>
          <t>Underperforming</t>
        </is>
      </c>
      <c r="N195" s="31">
        <f>IF(M195="Underperforming",-5,IF(L195&gt;=95,15,IF(L195&gt;=90,10,IF(L195&gt;=80,5,0))))</f>
        <v/>
      </c>
      <c r="O195" s="31" t="n">
        <v>59.43</v>
      </c>
      <c r="P195" s="31" t="n">
        <v>16.39</v>
      </c>
      <c r="Q195" s="31" t="n">
        <v>12790.07</v>
      </c>
      <c r="R195" s="30" t="inlineStr">
        <is>
          <t>Near 52W High Breakout</t>
        </is>
      </c>
      <c r="S195" s="30" t="inlineStr">
        <is>
          <t>Nifty Infra</t>
        </is>
      </c>
      <c r="T195" s="31" t="n">
        <v>1.52</v>
      </c>
      <c r="U195" s="31" t="n">
        <v>-1.76</v>
      </c>
      <c r="V195" s="31" t="n">
        <v>-3.23</v>
      </c>
      <c r="W195" s="31" t="n">
        <v>1.33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0 to 20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IF(B196=0,"",RANK(B196,$B$2:$B$293,0))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GRASIM</t>
        </is>
      </c>
      <c r="D196" s="30" t="inlineStr">
        <is>
          <t>Grasim Industries Limited</t>
        </is>
      </c>
      <c r="E196" s="30" t="inlineStr">
        <is>
          <t>textiles</t>
        </is>
      </c>
      <c r="F196" s="30" t="inlineStr">
        <is>
          <t>textiles - manmade</t>
        </is>
      </c>
      <c r="G196" s="30" t="inlineStr">
        <is>
          <t>largecap</t>
        </is>
      </c>
      <c r="H196" s="31" t="n">
        <v>210816.64</v>
      </c>
      <c r="I196" s="31" t="n">
        <v>3101.6</v>
      </c>
      <c r="J196" s="31" t="n">
        <v>0.13</v>
      </c>
      <c r="K196" s="31" t="n">
        <v>460368</v>
      </c>
      <c r="L196" s="30" t="n">
        <v>26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64.73</v>
      </c>
      <c r="P196" s="31" t="n">
        <v>21.55</v>
      </c>
      <c r="Q196" s="31" t="n">
        <v>2732.19</v>
      </c>
      <c r="R196" s="30" t="inlineStr">
        <is>
          <t>Near 52W High Breakout</t>
        </is>
      </c>
      <c r="S196" s="30" t="inlineStr">
        <is>
          <t>Nifty 50</t>
        </is>
      </c>
      <c r="T196" s="31" t="n">
        <v>-6.39</v>
      </c>
      <c r="U196" s="31" t="n">
        <v>20.92</v>
      </c>
      <c r="V196" s="31" t="n">
        <v>29.17</v>
      </c>
      <c r="W196" s="31" t="n">
        <v>6.89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Negative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More than 1.2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IF(B197=0,"",RANK(B197,$B$2:$B$293,0))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ASIANPAINT</t>
        </is>
      </c>
      <c r="D197" s="30" t="inlineStr">
        <is>
          <t>Asian Paints Limited</t>
        </is>
      </c>
      <c r="E197" s="30" t="inlineStr">
        <is>
          <t>building materials</t>
        </is>
      </c>
      <c r="F197" s="30" t="inlineStr">
        <is>
          <t>paints / varnishes</t>
        </is>
      </c>
      <c r="G197" s="30" t="inlineStr">
        <is>
          <t>largecap</t>
        </is>
      </c>
      <c r="H197" s="31" t="n">
        <v>255213.76</v>
      </c>
      <c r="I197" s="31" t="n">
        <v>2662.4</v>
      </c>
      <c r="J197" s="31" t="n">
        <v>0.06</v>
      </c>
      <c r="K197" s="31" t="n">
        <v>958774</v>
      </c>
      <c r="L197" s="30" t="n">
        <v>30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59.45</v>
      </c>
      <c r="P197" s="31" t="n">
        <v>19.92</v>
      </c>
      <c r="Q197" s="31" t="n">
        <v>2241.23</v>
      </c>
      <c r="R197" s="30" t="inlineStr">
        <is>
          <t>Earnings / Momentum Support</t>
        </is>
      </c>
      <c r="S197" s="30" t="inlineStr">
        <is>
          <t>Nifty Infra</t>
        </is>
      </c>
      <c r="T197" s="31" t="n">
        <v>1.52</v>
      </c>
      <c r="U197" s="31" t="n">
        <v>19.86</v>
      </c>
      <c r="V197" s="31" t="n">
        <v>18.07</v>
      </c>
      <c r="W197" s="31" t="n">
        <v>8.32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Headwind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IF(B198=0,"",RANK(B198,$B$2:$B$293,0))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2" t="inlineStr">
        <is>
          <t>SHYAMMETL</t>
        </is>
      </c>
      <c r="D198" s="32" t="inlineStr">
        <is>
          <t>Shyam Metalics &amp; Energy Ltd</t>
        </is>
      </c>
      <c r="E198" s="30" t="inlineStr">
        <is>
          <t>metals &amp; mining</t>
        </is>
      </c>
      <c r="F198" s="30" t="inlineStr">
        <is>
          <t>steel - large</t>
        </is>
      </c>
      <c r="G198" s="30" t="inlineStr">
        <is>
          <t>largecap</t>
        </is>
      </c>
      <c r="H198" s="31" t="n">
        <v>27484.72</v>
      </c>
      <c r="I198" s="31" t="n">
        <v>979.95</v>
      </c>
      <c r="J198" s="31" t="n">
        <v>-0.48</v>
      </c>
      <c r="K198" s="31" t="n">
        <v>286092</v>
      </c>
      <c r="L198" s="30" t="n">
        <v>28</v>
      </c>
      <c r="M198" s="30" t="inlineStr">
        <is>
          <t>Underperforming</t>
        </is>
      </c>
      <c r="N198" s="31">
        <f>IF(M198="Underperforming",-5,IF(L198&gt;=95,15,IF(L198&gt;=90,10,IF(L198&gt;=80,5,0))))</f>
        <v/>
      </c>
      <c r="O198" s="31" t="n">
        <v>64.09</v>
      </c>
      <c r="P198" s="31" t="n">
        <v>13.8</v>
      </c>
      <c r="Q198" s="31" t="n">
        <v>790.34</v>
      </c>
      <c r="R198" s="30" t="inlineStr">
        <is>
          <t>Near 52W High Breakout</t>
        </is>
      </c>
      <c r="S198" s="30" t="inlineStr">
        <is>
          <t>Nifty Metal</t>
        </is>
      </c>
      <c r="T198" s="31" t="n">
        <v>43.89</v>
      </c>
      <c r="U198" s="31" t="n">
        <v>13.11</v>
      </c>
      <c r="V198" s="31" t="n">
        <v>-21.39</v>
      </c>
      <c r="W198" s="31" t="n">
        <v>7.84</v>
      </c>
      <c r="X198" s="30" t="inlineStr">
        <is>
          <t>Cyclical in an Upturn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Cyclical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Volatile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0 to 20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IF(B199=0,"",RANK(B199,$B$2:$B$293,0))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KAJARIACER</t>
        </is>
      </c>
      <c r="D199" s="30" t="inlineStr">
        <is>
          <t>Kajaria Ceramics Limited</t>
        </is>
      </c>
      <c r="E199" s="30" t="inlineStr">
        <is>
          <t>building materials</t>
        </is>
      </c>
      <c r="F199" s="30" t="inlineStr">
        <is>
          <t>ceramics - tiles / sanitaryware</t>
        </is>
      </c>
      <c r="G199" s="30" t="inlineStr">
        <is>
          <t>midcap</t>
        </is>
      </c>
      <c r="H199" s="31" t="n">
        <v>17781.16</v>
      </c>
      <c r="I199" s="31" t="n">
        <v>1110.2</v>
      </c>
      <c r="J199" s="31" t="n">
        <v>-0.5600000000000001</v>
      </c>
      <c r="K199" s="31" t="n">
        <v>253504</v>
      </c>
      <c r="L199" s="30" t="n">
        <v>25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55.29</v>
      </c>
      <c r="P199" s="31" t="n">
        <v>18.2</v>
      </c>
      <c r="Q199" s="31" t="n">
        <v>985.2</v>
      </c>
      <c r="R199" s="30" t="inlineStr">
        <is>
          <t>Earnings / Momentum Support</t>
        </is>
      </c>
      <c r="S199" s="30" t="inlineStr">
        <is>
          <t>Nifty Infra</t>
        </is>
      </c>
      <c r="T199" s="31" t="n">
        <v>1.52</v>
      </c>
      <c r="U199" s="31" t="n">
        <v>10.74</v>
      </c>
      <c r="V199" s="31" t="n">
        <v>9.08</v>
      </c>
      <c r="W199" s="31" t="n">
        <v>6.81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0 to 20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IF(B200=0,"",RANK(B200,$B$2:$B$293,0))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REDTAPE</t>
        </is>
      </c>
      <c r="D200" s="30" t="inlineStr">
        <is>
          <t>Redtape Ltd</t>
        </is>
      </c>
      <c r="E200" s="30" t="inlineStr">
        <is>
          <t>consumer discretionary</t>
        </is>
      </c>
      <c r="F200" s="30" t="inlineStr">
        <is>
          <t>trading</t>
        </is>
      </c>
      <c r="G200" s="30" t="inlineStr">
        <is>
          <t>midcap</t>
        </is>
      </c>
      <c r="H200" s="31" t="n">
        <v>7628.19</v>
      </c>
      <c r="I200" s="31" t="n">
        <v>137.03</v>
      </c>
      <c r="J200" s="31" t="n">
        <v>-0.7</v>
      </c>
      <c r="K200" s="31" t="n">
        <v>770730</v>
      </c>
      <c r="L200" s="30" t="n">
        <v>13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54.97</v>
      </c>
      <c r="P200" s="31" t="n">
        <v>18.86</v>
      </c>
      <c r="Q200" s="31" t="n">
        <v>101.22</v>
      </c>
      <c r="R200" s="30" t="inlineStr">
        <is>
          <t>Earnings / Momentum Support</t>
        </is>
      </c>
      <c r="S200" s="30" t="inlineStr">
        <is>
          <t>Nifty 50</t>
        </is>
      </c>
      <c r="T200" s="31" t="n">
        <v>-6.39</v>
      </c>
      <c r="U200" s="31" t="n">
        <v>2.91</v>
      </c>
      <c r="V200" s="31" t="n">
        <v>9.94</v>
      </c>
      <c r="W200" s="31" t="n">
        <v>4.27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0 to 20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Between 50% to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Between 0.7 to 1.2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IF(B201=0,"",RANK(B201,$B$2:$B$293,0))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DLINKINDIA</t>
        </is>
      </c>
      <c r="D201" s="30" t="inlineStr">
        <is>
          <t>D-link (india) Limited</t>
        </is>
      </c>
      <c r="E201" s="30" t="inlineStr">
        <is>
          <t>services</t>
        </is>
      </c>
      <c r="F201" s="30" t="inlineStr">
        <is>
          <t>trading</t>
        </is>
      </c>
      <c r="G201" s="30" t="inlineStr">
        <is>
          <t>smallcap</t>
        </is>
      </c>
      <c r="H201" s="31" t="n">
        <v>1687.9</v>
      </c>
      <c r="I201" s="31" t="n">
        <v>471.7</v>
      </c>
      <c r="J201" s="31" t="n">
        <v>-0.78</v>
      </c>
      <c r="K201" s="31" t="n">
        <v>102459</v>
      </c>
      <c r="L201" s="30" t="n">
        <v>10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59.6</v>
      </c>
      <c r="P201" s="31" t="n">
        <v>23.17</v>
      </c>
      <c r="Q201" s="31" t="n">
        <v>389.85</v>
      </c>
      <c r="R201" s="30" t="inlineStr">
        <is>
          <t>Earnings / Momentum Support</t>
        </is>
      </c>
      <c r="S201" s="30" t="inlineStr">
        <is>
          <t>Nifty 50</t>
        </is>
      </c>
      <c r="T201" s="31" t="n">
        <v>-6.39</v>
      </c>
      <c r="U201" s="31" t="n">
        <v>-1.55</v>
      </c>
      <c r="V201" s="31" t="n">
        <v>5.17</v>
      </c>
      <c r="W201" s="31" t="n">
        <v>3.88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No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Less than 50%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IF(B202=0,"",RANK(B202,$B$2:$B$293,0))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KINGFA</t>
        </is>
      </c>
      <c r="D202" s="30" t="inlineStr">
        <is>
          <t>Kingfa Science &amp; Technology (india) Limited</t>
        </is>
      </c>
      <c r="E202" s="30" t="inlineStr">
        <is>
          <t>plastic products</t>
        </is>
      </c>
      <c r="F202" s="30" t="inlineStr">
        <is>
          <t>plastics products</t>
        </is>
      </c>
      <c r="G202" s="30" t="inlineStr">
        <is>
          <t>midcap</t>
        </is>
      </c>
      <c r="H202" s="31" t="n">
        <v>7236.44</v>
      </c>
      <c r="I202" s="31" t="n">
        <v>5274</v>
      </c>
      <c r="J202" s="31" t="n">
        <v>-1.24</v>
      </c>
      <c r="K202" s="31" t="n">
        <v>7305</v>
      </c>
      <c r="L202" s="30" t="n">
        <v>62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62.39</v>
      </c>
      <c r="P202" s="31" t="n">
        <v>22.02</v>
      </c>
      <c r="Q202" s="31" t="n">
        <v>4205</v>
      </c>
      <c r="R202" s="30" t="inlineStr">
        <is>
          <t>Near 52W High Breakout</t>
        </is>
      </c>
      <c r="S202" s="30" t="inlineStr">
        <is>
          <t>Nifty 50</t>
        </is>
      </c>
      <c r="T202" s="31" t="n">
        <v>-6.39</v>
      </c>
      <c r="U202" s="31" t="n">
        <v>64.03</v>
      </c>
      <c r="V202" s="31" t="n">
        <v>75.23</v>
      </c>
      <c r="W202" s="31" t="n">
        <v>16.7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Negative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Between 12 to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IF(B203=0,"",RANK(B203,$B$2:$B$293,0))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RPEL</t>
        </is>
      </c>
      <c r="D203" s="30" t="inlineStr">
        <is>
          <t>Raghav Productivity Enhancers Ltd</t>
        </is>
      </c>
      <c r="E203" s="30" t="inlineStr">
        <is>
          <t>building materials</t>
        </is>
      </c>
      <c r="F203" s="30" t="inlineStr">
        <is>
          <t>refractories / intermediates</t>
        </is>
      </c>
      <c r="G203" s="30" t="inlineStr">
        <is>
          <t>smallcap</t>
        </is>
      </c>
      <c r="H203" s="31" t="n">
        <v>4633.44</v>
      </c>
      <c r="I203" s="31" t="n">
        <v>992.7</v>
      </c>
      <c r="J203" s="31" t="n">
        <v>-1.64</v>
      </c>
      <c r="K203" s="31" t="n">
        <v>68259</v>
      </c>
      <c r="L203" s="30" t="n">
        <v>69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69.12</v>
      </c>
      <c r="P203" s="31" t="n">
        <v>28.2</v>
      </c>
      <c r="Q203" s="31" t="n">
        <v>737.77</v>
      </c>
      <c r="R203" s="30" t="inlineStr">
        <is>
          <t>Earnings / Momentum Support</t>
        </is>
      </c>
      <c r="S203" s="30" t="inlineStr">
        <is>
          <t>Nifty Infra</t>
        </is>
      </c>
      <c r="T203" s="31" t="n">
        <v>1.52</v>
      </c>
      <c r="U203" s="31" t="n">
        <v>39.66</v>
      </c>
      <c r="V203" s="31" t="n">
        <v>37.57</v>
      </c>
      <c r="W203" s="31" t="n">
        <v>20.48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Headwind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Between 1.5 to 2</t>
        </is>
      </c>
      <c r="BU203" s="30">
        <f>IF(BT203="Above 2",0,IF(BT203="Between 1.5 to 2",5,IF(BT203="Less than 1.5",10,0)))</f>
        <v/>
      </c>
      <c r="BV203" s="30" t="inlineStr">
        <is>
          <t>Less than 50%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IF(B204=0,"",RANK(B204,$B$2:$B$293,0))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ADANIENSOL</t>
        </is>
      </c>
      <c r="D204" s="30" t="inlineStr">
        <is>
          <t>Adani Energy Solutions Ltd</t>
        </is>
      </c>
      <c r="E204" s="30" t="inlineStr">
        <is>
          <t>power &amp; utilities</t>
        </is>
      </c>
      <c r="F204" s="30" t="inlineStr">
        <is>
          <t>power generation and supply</t>
        </is>
      </c>
      <c r="G204" s="30" t="inlineStr">
        <is>
          <t>largecap</t>
        </is>
      </c>
      <c r="H204" s="31" t="n">
        <v>183868.32</v>
      </c>
      <c r="I204" s="31" t="n">
        <v>1493.1</v>
      </c>
      <c r="J204" s="31" t="n">
        <v>-2.45</v>
      </c>
      <c r="K204" s="31" t="n">
        <v>4433558</v>
      </c>
      <c r="L204" s="30" t="n">
        <v>76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71.39</v>
      </c>
      <c r="P204" s="31" t="n">
        <v>30.74</v>
      </c>
      <c r="Q204" s="31" t="n">
        <v>1173.91</v>
      </c>
      <c r="R204" s="30" t="inlineStr">
        <is>
          <t>Near 52W High Breakout</t>
        </is>
      </c>
      <c r="S204" s="30" t="inlineStr">
        <is>
          <t>Nifty IT</t>
        </is>
      </c>
      <c r="T204" s="31" t="n">
        <v>-21.21</v>
      </c>
      <c r="U204" s="31" t="n">
        <v>68.88</v>
      </c>
      <c r="V204" s="31" t="n">
        <v>114.35</v>
      </c>
      <c r="W204" s="31" t="n">
        <v>23.45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More than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IF(B205=0,"",RANK(B205,$B$2:$B$293,0))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2" t="inlineStr">
        <is>
          <t>ZIMLAB</t>
        </is>
      </c>
      <c r="D205" s="32" t="inlineStr">
        <is>
          <t>Zim Laboratories Ltd</t>
        </is>
      </c>
      <c r="E205" s="30" t="inlineStr">
        <is>
          <t>healthcare</t>
        </is>
      </c>
      <c r="F205" s="30" t="inlineStr">
        <is>
          <t>pharmaceuticals - indian - bulk drugs &amp; formln</t>
        </is>
      </c>
      <c r="G205" s="30" t="inlineStr">
        <is>
          <t>smallcap</t>
        </is>
      </c>
      <c r="H205" s="31" t="n">
        <v>555.92</v>
      </c>
      <c r="I205" s="31" t="n">
        <v>107.89</v>
      </c>
      <c r="J205" s="31" t="n">
        <v>3.83</v>
      </c>
      <c r="K205" s="31" t="n">
        <v>47939</v>
      </c>
      <c r="L205" s="30" t="n">
        <v>64</v>
      </c>
      <c r="M205" s="30" t="inlineStr">
        <is>
          <t>Underperforming</t>
        </is>
      </c>
      <c r="N205" s="31">
        <f>IF(M205="Underperforming",-5,IF(L205&gt;=95,15,IF(L205&gt;=90,10,IF(L205&gt;=80,5,0))))</f>
        <v/>
      </c>
      <c r="O205" s="31" t="n">
        <v>73.2</v>
      </c>
      <c r="P205" s="31" t="n">
        <v>38.42</v>
      </c>
      <c r="Q205" s="31" t="n">
        <v>77.27</v>
      </c>
      <c r="R205" s="30" t="inlineStr">
        <is>
          <t>Earnings / Momentum Support</t>
        </is>
      </c>
      <c r="S205" s="30" t="inlineStr">
        <is>
          <t>Nifty Pharma</t>
        </is>
      </c>
      <c r="T205" s="31" t="n">
        <v>11.08</v>
      </c>
      <c r="U205" s="31" t="n">
        <v>7.93</v>
      </c>
      <c r="V205" s="31" t="n">
        <v>-2.83</v>
      </c>
      <c r="W205" s="31" t="n">
        <v>17.52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Yes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No</t>
        </is>
      </c>
      <c r="AQ205" s="30">
        <f>IF(AP205="Yes",10,0)</f>
        <v/>
      </c>
      <c r="AR205" s="30" t="inlineStr">
        <is>
          <t>Higher Annuity, Lower One Time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IF(B206=0,"",RANK(B206,$B$2:$B$293,0))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APCOTEXIND</t>
        </is>
      </c>
      <c r="D206" s="30" t="inlineStr">
        <is>
          <t>Apcotex Industries Limited</t>
        </is>
      </c>
      <c r="E206" s="30" t="inlineStr">
        <is>
          <t>chemicals</t>
        </is>
      </c>
      <c r="F206" s="30" t="inlineStr">
        <is>
          <t>miscellaneous</t>
        </is>
      </c>
      <c r="G206" s="30" t="inlineStr">
        <is>
          <t>smallcap</t>
        </is>
      </c>
      <c r="H206" s="31" t="n">
        <v>2561.66</v>
      </c>
      <c r="I206" s="31" t="n">
        <v>498.45</v>
      </c>
      <c r="J206" s="31" t="n">
        <v>0.88</v>
      </c>
      <c r="K206" s="31" t="n">
        <v>114425</v>
      </c>
      <c r="L206" s="30" t="n">
        <v>52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68.54000000000001</v>
      </c>
      <c r="P206" s="31" t="n">
        <v>29.31</v>
      </c>
      <c r="Q206" s="31" t="n">
        <v>403.23</v>
      </c>
      <c r="R206" s="30" t="inlineStr">
        <is>
          <t>Near 52W High Breakout</t>
        </is>
      </c>
      <c r="S206" s="30" t="inlineStr">
        <is>
          <t>Nifty Infra</t>
        </is>
      </c>
      <c r="T206" s="31" t="n">
        <v>1.52</v>
      </c>
      <c r="U206" s="31" t="n">
        <v>35.37</v>
      </c>
      <c r="V206" s="31" t="n">
        <v>33.34</v>
      </c>
      <c r="W206" s="31" t="n">
        <v>14.29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Oligopoly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Cyclical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Fully One Time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Above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1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Sideways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Overhead supply in last 2 years in last 2 years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Between 50% to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IF(B207=0,"",RANK(B207,$B$2:$B$293,0))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NEULANDLAB</t>
        </is>
      </c>
      <c r="D207" s="30" t="inlineStr">
        <is>
          <t>Neuland Laboratories Limited</t>
        </is>
      </c>
      <c r="E207" s="30" t="inlineStr">
        <is>
          <t>healthcare</t>
        </is>
      </c>
      <c r="F207" s="30" t="inlineStr">
        <is>
          <t>pharmaceuticals - indian - bulk drugs</t>
        </is>
      </c>
      <c r="G207" s="30" t="inlineStr">
        <is>
          <t>largecap</t>
        </is>
      </c>
      <c r="H207" s="31" t="n">
        <v>21694.06</v>
      </c>
      <c r="I207" s="31" t="n">
        <v>16992</v>
      </c>
      <c r="J207" s="31" t="n">
        <v>0.49</v>
      </c>
      <c r="K207" s="31" t="n">
        <v>26919</v>
      </c>
      <c r="L207" s="30" t="n">
        <v>48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61.69</v>
      </c>
      <c r="P207" s="31" t="n">
        <v>29.47</v>
      </c>
      <c r="Q207" s="31" t="n">
        <v>13749.04</v>
      </c>
      <c r="R207" s="30" t="inlineStr">
        <is>
          <t>Near 52W High Breakout</t>
        </is>
      </c>
      <c r="S207" s="30" t="inlineStr">
        <is>
          <t>Nifty Pharma</t>
        </is>
      </c>
      <c r="T207" s="31" t="n">
        <v>11.08</v>
      </c>
      <c r="U207" s="31" t="n">
        <v>30.51</v>
      </c>
      <c r="V207" s="31" t="n">
        <v>17.5</v>
      </c>
      <c r="W207" s="31" t="n">
        <v>13.15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Yes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Annuity, Lower One Time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IF(B208=0,"",RANK(B208,$B$2:$B$293,0))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VADILALIND</t>
        </is>
      </c>
      <c r="D208" s="30" t="inlineStr">
        <is>
          <t>Vadilal Industries Limited</t>
        </is>
      </c>
      <c r="E208" s="30" t="inlineStr">
        <is>
          <t>fmcg</t>
        </is>
      </c>
      <c r="F208" s="30" t="inlineStr">
        <is>
          <t>food - processing - indian</t>
        </is>
      </c>
      <c r="G208" s="30" t="inlineStr">
        <is>
          <t>smallcap</t>
        </is>
      </c>
      <c r="H208" s="31" t="n">
        <v>3870.57</v>
      </c>
      <c r="I208" s="31" t="n">
        <v>5393.9</v>
      </c>
      <c r="J208" s="31" t="n">
        <v>0.17</v>
      </c>
      <c r="K208" s="31" t="n">
        <v>35478</v>
      </c>
      <c r="L208" s="30" t="n">
        <v>3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60.15</v>
      </c>
      <c r="P208" s="31" t="n">
        <v>10.29</v>
      </c>
      <c r="Q208" s="31" t="n">
        <v>4112.35</v>
      </c>
      <c r="R208" s="30" t="inlineStr">
        <is>
          <t>Volume Spike &amp; Near 52W High Breakout</t>
        </is>
      </c>
      <c r="S208" s="30" t="inlineStr">
        <is>
          <t>Nifty FMCG</t>
        </is>
      </c>
      <c r="T208" s="31" t="n">
        <v>-13.76</v>
      </c>
      <c r="U208" s="31" t="n">
        <v>-0.59</v>
      </c>
      <c r="V208" s="31" t="n">
        <v>15.27</v>
      </c>
      <c r="W208" s="31" t="n">
        <v>1.1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B2C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1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Between 50% to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IF(B209=0,"",RANK(B209,$B$2:$B$293,0))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INDSWFTLAB</t>
        </is>
      </c>
      <c r="D209" s="30" t="inlineStr">
        <is>
          <t>Ind-swift Laboratories Limited</t>
        </is>
      </c>
      <c r="E209" s="30" t="inlineStr">
        <is>
          <t>healthcare</t>
        </is>
      </c>
      <c r="F209" s="30" t="inlineStr">
        <is>
          <t>pharmaceuticals - indian - bulk drugs &amp; formln</t>
        </is>
      </c>
      <c r="G209" s="30" t="inlineStr">
        <is>
          <t>smallcap</t>
        </is>
      </c>
      <c r="H209" s="31" t="n">
        <v>1407.62</v>
      </c>
      <c r="I209" s="31" t="n">
        <v>157.11</v>
      </c>
      <c r="J209" s="31" t="n">
        <v>-3.08</v>
      </c>
      <c r="K209" s="31" t="n">
        <v>862853</v>
      </c>
      <c r="L209" s="30" t="n">
        <v>56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70.61</v>
      </c>
      <c r="P209" s="31" t="n">
        <v>32.77</v>
      </c>
      <c r="Q209" s="31" t="n">
        <v>111.25</v>
      </c>
      <c r="R209" s="30" t="inlineStr">
        <is>
          <t>Near 52W High Breakout</t>
        </is>
      </c>
      <c r="S209" s="30" t="inlineStr">
        <is>
          <t>Nifty Pharma</t>
        </is>
      </c>
      <c r="T209" s="31" t="n">
        <v>11.08</v>
      </c>
      <c r="U209" s="31" t="n">
        <v>69.54000000000001</v>
      </c>
      <c r="V209" s="31" t="n">
        <v>52.63</v>
      </c>
      <c r="W209" s="31" t="n">
        <v>15.28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Negative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IF(B210=0,"",RANK(B210,$B$2:$B$293,0))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2" t="inlineStr">
        <is>
          <t>KPRMILL</t>
        </is>
      </c>
      <c r="D210" s="32" t="inlineStr">
        <is>
          <t>K.p.r. Mill Limited</t>
        </is>
      </c>
      <c r="E210" s="30" t="inlineStr">
        <is>
          <t>consumer discretionary</t>
        </is>
      </c>
      <c r="F210" s="30" t="inlineStr">
        <is>
          <t>textiles - products</t>
        </is>
      </c>
      <c r="G210" s="30" t="inlineStr">
        <is>
          <t>largecap</t>
        </is>
      </c>
      <c r="H210" s="31" t="n">
        <v>34150.64</v>
      </c>
      <c r="I210" s="31" t="n">
        <v>1085.8</v>
      </c>
      <c r="J210" s="31" t="n">
        <v>8.68</v>
      </c>
      <c r="K210" s="31" t="n">
        <v>1459589</v>
      </c>
      <c r="L210" s="30" t="n">
        <v>21</v>
      </c>
      <c r="M210" s="30" t="inlineStr">
        <is>
          <t>Underperforming</t>
        </is>
      </c>
      <c r="N210" s="31">
        <f>IF(M210="Underperforming",-5,IF(L210&gt;=95,15,IF(L210&gt;=90,10,IF(L210&gt;=80,5,0))))</f>
        <v/>
      </c>
      <c r="O210" s="31" t="n">
        <v>66.17</v>
      </c>
      <c r="P210" s="31" t="n">
        <v>19.62</v>
      </c>
      <c r="Q210" s="31" t="n">
        <v>856.05</v>
      </c>
      <c r="R210" s="30" t="inlineStr">
        <is>
          <t>Volume Spike / Accumulation</t>
        </is>
      </c>
      <c r="S210" s="30" t="inlineStr">
        <is>
          <t>Nifty 500</t>
        </is>
      </c>
      <c r="T210" s="31" t="n">
        <v>-3.08</v>
      </c>
      <c r="U210" s="31" t="n">
        <v>-3.49</v>
      </c>
      <c r="V210" s="31" t="n">
        <v>-0.43</v>
      </c>
      <c r="W210" s="31" t="n">
        <v>6.23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Less than 12%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IF(B211=0,"",RANK(B211,$B$2:$B$293,0))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AEROFLEX</t>
        </is>
      </c>
      <c r="D211" s="30" t="inlineStr">
        <is>
          <t>Aeroflex Industries Ltd</t>
        </is>
      </c>
      <c r="E211" s="30" t="inlineStr">
        <is>
          <t>metals &amp; mining</t>
        </is>
      </c>
      <c r="F211" s="30" t="inlineStr">
        <is>
          <t>steel - medium / small</t>
        </is>
      </c>
      <c r="G211" s="30" t="inlineStr">
        <is>
          <t>midcap</t>
        </is>
      </c>
      <c r="H211" s="31" t="n">
        <v>5550.61</v>
      </c>
      <c r="I211" s="31" t="n">
        <v>434.4</v>
      </c>
      <c r="J211" s="31" t="n">
        <v>3.56</v>
      </c>
      <c r="K211" s="31" t="n">
        <v>3666854</v>
      </c>
      <c r="L211" s="30" t="n">
        <v>94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72.16</v>
      </c>
      <c r="P211" s="31" t="n">
        <v>53.76</v>
      </c>
      <c r="Q211" s="31" t="n">
        <v>306.29</v>
      </c>
      <c r="R211" s="30" t="inlineStr">
        <is>
          <t>Near 52W High Breakout</t>
        </is>
      </c>
      <c r="S211" s="30" t="inlineStr">
        <is>
          <t>Nifty Metal</t>
        </is>
      </c>
      <c r="T211" s="31" t="n">
        <v>43.89</v>
      </c>
      <c r="U211" s="31" t="n">
        <v>166.88</v>
      </c>
      <c r="V211" s="31" t="n">
        <v>85.47</v>
      </c>
      <c r="W211" s="31" t="n">
        <v>45.55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Cyclical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Volatile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Above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Negative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Between 1.5 to 2</t>
        </is>
      </c>
      <c r="BU211" s="30">
        <f>IF(BT211="Above 2",0,IF(BT211="Between 1.5 to 2",5,IF(BT211="Less than 1.5",10,0)))</f>
        <v/>
      </c>
      <c r="BV211" s="30" t="inlineStr">
        <is>
          <t>Between 50% to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IF(B212=0,"",RANK(B212,$B$2:$B$293,0))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2" t="inlineStr">
        <is>
          <t>TITAGARH</t>
        </is>
      </c>
      <c r="D212" s="32" t="inlineStr">
        <is>
          <t>Titagarh Rail Systems Ltd</t>
        </is>
      </c>
      <c r="E212" s="30" t="inlineStr">
        <is>
          <t>industrials</t>
        </is>
      </c>
      <c r="F212" s="30" t="inlineStr">
        <is>
          <t>engineering</t>
        </is>
      </c>
      <c r="G212" s="30" t="inlineStr">
        <is>
          <t>midcap</t>
        </is>
      </c>
      <c r="H212" s="31" t="n">
        <v>11237.18</v>
      </c>
      <c r="I212" s="31" t="n">
        <v>853.35</v>
      </c>
      <c r="J212" s="31" t="n">
        <v>2.27</v>
      </c>
      <c r="K212" s="31" t="n">
        <v>1497714</v>
      </c>
      <c r="L212" s="30" t="n">
        <v>11</v>
      </c>
      <c r="M212" s="30" t="inlineStr">
        <is>
          <t>Underperforming</t>
        </is>
      </c>
      <c r="N212" s="31">
        <f>IF(M212="Underperforming",-5,IF(L212&gt;=95,15,IF(L212&gt;=90,10,IF(L212&gt;=80,5,0))))</f>
        <v/>
      </c>
      <c r="O212" s="31" t="n">
        <v>58.8</v>
      </c>
      <c r="P212" s="31" t="n">
        <v>21.44</v>
      </c>
      <c r="Q212" s="31" t="n">
        <v>652</v>
      </c>
      <c r="R212" s="30" t="inlineStr">
        <is>
          <t>Earnings / Momentum Support</t>
        </is>
      </c>
      <c r="S212" s="30" t="inlineStr">
        <is>
          <t>Nifty 50</t>
        </is>
      </c>
      <c r="T212" s="31" t="n">
        <v>-6.39</v>
      </c>
      <c r="U212" s="31" t="n">
        <v>-9.199999999999999</v>
      </c>
      <c r="V212" s="31" t="n">
        <v>-3</v>
      </c>
      <c r="W212" s="31" t="n">
        <v>4.08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Less than 12%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IF(B213=0,"",RANK(B213,$B$2:$B$293,0))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BOROSCI</t>
        </is>
      </c>
      <c r="D213" s="30" t="inlineStr">
        <is>
          <t>Borosil Scientific Ltd</t>
        </is>
      </c>
      <c r="E213" s="30" t="inlineStr">
        <is>
          <t>building materials</t>
        </is>
      </c>
      <c r="F213" s="30" t="inlineStr">
        <is>
          <t>glass &amp; glass products</t>
        </is>
      </c>
      <c r="G213" s="30" t="inlineStr">
        <is>
          <t>smallcap</t>
        </is>
      </c>
      <c r="H213" s="31" t="n">
        <v>1347.28</v>
      </c>
      <c r="I213" s="31" t="n">
        <v>154.28</v>
      </c>
      <c r="J213" s="31" t="n">
        <v>1.86</v>
      </c>
      <c r="K213" s="31" t="n">
        <v>204737</v>
      </c>
      <c r="L213" s="30" t="n">
        <v>53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70.04000000000001</v>
      </c>
      <c r="P213" s="31" t="n">
        <v>18.66</v>
      </c>
      <c r="Q213" s="31" t="n">
        <v>116.11</v>
      </c>
      <c r="R213" s="30" t="inlineStr">
        <is>
          <t>Earnings / Momentum Support</t>
        </is>
      </c>
      <c r="S213" s="30" t="inlineStr">
        <is>
          <t>Nifty Infra</t>
        </is>
      </c>
      <c r="T213" s="31" t="n">
        <v>1.52</v>
      </c>
      <c r="U213" s="31" t="n">
        <v>12.04</v>
      </c>
      <c r="V213" s="31" t="n">
        <v>10.36</v>
      </c>
      <c r="W213" s="31" t="n">
        <v>14.44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No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Between 50% to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IF(B214=0,"",RANK(B214,$B$2:$B$293,0))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WSTCSTPAPR</t>
        </is>
      </c>
      <c r="D214" s="30" t="inlineStr">
        <is>
          <t>West Coast Paper Mills Limited</t>
        </is>
      </c>
      <c r="E214" s="30" t="inlineStr">
        <is>
          <t>building materials</t>
        </is>
      </c>
      <c r="F214" s="30" t="inlineStr">
        <is>
          <t>paper</t>
        </is>
      </c>
      <c r="G214" s="30" t="inlineStr">
        <is>
          <t>smallcap</t>
        </is>
      </c>
      <c r="H214" s="31" t="n">
        <v>3439.5</v>
      </c>
      <c r="I214" s="31" t="n">
        <v>520.6</v>
      </c>
      <c r="J214" s="31" t="n">
        <v>-0.03</v>
      </c>
      <c r="K214" s="31" t="n">
        <v>160491</v>
      </c>
      <c r="L214" s="30" t="n">
        <v>32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61.66</v>
      </c>
      <c r="P214" s="31" t="n">
        <v>26.06</v>
      </c>
      <c r="Q214" s="31" t="n">
        <v>402.74</v>
      </c>
      <c r="R214" s="30" t="inlineStr">
        <is>
          <t>Earnings / Momentum Support</t>
        </is>
      </c>
      <c r="S214" s="30" t="inlineStr">
        <is>
          <t>Nifty Infra</t>
        </is>
      </c>
      <c r="T214" s="31" t="n">
        <v>1.52</v>
      </c>
      <c r="U214" s="31" t="n">
        <v>5.99</v>
      </c>
      <c r="V214" s="31" t="n">
        <v>4.4</v>
      </c>
      <c r="W214" s="31" t="n">
        <v>9.09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Negative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Between 12 to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IF(B215=0,"",RANK(B215,$B$2:$B$293,0))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2" t="inlineStr">
        <is>
          <t>NSLNISP</t>
        </is>
      </c>
      <c r="D215" s="32" t="inlineStr">
        <is>
          <t>NMDC Steel Ltd</t>
        </is>
      </c>
      <c r="E215" s="30" t="inlineStr">
        <is>
          <t>metals &amp; mining</t>
        </is>
      </c>
      <c r="F215" s="30" t="inlineStr">
        <is>
          <t>steel - large</t>
        </is>
      </c>
      <c r="G215" s="30" t="inlineStr">
        <is>
          <t>midcap</t>
        </is>
      </c>
      <c r="H215" s="31" t="n">
        <v>15400.33</v>
      </c>
      <c r="I215" s="31" t="n">
        <v>52.45</v>
      </c>
      <c r="J215" s="31" t="n">
        <v>-0.19</v>
      </c>
      <c r="K215" s="31" t="n">
        <v>21011794</v>
      </c>
      <c r="L215" s="30" t="n">
        <v>52</v>
      </c>
      <c r="M215" s="30" t="inlineStr">
        <is>
          <t>Underperforming</t>
        </is>
      </c>
      <c r="N215" s="31">
        <f>IF(M215="Underperforming",-5,IF(L215&gt;=95,15,IF(L215&gt;=90,10,IF(L215&gt;=80,5,0))))</f>
        <v/>
      </c>
      <c r="O215" s="31" t="n">
        <v>70.94</v>
      </c>
      <c r="P215" s="31" t="n">
        <v>24.11</v>
      </c>
      <c r="Q215" s="31" t="n">
        <v>41.5</v>
      </c>
      <c r="R215" s="30" t="inlineStr">
        <is>
          <t>Volume Spike &amp; Near 52W High Breakout</t>
        </is>
      </c>
      <c r="S215" s="30" t="inlineStr">
        <is>
          <t>Nifty Metal</t>
        </is>
      </c>
      <c r="T215" s="31" t="n">
        <v>43.89</v>
      </c>
      <c r="U215" s="31" t="n">
        <v>33.02</v>
      </c>
      <c r="V215" s="31" t="n">
        <v>-7.56</v>
      </c>
      <c r="W215" s="31" t="n">
        <v>14.08</v>
      </c>
      <c r="X215" s="30" t="inlineStr">
        <is>
          <t>Cyclical in an Upturn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Cyclical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Volatile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IF(B216=0,"",RANK(B216,$B$2:$B$293,0))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SBC</t>
        </is>
      </c>
      <c r="D216" s="30" t="inlineStr">
        <is>
          <t>SBC Exports Ltd</t>
        </is>
      </c>
      <c r="E216" s="30" t="inlineStr">
        <is>
          <t>textiles</t>
        </is>
      </c>
      <c r="F216" s="30" t="inlineStr">
        <is>
          <t>textiles - products</t>
        </is>
      </c>
      <c r="G216" s="30" t="inlineStr">
        <is>
          <t>smallcap</t>
        </is>
      </c>
      <c r="H216" s="31" t="n">
        <v>1752.86</v>
      </c>
      <c r="I216" s="31" t="n">
        <v>36.74</v>
      </c>
      <c r="J216" s="31" t="n">
        <v>-0.19</v>
      </c>
      <c r="K216" s="31" t="n">
        <v>9322993</v>
      </c>
      <c r="L216" s="30" t="n">
        <v>77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68.89</v>
      </c>
      <c r="P216" s="31" t="n">
        <v>22.68</v>
      </c>
      <c r="Q216" s="31" t="n">
        <v>32.66</v>
      </c>
      <c r="R216" s="30" t="inlineStr">
        <is>
          <t>Earnings / Momentum Support</t>
        </is>
      </c>
      <c r="S216" s="30" t="inlineStr">
        <is>
          <t>Nifty 50</t>
        </is>
      </c>
      <c r="T216" s="31" t="n">
        <v>-6.39</v>
      </c>
      <c r="U216" s="31" t="n">
        <v>149.59</v>
      </c>
      <c r="V216" s="31" t="n">
        <v>166.63</v>
      </c>
      <c r="W216" s="31" t="n">
        <v>23.62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More than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IF(B217=0,"",RANK(B217,$B$2:$B$293,0))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MARINE</t>
        </is>
      </c>
      <c r="D217" s="30" t="inlineStr">
        <is>
          <t>Marine Electricals (India) Ltd</t>
        </is>
      </c>
      <c r="E217" s="30" t="inlineStr">
        <is>
          <t>industrials</t>
        </is>
      </c>
      <c r="F217" s="30" t="inlineStr">
        <is>
          <t>electric equipment</t>
        </is>
      </c>
      <c r="G217" s="30" t="inlineStr">
        <is>
          <t>smallcap</t>
        </is>
      </c>
      <c r="H217" s="31" t="n">
        <v>633.2</v>
      </c>
      <c r="I217" s="31" t="n">
        <v>252.45</v>
      </c>
      <c r="J217" s="31" t="n">
        <v>-2.19</v>
      </c>
      <c r="K217" s="31" t="n">
        <v>866478</v>
      </c>
      <c r="L217" s="30" t="n">
        <v>35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61.01</v>
      </c>
      <c r="P217" s="31" t="n">
        <v>24.31</v>
      </c>
      <c r="Q217" s="31" t="n">
        <v>191.62</v>
      </c>
      <c r="R217" s="30" t="inlineStr">
        <is>
          <t>Earnings / Momentum Support</t>
        </is>
      </c>
      <c r="S217" s="30" t="inlineStr">
        <is>
          <t>Nifty 50</t>
        </is>
      </c>
      <c r="T217" s="31" t="n">
        <v>-6.39</v>
      </c>
      <c r="U217" s="31" t="n">
        <v>7.06</v>
      </c>
      <c r="V217" s="31" t="n">
        <v>14.37</v>
      </c>
      <c r="W217" s="31" t="n">
        <v>9.720000000000001</v>
      </c>
      <c r="X217" s="30" t="inlineStr">
        <is>
          <t>Cyclical in an Upturn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Between 1.5 to 2</t>
        </is>
      </c>
      <c r="BU217" s="30">
        <f>IF(BT217="Above 2",0,IF(BT217="Between 1.5 to 2",5,IF(BT217="Less than 1.5",10,0)))</f>
        <v/>
      </c>
      <c r="BV217" s="30" t="inlineStr">
        <is>
          <t>Negative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IF(B218=0,"",RANK(B218,$B$2:$B$293,0))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ZYDUSLIFE</t>
        </is>
      </c>
      <c r="D218" s="30" t="inlineStr">
        <is>
          <t>Zydus Lifesciences Ltd</t>
        </is>
      </c>
      <c r="E218" s="30" t="inlineStr">
        <is>
          <t>healthcare</t>
        </is>
      </c>
      <c r="F218" s="30" t="inlineStr">
        <is>
          <t>pharmaceuticals - indian - bulk drugs &amp; formln</t>
        </is>
      </c>
      <c r="G218" s="30" t="inlineStr">
        <is>
          <t>largecap</t>
        </is>
      </c>
      <c r="H218" s="31" t="n">
        <v>108502.21</v>
      </c>
      <c r="I218" s="31" t="n">
        <v>1076.6</v>
      </c>
      <c r="J218" s="31" t="n">
        <v>-0.16</v>
      </c>
      <c r="K218" s="31" t="n">
        <v>1403453</v>
      </c>
      <c r="L218" s="30" t="n">
        <v>22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69.58</v>
      </c>
      <c r="P218" s="31" t="n">
        <v>17.24</v>
      </c>
      <c r="Q218" s="31" t="n">
        <v>909.85</v>
      </c>
      <c r="R218" s="30" t="inlineStr">
        <is>
          <t>Near 52W High Breakout</t>
        </is>
      </c>
      <c r="S218" s="30" t="inlineStr">
        <is>
          <t>Nifty Pharma</t>
        </is>
      </c>
      <c r="T218" s="31" t="n">
        <v>11.08</v>
      </c>
      <c r="U218" s="31" t="n">
        <v>13.41</v>
      </c>
      <c r="V218" s="31" t="n">
        <v>2.1</v>
      </c>
      <c r="W218" s="31" t="n">
        <v>6.5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Yes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0 to 20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Less than 12%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Less than 50%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IF(B219=0,"",RANK(B219,$B$2:$B$293,0))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TATACOMM</t>
        </is>
      </c>
      <c r="D219" s="30" t="inlineStr">
        <is>
          <t>Tata Communications Limited</t>
        </is>
      </c>
      <c r="E219" s="30" t="inlineStr">
        <is>
          <t>telecom-service</t>
        </is>
      </c>
      <c r="F219" s="30" t="inlineStr">
        <is>
          <t>telecommunications - service provider</t>
        </is>
      </c>
      <c r="G219" s="30" t="inlineStr">
        <is>
          <t>largecap</t>
        </is>
      </c>
      <c r="H219" s="31" t="n">
        <v>54326.7</v>
      </c>
      <c r="I219" s="31" t="n">
        <v>1933.7</v>
      </c>
      <c r="J219" s="31" t="n">
        <v>1.44</v>
      </c>
      <c r="K219" s="31" t="n">
        <v>764419</v>
      </c>
      <c r="L219" s="30" t="n">
        <v>40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66.43000000000001</v>
      </c>
      <c r="P219" s="31" t="n">
        <v>27.67</v>
      </c>
      <c r="Q219" s="31" t="n">
        <v>1553.42</v>
      </c>
      <c r="R219" s="30" t="inlineStr">
        <is>
          <t>Near 52W High Breakout</t>
        </is>
      </c>
      <c r="S219" s="30" t="inlineStr">
        <is>
          <t>Nifty 500</t>
        </is>
      </c>
      <c r="T219" s="31" t="n">
        <v>-3.08</v>
      </c>
      <c r="U219" s="31" t="n">
        <v>14.56</v>
      </c>
      <c r="V219" s="31" t="n">
        <v>18.2</v>
      </c>
      <c r="W219" s="31" t="n">
        <v>11.03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Oligopoly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Yes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More than 1.2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IF(B220=0,"",RANK(B220,$B$2:$B$293,0))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2" t="inlineStr">
        <is>
          <t>SUPRAJIT</t>
        </is>
      </c>
      <c r="D220" s="32" t="inlineStr">
        <is>
          <t>Suprajit Engineering Limited</t>
        </is>
      </c>
      <c r="E220" s="30" t="inlineStr">
        <is>
          <t>auto</t>
        </is>
      </c>
      <c r="F220" s="30" t="inlineStr">
        <is>
          <t>auto ancillaries</t>
        </is>
      </c>
      <c r="G220" s="30" t="inlineStr">
        <is>
          <t>midcap</t>
        </is>
      </c>
      <c r="H220" s="31" t="n">
        <v>6299.58</v>
      </c>
      <c r="I220" s="31" t="n">
        <v>465.45</v>
      </c>
      <c r="J220" s="31" t="n">
        <v>1.35</v>
      </c>
      <c r="K220" s="31" t="n">
        <v>190228</v>
      </c>
      <c r="L220" s="30" t="n">
        <v>4</v>
      </c>
      <c r="M220" s="30" t="inlineStr">
        <is>
          <t>Underperforming</t>
        </is>
      </c>
      <c r="N220" s="31">
        <f>IF(M220="Underperforming",-5,IF(L220&gt;=95,15,IF(L220&gt;=90,10,IF(L220&gt;=80,5,0))))</f>
        <v/>
      </c>
      <c r="O220" s="31" t="n">
        <v>56.88</v>
      </c>
      <c r="P220" s="31" t="n">
        <v>16.7</v>
      </c>
      <c r="Q220" s="31" t="n">
        <v>363.26</v>
      </c>
      <c r="R220" s="30" t="inlineStr">
        <is>
          <t>Earnings / Momentum Support</t>
        </is>
      </c>
      <c r="S220" s="30" t="inlineStr">
        <is>
          <t>Nifty Auto</t>
        </is>
      </c>
      <c r="T220" s="31" t="n">
        <v>10.28</v>
      </c>
      <c r="U220" s="31" t="n">
        <v>-1.85</v>
      </c>
      <c r="V220" s="31" t="n">
        <v>-11</v>
      </c>
      <c r="W220" s="31" t="n">
        <v>1.66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0 to 20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Less than 50%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IF(B221=0,"",RANK(B221,$B$2:$B$293,0))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2" t="inlineStr">
        <is>
          <t>AJAXENGG</t>
        </is>
      </c>
      <c r="D221" s="32" t="inlineStr">
        <is>
          <t>Ajax Engineering Ltd</t>
        </is>
      </c>
      <c r="E221" s="30" t="inlineStr">
        <is>
          <t>industrials</t>
        </is>
      </c>
      <c r="F221" s="30" t="inlineStr">
        <is>
          <t>engineering</t>
        </is>
      </c>
      <c r="G221" s="30" t="inlineStr">
        <is>
          <t>midcap</t>
        </is>
      </c>
      <c r="H221" s="31" t="n">
        <v>6754.58</v>
      </c>
      <c r="I221" s="31" t="n">
        <v>596.5</v>
      </c>
      <c r="J221" s="31" t="n">
        <v>1.03</v>
      </c>
      <c r="K221" s="31" t="n">
        <v>117160</v>
      </c>
      <c r="L221" s="30" t="n">
        <v>14</v>
      </c>
      <c r="M221" s="30" t="inlineStr">
        <is>
          <t>Underperforming</t>
        </is>
      </c>
      <c r="N221" s="31">
        <f>IF(M221="Underperforming",-5,IF(L221&gt;=95,15,IF(L221&gt;=90,10,IF(L221&gt;=80,5,0))))</f>
        <v/>
      </c>
      <c r="O221" s="31" t="n">
        <v>59.37</v>
      </c>
      <c r="P221" s="31" t="n">
        <v>24.2</v>
      </c>
      <c r="Q221" s="31" t="n">
        <v>458.62</v>
      </c>
      <c r="R221" s="30" t="inlineStr">
        <is>
          <t>Earnings / Momentum Support</t>
        </is>
      </c>
      <c r="S221" s="30" t="inlineStr">
        <is>
          <t>Nifty Infra</t>
        </is>
      </c>
      <c r="T221" s="31" t="n">
        <v>1.52</v>
      </c>
      <c r="U221" s="31" t="n">
        <v>-4.22</v>
      </c>
      <c r="V221" s="31" t="n">
        <v>-5.65</v>
      </c>
      <c r="W221" s="31" t="n">
        <v>4.46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Headwind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IF(B222=0,"",RANK(B222,$B$2:$B$293,0))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BODALCHEM</t>
        </is>
      </c>
      <c r="D222" s="30" t="inlineStr">
        <is>
          <t>Bodal Chemicals Limited</t>
        </is>
      </c>
      <c r="E222" s="30" t="inlineStr">
        <is>
          <t>chemicals</t>
        </is>
      </c>
      <c r="F222" s="30" t="inlineStr">
        <is>
          <t>dyes and pigments</t>
        </is>
      </c>
      <c r="G222" s="30" t="inlineStr">
        <is>
          <t>smallcap</t>
        </is>
      </c>
      <c r="H222" s="31" t="n">
        <v>911.46</v>
      </c>
      <c r="I222" s="31" t="n">
        <v>72.81999999999999</v>
      </c>
      <c r="J222" s="31" t="n">
        <v>0.62</v>
      </c>
      <c r="K222" s="31" t="n">
        <v>106512</v>
      </c>
      <c r="L222" s="30" t="n">
        <v>59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63.85</v>
      </c>
      <c r="P222" s="31" t="n">
        <v>42.1</v>
      </c>
      <c r="Q222" s="31" t="n">
        <v>53.96</v>
      </c>
      <c r="R222" s="30" t="inlineStr">
        <is>
          <t>Earnings / Momentum Support</t>
        </is>
      </c>
      <c r="S222" s="30" t="inlineStr">
        <is>
          <t>Nifty 50</t>
        </is>
      </c>
      <c r="T222" s="31" t="n">
        <v>-6.39</v>
      </c>
      <c r="U222" s="31" t="n">
        <v>-0.23</v>
      </c>
      <c r="V222" s="31" t="n">
        <v>6.58</v>
      </c>
      <c r="W222" s="31" t="n">
        <v>16.05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Above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Negative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Between 0.7 to 1.2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IF(B223=0,"",RANK(B223,$B$2:$B$293,0))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DEEDEV</t>
        </is>
      </c>
      <c r="D223" s="30" t="inlineStr">
        <is>
          <t>DEE Development Engineers Ltd</t>
        </is>
      </c>
      <c r="E223" s="30" t="inlineStr">
        <is>
          <t>metals &amp; mining</t>
        </is>
      </c>
      <c r="F223" s="30" t="inlineStr">
        <is>
          <t>steel - medium / small</t>
        </is>
      </c>
      <c r="G223" s="30" t="inlineStr">
        <is>
          <t>smallcap</t>
        </is>
      </c>
      <c r="H223" s="31" t="n">
        <v>4531.21</v>
      </c>
      <c r="I223" s="31" t="n">
        <v>657.7</v>
      </c>
      <c r="J223" s="31" t="n">
        <v>0.54</v>
      </c>
      <c r="K223" s="31" t="n">
        <v>509727</v>
      </c>
      <c r="L223" s="30" t="n">
        <v>96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87.05</v>
      </c>
      <c r="P223" s="31" t="n">
        <v>58.41</v>
      </c>
      <c r="Q223" s="31" t="n">
        <v>505.25</v>
      </c>
      <c r="R223" s="30" t="inlineStr">
        <is>
          <t>Near 52W High Breakout</t>
        </is>
      </c>
      <c r="S223" s="30" t="inlineStr">
        <is>
          <t>Nifty Metal</t>
        </is>
      </c>
      <c r="T223" s="31" t="n">
        <v>43.89</v>
      </c>
      <c r="U223" s="31" t="n">
        <v>137.82</v>
      </c>
      <c r="V223" s="31" t="n">
        <v>65.28</v>
      </c>
      <c r="W223" s="31" t="n">
        <v>55.75</v>
      </c>
      <c r="X223" s="30" t="inlineStr">
        <is>
          <t>Cyclical in an Upturn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Cyclical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Volatile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Above 40</t>
        </is>
      </c>
      <c r="AY223" s="30">
        <f>IF(AX223="Above 40",20,IF(AX223="20 to 40",10,IF(AX223="0 to 20",-5,0)))</f>
        <v/>
      </c>
      <c r="AZ223" s="30" t="inlineStr">
        <is>
          <t>Above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Less than 50%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Between 0.7 to 1.2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IF(B224=0,"",RANK(B224,$B$2:$B$293,0))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PREMEXPLN</t>
        </is>
      </c>
      <c r="D224" s="30" t="inlineStr">
        <is>
          <t>Premier Explosives Limited</t>
        </is>
      </c>
      <c r="E224" s="30" t="inlineStr">
        <is>
          <t>aerospace &amp; defence</t>
        </is>
      </c>
      <c r="F224" s="30" t="inlineStr">
        <is>
          <t>chemicals</t>
        </is>
      </c>
      <c r="G224" s="30" t="inlineStr">
        <is>
          <t>smallcap</t>
        </is>
      </c>
      <c r="H224" s="31" t="n">
        <v>3504.42</v>
      </c>
      <c r="I224" s="31" t="n">
        <v>654.55</v>
      </c>
      <c r="J224" s="31" t="n">
        <v>0.41</v>
      </c>
      <c r="K224" s="31" t="n">
        <v>463987</v>
      </c>
      <c r="L224" s="30" t="n">
        <v>31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63.24</v>
      </c>
      <c r="P224" s="31" t="n">
        <v>16.34</v>
      </c>
      <c r="Q224" s="31" t="n">
        <v>485.07</v>
      </c>
      <c r="R224" s="30" t="inlineStr">
        <is>
          <t>Earnings / Momentum Support</t>
        </is>
      </c>
      <c r="S224" s="30" t="inlineStr">
        <is>
          <t>Nifty 50</t>
        </is>
      </c>
      <c r="T224" s="31" t="n">
        <v>-6.39</v>
      </c>
      <c r="U224" s="31" t="n">
        <v>10.41</v>
      </c>
      <c r="V224" s="31" t="n">
        <v>17.94</v>
      </c>
      <c r="W224" s="31" t="n">
        <v>8.56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0 to 20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Less than 12%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IF(B225=0,"",RANK(B225,$B$2:$B$293,0))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GEECEE</t>
        </is>
      </c>
      <c r="D225" s="30" t="inlineStr">
        <is>
          <t>Geecee Ventures Limited</t>
        </is>
      </c>
      <c r="E225" s="30" t="inlineStr">
        <is>
          <t>realty</t>
        </is>
      </c>
      <c r="F225" s="30" t="inlineStr">
        <is>
          <t>construction</t>
        </is>
      </c>
      <c r="G225" s="30" t="inlineStr">
        <is>
          <t>smallcap</t>
        </is>
      </c>
      <c r="H225" s="31" t="n">
        <v>678.48</v>
      </c>
      <c r="I225" s="31" t="n">
        <v>325.45</v>
      </c>
      <c r="J225" s="31" t="n">
        <v>0.31</v>
      </c>
      <c r="K225" s="31" t="n">
        <v>2400</v>
      </c>
      <c r="L225" s="30" t="n">
        <v>3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55.15</v>
      </c>
      <c r="P225" s="31" t="n">
        <v>26.27</v>
      </c>
      <c r="Q225" s="31" t="n">
        <v>246.01</v>
      </c>
      <c r="R225" s="30" t="inlineStr">
        <is>
          <t>Earnings / Momentum Support</t>
        </is>
      </c>
      <c r="S225" s="30" t="inlineStr">
        <is>
          <t>Nifty Realty</t>
        </is>
      </c>
      <c r="T225" s="31" t="n">
        <v>-26.64</v>
      </c>
      <c r="U225" s="31" t="n">
        <v>-15.5</v>
      </c>
      <c r="V225" s="31" t="n">
        <v>15.19</v>
      </c>
      <c r="W225" s="31" t="n">
        <v>1.02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Headwind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Negative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IF(B226=0,"",RANK(B226,$B$2:$B$293,0))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ROSSTECH</t>
        </is>
      </c>
      <c r="D226" s="30" t="inlineStr">
        <is>
          <t>Rossell Techsys Ltd</t>
        </is>
      </c>
      <c r="E226" s="30" t="inlineStr">
        <is>
          <t>aerospace &amp; defence</t>
        </is>
      </c>
      <c r="F226" s="30" t="inlineStr">
        <is>
          <t>engineering</t>
        </is>
      </c>
      <c r="G226" s="30" t="inlineStr">
        <is>
          <t>smallcap</t>
        </is>
      </c>
      <c r="H226" s="31" t="n">
        <v>4073.1</v>
      </c>
      <c r="I226" s="31" t="n">
        <v>1073.8</v>
      </c>
      <c r="J226" s="31" t="n">
        <v>-0.62</v>
      </c>
      <c r="K226" s="31" t="n">
        <v>109096</v>
      </c>
      <c r="L226" s="30" t="n">
        <v>92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69.26000000000001</v>
      </c>
      <c r="P226" s="31" t="n">
        <v>36.9</v>
      </c>
      <c r="Q226" s="31" t="n">
        <v>736.67</v>
      </c>
      <c r="R226" s="30" t="inlineStr">
        <is>
          <t>Near 52W High Breakout</t>
        </is>
      </c>
      <c r="S226" s="30" t="inlineStr">
        <is>
          <t>Nifty Infra</t>
        </is>
      </c>
      <c r="T226" s="31" t="n">
        <v>1.52</v>
      </c>
      <c r="U226" s="31" t="n">
        <v>197.49</v>
      </c>
      <c r="V226" s="31" t="n">
        <v>193.04</v>
      </c>
      <c r="W226" s="31" t="n">
        <v>39.12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Blue sky scenario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Less than 12%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Negative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More than 1.2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IF(B227=0,"",RANK(B227,$B$2:$B$293,0))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LLOYDSENGG</t>
        </is>
      </c>
      <c r="D227" s="30" t="inlineStr">
        <is>
          <t>Lloyds Engineering Works Ltd</t>
        </is>
      </c>
      <c r="E227" s="30" t="inlineStr">
        <is>
          <t>industrials</t>
        </is>
      </c>
      <c r="F227" s="30" t="inlineStr">
        <is>
          <t>engineering</t>
        </is>
      </c>
      <c r="G227" s="30" t="inlineStr">
        <is>
          <t>midcap</t>
        </is>
      </c>
      <c r="H227" s="31" t="n">
        <v>10675.83</v>
      </c>
      <c r="I227" s="31" t="n">
        <v>70.91</v>
      </c>
      <c r="J227" s="31" t="n">
        <v>-1.69</v>
      </c>
      <c r="K227" s="31" t="n">
        <v>7412626</v>
      </c>
      <c r="L227" s="30" t="n">
        <v>66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66.02</v>
      </c>
      <c r="P227" s="31" t="n">
        <v>27.93</v>
      </c>
      <c r="Q227" s="31" t="n">
        <v>54.7</v>
      </c>
      <c r="R227" s="30" t="inlineStr">
        <is>
          <t>Earnings / Momentum Support</t>
        </is>
      </c>
      <c r="S227" s="30" t="inlineStr">
        <is>
          <t>Nifty 50</t>
        </is>
      </c>
      <c r="T227" s="31" t="n">
        <v>-6.39</v>
      </c>
      <c r="U227" s="31" t="n">
        <v>19.34</v>
      </c>
      <c r="V227" s="31" t="n">
        <v>27.48</v>
      </c>
      <c r="W227" s="31" t="n">
        <v>18.38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Negative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IF(B228=0,"",RANK(B228,$B$2:$B$293,0))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S&amp;SPOWER</t>
        </is>
      </c>
      <c r="D228" s="30" t="inlineStr">
        <is>
          <t>S &amp; S Power Switchgear Ltd</t>
        </is>
      </c>
      <c r="E228" s="30" t="inlineStr">
        <is>
          <t>industrials</t>
        </is>
      </c>
      <c r="F228" s="30" t="inlineStr">
        <is>
          <t>electric equipment</t>
        </is>
      </c>
      <c r="G228" s="30" t="inlineStr">
        <is>
          <t>smallcap</t>
        </is>
      </c>
      <c r="H228" s="31" t="n">
        <v>501.07</v>
      </c>
      <c r="I228" s="31" t="n">
        <v>397.9</v>
      </c>
      <c r="J228" s="31" t="n">
        <v>-2</v>
      </c>
      <c r="K228" s="31" t="n">
        <v>832</v>
      </c>
      <c r="L228" s="30" t="n">
        <v>39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59.12</v>
      </c>
      <c r="P228" s="31" t="n">
        <v>22.33</v>
      </c>
      <c r="Q228" s="31" t="n">
        <v>306.74</v>
      </c>
      <c r="R228" s="30" t="inlineStr">
        <is>
          <t>Earnings / Momentum Support</t>
        </is>
      </c>
      <c r="S228" s="30" t="inlineStr">
        <is>
          <t>Nifty 50</t>
        </is>
      </c>
      <c r="T228" s="31" t="n">
        <v>-6.39</v>
      </c>
      <c r="U228" s="31" t="n">
        <v>11.29</v>
      </c>
      <c r="V228" s="31" t="n">
        <v>18.88</v>
      </c>
      <c r="W228" s="31" t="n">
        <v>10.83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Negative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IF(B229=0,"",RANK(B229,$B$2:$B$293,0))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TRITURBINE</t>
        </is>
      </c>
      <c r="D229" s="30" t="inlineStr">
        <is>
          <t>Triveni Turbine Limited</t>
        </is>
      </c>
      <c r="E229" s="30" t="inlineStr">
        <is>
          <t>industrials</t>
        </is>
      </c>
      <c r="F229" s="30" t="inlineStr">
        <is>
          <t>electric equipment</t>
        </is>
      </c>
      <c r="G229" s="30" t="inlineStr">
        <is>
          <t>largecap</t>
        </is>
      </c>
      <c r="H229" s="31" t="n">
        <v>21910.91</v>
      </c>
      <c r="I229" s="31" t="n">
        <v>668.85</v>
      </c>
      <c r="J229" s="31" t="n">
        <v>-2.96</v>
      </c>
      <c r="K229" s="31" t="n">
        <v>831599</v>
      </c>
      <c r="L229" s="30" t="n">
        <v>47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65.64</v>
      </c>
      <c r="P229" s="31" t="n">
        <v>30.88</v>
      </c>
      <c r="Q229" s="31" t="n">
        <v>567.8099999999999</v>
      </c>
      <c r="R229" s="30" t="inlineStr">
        <is>
          <t>Earnings / Momentum Support</t>
        </is>
      </c>
      <c r="S229" s="30" t="inlineStr">
        <is>
          <t>Nifty 50</t>
        </is>
      </c>
      <c r="T229" s="31" t="n">
        <v>-6.39</v>
      </c>
      <c r="U229" s="31" t="n">
        <v>13.98</v>
      </c>
      <c r="V229" s="31" t="n">
        <v>21.76</v>
      </c>
      <c r="W229" s="31" t="n">
        <v>12.78</v>
      </c>
      <c r="X229" s="30" t="inlineStr">
        <is>
          <t>Cyclical in an Upturn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Less than 50%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IF(B230=0,"",RANK(B230,$B$2:$B$293,0))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CYIENTDLM</t>
        </is>
      </c>
      <c r="D230" s="32" t="inlineStr">
        <is>
          <t>Cyient DLM Ltd</t>
        </is>
      </c>
      <c r="E230" s="30" t="inlineStr">
        <is>
          <t>consumer discretionary</t>
        </is>
      </c>
      <c r="F230" s="30" t="inlineStr">
        <is>
          <t>electronics - components</t>
        </is>
      </c>
      <c r="G230" s="30" t="inlineStr">
        <is>
          <t>smallcap</t>
        </is>
      </c>
      <c r="H230" s="31" t="n">
        <v>3681.71</v>
      </c>
      <c r="I230" s="31" t="n">
        <v>449.45</v>
      </c>
      <c r="J230" s="31" t="n">
        <v>-3.11</v>
      </c>
      <c r="K230" s="31" t="n">
        <v>245534</v>
      </c>
      <c r="L230" s="30" t="n">
        <v>44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63.88</v>
      </c>
      <c r="P230" s="31" t="n">
        <v>28.7</v>
      </c>
      <c r="Q230" s="31" t="n">
        <v>338.72</v>
      </c>
      <c r="R230" s="30" t="inlineStr">
        <is>
          <t>Earnings / Momentum Support</t>
        </is>
      </c>
      <c r="S230" s="30" t="inlineStr">
        <is>
          <t>Nifty Infra</t>
        </is>
      </c>
      <c r="T230" s="31" t="n">
        <v>1.52</v>
      </c>
      <c r="U230" s="31" t="n">
        <v>-7.3</v>
      </c>
      <c r="V230" s="31" t="n">
        <v>-8.69</v>
      </c>
      <c r="W230" s="31" t="n">
        <v>12.23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No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Less than 50%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IF(B231=0,"",RANK(B231,$B$2:$B$293,0))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MANORAMA</t>
        </is>
      </c>
      <c r="D231" s="30" t="inlineStr">
        <is>
          <t>Manorama Industries Ltd</t>
        </is>
      </c>
      <c r="E231" s="30" t="inlineStr">
        <is>
          <t>fmcg</t>
        </is>
      </c>
      <c r="F231" s="30" t="inlineStr">
        <is>
          <t>food - processing - indian</t>
        </is>
      </c>
      <c r="G231" s="30" t="inlineStr">
        <is>
          <t>midcap</t>
        </is>
      </c>
      <c r="H231" s="31" t="n">
        <v>8845.219999999999</v>
      </c>
      <c r="I231" s="31" t="n">
        <v>1469.6</v>
      </c>
      <c r="J231" s="31" t="n">
        <v>-0.8</v>
      </c>
      <c r="K231" s="31" t="n">
        <v>82160</v>
      </c>
      <c r="L231" s="30" t="n">
        <v>8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55.33</v>
      </c>
      <c r="P231" s="31" t="n">
        <v>14.33</v>
      </c>
      <c r="Q231" s="31" t="n">
        <v>1178.6</v>
      </c>
      <c r="R231" s="30" t="inlineStr">
        <is>
          <t>Earnings / Momentum Support</t>
        </is>
      </c>
      <c r="S231" s="30" t="inlineStr">
        <is>
          <t>Nifty FMCG</t>
        </is>
      </c>
      <c r="T231" s="31" t="n">
        <v>-13.76</v>
      </c>
      <c r="U231" s="31" t="n">
        <v>6.2</v>
      </c>
      <c r="V231" s="31" t="n">
        <v>23.14</v>
      </c>
      <c r="W231" s="31" t="n">
        <v>3.02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B2C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Annuity, Lower One Time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Negative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Less than 1.5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IF(B232=0,"",RANK(B232,$B$2:$B$293,0))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YASHO</t>
        </is>
      </c>
      <c r="D232" s="30" t="inlineStr">
        <is>
          <t>Yasho Industries Ltd</t>
        </is>
      </c>
      <c r="E232" s="30" t="inlineStr">
        <is>
          <t>chemicals</t>
        </is>
      </c>
      <c r="F232" s="30" t="inlineStr">
        <is>
          <t>chemicals</t>
        </is>
      </c>
      <c r="G232" s="30" t="inlineStr">
        <is>
          <t>smallcap</t>
        </is>
      </c>
      <c r="H232" s="31" t="n">
        <v>2613.98</v>
      </c>
      <c r="I232" s="31" t="n">
        <v>2241.1</v>
      </c>
      <c r="J232" s="31" t="n">
        <v>3.37</v>
      </c>
      <c r="K232" s="31" t="n">
        <v>18485</v>
      </c>
      <c r="L232" s="30" t="n">
        <v>44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75.25</v>
      </c>
      <c r="P232" s="31" t="n">
        <v>17.62</v>
      </c>
      <c r="Q232" s="31" t="n">
        <v>1687.82</v>
      </c>
      <c r="R232" s="30" t="inlineStr">
        <is>
          <t>Near 52W High Breakout</t>
        </is>
      </c>
      <c r="S232" s="30" t="inlineStr">
        <is>
          <t>Nifty 50</t>
        </is>
      </c>
      <c r="T232" s="31" t="n">
        <v>-6.39</v>
      </c>
      <c r="U232" s="31" t="n">
        <v>9.630000000000001</v>
      </c>
      <c r="V232" s="31" t="n">
        <v>17.11</v>
      </c>
      <c r="W232" s="31" t="n">
        <v>12.28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Above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More than 1.2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IF(B233=0,"",RANK(B233,$B$2:$B$293,0))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INDOTECH</t>
        </is>
      </c>
      <c r="D233" s="30" t="inlineStr">
        <is>
          <t>Indo Tech Transformers Limited</t>
        </is>
      </c>
      <c r="E233" s="30" t="inlineStr">
        <is>
          <t>industrials</t>
        </is>
      </c>
      <c r="F233" s="30" t="inlineStr">
        <is>
          <t>electric equipment</t>
        </is>
      </c>
      <c r="G233" s="30" t="inlineStr">
        <is>
          <t>smallcap</t>
        </is>
      </c>
      <c r="H233" s="31" t="n">
        <v>2891.61</v>
      </c>
      <c r="I233" s="31" t="n">
        <v>2811.7</v>
      </c>
      <c r="J233" s="31" t="n">
        <v>3.27</v>
      </c>
      <c r="K233" s="31" t="n">
        <v>34521</v>
      </c>
      <c r="L233" s="30" t="n">
        <v>89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68.14</v>
      </c>
      <c r="P233" s="31" t="n">
        <v>31.99</v>
      </c>
      <c r="Q233" s="31" t="n">
        <v>1936.64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-6.39</v>
      </c>
      <c r="U233" s="31" t="n">
        <v>34.93</v>
      </c>
      <c r="V233" s="31" t="n">
        <v>44.14</v>
      </c>
      <c r="W233" s="31" t="n">
        <v>33.84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Negative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Between 12 to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Less than 50%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IF(B234=0,"",RANK(B234,$B$2:$B$293,0))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PTL</t>
        </is>
      </c>
      <c r="D234" s="30" t="inlineStr">
        <is>
          <t>Ptl Enterprises Limited</t>
        </is>
      </c>
      <c r="E234" s="30" t="inlineStr">
        <is>
          <t>miscellaneous</t>
        </is>
      </c>
      <c r="F234" s="30" t="inlineStr">
        <is>
          <t>miscellaneous</t>
        </is>
      </c>
      <c r="G234" s="30" t="inlineStr">
        <is>
          <t>smallcap</t>
        </is>
      </c>
      <c r="H234" s="31" t="n">
        <v>514.95</v>
      </c>
      <c r="I234" s="31" t="n">
        <v>39.83</v>
      </c>
      <c r="J234" s="31" t="n">
        <v>2.39</v>
      </c>
      <c r="K234" s="31" t="n">
        <v>55145</v>
      </c>
      <c r="L234" s="30" t="n">
        <v>4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55.59</v>
      </c>
      <c r="P234" s="31" t="n">
        <v>11.89</v>
      </c>
      <c r="Q234" s="31" t="n">
        <v>34.88</v>
      </c>
      <c r="R234" s="30" t="inlineStr">
        <is>
          <t>Earnings / Momentum Support</t>
        </is>
      </c>
      <c r="S234" s="30" t="inlineStr">
        <is>
          <t>Nifty 50</t>
        </is>
      </c>
      <c r="T234" s="31" t="n">
        <v>-6.39</v>
      </c>
      <c r="U234" s="31" t="n">
        <v>4.1</v>
      </c>
      <c r="V234" s="31" t="n">
        <v>11.2</v>
      </c>
      <c r="W234" s="31" t="n">
        <v>1.72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0 to 20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Negative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Less than 1.5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IF(B235=0,"",RANK(B235,$B$2:$B$293,0))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NEOGEN</t>
        </is>
      </c>
      <c r="D235" s="30" t="inlineStr">
        <is>
          <t>Neogen Chemicals Ltd</t>
        </is>
      </c>
      <c r="E235" s="30" t="inlineStr">
        <is>
          <t>chemicals</t>
        </is>
      </c>
      <c r="F235" s="30" t="inlineStr">
        <is>
          <t>chemicals</t>
        </is>
      </c>
      <c r="G235" s="30" t="inlineStr">
        <is>
          <t>midcap</t>
        </is>
      </c>
      <c r="H235" s="31" t="n">
        <v>5139.27</v>
      </c>
      <c r="I235" s="31" t="n">
        <v>1901.2</v>
      </c>
      <c r="J235" s="31" t="n">
        <v>1.29</v>
      </c>
      <c r="K235" s="31" t="n">
        <v>130474</v>
      </c>
      <c r="L235" s="30" t="n">
        <v>53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68.14</v>
      </c>
      <c r="P235" s="31" t="n">
        <v>30.84</v>
      </c>
      <c r="Q235" s="31" t="n">
        <v>1392.86</v>
      </c>
      <c r="R235" s="30" t="inlineStr">
        <is>
          <t>Near 52W High Breakout</t>
        </is>
      </c>
      <c r="S235" s="30" t="inlineStr">
        <is>
          <t>Nifty 50</t>
        </is>
      </c>
      <c r="T235" s="31" t="n">
        <v>-6.39</v>
      </c>
      <c r="U235" s="31" t="n">
        <v>15.18</v>
      </c>
      <c r="V235" s="31" t="n">
        <v>23.04</v>
      </c>
      <c r="W235" s="31" t="n">
        <v>14.58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Negative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More than 1.2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IF(B236=0,"",RANK(B236,$B$2:$B$293,0))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HSCL</t>
        </is>
      </c>
      <c r="D236" s="30" t="inlineStr">
        <is>
          <t>Himadri Speciality Chemical Limited</t>
        </is>
      </c>
      <c r="E236" s="30" t="inlineStr">
        <is>
          <t>chemicals</t>
        </is>
      </c>
      <c r="F236" s="30" t="inlineStr">
        <is>
          <t>chemicals</t>
        </is>
      </c>
      <c r="G236" s="30" t="inlineStr">
        <is>
          <t>largecap</t>
        </is>
      </c>
      <c r="H236" s="31" t="n">
        <v>30630.72</v>
      </c>
      <c r="I236" s="31" t="n">
        <v>602.05</v>
      </c>
      <c r="J236" s="31" t="n">
        <v>-0.83</v>
      </c>
      <c r="K236" s="31" t="n">
        <v>11405271</v>
      </c>
      <c r="L236" s="30" t="n">
        <v>42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65.70999999999999</v>
      </c>
      <c r="P236" s="31" t="n">
        <v>26.83</v>
      </c>
      <c r="Q236" s="31" t="n">
        <v>495.59</v>
      </c>
      <c r="R236" s="30" t="inlineStr">
        <is>
          <t>Earnings / Momentum Support</t>
        </is>
      </c>
      <c r="S236" s="30" t="inlineStr">
        <is>
          <t>Nifty 50</t>
        </is>
      </c>
      <c r="T236" s="31" t="n">
        <v>-6.39</v>
      </c>
      <c r="U236" s="31" t="n">
        <v>21.45</v>
      </c>
      <c r="V236" s="31" t="n">
        <v>29.74</v>
      </c>
      <c r="W236" s="31" t="n">
        <v>11.66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No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Less than 50%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IF(B237=0,"",RANK(B237,$B$2:$B$293,0))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CRAFTSMAN</t>
        </is>
      </c>
      <c r="D237" s="30" t="inlineStr">
        <is>
          <t>Craftsman Automation Ltd</t>
        </is>
      </c>
      <c r="E237" s="30" t="inlineStr">
        <is>
          <t>auto</t>
        </is>
      </c>
      <c r="F237" s="30" t="inlineStr">
        <is>
          <t>auto ancillaries</t>
        </is>
      </c>
      <c r="G237" s="30" t="inlineStr">
        <is>
          <t>largecap</t>
        </is>
      </c>
      <c r="H237" s="31" t="n">
        <v>21419.93</v>
      </c>
      <c r="I237" s="31" t="n">
        <v>8898.5</v>
      </c>
      <c r="J237" s="31" t="n">
        <v>-0.9</v>
      </c>
      <c r="K237" s="31" t="n">
        <v>95289</v>
      </c>
      <c r="L237" s="30" t="n">
        <v>51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64.09999999999999</v>
      </c>
      <c r="P237" s="31" t="n">
        <v>29.52</v>
      </c>
      <c r="Q237" s="31" t="n">
        <v>7035.71</v>
      </c>
      <c r="R237" s="30" t="inlineStr">
        <is>
          <t>Near 52W High Breakout</t>
        </is>
      </c>
      <c r="S237" s="30" t="inlineStr">
        <is>
          <t>Nifty Auto</t>
        </is>
      </c>
      <c r="T237" s="31" t="n">
        <v>10.28</v>
      </c>
      <c r="U237" s="31" t="n">
        <v>58.91</v>
      </c>
      <c r="V237" s="31" t="n">
        <v>44.1</v>
      </c>
      <c r="W237" s="31" t="n">
        <v>13.95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Negative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Blue sky scenario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Less than 50% and Borrowings are increasing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Between 0.7 to 1.2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IF(B238=0,"",RANK(B238,$B$2:$B$293,0))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DEEPINDS</t>
        </is>
      </c>
      <c r="D238" s="30" t="inlineStr">
        <is>
          <t>Deep Industries Ltd</t>
        </is>
      </c>
      <c r="E238" s="30" t="inlineStr">
        <is>
          <t>energy</t>
        </is>
      </c>
      <c r="F238" s="30" t="inlineStr">
        <is>
          <t>oil drilling / allied services</t>
        </is>
      </c>
      <c r="G238" s="30" t="inlineStr">
        <is>
          <t>smallcap</t>
        </is>
      </c>
      <c r="H238" s="31" t="n">
        <v>3320.32</v>
      </c>
      <c r="I238" s="31" t="n">
        <v>512.5</v>
      </c>
      <c r="J238" s="31" t="n">
        <v>-1.21</v>
      </c>
      <c r="K238" s="31" t="n">
        <v>455486</v>
      </c>
      <c r="L238" s="30" t="n">
        <v>66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62.15</v>
      </c>
      <c r="P238" s="31" t="n">
        <v>16.19</v>
      </c>
      <c r="Q238" s="31" t="n">
        <v>372.01</v>
      </c>
      <c r="R238" s="30" t="inlineStr">
        <is>
          <t>Earnings / Momentum Support</t>
        </is>
      </c>
      <c r="S238" s="30" t="inlineStr">
        <is>
          <t>Nifty Energy</t>
        </is>
      </c>
      <c r="T238" s="31" t="n">
        <v>11.89</v>
      </c>
      <c r="U238" s="31" t="n">
        <v>22.39</v>
      </c>
      <c r="V238" s="31" t="n">
        <v>9.380000000000001</v>
      </c>
      <c r="W238" s="31" t="n">
        <v>18.3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Oligopoly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Yes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Cyclical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Volatile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0 to 20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IF(B239=0,"",RANK(B239,$B$2:$B$293,0))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PARAS</t>
        </is>
      </c>
      <c r="D239" s="30" t="inlineStr">
        <is>
          <t>Paras Defence and Space Technologies Ltd</t>
        </is>
      </c>
      <c r="E239" s="30" t="inlineStr">
        <is>
          <t>aerospace &amp; defence</t>
        </is>
      </c>
      <c r="F239" s="30" t="inlineStr">
        <is>
          <t>engineering</t>
        </is>
      </c>
      <c r="G239" s="30" t="inlineStr">
        <is>
          <t>midcap</t>
        </is>
      </c>
      <c r="H239" s="31" t="n">
        <v>6879.74</v>
      </c>
      <c r="I239" s="31" t="n">
        <v>839.35</v>
      </c>
      <c r="J239" s="31" t="n">
        <v>-1.68</v>
      </c>
      <c r="K239" s="31" t="n">
        <v>1214263</v>
      </c>
      <c r="L239" s="30" t="n">
        <v>9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60.17</v>
      </c>
      <c r="P239" s="31" t="n">
        <v>34.9</v>
      </c>
      <c r="Q239" s="31" t="n">
        <v>628.3200000000001</v>
      </c>
      <c r="R239" s="30" t="inlineStr">
        <is>
          <t>Earnings / Momentum Support</t>
        </is>
      </c>
      <c r="S239" s="30" t="inlineStr">
        <is>
          <t>Nifty 50</t>
        </is>
      </c>
      <c r="T239" s="31" t="n">
        <v>-6.39</v>
      </c>
      <c r="U239" s="31" t="n">
        <v>2</v>
      </c>
      <c r="V239" s="31" t="n">
        <v>8.960000000000001</v>
      </c>
      <c r="W239" s="31" t="n">
        <v>3.47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Negative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Less than 50%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IF(B240=0,"",RANK(B240,$B$2:$B$293,0))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2" t="inlineStr">
        <is>
          <t>INNOVACAP</t>
        </is>
      </c>
      <c r="D240" s="32" t="inlineStr">
        <is>
          <t>Innova Captab Ltd</t>
        </is>
      </c>
      <c r="E240" s="30" t="inlineStr">
        <is>
          <t>healthcare</t>
        </is>
      </c>
      <c r="F240" s="30" t="inlineStr">
        <is>
          <t>pharmaceuticals - indian - bulk drugs &amp; formln</t>
        </is>
      </c>
      <c r="G240" s="30" t="inlineStr">
        <is>
          <t>smallcap</t>
        </is>
      </c>
      <c r="H240" s="31" t="n">
        <v>4935.08</v>
      </c>
      <c r="I240" s="31" t="n">
        <v>857</v>
      </c>
      <c r="J240" s="31" t="n">
        <v>-0.63</v>
      </c>
      <c r="K240" s="31" t="n">
        <v>16106</v>
      </c>
      <c r="L240" s="30" t="n">
        <v>18</v>
      </c>
      <c r="M240" s="30" t="inlineStr">
        <is>
          <t>Underperforming</t>
        </is>
      </c>
      <c r="N240" s="31">
        <f>IF(M240="Underperforming",-5,IF(L240&gt;=95,15,IF(L240&gt;=90,10,IF(L240&gt;=80,5,0))))</f>
        <v/>
      </c>
      <c r="O240" s="31" t="n">
        <v>63.93</v>
      </c>
      <c r="P240" s="31" t="n">
        <v>24.13</v>
      </c>
      <c r="Q240" s="31" t="n">
        <v>684.6900000000001</v>
      </c>
      <c r="R240" s="30" t="inlineStr">
        <is>
          <t>Earnings / Momentum Support</t>
        </is>
      </c>
      <c r="S240" s="30" t="inlineStr">
        <is>
          <t>Nifty Pharma</t>
        </is>
      </c>
      <c r="T240" s="31" t="n">
        <v>11.08</v>
      </c>
      <c r="U240" s="31" t="n">
        <v>-3.32</v>
      </c>
      <c r="V240" s="31" t="n">
        <v>-12.97</v>
      </c>
      <c r="W240" s="31" t="n">
        <v>5.71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Yes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Annuity, Lower One Time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Negative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Less than 1.5</t>
        </is>
      </c>
      <c r="BU240" s="30">
        <f>IF(BT240="Above 2",0,IF(BT240="Between 1.5 to 2",5,IF(BT240="Less than 1.5",10,0)))</f>
        <v/>
      </c>
      <c r="BV240" s="30" t="inlineStr">
        <is>
          <t>Less than 50%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IF(B241=0,"",RANK(B241,$B$2:$B$293,0))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2" t="inlineStr">
        <is>
          <t>VARROC</t>
        </is>
      </c>
      <c r="D241" s="32" t="inlineStr">
        <is>
          <t>Varroc Engineering Ltd</t>
        </is>
      </c>
      <c r="E241" s="30" t="inlineStr">
        <is>
          <t>auto</t>
        </is>
      </c>
      <c r="F241" s="30" t="inlineStr">
        <is>
          <t>auto ancillaries</t>
        </is>
      </c>
      <c r="G241" s="30" t="inlineStr">
        <is>
          <t>midcap</t>
        </is>
      </c>
      <c r="H241" s="31" t="n">
        <v>8774.52</v>
      </c>
      <c r="I241" s="31" t="n">
        <v>593.6</v>
      </c>
      <c r="J241" s="31" t="n">
        <v>3.36</v>
      </c>
      <c r="K241" s="31" t="n">
        <v>197257</v>
      </c>
      <c r="L241" s="30" t="n">
        <v>16</v>
      </c>
      <c r="M241" s="30" t="inlineStr">
        <is>
          <t>Underperforming</t>
        </is>
      </c>
      <c r="N241" s="31">
        <f>IF(M241="Underperforming",-5,IF(L241&gt;=95,15,IF(L241&gt;=90,10,IF(L241&gt;=80,5,0))))</f>
        <v/>
      </c>
      <c r="O241" s="31" t="n">
        <v>59.56</v>
      </c>
      <c r="P241" s="31" t="n">
        <v>13.14</v>
      </c>
      <c r="Q241" s="31" t="n">
        <v>472.14</v>
      </c>
      <c r="R241" s="30" t="inlineStr">
        <is>
          <t>Earnings / Momentum Support</t>
        </is>
      </c>
      <c r="S241" s="30" t="inlineStr">
        <is>
          <t>Nifty Auto</t>
        </is>
      </c>
      <c r="T241" s="31" t="n">
        <v>10.28</v>
      </c>
      <c r="U241" s="31" t="n">
        <v>8.119999999999999</v>
      </c>
      <c r="V241" s="31" t="n">
        <v>-1.95</v>
      </c>
      <c r="W241" s="31" t="n">
        <v>5.4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Headwind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Between 50% to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IF(B242=0,"",RANK(B242,$B$2:$B$293,0))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ASIANENE</t>
        </is>
      </c>
      <c r="D242" s="30" t="inlineStr">
        <is>
          <t>Asian Energy Services Ltd</t>
        </is>
      </c>
      <c r="E242" s="30" t="inlineStr">
        <is>
          <t>energy</t>
        </is>
      </c>
      <c r="F242" s="30" t="inlineStr">
        <is>
          <t>oil drilling / allied services</t>
        </is>
      </c>
      <c r="G242" s="30" t="inlineStr">
        <is>
          <t>smallcap</t>
        </is>
      </c>
      <c r="H242" s="31" t="n">
        <v>1685.83</v>
      </c>
      <c r="I242" s="31" t="n">
        <v>352.7</v>
      </c>
      <c r="J242" s="31" t="n">
        <v>1.7</v>
      </c>
      <c r="K242" s="31" t="n">
        <v>249922</v>
      </c>
      <c r="L242" s="30" t="n">
        <v>33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60.79</v>
      </c>
      <c r="P242" s="31" t="n">
        <v>12.49</v>
      </c>
      <c r="Q242" s="31" t="n">
        <v>262.01</v>
      </c>
      <c r="R242" s="30" t="inlineStr">
        <is>
          <t>Earnings / Momentum Support</t>
        </is>
      </c>
      <c r="S242" s="30" t="inlineStr">
        <is>
          <t>Nifty Energy</t>
        </is>
      </c>
      <c r="T242" s="31" t="n">
        <v>11.89</v>
      </c>
      <c r="U242" s="31" t="n">
        <v>14.3</v>
      </c>
      <c r="V242" s="31" t="n">
        <v>2.15</v>
      </c>
      <c r="W242" s="31" t="n">
        <v>9.24</v>
      </c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Oligopoly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Yes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Cyclical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Volatile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Less than 1.5</t>
        </is>
      </c>
      <c r="BU242" s="30">
        <f>IF(BT242="Above 2",0,IF(BT242="Between 1.5 to 2",5,IF(BT242="Less than 1.5",10,0)))</f>
        <v/>
      </c>
      <c r="BV242" s="30" t="inlineStr">
        <is>
          <t>Between 50% to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IF(B243=0,"",RANK(B243,$B$2:$B$293,0))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STEELXIND</t>
        </is>
      </c>
      <c r="D243" s="30" t="inlineStr">
        <is>
          <t>Steel Exchange India Ltd</t>
        </is>
      </c>
      <c r="E243" s="30" t="inlineStr">
        <is>
          <t>metals &amp; mining</t>
        </is>
      </c>
      <c r="F243" s="30" t="inlineStr">
        <is>
          <t>steel - medium / small</t>
        </is>
      </c>
      <c r="G243" s="30" t="inlineStr">
        <is>
          <t>smallcap</t>
        </is>
      </c>
      <c r="H243" s="31" t="n">
        <v>1548.48</v>
      </c>
      <c r="I243" s="31" t="n">
        <v>12.33</v>
      </c>
      <c r="J243" s="31" t="n">
        <v>1.57</v>
      </c>
      <c r="K243" s="31" t="n">
        <v>5339875</v>
      </c>
      <c r="L243" s="30" t="n">
        <v>66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69.84</v>
      </c>
      <c r="P243" s="31" t="n">
        <v>21.78</v>
      </c>
      <c r="Q243" s="31" t="n">
        <v>9.09</v>
      </c>
      <c r="R243" s="30" t="inlineStr">
        <is>
          <t>Near 52W High Breakout</t>
        </is>
      </c>
      <c r="S243" s="30" t="inlineStr">
        <is>
          <t>Nifty Metal</t>
        </is>
      </c>
      <c r="T243" s="31" t="n">
        <v>43.89</v>
      </c>
      <c r="U243" s="31" t="n">
        <v>47.84</v>
      </c>
      <c r="V243" s="31" t="n">
        <v>2.74</v>
      </c>
      <c r="W243" s="31" t="n">
        <v>18.41</v>
      </c>
      <c r="X243" s="30" t="inlineStr">
        <is>
          <t>Cyclical in an Upturn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Cyclical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Volatile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Negative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IF(B244=0,"",RANK(B244,$B$2:$B$293,0))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MIDHANI</t>
        </is>
      </c>
      <c r="D244" s="32" t="inlineStr">
        <is>
          <t>Mishra Dhatu Nigam Ltd</t>
        </is>
      </c>
      <c r="E244" s="30" t="inlineStr">
        <is>
          <t>aerospace &amp; defence</t>
        </is>
      </c>
      <c r="F244" s="30" t="inlineStr">
        <is>
          <t>steel - medium / small</t>
        </is>
      </c>
      <c r="G244" s="30" t="inlineStr">
        <is>
          <t>midcap</t>
        </is>
      </c>
      <c r="H244" s="31" t="n">
        <v>7694.99</v>
      </c>
      <c r="I244" s="31" t="n">
        <v>417</v>
      </c>
      <c r="J244" s="31" t="n">
        <v>1.52</v>
      </c>
      <c r="K244" s="31" t="n">
        <v>1007668</v>
      </c>
      <c r="L244" s="30" t="n">
        <v>13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62.64</v>
      </c>
      <c r="P244" s="31" t="n">
        <v>22.55</v>
      </c>
      <c r="Q244" s="31" t="n">
        <v>313.9</v>
      </c>
      <c r="R244" s="30" t="inlineStr">
        <is>
          <t>Earnings / Momentum Support</t>
        </is>
      </c>
      <c r="S244" s="30" t="inlineStr">
        <is>
          <t>Nifty Metal</t>
        </is>
      </c>
      <c r="T244" s="31" t="n">
        <v>43.89</v>
      </c>
      <c r="U244" s="31" t="n">
        <v>-1.68</v>
      </c>
      <c r="V244" s="31" t="n">
        <v>-31.67</v>
      </c>
      <c r="W244" s="31" t="n">
        <v>4.3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Negative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Between 1.5 to 2</t>
        </is>
      </c>
      <c r="BU244" s="30">
        <f>IF(BT244="Above 2",0,IF(BT244="Between 1.5 to 2",5,IF(BT244="Less than 1.5",10,0)))</f>
        <v/>
      </c>
      <c r="BV244" s="30" t="inlineStr">
        <is>
          <t>Between 50% to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IF(B245=0,"",RANK(B245,$B$2:$B$293,0))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SHRIRAMPPS</t>
        </is>
      </c>
      <c r="D245" s="30" t="inlineStr">
        <is>
          <t>Shriram Properties Ltd</t>
        </is>
      </c>
      <c r="E245" s="30" t="inlineStr">
        <is>
          <t>realty</t>
        </is>
      </c>
      <c r="F245" s="30" t="inlineStr">
        <is>
          <t>construction</t>
        </is>
      </c>
      <c r="G245" s="30" t="inlineStr">
        <is>
          <t>smallcap</t>
        </is>
      </c>
      <c r="H245" s="31" t="n">
        <v>1511.49</v>
      </c>
      <c r="I245" s="31" t="n">
        <v>89.77</v>
      </c>
      <c r="J245" s="31" t="n">
        <v>1.35</v>
      </c>
      <c r="K245" s="31" t="n">
        <v>1252828</v>
      </c>
      <c r="L245" s="30" t="n">
        <v>6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56.58</v>
      </c>
      <c r="P245" s="31" t="n">
        <v>22.19</v>
      </c>
      <c r="Q245" s="31" t="n">
        <v>74.14</v>
      </c>
      <c r="R245" s="30" t="inlineStr">
        <is>
          <t>Earnings / Momentum Support</t>
        </is>
      </c>
      <c r="S245" s="30" t="inlineStr">
        <is>
          <t>Nifty Realty</t>
        </is>
      </c>
      <c r="T245" s="31" t="n">
        <v>-26.64</v>
      </c>
      <c r="U245" s="31" t="n">
        <v>-8.960000000000001</v>
      </c>
      <c r="V245" s="31" t="n">
        <v>24.1</v>
      </c>
      <c r="W245" s="31" t="n">
        <v>2.58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Negative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Negative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IF(B246=0,"",RANK(B246,$B$2:$B$293,0))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2" t="inlineStr">
        <is>
          <t>GANDHAR</t>
        </is>
      </c>
      <c r="D246" s="32" t="inlineStr">
        <is>
          <t>Gandhar Oil Refinery (India) Ltd</t>
        </is>
      </c>
      <c r="E246" s="30" t="inlineStr">
        <is>
          <t>energy</t>
        </is>
      </c>
      <c r="F246" s="30" t="inlineStr">
        <is>
          <t>refineries</t>
        </is>
      </c>
      <c r="G246" s="30" t="inlineStr">
        <is>
          <t>smallcap</t>
        </is>
      </c>
      <c r="H246" s="31" t="n">
        <v>1524.87</v>
      </c>
      <c r="I246" s="31" t="n">
        <v>157.18</v>
      </c>
      <c r="J246" s="31" t="n">
        <v>0.89</v>
      </c>
      <c r="K246" s="31" t="n">
        <v>400161</v>
      </c>
      <c r="L246" s="30" t="n">
        <v>5</v>
      </c>
      <c r="M246" s="30" t="inlineStr">
        <is>
          <t>Underperforming</t>
        </is>
      </c>
      <c r="N246" s="31">
        <f>IF(M246="Underperforming",-5,IF(L246&gt;=95,15,IF(L246&gt;=90,10,IF(L246&gt;=80,5,0))))</f>
        <v/>
      </c>
      <c r="O246" s="31" t="n">
        <v>56.87</v>
      </c>
      <c r="P246" s="31" t="n">
        <v>20.76</v>
      </c>
      <c r="Q246" s="31" t="n">
        <v>121.28</v>
      </c>
      <c r="R246" s="30" t="inlineStr">
        <is>
          <t>Earnings / Momentum Support</t>
        </is>
      </c>
      <c r="S246" s="30" t="inlineStr">
        <is>
          <t>Nifty Energy</t>
        </is>
      </c>
      <c r="T246" s="31" t="n">
        <v>11.89</v>
      </c>
      <c r="U246" s="31" t="n">
        <v>-10.72</v>
      </c>
      <c r="V246" s="31" t="n">
        <v>-20.21</v>
      </c>
      <c r="W246" s="31" t="n">
        <v>2.02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Oligopoly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Yes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Cyclical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Volatile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No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Between 50% to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IF(B247=0,"",RANK(B247,$B$2:$B$293,0))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SHRIPISTON</t>
        </is>
      </c>
      <c r="D247" s="30" t="inlineStr">
        <is>
          <t>Shriram Pistons &amp; Rings Limited</t>
        </is>
      </c>
      <c r="E247" s="30" t="inlineStr">
        <is>
          <t>auto</t>
        </is>
      </c>
      <c r="F247" s="30" t="inlineStr">
        <is>
          <t>auto ancillaries</t>
        </is>
      </c>
      <c r="G247" s="30" t="inlineStr">
        <is>
          <t>midcap</t>
        </is>
      </c>
      <c r="H247" s="31" t="n">
        <v>15206.44</v>
      </c>
      <c r="I247" s="31" t="n">
        <v>3469.9</v>
      </c>
      <c r="J247" s="31" t="n">
        <v>0.52</v>
      </c>
      <c r="K247" s="31" t="n">
        <v>34100</v>
      </c>
      <c r="L247" s="30" t="n">
        <v>41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57.83</v>
      </c>
      <c r="P247" s="31" t="n">
        <v>27.02</v>
      </c>
      <c r="Q247" s="31" t="n">
        <v>2928.04</v>
      </c>
      <c r="R247" s="30" t="inlineStr">
        <is>
          <t>Earnings / Momentum Support</t>
        </is>
      </c>
      <c r="S247" s="30" t="inlineStr">
        <is>
          <t>Nifty Auto</t>
        </is>
      </c>
      <c r="T247" s="31" t="n">
        <v>10.28</v>
      </c>
      <c r="U247" s="31" t="n">
        <v>41.73</v>
      </c>
      <c r="V247" s="31" t="n">
        <v>28.52</v>
      </c>
      <c r="W247" s="31" t="n">
        <v>11.11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Negative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IF(B248=0,"",RANK(B248,$B$2:$B$293,0))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HINDALCO</t>
        </is>
      </c>
      <c r="D248" s="30" t="inlineStr">
        <is>
          <t>Hindalco Industries Limited</t>
        </is>
      </c>
      <c r="E248" s="30" t="inlineStr">
        <is>
          <t>metals &amp; mining</t>
        </is>
      </c>
      <c r="F248" s="30" t="inlineStr">
        <is>
          <t>aluminium and aluminium products</t>
        </is>
      </c>
      <c r="G248" s="30" t="inlineStr">
        <is>
          <t>largecap</t>
        </is>
      </c>
      <c r="H248" s="31" t="n">
        <v>257599.58</v>
      </c>
      <c r="I248" s="31" t="n">
        <v>1138.9</v>
      </c>
      <c r="J248" s="31" t="n">
        <v>-0.65</v>
      </c>
      <c r="K248" s="31" t="n">
        <v>4865978</v>
      </c>
      <c r="L248" s="30" t="n">
        <v>58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75</v>
      </c>
      <c r="P248" s="31" t="n">
        <v>56.79</v>
      </c>
      <c r="Q248" s="31" t="n">
        <v>955.1799999999999</v>
      </c>
      <c r="R248" s="30" t="inlineStr">
        <is>
          <t>Near 52W High Breakout</t>
        </is>
      </c>
      <c r="S248" s="30" t="inlineStr">
        <is>
          <t>Nifty Metal</t>
        </is>
      </c>
      <c r="T248" s="31" t="n">
        <v>43.89</v>
      </c>
      <c r="U248" s="31" t="n">
        <v>76.45999999999999</v>
      </c>
      <c r="V248" s="31" t="n">
        <v>22.63</v>
      </c>
      <c r="W248" s="31" t="n">
        <v>15.99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Cyclical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Volatile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Above 40</t>
        </is>
      </c>
      <c r="AY248" s="30">
        <f>IF(AX248="Above 40",20,IF(AX248="20 to 40",10,IF(AX248="0 to 20",-5,0)))</f>
        <v/>
      </c>
      <c r="AZ248" s="30" t="inlineStr">
        <is>
          <t>Above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Blue sky scenario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Less than 50%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Between 0.7 to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IF(B249=0,"",RANK(B249,$B$2:$B$293,0))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TBZ</t>
        </is>
      </c>
      <c r="D249" s="30" t="inlineStr">
        <is>
          <t>Tribhovandas Bhimji Zaveri Limited</t>
        </is>
      </c>
      <c r="E249" s="30" t="inlineStr">
        <is>
          <t>consumer discretionary</t>
        </is>
      </c>
      <c r="F249" s="30" t="inlineStr">
        <is>
          <t>diamond cutting / jewellery</t>
        </is>
      </c>
      <c r="G249" s="30" t="inlineStr">
        <is>
          <t>smallcap</t>
        </is>
      </c>
      <c r="H249" s="31" t="n">
        <v>1193.41</v>
      </c>
      <c r="I249" s="31" t="n">
        <v>177.49</v>
      </c>
      <c r="J249" s="31" t="n">
        <v>-0.75</v>
      </c>
      <c r="K249" s="31" t="n">
        <v>770397</v>
      </c>
      <c r="L249" s="30" t="n">
        <v>19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59.89</v>
      </c>
      <c r="P249" s="31" t="n">
        <v>12.15</v>
      </c>
      <c r="Q249" s="31" t="n">
        <v>129.55</v>
      </c>
      <c r="R249" s="30" t="inlineStr">
        <is>
          <t>Volume Spike / Accumulation</t>
        </is>
      </c>
      <c r="S249" s="30" t="inlineStr">
        <is>
          <t>Nifty 50</t>
        </is>
      </c>
      <c r="T249" s="31" t="n">
        <v>-6.39</v>
      </c>
      <c r="U249" s="31" t="n">
        <v>-4.74</v>
      </c>
      <c r="V249" s="31" t="n">
        <v>1.76</v>
      </c>
      <c r="W249" s="31" t="n">
        <v>5.83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0 to 20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1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Less than 1.5</t>
        </is>
      </c>
      <c r="BU249" s="30">
        <f>IF(BT249="Above 2",0,IF(BT249="Between 1.5 to 2",5,IF(BT249="Less than 1.5",10,0)))</f>
        <v/>
      </c>
      <c r="BV249" s="30" t="inlineStr">
        <is>
          <t>Less than 50% and Borrowings are increasing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Between 0.7 to 1.2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IF(B250=0,"",RANK(B250,$B$2:$B$293,0))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2" t="inlineStr">
        <is>
          <t>TIINDIA</t>
        </is>
      </c>
      <c r="D250" s="32" t="inlineStr">
        <is>
          <t>Tube Investments of India Ltd</t>
        </is>
      </c>
      <c r="E250" s="30" t="inlineStr">
        <is>
          <t>industrials</t>
        </is>
      </c>
      <c r="F250" s="30" t="inlineStr">
        <is>
          <t>steel - large</t>
        </is>
      </c>
      <c r="G250" s="30" t="inlineStr">
        <is>
          <t>largecap</t>
        </is>
      </c>
      <c r="H250" s="31" t="n">
        <v>60208.49</v>
      </c>
      <c r="I250" s="31" t="n">
        <v>3070.2</v>
      </c>
      <c r="J250" s="31" t="n">
        <v>-1.3</v>
      </c>
      <c r="K250" s="31" t="n">
        <v>194889</v>
      </c>
      <c r="L250" s="30" t="n">
        <v>7</v>
      </c>
      <c r="M250" s="30" t="inlineStr">
        <is>
          <t>Underperforming</t>
        </is>
      </c>
      <c r="N250" s="31">
        <f>IF(M250="Underperforming",-5,IF(L250&gt;=95,15,IF(L250&gt;=90,10,IF(L250&gt;=80,5,0))))</f>
        <v/>
      </c>
      <c r="O250" s="31" t="n">
        <v>59.55</v>
      </c>
      <c r="P250" s="31" t="n">
        <v>16.51</v>
      </c>
      <c r="Q250" s="31" t="n">
        <v>2450.62</v>
      </c>
      <c r="R250" s="30" t="inlineStr">
        <is>
          <t>Earnings / Momentum Support</t>
        </is>
      </c>
      <c r="S250" s="30" t="inlineStr">
        <is>
          <t>Nifty Metal</t>
        </is>
      </c>
      <c r="T250" s="31" t="n">
        <v>43.89</v>
      </c>
      <c r="U250" s="31" t="n">
        <v>0.24</v>
      </c>
      <c r="V250" s="31" t="n">
        <v>-30.34</v>
      </c>
      <c r="W250" s="31" t="n">
        <v>2.89</v>
      </c>
      <c r="X250" s="30" t="inlineStr">
        <is>
          <t>Cyclical in an Upturn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IF(B251=0,"",RANK(B251,$B$2:$B$293,0))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JSWENERGY</t>
        </is>
      </c>
      <c r="D251" s="30" t="inlineStr">
        <is>
          <t>Jsw Energy Limited</t>
        </is>
      </c>
      <c r="E251" s="30" t="inlineStr">
        <is>
          <t>power &amp; utilities</t>
        </is>
      </c>
      <c r="F251" s="30" t="inlineStr">
        <is>
          <t>power generation and supply</t>
        </is>
      </c>
      <c r="G251" s="30" t="inlineStr">
        <is>
          <t>largecap</t>
        </is>
      </c>
      <c r="H251" s="31" t="n">
        <v>103425.44</v>
      </c>
      <c r="I251" s="31" t="n">
        <v>580.2</v>
      </c>
      <c r="J251" s="31" t="n">
        <v>-1.42</v>
      </c>
      <c r="K251" s="31" t="n">
        <v>1997491</v>
      </c>
      <c r="L251" s="30" t="n">
        <v>22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60.38</v>
      </c>
      <c r="P251" s="31" t="n">
        <v>14.02</v>
      </c>
      <c r="Q251" s="31" t="n">
        <v>477.3</v>
      </c>
      <c r="R251" s="30" t="inlineStr">
        <is>
          <t>Near 52W High Breakout</t>
        </is>
      </c>
      <c r="S251" s="30" t="inlineStr">
        <is>
          <t>Nifty IT</t>
        </is>
      </c>
      <c r="T251" s="31" t="n">
        <v>-21.21</v>
      </c>
      <c r="U251" s="31" t="n">
        <v>11.41</v>
      </c>
      <c r="V251" s="31" t="n">
        <v>41.4</v>
      </c>
      <c r="W251" s="31" t="n">
        <v>6.36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More than 1.2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IF(B252=0,"",RANK(B252,$B$2:$B$293,0))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ACMESOLAR</t>
        </is>
      </c>
      <c r="D252" s="30" t="inlineStr">
        <is>
          <t>ACME Solar Holdings Ltd</t>
        </is>
      </c>
      <c r="E252" s="30" t="inlineStr">
        <is>
          <t>realty</t>
        </is>
      </c>
      <c r="F252" s="30" t="inlineStr">
        <is>
          <t>engineering - turnkey services</t>
        </is>
      </c>
      <c r="G252" s="30" t="inlineStr">
        <is>
          <t>largecap</t>
        </is>
      </c>
      <c r="H252" s="31" t="n">
        <v>20284.91</v>
      </c>
      <c r="I252" s="31" t="n">
        <v>329.05</v>
      </c>
      <c r="J252" s="31" t="n">
        <v>-1.7</v>
      </c>
      <c r="K252" s="31" t="n">
        <v>3477148</v>
      </c>
      <c r="L252" s="30" t="n">
        <v>63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67.67</v>
      </c>
      <c r="P252" s="31" t="n">
        <v>18.1</v>
      </c>
      <c r="Q252" s="31" t="n">
        <v>252.46</v>
      </c>
      <c r="R252" s="30" t="inlineStr">
        <is>
          <t>Volume Spike &amp; Near 52W High Breakout</t>
        </is>
      </c>
      <c r="S252" s="30" t="inlineStr">
        <is>
          <t>Nifty Realty</t>
        </is>
      </c>
      <c r="T252" s="31" t="n">
        <v>-26.64</v>
      </c>
      <c r="U252" s="31" t="n">
        <v>31.29</v>
      </c>
      <c r="V252" s="31" t="n">
        <v>78.98</v>
      </c>
      <c r="W252" s="31" t="n">
        <v>17.1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0 to 20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Between 50% to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More than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IF(B253=0,"",RANK(B253,$B$2:$B$293,0))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2" t="inlineStr">
        <is>
          <t>ATGL</t>
        </is>
      </c>
      <c r="D253" s="32" t="inlineStr">
        <is>
          <t>Adani Total Gas Ltd</t>
        </is>
      </c>
      <c r="E253" s="30" t="inlineStr">
        <is>
          <t>energy</t>
        </is>
      </c>
      <c r="F253" s="30" t="inlineStr">
        <is>
          <t>miscellaneous</t>
        </is>
      </c>
      <c r="G253" s="30" t="inlineStr">
        <is>
          <t>largecap</t>
        </is>
      </c>
      <c r="H253" s="31" t="n">
        <v>81182.48</v>
      </c>
      <c r="I253" s="31" t="n">
        <v>717.6</v>
      </c>
      <c r="J253" s="31" t="n">
        <v>-2.78</v>
      </c>
      <c r="K253" s="31" t="n">
        <v>7961803</v>
      </c>
      <c r="L253" s="30" t="n">
        <v>48</v>
      </c>
      <c r="M253" s="30" t="inlineStr">
        <is>
          <t>Underperforming</t>
        </is>
      </c>
      <c r="N253" s="31">
        <f>IF(M253="Underperforming",-5,IF(L253&gt;=95,15,IF(L253&gt;=90,10,IF(L253&gt;=80,5,0))))</f>
        <v/>
      </c>
      <c r="O253" s="31" t="n">
        <v>63.56</v>
      </c>
      <c r="P253" s="31" t="n">
        <v>44.84</v>
      </c>
      <c r="Q253" s="31" t="n">
        <v>567.62</v>
      </c>
      <c r="R253" s="30" t="inlineStr">
        <is>
          <t>Earnings / Momentum Support</t>
        </is>
      </c>
      <c r="S253" s="30" t="inlineStr">
        <is>
          <t>Nifty Energy</t>
        </is>
      </c>
      <c r="T253" s="31" t="n">
        <v>11.89</v>
      </c>
      <c r="U253" s="31" t="n">
        <v>5.58</v>
      </c>
      <c r="V253" s="31" t="n">
        <v>-5.65</v>
      </c>
      <c r="W253" s="31" t="n">
        <v>13.21</v>
      </c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Oligopoly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Yes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Cyclical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Volatile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Above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IF(B254=0,"",RANK(B254,$B$2:$B$293,0))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SILVERTUC</t>
        </is>
      </c>
      <c r="D254" s="32" t="inlineStr">
        <is>
          <t>Silver Touch Technologies Ltd</t>
        </is>
      </c>
      <c r="E254" s="30" t="inlineStr">
        <is>
          <t>i.t</t>
        </is>
      </c>
      <c r="F254" s="30" t="inlineStr">
        <is>
          <t>computers - software - medium / small</t>
        </is>
      </c>
      <c r="G254" s="30" t="inlineStr">
        <is>
          <t>smallcap</t>
        </is>
      </c>
      <c r="H254" s="31" t="n">
        <v>2217.02</v>
      </c>
      <c r="I254" s="31" t="n">
        <v>175.13</v>
      </c>
      <c r="J254" s="31" t="n">
        <v>0.17</v>
      </c>
      <c r="K254" s="31" t="n">
        <v>527804</v>
      </c>
      <c r="L254" s="30" t="n">
        <v>1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37.38</v>
      </c>
      <c r="P254" s="31" t="n">
        <v>45.38</v>
      </c>
      <c r="Q254" s="31" t="n">
        <v>50.11</v>
      </c>
      <c r="R254" s="30" t="inlineStr">
        <is>
          <t>Earnings / Momentum Support</t>
        </is>
      </c>
      <c r="S254" s="30" t="inlineStr">
        <is>
          <t>Nifty IT</t>
        </is>
      </c>
      <c r="T254" s="31" t="n">
        <v>-21.21</v>
      </c>
      <c r="U254" s="31" t="n">
        <v>-77.25</v>
      </c>
      <c r="V254" s="31" t="n">
        <v>-71.12</v>
      </c>
      <c r="W254" s="31" t="n">
        <v>-7.3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Headwind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Annuity, Lower One Time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Above 40</t>
        </is>
      </c>
      <c r="AY254" s="30">
        <f>IF(AX254="Above 40",20,IF(AX254="20 to 40",10,IF(AX254="0 to 20",-5,0)))</f>
        <v/>
      </c>
      <c r="AZ254" s="30" t="inlineStr">
        <is>
          <t>Below 45</t>
        </is>
      </c>
      <c r="BA254" s="30">
        <f>IF(AZ254="Between 50 to 75",10,IF(AZ254="Above 75",0,0))</f>
        <v/>
      </c>
      <c r="BB254" s="30" t="inlineStr">
        <is>
          <t>Stage 4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Less than 50%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IF(B255=0,"",RANK(B255,$B$2:$B$293,0))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IMFA</t>
        </is>
      </c>
      <c r="D255" s="30" t="inlineStr">
        <is>
          <t>Indian Metals &amp; Ferro Alloys Limited</t>
        </is>
      </c>
      <c r="E255" s="30" t="inlineStr">
        <is>
          <t>metals &amp; mining</t>
        </is>
      </c>
      <c r="F255" s="30" t="inlineStr">
        <is>
          <t>mining / minerals / metals</t>
        </is>
      </c>
      <c r="G255" s="30" t="inlineStr">
        <is>
          <t>midcap</t>
        </is>
      </c>
      <c r="H255" s="31" t="n">
        <v>7885.39</v>
      </c>
      <c r="I255" s="31" t="n">
        <v>1501.9</v>
      </c>
      <c r="J255" s="31" t="n">
        <v>2.76</v>
      </c>
      <c r="K255" s="31" t="n">
        <v>243058</v>
      </c>
      <c r="L255" s="30" t="n">
        <v>73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60.1</v>
      </c>
      <c r="P255" s="31" t="n">
        <v>22.77</v>
      </c>
      <c r="Q255" s="31" t="n">
        <v>1144.5</v>
      </c>
      <c r="R255" s="30" t="inlineStr">
        <is>
          <t>Near 52W High Breakout</t>
        </is>
      </c>
      <c r="S255" s="30" t="inlineStr">
        <is>
          <t>Nifty Metal</t>
        </is>
      </c>
      <c r="T255" s="31" t="n">
        <v>43.89</v>
      </c>
      <c r="U255" s="31" t="n">
        <v>106.61</v>
      </c>
      <c r="V255" s="31" t="n">
        <v>43.58</v>
      </c>
      <c r="W255" s="31" t="n">
        <v>21.97</v>
      </c>
      <c r="X255" s="30" t="inlineStr">
        <is>
          <t>Cyclical in an Upturn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Cyclical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Volatile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Negative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Blue sky scenario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Between 50% to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IF(B256=0,"",RANK(B256,$B$2:$B$293,0))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TMPV</t>
        </is>
      </c>
      <c r="D256" s="32" t="inlineStr">
        <is>
          <t>Tata Motors Passenger Vehicles Ltd</t>
        </is>
      </c>
      <c r="E256" s="30" t="inlineStr">
        <is>
          <t>auto</t>
        </is>
      </c>
      <c r="F256" s="30" t="inlineStr">
        <is>
          <t>automobiles - passenger cars</t>
        </is>
      </c>
      <c r="G256" s="30" t="inlineStr">
        <is>
          <t>largecap</t>
        </is>
      </c>
      <c r="H256" s="31" t="n">
        <v>143686.37</v>
      </c>
      <c r="I256" s="31" t="n">
        <v>398.15</v>
      </c>
      <c r="J256" s="31" t="n">
        <v>2.04</v>
      </c>
      <c r="K256" s="31" t="n">
        <v>8638483</v>
      </c>
      <c r="L256" s="30" t="n">
        <v>1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53.52</v>
      </c>
      <c r="P256" s="31" t="n">
        <v>26.16</v>
      </c>
      <c r="Q256" s="31" t="n">
        <v>312.13</v>
      </c>
      <c r="R256" s="30" t="inlineStr">
        <is>
          <t>Earnings / Momentum Support</t>
        </is>
      </c>
      <c r="S256" s="30" t="inlineStr">
        <is>
          <t>Nifty Auto</t>
        </is>
      </c>
      <c r="T256" s="31" t="n">
        <v>10.28</v>
      </c>
      <c r="U256" s="31" t="n">
        <v>-43.52</v>
      </c>
      <c r="V256" s="31" t="n">
        <v>-48.78</v>
      </c>
      <c r="W256" s="31" t="n">
        <v>-4.91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1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Less than 50%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IF(B257=0,"",RANK(B257,$B$2:$B$293,0))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WELENT</t>
        </is>
      </c>
      <c r="D257" s="30" t="inlineStr">
        <is>
          <t>Welspun Enterprises Limited</t>
        </is>
      </c>
      <c r="E257" s="30" t="inlineStr">
        <is>
          <t>realty</t>
        </is>
      </c>
      <c r="F257" s="30" t="inlineStr">
        <is>
          <t>construction</t>
        </is>
      </c>
      <c r="G257" s="30" t="inlineStr">
        <is>
          <t>midcap</t>
        </is>
      </c>
      <c r="H257" s="31" t="n">
        <v>7162.91</v>
      </c>
      <c r="I257" s="31" t="n">
        <v>518.6</v>
      </c>
      <c r="J257" s="31" t="n">
        <v>0.21</v>
      </c>
      <c r="K257" s="31" t="n">
        <v>174319</v>
      </c>
      <c r="L257" s="30" t="n">
        <v>9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56.24</v>
      </c>
      <c r="P257" s="31" t="n">
        <v>11.67</v>
      </c>
      <c r="Q257" s="31" t="n">
        <v>405.8</v>
      </c>
      <c r="R257" s="30" t="inlineStr">
        <is>
          <t>Earnings / Momentum Support</t>
        </is>
      </c>
      <c r="S257" s="30" t="inlineStr">
        <is>
          <t>Nifty Realty</t>
        </is>
      </c>
      <c r="T257" s="31" t="n">
        <v>-26.64</v>
      </c>
      <c r="U257" s="31" t="n">
        <v>0.1</v>
      </c>
      <c r="V257" s="31" t="n">
        <v>36.46</v>
      </c>
      <c r="W257" s="31" t="n">
        <v>3.19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Negative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Less than 1.5</t>
        </is>
      </c>
      <c r="BU257" s="30">
        <f>IF(BT257="Above 2",0,IF(BT257="Between 1.5 to 2",5,IF(BT257="Less than 1.5",10,0)))</f>
        <v/>
      </c>
      <c r="BV257" s="30" t="inlineStr">
        <is>
          <t>Less than 50%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IF(B258=0,"",RANK(B258,$B$2:$B$293,0))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2" t="inlineStr">
        <is>
          <t>VENUSPIPES</t>
        </is>
      </c>
      <c r="D258" s="32" t="inlineStr">
        <is>
          <t>Venus Pipes &amp; Tubes Ltd</t>
        </is>
      </c>
      <c r="E258" s="30" t="inlineStr">
        <is>
          <t>metals &amp; mining</t>
        </is>
      </c>
      <c r="F258" s="30" t="inlineStr">
        <is>
          <t>steel - medium / small</t>
        </is>
      </c>
      <c r="G258" s="30" t="inlineStr">
        <is>
          <t>smallcap</t>
        </is>
      </c>
      <c r="H258" s="31" t="n">
        <v>2939.2</v>
      </c>
      <c r="I258" s="31" t="n">
        <v>1419.4</v>
      </c>
      <c r="J258" s="31" t="n">
        <v>0.04</v>
      </c>
      <c r="K258" s="31" t="n">
        <v>101822</v>
      </c>
      <c r="L258" s="30" t="n">
        <v>34</v>
      </c>
      <c r="M258" s="30" t="inlineStr">
        <is>
          <t>Underperforming</t>
        </is>
      </c>
      <c r="N258" s="31">
        <f>IF(M258="Underperforming",-5,IF(L258&gt;=95,15,IF(L258&gt;=90,10,IF(L258&gt;=80,5,0))))</f>
        <v/>
      </c>
      <c r="O258" s="31" t="n">
        <v>61.37</v>
      </c>
      <c r="P258" s="31" t="n">
        <v>21.42</v>
      </c>
      <c r="Q258" s="31" t="n">
        <v>1033.02</v>
      </c>
      <c r="R258" s="30" t="inlineStr">
        <is>
          <t>Earnings / Momentum Support</t>
        </is>
      </c>
      <c r="S258" s="30" t="inlineStr">
        <is>
          <t>Nifty Metal</t>
        </is>
      </c>
      <c r="T258" s="31" t="n">
        <v>43.89</v>
      </c>
      <c r="U258" s="31" t="n">
        <v>-0.62</v>
      </c>
      <c r="V258" s="31" t="n">
        <v>-30.93</v>
      </c>
      <c r="W258" s="31" t="n">
        <v>9.380000000000001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Cyclical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Volatile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Between 50% to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IF(B259=0,"",RANK(B259,$B$2:$B$293,0))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AVANTEL</t>
        </is>
      </c>
      <c r="D259" s="30" t="inlineStr">
        <is>
          <t>Avantel Ltd</t>
        </is>
      </c>
      <c r="E259" s="30" t="inlineStr">
        <is>
          <t>aerospace &amp; defence</t>
        </is>
      </c>
      <c r="F259" s="30" t="inlineStr">
        <is>
          <t>telecommunications - equipment</t>
        </is>
      </c>
      <c r="G259" s="30" t="inlineStr">
        <is>
          <t>smallcap</t>
        </is>
      </c>
      <c r="H259" s="31" t="n">
        <v>4680.23</v>
      </c>
      <c r="I259" s="31" t="n">
        <v>175.7</v>
      </c>
      <c r="J259" s="31" t="n">
        <v>-0.25</v>
      </c>
      <c r="K259" s="31" t="n">
        <v>1610638</v>
      </c>
      <c r="L259" s="30" t="n">
        <v>17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59.66</v>
      </c>
      <c r="P259" s="31" t="n">
        <v>14.86</v>
      </c>
      <c r="Q259" s="31" t="n">
        <v>125.78</v>
      </c>
      <c r="R259" s="30" t="inlineStr">
        <is>
          <t>Earnings / Momentum Support</t>
        </is>
      </c>
      <c r="S259" s="30" t="inlineStr">
        <is>
          <t>Nifty 50</t>
        </is>
      </c>
      <c r="T259" s="31" t="n">
        <v>-6.39</v>
      </c>
      <c r="U259" s="31" t="n">
        <v>2.65</v>
      </c>
      <c r="V259" s="31" t="n">
        <v>9.66</v>
      </c>
      <c r="W259" s="31" t="n">
        <v>5.44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Oligopoly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Yes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Less than 12%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Less than 50%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IF(B260=0,"",RANK(B260,$B$2:$B$293,0))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HINDOILEXP</t>
        </is>
      </c>
      <c r="D260" s="32" t="inlineStr">
        <is>
          <t>Hindustan Oil Exploration Company Limited</t>
        </is>
      </c>
      <c r="E260" s="30" t="inlineStr">
        <is>
          <t>energy</t>
        </is>
      </c>
      <c r="F260" s="30" t="inlineStr">
        <is>
          <t>oil drilling / allied services</t>
        </is>
      </c>
      <c r="G260" s="30" t="inlineStr">
        <is>
          <t>smallcap</t>
        </is>
      </c>
      <c r="H260" s="31" t="n">
        <v>2271.81</v>
      </c>
      <c r="I260" s="31" t="n">
        <v>169.71</v>
      </c>
      <c r="J260" s="31" t="n">
        <v>-1.21</v>
      </c>
      <c r="K260" s="31" t="n">
        <v>508820</v>
      </c>
      <c r="L260" s="30" t="n">
        <v>4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57.58</v>
      </c>
      <c r="P260" s="31" t="n">
        <v>23.46</v>
      </c>
      <c r="Q260" s="31" t="n">
        <v>124.87</v>
      </c>
      <c r="R260" s="30" t="inlineStr">
        <is>
          <t>Earnings / Momentum Support</t>
        </is>
      </c>
      <c r="S260" s="30" t="inlineStr">
        <is>
          <t>Nifty Energy</t>
        </is>
      </c>
      <c r="T260" s="31" t="n">
        <v>11.89</v>
      </c>
      <c r="U260" s="31" t="n">
        <v>-0.22</v>
      </c>
      <c r="V260" s="31" t="n">
        <v>-10.83</v>
      </c>
      <c r="W260" s="31" t="n">
        <v>1.88</v>
      </c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Oligopoly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Yes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Cyclical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Volatile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IF(B261=0,"",RANK(B261,$B$2:$B$293,0))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2" t="inlineStr">
        <is>
          <t>AKUMS</t>
        </is>
      </c>
      <c r="D261" s="32" t="inlineStr">
        <is>
          <t>Akums Drugs &amp; Pharmaceuticals Ltd</t>
        </is>
      </c>
      <c r="E261" s="30" t="inlineStr">
        <is>
          <t>healthcare</t>
        </is>
      </c>
      <c r="F261" s="30" t="inlineStr">
        <is>
          <t>pharmaceuticals - indian - bulk drugs &amp; formln</t>
        </is>
      </c>
      <c r="G261" s="30" t="inlineStr">
        <is>
          <t>midcap</t>
        </is>
      </c>
      <c r="H261" s="31" t="n">
        <v>8361.559999999999</v>
      </c>
      <c r="I261" s="31" t="n">
        <v>540.45</v>
      </c>
      <c r="J261" s="31" t="n">
        <v>1.73</v>
      </c>
      <c r="K261" s="31" t="n">
        <v>148831</v>
      </c>
      <c r="L261" s="30" t="n">
        <v>7</v>
      </c>
      <c r="M261" s="30" t="inlineStr">
        <is>
          <t>Underperforming</t>
        </is>
      </c>
      <c r="N261" s="31">
        <f>IF(M261="Underperforming",-5,IF(L261&gt;=95,15,IF(L261&gt;=90,10,IF(L261&gt;=80,5,0))))</f>
        <v/>
      </c>
      <c r="O261" s="31" t="n">
        <v>60.72</v>
      </c>
      <c r="P261" s="31" t="n">
        <v>33.81</v>
      </c>
      <c r="Q261" s="31" t="n">
        <v>449.84</v>
      </c>
      <c r="R261" s="30" t="inlineStr">
        <is>
          <t>Earnings / Momentum Support</t>
        </is>
      </c>
      <c r="S261" s="30" t="inlineStr">
        <is>
          <t>Nifty Pharma</t>
        </is>
      </c>
      <c r="T261" s="31" t="n">
        <v>11.08</v>
      </c>
      <c r="U261" s="31" t="n">
        <v>-4.2</v>
      </c>
      <c r="V261" s="31" t="n">
        <v>-13.76</v>
      </c>
      <c r="W261" s="31" t="n">
        <v>2.73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Yes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Annuity, Lower One Time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IF(B262=0,"",RANK(B262,$B$2:$B$293,0))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PANAMAPET</t>
        </is>
      </c>
      <c r="D262" s="32" t="inlineStr">
        <is>
          <t>Panama Petrochem Limited</t>
        </is>
      </c>
      <c r="E262" s="30" t="inlineStr">
        <is>
          <t>energy</t>
        </is>
      </c>
      <c r="F262" s="30" t="inlineStr">
        <is>
          <t>petrochemicals</t>
        </is>
      </c>
      <c r="G262" s="30" t="inlineStr">
        <is>
          <t>smallcap</t>
        </is>
      </c>
      <c r="H262" s="31" t="n">
        <v>1908.88</v>
      </c>
      <c r="I262" s="31" t="n">
        <v>337.8</v>
      </c>
      <c r="J262" s="31" t="n">
        <v>7.05</v>
      </c>
      <c r="K262" s="31" t="n">
        <v>319477</v>
      </c>
      <c r="L262" s="30" t="n">
        <v>11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63.23</v>
      </c>
      <c r="P262" s="31" t="n">
        <v>18.32</v>
      </c>
      <c r="Q262" s="31" t="n">
        <v>257.03</v>
      </c>
      <c r="R262" s="30" t="inlineStr">
        <is>
          <t>Volume Spike / Accumulation</t>
        </is>
      </c>
      <c r="S262" s="30" t="inlineStr">
        <is>
          <t>Nifty Energy</t>
        </is>
      </c>
      <c r="T262" s="31" t="n">
        <v>11.89</v>
      </c>
      <c r="U262" s="31" t="n">
        <v>-6.67</v>
      </c>
      <c r="V262" s="31" t="n">
        <v>-16.59</v>
      </c>
      <c r="W262" s="31" t="n">
        <v>3.97</v>
      </c>
      <c r="X262" s="30" t="inlineStr">
        <is>
          <t>Cyclical in an Upturn</t>
        </is>
      </c>
      <c r="Y262" s="30">
        <f>IF(X262="Growing Industry",10,IF(X262="Cyclical in an Upturn",5,0))</f>
        <v/>
      </c>
      <c r="Z262" s="30" t="inlineStr">
        <is>
          <t>Oligopoly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Yes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Cyclical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Volatile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0 to 20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Negative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IF(B263=0,"",RANK(B263,$B$2:$B$293,0))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BHARATFORG</t>
        </is>
      </c>
      <c r="D263" s="30" t="inlineStr">
        <is>
          <t>Bharat Forge Limited</t>
        </is>
      </c>
      <c r="E263" s="30" t="inlineStr">
        <is>
          <t>industrials</t>
        </is>
      </c>
      <c r="F263" s="30" t="inlineStr">
        <is>
          <t>castings &amp; forgings</t>
        </is>
      </c>
      <c r="G263" s="30" t="inlineStr">
        <is>
          <t>largecap</t>
        </is>
      </c>
      <c r="H263" s="31" t="n">
        <v>90975.49000000001</v>
      </c>
      <c r="I263" s="31" t="n">
        <v>1936.5</v>
      </c>
      <c r="J263" s="31" t="n">
        <v>1.77</v>
      </c>
      <c r="K263" s="31" t="n">
        <v>808066</v>
      </c>
      <c r="L263" s="30" t="n">
        <v>36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64.31</v>
      </c>
      <c r="P263" s="31" t="n">
        <v>35.9</v>
      </c>
      <c r="Q263" s="31" t="n">
        <v>1635.36</v>
      </c>
      <c r="R263" s="30" t="inlineStr">
        <is>
          <t>Near 52W High Breakout</t>
        </is>
      </c>
      <c r="S263" s="30" t="inlineStr">
        <is>
          <t>Nifty 500</t>
        </is>
      </c>
      <c r="T263" s="31" t="n">
        <v>-3.08</v>
      </c>
      <c r="U263" s="31" t="n">
        <v>50.24</v>
      </c>
      <c r="V263" s="31" t="n">
        <v>55.01</v>
      </c>
      <c r="W263" s="31" t="n">
        <v>10.02</v>
      </c>
      <c r="X263" s="30" t="inlineStr">
        <is>
          <t>Cyclical in an Upturn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Negative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Between 50% to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Between 0.7 to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IF(B264=0,"",RANK(B264,$B$2:$B$293,0))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ASAHIINDIA</t>
        </is>
      </c>
      <c r="D264" s="30" t="inlineStr">
        <is>
          <t>Asahi India Glass Limited</t>
        </is>
      </c>
      <c r="E264" s="30" t="inlineStr">
        <is>
          <t>building materials</t>
        </is>
      </c>
      <c r="F264" s="30" t="inlineStr">
        <is>
          <t>glass &amp; glass products</t>
        </is>
      </c>
      <c r="G264" s="30" t="inlineStr">
        <is>
          <t>largecap</t>
        </is>
      </c>
      <c r="H264" s="31" t="n">
        <v>22921.78</v>
      </c>
      <c r="I264" s="31" t="n">
        <v>903.5</v>
      </c>
      <c r="J264" s="31" t="n">
        <v>0.48</v>
      </c>
      <c r="K264" s="31" t="n">
        <v>126702</v>
      </c>
      <c r="L264" s="30" t="n">
        <v>26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54.72</v>
      </c>
      <c r="P264" s="31" t="n">
        <v>11.5</v>
      </c>
      <c r="Q264" s="31" t="n">
        <v>701.45</v>
      </c>
      <c r="R264" s="30" t="inlineStr">
        <is>
          <t>Earnings / Momentum Support</t>
        </is>
      </c>
      <c r="S264" s="30" t="inlineStr">
        <is>
          <t>Nifty Infra</t>
        </is>
      </c>
      <c r="T264" s="31" t="n">
        <v>1.52</v>
      </c>
      <c r="U264" s="31" t="n">
        <v>21.98</v>
      </c>
      <c r="V264" s="31" t="n">
        <v>20.15</v>
      </c>
      <c r="W264" s="31" t="n">
        <v>6.98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Headwind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0 to 20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1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Between 1.5 to 2</t>
        </is>
      </c>
      <c r="BU264" s="30">
        <f>IF(BT264="Above 2",0,IF(BT264="Between 1.5 to 2",5,IF(BT264="Less than 1.5",10,0)))</f>
        <v/>
      </c>
      <c r="BV264" s="30" t="inlineStr">
        <is>
          <t>Between 50% to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IF(B265=0,"",RANK(B265,$B$2:$B$293,0))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TVSSRICHAK</t>
        </is>
      </c>
      <c r="D265" s="30" t="inlineStr">
        <is>
          <t>Tvs Srichakra Limited</t>
        </is>
      </c>
      <c r="E265" s="30" t="inlineStr">
        <is>
          <t>auto</t>
        </is>
      </c>
      <c r="F265" s="30" t="inlineStr">
        <is>
          <t>tyres</t>
        </is>
      </c>
      <c r="G265" s="30" t="inlineStr">
        <is>
          <t>smallcap</t>
        </is>
      </c>
      <c r="H265" s="31" t="n">
        <v>3028.52</v>
      </c>
      <c r="I265" s="31" t="n">
        <v>3968.9</v>
      </c>
      <c r="J265" s="31" t="n">
        <v>0.35</v>
      </c>
      <c r="K265" s="31" t="n">
        <v>3439</v>
      </c>
      <c r="L265" s="30" t="n">
        <v>37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53.99</v>
      </c>
      <c r="P265" s="31" t="n">
        <v>9.58</v>
      </c>
      <c r="Q265" s="31" t="n">
        <v>3005.4</v>
      </c>
      <c r="R265" s="30" t="inlineStr">
        <is>
          <t>Earnings / Momentum Support</t>
        </is>
      </c>
      <c r="S265" s="30" t="inlineStr">
        <is>
          <t>Nifty Auto</t>
        </is>
      </c>
      <c r="T265" s="31" t="n">
        <v>10.28</v>
      </c>
      <c r="U265" s="31" t="n">
        <v>35.01</v>
      </c>
      <c r="V265" s="31" t="n">
        <v>22.42</v>
      </c>
      <c r="W265" s="31" t="n">
        <v>10.48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Headwind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1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IF(B266=0,"",RANK(B266,$B$2:$B$293,0))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2" t="inlineStr">
        <is>
          <t>LLOYDSME</t>
        </is>
      </c>
      <c r="D266" s="32" t="inlineStr">
        <is>
          <t>Lloyds Metals &amp; Energy Ltd</t>
        </is>
      </c>
      <c r="E266" s="30" t="inlineStr">
        <is>
          <t>metals &amp; mining</t>
        </is>
      </c>
      <c r="F266" s="30" t="inlineStr">
        <is>
          <t>mining / minerals / metals</t>
        </is>
      </c>
      <c r="G266" s="30" t="inlineStr">
        <is>
          <t>largecap</t>
        </is>
      </c>
      <c r="H266" s="31" t="n">
        <v>102522.56</v>
      </c>
      <c r="I266" s="31" t="n">
        <v>1792.8</v>
      </c>
      <c r="J266" s="31" t="n">
        <v>-1.59</v>
      </c>
      <c r="K266" s="31" t="n">
        <v>447376</v>
      </c>
      <c r="L266" s="30" t="n">
        <v>61</v>
      </c>
      <c r="M266" s="30" t="inlineStr">
        <is>
          <t>Underperforming</t>
        </is>
      </c>
      <c r="N266" s="31">
        <f>IF(M266="Underperforming",-5,IF(L266&gt;=95,15,IF(L266&gt;=90,10,IF(L266&gt;=80,5,0))))</f>
        <v/>
      </c>
      <c r="O266" s="31" t="n">
        <v>71.75</v>
      </c>
      <c r="P266" s="31" t="n">
        <v>35.52</v>
      </c>
      <c r="Q266" s="31" t="n">
        <v>1451.8</v>
      </c>
      <c r="R266" s="30" t="inlineStr">
        <is>
          <t>Near 52W High Breakout</t>
        </is>
      </c>
      <c r="S266" s="30" t="inlineStr">
        <is>
          <t>Nifty Metal</t>
        </is>
      </c>
      <c r="T266" s="31" t="n">
        <v>43.89</v>
      </c>
      <c r="U266" s="31" t="n">
        <v>22.89</v>
      </c>
      <c r="V266" s="31" t="n">
        <v>-14.6</v>
      </c>
      <c r="W266" s="31" t="n">
        <v>16.57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Cyclical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Volatile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Less than 50% and Borrowings are increasing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More than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IF(B267=0,"",RANK(B267,$B$2:$B$293,0))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HNDFDS</t>
        </is>
      </c>
      <c r="D267" s="30" t="inlineStr">
        <is>
          <t>Hindustan Foods Ltd</t>
        </is>
      </c>
      <c r="E267" s="30" t="inlineStr">
        <is>
          <t>fmcg</t>
        </is>
      </c>
      <c r="F267" s="30" t="inlineStr">
        <is>
          <t>diversified - large</t>
        </is>
      </c>
      <c r="G267" s="30" t="inlineStr">
        <is>
          <t>midcap</t>
        </is>
      </c>
      <c r="H267" s="31" t="n">
        <v>6455</v>
      </c>
      <c r="I267" s="31" t="n">
        <v>536.7</v>
      </c>
      <c r="J267" s="31" t="n">
        <v>-0.66</v>
      </c>
      <c r="K267" s="31" t="n">
        <v>76735</v>
      </c>
      <c r="L267" s="30" t="n">
        <v>6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56.66</v>
      </c>
      <c r="P267" s="31" t="n">
        <v>17.32</v>
      </c>
      <c r="Q267" s="31" t="n">
        <v>448.08</v>
      </c>
      <c r="R267" s="30" t="inlineStr">
        <is>
          <t>Earnings / Momentum Support</t>
        </is>
      </c>
      <c r="S267" s="30" t="inlineStr">
        <is>
          <t>Nifty FMCG</t>
        </is>
      </c>
      <c r="T267" s="31" t="n">
        <v>-13.76</v>
      </c>
      <c r="U267" s="31" t="n">
        <v>-0.59</v>
      </c>
      <c r="V267" s="31" t="n">
        <v>15.27</v>
      </c>
      <c r="W267" s="31" t="n">
        <v>2.61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B2C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Annuity, Lower One Time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Negative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Less than 1.5</t>
        </is>
      </c>
      <c r="BU267" s="30">
        <f>IF(BT267="Above 2",0,IF(BT267="Between 1.5 to 2",5,IF(BT267="Less than 1.5",10,0)))</f>
        <v/>
      </c>
      <c r="BV267" s="30" t="inlineStr">
        <is>
          <t>Less than 50%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Between 0.7 to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IF(B268=0,"",RANK(B268,$B$2:$B$293,0))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ONESOURCE</t>
        </is>
      </c>
      <c r="D268" s="32" t="inlineStr">
        <is>
          <t>OneSource Specialty Pharma Ltd</t>
        </is>
      </c>
      <c r="E268" s="30" t="inlineStr">
        <is>
          <t>healthcare</t>
        </is>
      </c>
      <c r="F268" s="30" t="inlineStr">
        <is>
          <t>pharmaceuticals - indian - bulk drugs &amp; formln</t>
        </is>
      </c>
      <c r="G268" s="30" t="inlineStr">
        <is>
          <t>largecap</t>
        </is>
      </c>
      <c r="H268" s="31" t="n">
        <v>20959.63</v>
      </c>
      <c r="I268" s="31" t="n">
        <v>1810.5</v>
      </c>
      <c r="J268" s="31" t="n">
        <v>-0.99</v>
      </c>
      <c r="K268" s="31" t="n">
        <v>62889</v>
      </c>
      <c r="L268" s="30" t="n">
        <v>10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58.45</v>
      </c>
      <c r="P268" s="31" t="n">
        <v>17.2</v>
      </c>
      <c r="Q268" s="31" t="n">
        <v>1354.08</v>
      </c>
      <c r="R268" s="30" t="inlineStr">
        <is>
          <t>Earnings / Momentum Support</t>
        </is>
      </c>
      <c r="S268" s="30" t="inlineStr">
        <is>
          <t>Nifty Pharma</t>
        </is>
      </c>
      <c r="T268" s="31" t="n">
        <v>11.08</v>
      </c>
      <c r="U268" s="31" t="n">
        <v>-6.41</v>
      </c>
      <c r="V268" s="31" t="n">
        <v>-15.74</v>
      </c>
      <c r="W268" s="31" t="n">
        <v>3.85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Yes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No</t>
        </is>
      </c>
      <c r="AQ268" s="30">
        <f>IF(AP268="Yes",10,0)</f>
        <v/>
      </c>
      <c r="AR268" s="30" t="inlineStr">
        <is>
          <t>Higher Annuity, Lower One Time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Negative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No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IF(B269=0,"",RANK(B269,$B$2:$B$293,0))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2" t="inlineStr">
        <is>
          <t>JINDRILL</t>
        </is>
      </c>
      <c r="D269" s="32" t="inlineStr">
        <is>
          <t>Jindal Drilling And Industries Limited</t>
        </is>
      </c>
      <c r="E269" s="30" t="inlineStr">
        <is>
          <t>energy</t>
        </is>
      </c>
      <c r="F269" s="30" t="inlineStr">
        <is>
          <t>oil drilling / allied services</t>
        </is>
      </c>
      <c r="G269" s="30" t="inlineStr">
        <is>
          <t>smallcap</t>
        </is>
      </c>
      <c r="H269" s="31" t="n">
        <v>1758.86</v>
      </c>
      <c r="I269" s="31" t="n">
        <v>628.1</v>
      </c>
      <c r="J269" s="31" t="n">
        <v>3.49</v>
      </c>
      <c r="K269" s="31" t="n">
        <v>965297</v>
      </c>
      <c r="L269" s="30" t="n">
        <v>10</v>
      </c>
      <c r="M269" s="30" t="inlineStr">
        <is>
          <t>Underperforming</t>
        </is>
      </c>
      <c r="N269" s="31">
        <f>IF(M269="Underperforming",-5,IF(L269&gt;=95,15,IF(L269&gt;=90,10,IF(L269&gt;=80,5,0))))</f>
        <v/>
      </c>
      <c r="O269" s="31" t="n">
        <v>59.44</v>
      </c>
      <c r="P269" s="31" t="n">
        <v>37.84</v>
      </c>
      <c r="Q269" s="31" t="n">
        <v>472.02</v>
      </c>
      <c r="R269" s="30" t="inlineStr">
        <is>
          <t>Earnings / Momentum Support</t>
        </is>
      </c>
      <c r="S269" s="30" t="inlineStr">
        <is>
          <t>Nifty Energy</t>
        </is>
      </c>
      <c r="T269" s="31" t="n">
        <v>11.89</v>
      </c>
      <c r="U269" s="31" t="n">
        <v>0.73</v>
      </c>
      <c r="V269" s="31" t="n">
        <v>-9.98</v>
      </c>
      <c r="W269" s="31" t="n">
        <v>3.69</v>
      </c>
      <c r="X269" s="30" t="inlineStr">
        <is>
          <t>Cyclical in an Upturn</t>
        </is>
      </c>
      <c r="Y269" s="30">
        <f>IF(X269="Growing Industry",10,IF(X269="Cyclical in an Upturn",5,0))</f>
        <v/>
      </c>
      <c r="Z269" s="30" t="inlineStr">
        <is>
          <t>Oligopoly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Yes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Cyclical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Volatile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Less than 50%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IF(B270=0,"",RANK(B270,$B$2:$B$293,0))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VINCOFE</t>
        </is>
      </c>
      <c r="D270" s="30" t="inlineStr">
        <is>
          <t>Vintage Coffee &amp; Beverages Ltd</t>
        </is>
      </c>
      <c r="E270" s="30" t="inlineStr">
        <is>
          <t>consumer discretionary</t>
        </is>
      </c>
      <c r="F270" s="30" t="inlineStr">
        <is>
          <t>trading</t>
        </is>
      </c>
      <c r="G270" s="30" t="inlineStr">
        <is>
          <t>smallcap</t>
        </is>
      </c>
      <c r="H270" s="31" t="n">
        <v>2143.22</v>
      </c>
      <c r="I270" s="31" t="n">
        <v>148.81</v>
      </c>
      <c r="J270" s="31" t="n">
        <v>1.16</v>
      </c>
      <c r="K270" s="31" t="n">
        <v>1168791</v>
      </c>
      <c r="L270" s="30" t="n">
        <v>27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55.21</v>
      </c>
      <c r="P270" s="31" t="n">
        <v>10.57</v>
      </c>
      <c r="Q270" s="31" t="n">
        <v>110.63</v>
      </c>
      <c r="R270" s="30" t="inlineStr">
        <is>
          <t>Earnings / Momentum Support</t>
        </is>
      </c>
      <c r="S270" s="30" t="inlineStr">
        <is>
          <t>Nifty 50</t>
        </is>
      </c>
      <c r="T270" s="31" t="n">
        <v>-6.39</v>
      </c>
      <c r="U270" s="31" t="n">
        <v>23.94</v>
      </c>
      <c r="V270" s="31" t="n">
        <v>32.4</v>
      </c>
      <c r="W270" s="31" t="n">
        <v>7.53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Headwind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1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Between 12 to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Between 1.5 to 2</t>
        </is>
      </c>
      <c r="BU270" s="30">
        <f>IF(BT270="Above 2",0,IF(BT270="Between 1.5 to 2",5,IF(BT270="Less than 1.5",10,0)))</f>
        <v/>
      </c>
      <c r="BV270" s="30" t="inlineStr">
        <is>
          <t>Less than 50%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IF(B271=0,"",RANK(B271,$B$2:$B$293,0))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PIDILITIND</t>
        </is>
      </c>
      <c r="D271" s="30" t="inlineStr">
        <is>
          <t>Pidilite Industries Limited</t>
        </is>
      </c>
      <c r="E271" s="30" t="inlineStr">
        <is>
          <t>chemicals</t>
        </is>
      </c>
      <c r="F271" s="30" t="inlineStr">
        <is>
          <t>chemicals</t>
        </is>
      </c>
      <c r="G271" s="30" t="inlineStr">
        <is>
          <t>largecap</t>
        </is>
      </c>
      <c r="H271" s="31" t="n">
        <v>148044.28</v>
      </c>
      <c r="I271" s="31" t="n">
        <v>1469.2</v>
      </c>
      <c r="J271" s="31" t="n">
        <v>1</v>
      </c>
      <c r="K271" s="31" t="n">
        <v>836338</v>
      </c>
      <c r="L271" s="30" t="n">
        <v>2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54.43</v>
      </c>
      <c r="P271" s="31" t="n">
        <v>19.82</v>
      </c>
      <c r="Q271" s="31" t="n">
        <v>1276.8</v>
      </c>
      <c r="R271" s="30" t="inlineStr">
        <is>
          <t>Earnings / Momentum Support</t>
        </is>
      </c>
      <c r="S271" s="30" t="inlineStr">
        <is>
          <t>Nifty 500</t>
        </is>
      </c>
      <c r="T271" s="31" t="n">
        <v>-3.08</v>
      </c>
      <c r="U271" s="31" t="n">
        <v>-2.99</v>
      </c>
      <c r="V271" s="31" t="n">
        <v>0.09</v>
      </c>
      <c r="W271" s="31" t="n">
        <v>-0.07000000000000001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Headwind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0 to 20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Negative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Between 1.5 to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IF(B272=0,"",RANK(B272,$B$2:$B$293,0))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0" t="inlineStr">
        <is>
          <t>TEGA</t>
        </is>
      </c>
      <c r="D272" s="30" t="inlineStr">
        <is>
          <t>Tega Industries Ltd</t>
        </is>
      </c>
      <c r="E272" s="30" t="inlineStr">
        <is>
          <t>industrials</t>
        </is>
      </c>
      <c r="F272" s="30" t="inlineStr">
        <is>
          <t>engineering</t>
        </is>
      </c>
      <c r="G272" s="30" t="inlineStr">
        <is>
          <t>midcap</t>
        </is>
      </c>
      <c r="H272" s="31" t="n">
        <v>13726.58</v>
      </c>
      <c r="I272" s="31" t="n">
        <v>1821.1</v>
      </c>
      <c r="J272" s="31" t="n">
        <v>-0.33</v>
      </c>
      <c r="K272" s="31" t="n">
        <v>109380</v>
      </c>
      <c r="L272" s="30" t="n">
        <v>14</v>
      </c>
      <c r="M272" s="30" t="inlineStr">
        <is>
          <t>Outperforming</t>
        </is>
      </c>
      <c r="N272" s="31">
        <f>IF(M272="Underperforming",-5,IF(L272&gt;=95,15,IF(L272&gt;=90,10,IF(L272&gt;=80,5,0))))</f>
        <v/>
      </c>
      <c r="O272" s="31" t="n">
        <v>55.59</v>
      </c>
      <c r="P272" s="31" t="n">
        <v>8.640000000000001</v>
      </c>
      <c r="Q272" s="31" t="n">
        <v>1417.46</v>
      </c>
      <c r="R272" s="30" t="inlineStr">
        <is>
          <t>Volume Spike / Accumulation</t>
        </is>
      </c>
      <c r="S272" s="30" t="inlineStr">
        <is>
          <t>Nifty 50</t>
        </is>
      </c>
      <c r="T272" s="31" t="n">
        <v>-6.39</v>
      </c>
      <c r="U272" s="31" t="n">
        <v>13.97</v>
      </c>
      <c r="V272" s="31" t="n">
        <v>21.75</v>
      </c>
      <c r="W272" s="31" t="n">
        <v>4.37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Headwind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Yes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0 to 20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1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Yes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IF(B273=0,"",RANK(B273,$B$2:$B$293,0))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KRISHANA</t>
        </is>
      </c>
      <c r="D273" s="30" t="inlineStr">
        <is>
          <t>Krishana Phoschem Ltd</t>
        </is>
      </c>
      <c r="E273" s="30" t="inlineStr">
        <is>
          <t>chemicals</t>
        </is>
      </c>
      <c r="F273" s="30" t="inlineStr">
        <is>
          <t>fertilizers</t>
        </is>
      </c>
      <c r="G273" s="30" t="inlineStr">
        <is>
          <t>smallcap</t>
        </is>
      </c>
      <c r="H273" s="31" t="n">
        <v>4244.16</v>
      </c>
      <c r="I273" s="31" t="n">
        <v>682.65</v>
      </c>
      <c r="J273" s="31" t="n">
        <v>-0.55</v>
      </c>
      <c r="K273" s="31" t="n">
        <v>190922</v>
      </c>
      <c r="L273" s="30" t="n">
        <v>67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67.72</v>
      </c>
      <c r="P273" s="31" t="n">
        <v>34.03</v>
      </c>
      <c r="Q273" s="31" t="n">
        <v>536.65</v>
      </c>
      <c r="R273" s="30" t="inlineStr">
        <is>
          <t>Near 52W High Breakout</t>
        </is>
      </c>
      <c r="S273" s="30" t="inlineStr">
        <is>
          <t>Nifty 50</t>
        </is>
      </c>
      <c r="T273" s="31" t="n">
        <v>-6.39</v>
      </c>
      <c r="U273" s="31" t="n">
        <v>53.41</v>
      </c>
      <c r="V273" s="31" t="n">
        <v>63.88</v>
      </c>
      <c r="W273" s="31" t="n">
        <v>18.69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Blue sky scenario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Negative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More than 1.2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IF(B274=0,"",RANK(B274,$B$2:$B$293,0))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2" t="inlineStr">
        <is>
          <t>INDGN</t>
        </is>
      </c>
      <c r="D274" s="32" t="inlineStr">
        <is>
          <t>Indegene Ltd</t>
        </is>
      </c>
      <c r="E274" s="30" t="inlineStr">
        <is>
          <t>healthcare</t>
        </is>
      </c>
      <c r="F274" s="30" t="inlineStr">
        <is>
          <t>miscellaneous</t>
        </is>
      </c>
      <c r="G274" s="30" t="inlineStr">
        <is>
          <t>midcap</t>
        </is>
      </c>
      <c r="H274" s="31" t="n">
        <v>12459.24</v>
      </c>
      <c r="I274" s="31" t="n">
        <v>519.95</v>
      </c>
      <c r="J274" s="31" t="n">
        <v>0.29</v>
      </c>
      <c r="K274" s="31" t="n">
        <v>202647</v>
      </c>
      <c r="L274" s="30" t="n">
        <v>2</v>
      </c>
      <c r="M274" s="30" t="inlineStr">
        <is>
          <t>Underperforming</t>
        </is>
      </c>
      <c r="N274" s="31">
        <f>IF(M274="Underperforming",-5,IF(L274&gt;=95,15,IF(L274&gt;=90,10,IF(L274&gt;=80,5,0))))</f>
        <v/>
      </c>
      <c r="O274" s="31" t="n">
        <v>54.92</v>
      </c>
      <c r="P274" s="31" t="n">
        <v>25.85</v>
      </c>
      <c r="Q274" s="31" t="n">
        <v>430.74</v>
      </c>
      <c r="R274" s="30" t="inlineStr">
        <is>
          <t>Earnings / Momentum Support</t>
        </is>
      </c>
      <c r="S274" s="30" t="inlineStr">
        <is>
          <t>Nifty Pharma</t>
        </is>
      </c>
      <c r="T274" s="31" t="n">
        <v>11.08</v>
      </c>
      <c r="U274" s="31" t="n">
        <v>-10.3</v>
      </c>
      <c r="V274" s="31" t="n">
        <v>-19.25</v>
      </c>
      <c r="W274" s="31" t="n">
        <v>0.88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Yes</t>
        </is>
      </c>
      <c r="AC274" s="30">
        <f>IF(AB274="No",5,0)</f>
        <v/>
      </c>
      <c r="AD274" s="30" t="inlineStr">
        <is>
          <t>Headwind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Annuity, Lower One Time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IF(B275=0,"",RANK(B275,$B$2:$B$293,0))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2" t="inlineStr">
        <is>
          <t>AEROENTER</t>
        </is>
      </c>
      <c r="D275" s="32" t="inlineStr">
        <is>
          <t>Aeroflex Enterprises Ltd</t>
        </is>
      </c>
      <c r="E275" s="30" t="inlineStr">
        <is>
          <t>metals &amp; mining</t>
        </is>
      </c>
      <c r="F275" s="30" t="inlineStr">
        <is>
          <t>steel - medium / small</t>
        </is>
      </c>
      <c r="G275" s="30" t="inlineStr">
        <is>
          <t>smallcap</t>
        </is>
      </c>
      <c r="H275" s="31" t="n">
        <v>1088.44</v>
      </c>
      <c r="I275" s="31" t="n">
        <v>98.40000000000001</v>
      </c>
      <c r="J275" s="31" t="n">
        <v>2.23</v>
      </c>
      <c r="K275" s="31" t="n">
        <v>325381</v>
      </c>
      <c r="L275" s="30" t="n">
        <v>35</v>
      </c>
      <c r="M275" s="30" t="inlineStr">
        <is>
          <t>Underperforming</t>
        </is>
      </c>
      <c r="N275" s="31">
        <f>IF(M275="Underperforming",-5,IF(L275&gt;=95,15,IF(L275&gt;=90,10,IF(L275&gt;=80,5,0))))</f>
        <v/>
      </c>
      <c r="O275" s="31" t="n">
        <v>58.57</v>
      </c>
      <c r="P275" s="31" t="n">
        <v>28.25</v>
      </c>
      <c r="Q275" s="31" t="n">
        <v>82.2</v>
      </c>
      <c r="R275" s="30" t="inlineStr">
        <is>
          <t>Earnings / Momentum Support</t>
        </is>
      </c>
      <c r="S275" s="30" t="inlineStr">
        <is>
          <t>Nifty Metal</t>
        </is>
      </c>
      <c r="T275" s="31" t="n">
        <v>43.89</v>
      </c>
      <c r="U275" s="31" t="n">
        <v>10.65</v>
      </c>
      <c r="V275" s="31" t="n">
        <v>-23.1</v>
      </c>
      <c r="W275" s="31" t="n">
        <v>9.609999999999999</v>
      </c>
      <c r="X275" s="30" t="inlineStr">
        <is>
          <t>Cyclical in an Upturn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Cyclical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Volatile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Less than 50%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IF(B276=0,"",RANK(B276,$B$2:$B$293,0))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SUNFLAG</t>
        </is>
      </c>
      <c r="D276" s="32" t="inlineStr">
        <is>
          <t>Sunflag Iron And Steel Company Limited</t>
        </is>
      </c>
      <c r="E276" s="30" t="inlineStr">
        <is>
          <t>metals &amp; mining</t>
        </is>
      </c>
      <c r="F276" s="30" t="inlineStr">
        <is>
          <t>steel - medium / small</t>
        </is>
      </c>
      <c r="G276" s="30" t="inlineStr">
        <is>
          <t>midcap</t>
        </is>
      </c>
      <c r="H276" s="31" t="n">
        <v>6773.55</v>
      </c>
      <c r="I276" s="31" t="n">
        <v>383</v>
      </c>
      <c r="J276" s="31" t="n">
        <v>1.9</v>
      </c>
      <c r="K276" s="31" t="n">
        <v>499290</v>
      </c>
      <c r="L276" s="30" t="n">
        <v>69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69.38</v>
      </c>
      <c r="P276" s="31" t="n">
        <v>35.49</v>
      </c>
      <c r="Q276" s="31" t="n">
        <v>314.28</v>
      </c>
      <c r="R276" s="30" t="inlineStr">
        <is>
          <t>Earnings / Momentum Support</t>
        </is>
      </c>
      <c r="S276" s="30" t="inlineStr">
        <is>
          <t>Nifty Metal</t>
        </is>
      </c>
      <c r="T276" s="31" t="n">
        <v>43.89</v>
      </c>
      <c r="U276" s="31" t="n">
        <v>29.32</v>
      </c>
      <c r="V276" s="31" t="n">
        <v>-10.13</v>
      </c>
      <c r="W276" s="31" t="n">
        <v>20.44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Cyclical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Volatile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Negative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Between 12 to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Between 1.5 to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IF(B277=0,"",RANK(B277,$B$2:$B$293,0))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BOSCHLTD</t>
        </is>
      </c>
      <c r="D277" s="30" t="inlineStr">
        <is>
          <t>Bosch Limited</t>
        </is>
      </c>
      <c r="E277" s="30" t="inlineStr">
        <is>
          <t>auto</t>
        </is>
      </c>
      <c r="F277" s="30" t="inlineStr">
        <is>
          <t>auto ancillaries</t>
        </is>
      </c>
      <c r="G277" s="30" t="inlineStr">
        <is>
          <t>largecap</t>
        </is>
      </c>
      <c r="H277" s="31" t="n">
        <v>109775.33</v>
      </c>
      <c r="I277" s="31" t="n">
        <v>37760</v>
      </c>
      <c r="J277" s="31" t="n">
        <v>1.45</v>
      </c>
      <c r="K277" s="31" t="n">
        <v>41647</v>
      </c>
      <c r="L277" s="30" t="n">
        <v>28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55.73</v>
      </c>
      <c r="P277" s="31" t="n">
        <v>18.6</v>
      </c>
      <c r="Q277" s="31" t="n">
        <v>31074.48</v>
      </c>
      <c r="R277" s="30" t="inlineStr">
        <is>
          <t>Earnings / Momentum Support</t>
        </is>
      </c>
      <c r="S277" s="30" t="inlineStr">
        <is>
          <t>Nifty Auto</t>
        </is>
      </c>
      <c r="T277" s="31" t="n">
        <v>10.28</v>
      </c>
      <c r="U277" s="31" t="n">
        <v>21.13</v>
      </c>
      <c r="V277" s="31" t="n">
        <v>9.85</v>
      </c>
      <c r="W277" s="31" t="n">
        <v>7.67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0 to 20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IF(B278=0,"",RANK(B278,$B$2:$B$293,0))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2" t="inlineStr">
        <is>
          <t>SVLL</t>
        </is>
      </c>
      <c r="D278" s="32" t="inlineStr">
        <is>
          <t>Shree Vasu Logistics Ltd</t>
        </is>
      </c>
      <c r="E278" s="30" t="inlineStr">
        <is>
          <t>transportation</t>
        </is>
      </c>
      <c r="F278" s="30" t="inlineStr">
        <is>
          <t>miscellaneous</t>
        </is>
      </c>
      <c r="G278" s="30" t="inlineStr">
        <is>
          <t>smallcap</t>
        </is>
      </c>
      <c r="H278" s="31" t="n">
        <v>753.53</v>
      </c>
      <c r="I278" s="31" t="n">
        <v>687.95</v>
      </c>
      <c r="J278" s="31" t="n">
        <v>4.93</v>
      </c>
      <c r="K278" s="31" t="n">
        <v>5576</v>
      </c>
      <c r="L278" s="30" t="n">
        <v>9</v>
      </c>
      <c r="M278" s="30" t="inlineStr">
        <is>
          <t>Underperforming</t>
        </is>
      </c>
      <c r="N278" s="31">
        <f>IF(M278="Underperforming",-5,IF(L278&gt;=95,15,IF(L278&gt;=90,10,IF(L278&gt;=80,5,0))))</f>
        <v/>
      </c>
      <c r="O278" s="31" t="n">
        <v>59.55</v>
      </c>
      <c r="P278" s="31" t="n">
        <v>29.6</v>
      </c>
      <c r="Q278" s="31" t="n">
        <v>446.32</v>
      </c>
      <c r="R278" s="30" t="inlineStr">
        <is>
          <t>Earnings / Momentum Support</t>
        </is>
      </c>
      <c r="S278" s="30" t="inlineStr">
        <is>
          <t>Nifty 50</t>
        </is>
      </c>
      <c r="T278" s="31" t="n">
        <v>-6.39</v>
      </c>
      <c r="U278" s="31" t="n">
        <v>-11.61</v>
      </c>
      <c r="V278" s="31" t="n">
        <v>-5.58</v>
      </c>
      <c r="W278" s="31" t="n">
        <v>3.31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1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Between 50% to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More than 1.2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IF(B279=0,"",RANK(B279,$B$2:$B$293,0))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ARVINDFASN</t>
        </is>
      </c>
      <c r="D279" s="30" t="inlineStr">
        <is>
          <t>Arvind Fashions Ltd</t>
        </is>
      </c>
      <c r="E279" s="30" t="inlineStr">
        <is>
          <t>consumer discretionary</t>
        </is>
      </c>
      <c r="F279" s="30" t="inlineStr">
        <is>
          <t>trading</t>
        </is>
      </c>
      <c r="G279" s="30" t="inlineStr">
        <is>
          <t>midcap</t>
        </is>
      </c>
      <c r="H279" s="31" t="n">
        <v>6362.65</v>
      </c>
      <c r="I279" s="31" t="n">
        <v>477.2</v>
      </c>
      <c r="J279" s="31" t="n">
        <v>0.24</v>
      </c>
      <c r="K279" s="31" t="n">
        <v>221983</v>
      </c>
      <c r="L279" s="30" t="n">
        <v>12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53.53</v>
      </c>
      <c r="P279" s="31" t="n">
        <v>12.1</v>
      </c>
      <c r="Q279" s="31" t="n">
        <v>360.17</v>
      </c>
      <c r="R279" s="30" t="inlineStr">
        <is>
          <t>Earnings / Momentum Support</t>
        </is>
      </c>
      <c r="S279" s="30" t="inlineStr">
        <is>
          <t>Nifty 50</t>
        </is>
      </c>
      <c r="T279" s="31" t="n">
        <v>-6.39</v>
      </c>
      <c r="U279" s="31" t="n">
        <v>5.85</v>
      </c>
      <c r="V279" s="31" t="n">
        <v>13.08</v>
      </c>
      <c r="W279" s="31" t="n">
        <v>4.21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Headwind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1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Between 50% to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Between 0.7 to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IF(B280=0,"",RANK(B280,$B$2:$B$293,0))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XPROINDIA</t>
        </is>
      </c>
      <c r="D280" s="32" t="inlineStr">
        <is>
          <t>Xpro India Limited</t>
        </is>
      </c>
      <c r="E280" s="30" t="inlineStr">
        <is>
          <t>industrials</t>
        </is>
      </c>
      <c r="F280" s="30" t="inlineStr">
        <is>
          <t>packaging</t>
        </is>
      </c>
      <c r="G280" s="30" t="inlineStr">
        <is>
          <t>smallcap</t>
        </is>
      </c>
      <c r="H280" s="31" t="n">
        <v>2705.9</v>
      </c>
      <c r="I280" s="31" t="n">
        <v>1152.6</v>
      </c>
      <c r="J280" s="31" t="n">
        <v>-0.03</v>
      </c>
      <c r="K280" s="31" t="n">
        <v>79054</v>
      </c>
      <c r="L280" s="30" t="n">
        <v>13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57.13</v>
      </c>
      <c r="P280" s="31" t="n">
        <v>17.46</v>
      </c>
      <c r="Q280" s="31" t="n">
        <v>842.7</v>
      </c>
      <c r="R280" s="30" t="inlineStr">
        <is>
          <t>Earnings / Momentum Support</t>
        </is>
      </c>
      <c r="S280" s="30" t="inlineStr">
        <is>
          <t>Nifty 50</t>
        </is>
      </c>
      <c r="T280" s="31" t="n">
        <v>-6.39</v>
      </c>
      <c r="U280" s="31" t="n">
        <v>-9.140000000000001</v>
      </c>
      <c r="V280" s="31" t="n">
        <v>-2.94</v>
      </c>
      <c r="W280" s="31" t="n">
        <v>4.31</v>
      </c>
      <c r="X280" s="30" t="inlineStr">
        <is>
          <t>Cyclical in an Upturn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Negative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Between 1.5 to 2</t>
        </is>
      </c>
      <c r="BU280" s="30">
        <f>IF(BT280="Above 2",0,IF(BT280="Between 1.5 to 2",5,IF(BT280="Less than 1.5",10,0)))</f>
        <v/>
      </c>
      <c r="BV280" s="30" t="inlineStr">
        <is>
          <t>Less than 50%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IF(B281=0,"",RANK(B281,$B$2:$B$293,0))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RITCO</t>
        </is>
      </c>
      <c r="D281" s="32" t="inlineStr">
        <is>
          <t>Ritco Logistics Ltd</t>
        </is>
      </c>
      <c r="E281" s="30" t="inlineStr">
        <is>
          <t>transportation</t>
        </is>
      </c>
      <c r="F281" s="30" t="inlineStr">
        <is>
          <t>miscellaneous</t>
        </is>
      </c>
      <c r="G281" s="30" t="inlineStr">
        <is>
          <t>smallcap</t>
        </is>
      </c>
      <c r="H281" s="31" t="n">
        <v>757.5</v>
      </c>
      <c r="I281" s="31" t="n">
        <v>261.15</v>
      </c>
      <c r="J281" s="31" t="n">
        <v>-1.32</v>
      </c>
      <c r="K281" s="31" t="n">
        <v>131793</v>
      </c>
      <c r="L281" s="30" t="n">
        <v>25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57.05</v>
      </c>
      <c r="P281" s="31" t="n">
        <v>27.1</v>
      </c>
      <c r="Q281" s="31" t="n">
        <v>192.91</v>
      </c>
      <c r="R281" s="30" t="inlineStr">
        <is>
          <t>Earnings / Momentum Support</t>
        </is>
      </c>
      <c r="S281" s="30" t="inlineStr">
        <is>
          <t>Nifty 50</t>
        </is>
      </c>
      <c r="T281" s="31" t="n">
        <v>-6.39</v>
      </c>
      <c r="U281" s="31" t="n">
        <v>-11.86</v>
      </c>
      <c r="V281" s="31" t="n">
        <v>-5.85</v>
      </c>
      <c r="W281" s="31" t="n">
        <v>6.85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Headwind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Negative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More than 1.2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IF(B282=0,"",RANK(B282,$B$2:$B$293,0))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RML</t>
        </is>
      </c>
      <c r="D282" s="32" t="inlineStr">
        <is>
          <t>Rane (madras) Limited</t>
        </is>
      </c>
      <c r="E282" s="30" t="inlineStr">
        <is>
          <t>auto</t>
        </is>
      </c>
      <c r="F282" s="30" t="inlineStr">
        <is>
          <t>auto ancillaries</t>
        </is>
      </c>
      <c r="G282" s="30" t="inlineStr">
        <is>
          <t>smallcap</t>
        </is>
      </c>
      <c r="H282" s="31" t="n">
        <v>2538.06</v>
      </c>
      <c r="I282" s="31" t="n">
        <v>905.75</v>
      </c>
      <c r="J282" s="31" t="n">
        <v>-1.37</v>
      </c>
      <c r="K282" s="31" t="n">
        <v>9467</v>
      </c>
      <c r="L282" s="30" t="n">
        <v>6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60.09</v>
      </c>
      <c r="P282" s="31" t="n">
        <v>18.82</v>
      </c>
      <c r="Q282" s="31" t="n">
        <v>719.83</v>
      </c>
      <c r="R282" s="30" t="inlineStr">
        <is>
          <t>Near 52W High Breakout</t>
        </is>
      </c>
      <c r="S282" s="30" t="inlineStr">
        <is>
          <t>Nifty Auto</t>
        </is>
      </c>
      <c r="T282" s="31" t="n">
        <v>10.28</v>
      </c>
      <c r="U282" s="31" t="n">
        <v>1.2</v>
      </c>
      <c r="V282" s="31" t="n">
        <v>-8.23</v>
      </c>
      <c r="W282" s="31" t="n">
        <v>2.3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Negative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Between 50% to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Between 0.7 to 1.2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IF(B283=0,"",RANK(B283,$B$2:$B$293,0))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2" t="inlineStr">
        <is>
          <t>VEDL</t>
        </is>
      </c>
      <c r="D283" s="32" t="inlineStr">
        <is>
          <t>Vedanta Limited</t>
        </is>
      </c>
      <c r="E283" s="30" t="inlineStr">
        <is>
          <t>metals &amp; mining</t>
        </is>
      </c>
      <c r="F283" s="30" t="inlineStr">
        <is>
          <t>mining / minerals / metals</t>
        </is>
      </c>
      <c r="G283" s="30" t="inlineStr">
        <is>
          <t>largecap</t>
        </is>
      </c>
      <c r="H283" s="31" t="n">
        <v>130430.99</v>
      </c>
      <c r="I283" s="31" t="n">
        <v>328.2</v>
      </c>
      <c r="J283" s="31" t="n">
        <v>-1.6</v>
      </c>
      <c r="K283" s="31" t="n">
        <v>20194365</v>
      </c>
      <c r="L283" s="30" t="n">
        <v>1</v>
      </c>
      <c r="M283" s="30" t="inlineStr">
        <is>
          <t>Underperforming</t>
        </is>
      </c>
      <c r="N283" s="31">
        <f>IF(M283="Underperforming",-5,IF(L283&gt;=95,15,IF(L283&gt;=90,10,IF(L283&gt;=80,5,0))))</f>
        <v/>
      </c>
      <c r="O283" s="31" t="n">
        <v>34.17</v>
      </c>
      <c r="P283" s="31" t="n">
        <v>47.89</v>
      </c>
      <c r="Q283" s="31" t="n">
        <v>584.28</v>
      </c>
      <c r="R283" s="30" t="inlineStr">
        <is>
          <t>Earnings / Momentum Support</t>
        </is>
      </c>
      <c r="S283" s="30" t="inlineStr">
        <is>
          <t>Nifty Metal</t>
        </is>
      </c>
      <c r="T283" s="31" t="n">
        <v>43.89</v>
      </c>
      <c r="U283" s="31" t="n">
        <v>-21.56</v>
      </c>
      <c r="V283" s="31" t="n">
        <v>-45.49</v>
      </c>
      <c r="W283" s="31" t="n">
        <v>-9.5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Headwind</t>
        </is>
      </c>
      <c r="AE283" s="30">
        <f>IF(AD283="Tailwind",10,0)</f>
        <v/>
      </c>
      <c r="AF283" s="30" t="inlineStr">
        <is>
          <t>Cyclical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Volatile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Above 40</t>
        </is>
      </c>
      <c r="AY283" s="30">
        <f>IF(AX283="Above 40",20,IF(AX283="20 to 40",10,IF(AX283="0 to 20",-5,0)))</f>
        <v/>
      </c>
      <c r="AZ283" s="30" t="inlineStr">
        <is>
          <t>Below 45</t>
        </is>
      </c>
      <c r="BA283" s="30">
        <f>IF(AZ283="Between 50 to 75",10,IF(AZ283="Above 75",0,0))</f>
        <v/>
      </c>
      <c r="BB283" s="30" t="inlineStr">
        <is>
          <t>Stage 4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No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Less than 1.5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IF(B284=0,"",RANK(B284,$B$2:$B$293,0))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ABDL</t>
        </is>
      </c>
      <c r="D284" s="30" t="inlineStr">
        <is>
          <t>Allied Blenders &amp; Distillers Ltd</t>
        </is>
      </c>
      <c r="E284" s="30" t="inlineStr">
        <is>
          <t>fmcg</t>
        </is>
      </c>
      <c r="F284" s="30" t="inlineStr">
        <is>
          <t>breweries &amp; distilleries</t>
        </is>
      </c>
      <c r="G284" s="30" t="inlineStr">
        <is>
          <t>midcap</t>
        </is>
      </c>
      <c r="H284" s="31" t="n">
        <v>15288.96</v>
      </c>
      <c r="I284" s="31" t="n">
        <v>572.2</v>
      </c>
      <c r="J284" s="31" t="n">
        <v>4.68</v>
      </c>
      <c r="K284" s="31" t="n">
        <v>317367</v>
      </c>
      <c r="L284" s="30" t="n">
        <v>43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56.18</v>
      </c>
      <c r="P284" s="31" t="n">
        <v>18.59</v>
      </c>
      <c r="Q284" s="31" t="n">
        <v>443.24</v>
      </c>
      <c r="R284" s="30" t="inlineStr">
        <is>
          <t>Earnings / Momentum Support</t>
        </is>
      </c>
      <c r="S284" s="30" t="inlineStr">
        <is>
          <t>Nifty FMCG</t>
        </is>
      </c>
      <c r="T284" s="31" t="n">
        <v>-13.76</v>
      </c>
      <c r="U284" s="31" t="n">
        <v>34.67</v>
      </c>
      <c r="V284" s="31" t="n">
        <v>56.15</v>
      </c>
      <c r="W284" s="31" t="n">
        <v>12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Headwind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B2C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Annuity, Lower One Time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Negative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Between 50% to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IF(B285=0,"",RANK(B285,$B$2:$B$293,0))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2" t="inlineStr">
        <is>
          <t>KSL</t>
        </is>
      </c>
      <c r="D285" s="32" t="inlineStr">
        <is>
          <t>Kalyani Steels Limited</t>
        </is>
      </c>
      <c r="E285" s="30" t="inlineStr">
        <is>
          <t>metals &amp; mining</t>
        </is>
      </c>
      <c r="F285" s="30" t="inlineStr">
        <is>
          <t>steel - medium / small</t>
        </is>
      </c>
      <c r="G285" s="30" t="inlineStr">
        <is>
          <t>smallcap</t>
        </is>
      </c>
      <c r="H285" s="31" t="n">
        <v>3731.46</v>
      </c>
      <c r="I285" s="31" t="n">
        <v>848.7</v>
      </c>
      <c r="J285" s="31" t="n">
        <v>-0.71</v>
      </c>
      <c r="K285" s="31" t="n">
        <v>31491</v>
      </c>
      <c r="L285" s="30" t="n">
        <v>16</v>
      </c>
      <c r="M285" s="30" t="inlineStr">
        <is>
          <t>Underperforming</t>
        </is>
      </c>
      <c r="N285" s="31">
        <f>IF(M285="Underperforming",-5,IF(L285&gt;=95,15,IF(L285&gt;=90,10,IF(L285&gt;=80,5,0))))</f>
        <v/>
      </c>
      <c r="O285" s="31" t="n">
        <v>60.5</v>
      </c>
      <c r="P285" s="31" t="n">
        <v>20.94</v>
      </c>
      <c r="Q285" s="31" t="n">
        <v>682.2</v>
      </c>
      <c r="R285" s="30" t="inlineStr">
        <is>
          <t>Earnings / Momentum Support</t>
        </is>
      </c>
      <c r="S285" s="30" t="inlineStr">
        <is>
          <t>Nifty Metal</t>
        </is>
      </c>
      <c r="T285" s="31" t="n">
        <v>43.89</v>
      </c>
      <c r="U285" s="31" t="n">
        <v>7.88</v>
      </c>
      <c r="V285" s="31" t="n">
        <v>-25.03</v>
      </c>
      <c r="W285" s="31" t="n">
        <v>5.23</v>
      </c>
      <c r="X285" s="30" t="inlineStr">
        <is>
          <t>Cyclical in an Upturn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Cyclical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Volatile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20 to 40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Negative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Less than 12%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IF(B286=0,"",RANK(B286,$B$2:$B$293,0))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BALAMINES</t>
        </is>
      </c>
      <c r="D286" s="30" t="inlineStr">
        <is>
          <t>Balaji Amines Limited</t>
        </is>
      </c>
      <c r="E286" s="30" t="inlineStr">
        <is>
          <t>chemicals</t>
        </is>
      </c>
      <c r="F286" s="30" t="inlineStr">
        <is>
          <t>chemicals</t>
        </is>
      </c>
      <c r="G286" s="30" t="inlineStr">
        <is>
          <t>midcap</t>
        </is>
      </c>
      <c r="H286" s="31" t="n">
        <v>6532.37</v>
      </c>
      <c r="I286" s="31" t="n">
        <v>2122.2</v>
      </c>
      <c r="J286" s="31" t="n">
        <v>5.26</v>
      </c>
      <c r="K286" s="31" t="n">
        <v>3178753</v>
      </c>
      <c r="L286" s="30" t="n">
        <v>90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82.29000000000001</v>
      </c>
      <c r="P286" s="31" t="n">
        <v>34.39</v>
      </c>
      <c r="Q286" s="31" t="n">
        <v>1605.18</v>
      </c>
      <c r="R286" s="30" t="inlineStr">
        <is>
          <t>Volume Spike &amp; Near 52W High Breakout</t>
        </is>
      </c>
      <c r="S286" s="30" t="inlineStr">
        <is>
          <t>Nifty 50</t>
        </is>
      </c>
      <c r="T286" s="31" t="n">
        <v>-6.39</v>
      </c>
      <c r="U286" s="31" t="n">
        <v>44.28</v>
      </c>
      <c r="V286" s="31" t="n">
        <v>54.13</v>
      </c>
      <c r="W286" s="31" t="n">
        <v>35.19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Duopoly That Cooperate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Headwind</t>
        </is>
      </c>
      <c r="AE286" s="30">
        <f>IF(AD286="Tailwind",10,0)</f>
        <v/>
      </c>
      <c r="AF286" s="30" t="inlineStr">
        <is>
          <t>Shallow Cyclical (2 to 3 Years Growth)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4</t>
        </is>
      </c>
      <c r="BC286" s="30">
        <f>IF(BB286="Stage 2",20,IF(BB286="Stage 1",0,IF(BB286="Stage 3",5,IF(BB286="Stage 4",-5,0))))</f>
        <v/>
      </c>
      <c r="BD286" s="30" t="inlineStr">
        <is>
          <t>Negative Trend</t>
        </is>
      </c>
      <c r="BE286" s="30">
        <f>IF(BD286="Positive Trend",20,IF(BD286="Negative Trend",-10,0))</f>
        <v/>
      </c>
      <c r="BF286" s="30" t="inlineStr">
        <is>
          <t>Downtrend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Overhead supply in last 2 years in last 2 years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No</t>
        </is>
      </c>
      <c r="BM286" s="30">
        <f>IF(BL286="Yes",10,0)</f>
        <v/>
      </c>
      <c r="BN286" s="30" t="inlineStr">
        <is>
          <t>More than 20%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Less than 1.5</t>
        </is>
      </c>
      <c r="BU286" s="30">
        <f>IF(BT286="Above 2",0,IF(BT286="Between 1.5 to 2",5,IF(BT286="Less than 1.5",10,0)))</f>
        <v/>
      </c>
      <c r="BV286" s="30" t="inlineStr">
        <is>
          <t>Between 50% to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IF(B287=0,"",RANK(B287,$B$2:$B$293,0))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JBMA</t>
        </is>
      </c>
      <c r="D287" s="32" t="inlineStr">
        <is>
          <t>Jbm Auto Limited</t>
        </is>
      </c>
      <c r="E287" s="30" t="inlineStr">
        <is>
          <t>auto</t>
        </is>
      </c>
      <c r="F287" s="30" t="inlineStr">
        <is>
          <t>auto ancillaries</t>
        </is>
      </c>
      <c r="G287" s="30" t="inlineStr">
        <is>
          <t>midcap</t>
        </is>
      </c>
      <c r="H287" s="31" t="n">
        <v>15309.46</v>
      </c>
      <c r="I287" s="31" t="n">
        <v>669.25</v>
      </c>
      <c r="J287" s="31" t="n">
        <v>3.38</v>
      </c>
      <c r="K287" s="31" t="n">
        <v>1347352</v>
      </c>
      <c r="L287" s="30" t="n">
        <v>17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59.44</v>
      </c>
      <c r="P287" s="31" t="n">
        <v>15.07</v>
      </c>
      <c r="Q287" s="31" t="n">
        <v>504.71</v>
      </c>
      <c r="R287" s="30" t="inlineStr">
        <is>
          <t>Earnings / Momentum Support</t>
        </is>
      </c>
      <c r="S287" s="30" t="inlineStr">
        <is>
          <t>Nifty Auto</t>
        </is>
      </c>
      <c r="T287" s="31" t="n">
        <v>10.28</v>
      </c>
      <c r="U287" s="31" t="n">
        <v>-5.31</v>
      </c>
      <c r="V287" s="31" t="n">
        <v>-14.14</v>
      </c>
      <c r="W287" s="31" t="n">
        <v>5.58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0 to 20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Negative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More than 1.2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IF(B288=0,"",RANK(B288,$B$2:$B$293,0))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2" t="inlineStr">
        <is>
          <t>MAITHANALL</t>
        </is>
      </c>
      <c r="D288" s="32" t="inlineStr">
        <is>
          <t>Maithan Alloys Limited</t>
        </is>
      </c>
      <c r="E288" s="30" t="inlineStr">
        <is>
          <t>metals &amp; mining</t>
        </is>
      </c>
      <c r="F288" s="30" t="inlineStr">
        <is>
          <t>mining / minerals / metals</t>
        </is>
      </c>
      <c r="G288" s="30" t="inlineStr">
        <is>
          <t>smallcap</t>
        </is>
      </c>
      <c r="H288" s="31" t="n">
        <v>3058.75</v>
      </c>
      <c r="I288" s="31" t="n">
        <v>1070.8</v>
      </c>
      <c r="J288" s="31" t="n">
        <v>1.91</v>
      </c>
      <c r="K288" s="31" t="n">
        <v>119418</v>
      </c>
      <c r="L288" s="30" t="n">
        <v>7</v>
      </c>
      <c r="M288" s="30" t="inlineStr">
        <is>
          <t>Underperforming</t>
        </is>
      </c>
      <c r="N288" s="31">
        <f>IF(M288="Underperforming",-5,IF(L288&gt;=95,15,IF(L288&gt;=90,10,IF(L288&gt;=80,5,0))))</f>
        <v/>
      </c>
      <c r="O288" s="31" t="n">
        <v>56.86</v>
      </c>
      <c r="P288" s="31" t="n">
        <v>14.12</v>
      </c>
      <c r="Q288" s="31" t="n">
        <v>837.48</v>
      </c>
      <c r="R288" s="30" t="inlineStr">
        <is>
          <t>Earnings / Momentum Support</t>
        </is>
      </c>
      <c r="S288" s="30" t="inlineStr">
        <is>
          <t>Nifty Metal</t>
        </is>
      </c>
      <c r="T288" s="31" t="n">
        <v>43.89</v>
      </c>
      <c r="U288" s="31" t="n">
        <v>0.49</v>
      </c>
      <c r="V288" s="31" t="n">
        <v>-30.16</v>
      </c>
      <c r="W288" s="31" t="n">
        <v>2.82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Cyclical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Volatile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No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1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IF(B289=0,"",RANK(B289,$B$2:$B$293,0))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MSPL</t>
        </is>
      </c>
      <c r="D289" s="30" t="inlineStr">
        <is>
          <t>Msp Steel &amp; Power Limited</t>
        </is>
      </c>
      <c r="E289" s="30" t="inlineStr">
        <is>
          <t>metals &amp; mining</t>
        </is>
      </c>
      <c r="F289" s="30" t="inlineStr">
        <is>
          <t>steel - medium / small</t>
        </is>
      </c>
      <c r="G289" s="30" t="inlineStr">
        <is>
          <t>smallcap</t>
        </is>
      </c>
      <c r="H289" s="31" t="n">
        <v>2322.17</v>
      </c>
      <c r="I289" s="31" t="n">
        <v>41.15</v>
      </c>
      <c r="J289" s="31" t="n">
        <v>0.44</v>
      </c>
      <c r="K289" s="31" t="n">
        <v>2625980</v>
      </c>
      <c r="L289" s="30" t="n">
        <v>62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62.67</v>
      </c>
      <c r="P289" s="31" t="n">
        <v>19.59</v>
      </c>
      <c r="Q289" s="31" t="n">
        <v>32.04</v>
      </c>
      <c r="R289" s="30" t="inlineStr">
        <is>
          <t>Volume Spike &amp; Near 52W High Breakout</t>
        </is>
      </c>
      <c r="S289" s="30" t="inlineStr">
        <is>
          <t>Nifty Metal</t>
        </is>
      </c>
      <c r="T289" s="31" t="n">
        <v>43.89</v>
      </c>
      <c r="U289" s="31" t="n">
        <v>55.75</v>
      </c>
      <c r="V289" s="31" t="n">
        <v>8.24</v>
      </c>
      <c r="W289" s="31" t="n">
        <v>16.74</v>
      </c>
      <c r="X289" s="30" t="inlineStr">
        <is>
          <t>Cyclical in an Upturn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Cyclical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Volatile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IF(B290=0,"",RANK(B290,$B$2:$B$293,0))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IRISDOREME</t>
        </is>
      </c>
      <c r="D290" s="32" t="inlineStr">
        <is>
          <t>Iris Clothings Ltd</t>
        </is>
      </c>
      <c r="E290" s="30" t="inlineStr">
        <is>
          <t>consumer discretionary</t>
        </is>
      </c>
      <c r="F290" s="30" t="inlineStr">
        <is>
          <t>textiles - products</t>
        </is>
      </c>
      <c r="G290" s="30" t="inlineStr">
        <is>
          <t>smallcap</t>
        </is>
      </c>
      <c r="H290" s="31" t="n">
        <v>677.77</v>
      </c>
      <c r="I290" s="31" t="n">
        <v>36.86</v>
      </c>
      <c r="J290" s="31" t="n">
        <v>3.51</v>
      </c>
      <c r="K290" s="31" t="n">
        <v>271837</v>
      </c>
      <c r="L290" s="30" t="n">
        <v>1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56.68</v>
      </c>
      <c r="P290" s="31" t="n">
        <v>15.82</v>
      </c>
      <c r="Q290" s="31" t="n">
        <v>26.43</v>
      </c>
      <c r="R290" s="30" t="inlineStr">
        <is>
          <t>Earnings / Momentum Support</t>
        </is>
      </c>
      <c r="S290" s="30" t="inlineStr">
        <is>
          <t>Nifty 50</t>
        </is>
      </c>
      <c r="T290" s="31" t="n">
        <v>-6.39</v>
      </c>
      <c r="U290" s="31" t="n">
        <v>-38.75</v>
      </c>
      <c r="V290" s="31" t="n">
        <v>-34.57</v>
      </c>
      <c r="W290" s="31" t="n">
        <v>-2.48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Negative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Between 12 to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Yes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Negative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IF(B291=0,"",RANK(B291,$B$2:$B$293,0))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GUJTHEM</t>
        </is>
      </c>
      <c r="D291" s="30" t="inlineStr">
        <is>
          <t>Gujarat Themis Biosyn Ltd</t>
        </is>
      </c>
      <c r="E291" s="30" t="inlineStr">
        <is>
          <t>healthcare</t>
        </is>
      </c>
      <c r="F291" s="30" t="inlineStr">
        <is>
          <t>pharmaceuticals - indian - bulk drugs</t>
        </is>
      </c>
      <c r="G291" s="30" t="inlineStr">
        <is>
          <t>smallcap</t>
        </is>
      </c>
      <c r="H291" s="31" t="n">
        <v>4304.13</v>
      </c>
      <c r="I291" s="31" t="n">
        <v>401.8</v>
      </c>
      <c r="J291" s="31" t="n">
        <v>1.72</v>
      </c>
      <c r="K291" s="31" t="n">
        <v>229461</v>
      </c>
      <c r="L291" s="30" t="n">
        <v>48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60.37</v>
      </c>
      <c r="P291" s="31" t="n">
        <v>24.75</v>
      </c>
      <c r="Q291" s="31" t="n">
        <v>281.44</v>
      </c>
      <c r="R291" s="30" t="inlineStr">
        <is>
          <t>Earnings / Momentum Support</t>
        </is>
      </c>
      <c r="S291" s="30" t="inlineStr">
        <is>
          <t>Nifty Pharma</t>
        </is>
      </c>
      <c r="T291" s="31" t="n">
        <v>11.08</v>
      </c>
      <c r="U291" s="31" t="n">
        <v>24.78</v>
      </c>
      <c r="V291" s="31" t="n">
        <v>12.34</v>
      </c>
      <c r="W291" s="31" t="n">
        <v>13.23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Oligopoly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Shallow Cyclical (2 to 3 Years Growth)</t>
        </is>
      </c>
      <c r="AG291" s="30">
        <f>IF(AF291="Structural (10 Years Consistency)",10,IF(AF291="Shallow Cyclical (2 to 3 years growth)",5,0))</f>
        <v/>
      </c>
      <c r="AH291" s="30" t="inlineStr">
        <is>
          <t>Yes due to Product Mix change or Operating Leverage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Volatile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Allocated capital in Non-core Areas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Above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3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Sideways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Overhead supply in last 2 years in last 2 years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Less than 1.5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More than 15%</t>
        </is>
      </c>
      <c r="CC291" s="30">
        <f>IF(CB291="More than 15%",-10,IF(CB291="Less than 15%",10,0))</f>
        <v/>
      </c>
      <c r="CD291" s="30" t="inlineStr">
        <is>
          <t>Yes Upto 10%</t>
        </is>
      </c>
      <c r="CE291" s="30">
        <f>IF(CD291="Yes, more than 10%",-10,IF(CD291="No",10,0))</f>
        <v/>
      </c>
    </row>
    <row r="292">
      <c r="A292" s="30">
        <f>IF(B292=0,"",RANK(B292,$B$2:$B$293,0))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KOVAI</t>
        </is>
      </c>
      <c r="D292" s="32" t="inlineStr">
        <is>
          <t>Kovai Medical Center &amp; Hospital Ltd</t>
        </is>
      </c>
      <c r="E292" s="30" t="inlineStr">
        <is>
          <t>healthcare</t>
        </is>
      </c>
      <c r="F292" s="30" t="inlineStr">
        <is>
          <t>healthcare</t>
        </is>
      </c>
      <c r="G292" s="30" t="inlineStr">
        <is>
          <t>midcap</t>
        </is>
      </c>
      <c r="H292" s="31" t="n">
        <v>5845.36</v>
      </c>
      <c r="I292" s="31" t="n">
        <v>5369</v>
      </c>
      <c r="J292" s="31" t="n">
        <v>0.51</v>
      </c>
      <c r="K292" s="31" t="n">
        <v>1483</v>
      </c>
      <c r="L292" s="30" t="n">
        <v>1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43.9</v>
      </c>
      <c r="P292" s="31" t="n">
        <v>19.97</v>
      </c>
      <c r="Q292" s="31" t="n">
        <v>4760.45</v>
      </c>
      <c r="R292" s="30" t="inlineStr">
        <is>
          <t>Earnings / Momentum Support</t>
        </is>
      </c>
      <c r="S292" s="30" t="inlineStr">
        <is>
          <t>Nifty Pharma</t>
        </is>
      </c>
      <c r="T292" s="31" t="n">
        <v>11.08</v>
      </c>
      <c r="U292" s="31" t="n">
        <v>-11.77</v>
      </c>
      <c r="V292" s="31" t="n">
        <v>-20.57</v>
      </c>
      <c r="W292" s="31" t="n">
        <v>-1.93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Yes</t>
        </is>
      </c>
      <c r="AC292" s="30">
        <f>IF(AB292="No",5,0)</f>
        <v/>
      </c>
      <c r="AD292" s="30" t="inlineStr">
        <is>
          <t>Headwind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Annuity, Lower One Time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Below 45</t>
        </is>
      </c>
      <c r="BA292" s="30">
        <f>IF(AZ292="Between 50 to 75",10,IF(AZ292="Above 75",0,0))</f>
        <v/>
      </c>
      <c r="BB292" s="30" t="inlineStr">
        <is>
          <t>Stage 4</t>
        </is>
      </c>
      <c r="BC292" s="30">
        <f>IF(BB292="Stage 2",20,IF(BB292="Stage 1",0,IF(BB292="Stage 3",5,IF(BB292="Stage 4",-5,0))))</f>
        <v/>
      </c>
      <c r="BD292" s="30" t="inlineStr">
        <is>
          <t>Negative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Between 12 to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Between 1.5 to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IF(B293=0,"",RANK(B293,$B$2:$B$293,0))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PRECOT</t>
        </is>
      </c>
      <c r="D293" s="30" t="inlineStr">
        <is>
          <t>Precot Meridian Limited</t>
        </is>
      </c>
      <c r="E293" s="30" t="inlineStr">
        <is>
          <t>textiles</t>
        </is>
      </c>
      <c r="F293" s="30" t="inlineStr">
        <is>
          <t>textiles - cotton/blended</t>
        </is>
      </c>
      <c r="G293" s="30" t="inlineStr">
        <is>
          <t>smallcap</t>
        </is>
      </c>
      <c r="H293" s="31" t="n">
        <v>920.04</v>
      </c>
      <c r="I293" s="31" t="n">
        <v>733.55</v>
      </c>
      <c r="J293" s="31" t="n">
        <v>-4.32</v>
      </c>
      <c r="K293" s="31" t="n">
        <v>5878</v>
      </c>
      <c r="L293" s="30" t="inlineStr"/>
      <c r="M293" s="30" t="inlineStr"/>
      <c r="N293" s="31">
        <f>IF(M293="Underperforming",-5,IF(L293&gt;=95,15,IF(L293&gt;=90,10,IF(L293&gt;=80,5,0))))</f>
        <v/>
      </c>
      <c r="O293" s="31" t="inlineStr"/>
      <c r="P293" s="31" t="inlineStr"/>
      <c r="Q293" s="31" t="inlineStr"/>
      <c r="R293" s="30" t="inlineStr"/>
      <c r="S293" s="30" t="inlineStr"/>
      <c r="T293" s="31" t="inlineStr"/>
      <c r="U293" s="31" t="inlineStr"/>
      <c r="V293" s="31" t="inlineStr"/>
      <c r="W293" s="31" t="inlineStr"/>
      <c r="X293" s="30" t="n"/>
      <c r="Y293" s="30">
        <f>IF(X293="Growing Industry",10,IF(X293="Cyclical in an Upturn",5,0))</f>
        <v/>
      </c>
      <c r="Z293" s="30" t="n"/>
      <c r="AA293" s="30">
        <f>IF(Z293="Monopoly",10,IF(Z293="Oligopoly",5,IF(Z293="Duopoly that cooperate",10,IF(Z293="Duopoly that compete",5,IF(Z293="Too many players with High ROCE",5,0)))))</f>
        <v/>
      </c>
      <c r="AB293" s="30" t="n"/>
      <c r="AC293" s="30">
        <f>IF(AB293="No",5,0)</f>
        <v/>
      </c>
      <c r="AD293" s="30" t="n"/>
      <c r="AE293" s="30">
        <f>IF(AD293="Tailwind",10,0)</f>
        <v/>
      </c>
      <c r="AF293" s="30" t="n"/>
      <c r="AG293" s="30">
        <f>IF(AF293="Structural (10 Years Consistency)",10,IF(AF293="Shallow Cyclical (2 to 3 years growth)",5,0))</f>
        <v/>
      </c>
      <c r="AH293" s="30" t="n"/>
      <c r="AI293" s="30">
        <f>IF(AH293="Yes due to Product Mix change or Operating Leverage",10,IF(AH293="Yes, these are peak margins",-5,IF(AH293="No",5,0)))</f>
        <v/>
      </c>
      <c r="AJ293" s="30" t="n"/>
      <c r="AK293" s="30">
        <f>IF(AJ293="Stable",10,0)</f>
        <v/>
      </c>
      <c r="AL293" s="30" t="n"/>
      <c r="AM293" s="30">
        <f>IF(AL293="Yes",10,0)</f>
        <v/>
      </c>
      <c r="AN293" s="30" t="n"/>
      <c r="AO293" s="30">
        <f>IF(AN293="B2C",10,IF(AN293="B2B",5,0))</f>
        <v/>
      </c>
      <c r="AP293" s="30" t="n"/>
      <c r="AQ293" s="30">
        <f>IF(AP293="Yes",10,0)</f>
        <v/>
      </c>
      <c r="AR293" s="30" t="n"/>
      <c r="AS293" s="30">
        <f>IF(AR293="Fully Annuity",10,IF(AR293="Higher Annuity, Lower One Time",5,IF(AR293="Higher One Time, Lower Annuity",3,0)))</f>
        <v/>
      </c>
      <c r="AT293" s="30" t="n"/>
      <c r="AU293" s="30">
        <f>IF(AT293="Good",10,0)</f>
        <v/>
      </c>
      <c r="AV293" s="30" t="n"/>
      <c r="AW293" s="30">
        <f>IF(AV293="Yes for more than 2 years",10,IF(AV293="Yes only for next 1 to 2 years",5,0))</f>
        <v/>
      </c>
      <c r="AX293" s="30" t="n"/>
      <c r="AY293" s="30">
        <f>IF(AX293="Above 40",20,IF(AX293="20 to 40",10,IF(AX293="0 to 20",-5,0)))</f>
        <v/>
      </c>
      <c r="AZ293" s="30" t="n"/>
      <c r="BA293" s="30">
        <f>IF(AZ293="Between 50 to 75",10,IF(AZ293="Above 75",0,0))</f>
        <v/>
      </c>
      <c r="BB293" s="30" t="n"/>
      <c r="BC293" s="30">
        <f>IF(BB293="Stage 2",20,IF(BB293="Stage 1",0,IF(BB293="Stage 3",5,IF(BB293="Stage 4",-5,0))))</f>
        <v/>
      </c>
      <c r="BD293" s="30" t="n"/>
      <c r="BE293" s="30">
        <f>IF(BD293="Positive Trend",20,IF(BD293="Negative Trend",-10,0))</f>
        <v/>
      </c>
      <c r="BF293" s="30" t="n"/>
      <c r="BG293" s="30">
        <f>IF(BF293="Uptrend",10,IF(BF293="Sideways",5,0))</f>
        <v/>
      </c>
      <c r="BH293" s="30" t="n"/>
      <c r="BI293" s="30">
        <f>IF(BH293="Uptrend",10,IF(BH293="Sideways",5,0))</f>
        <v/>
      </c>
      <c r="BJ293" s="30" t="n"/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n"/>
      <c r="BM293" s="30">
        <f>IF(BL293="Yes",10,0)</f>
        <v/>
      </c>
      <c r="BN293" s="30" t="n"/>
      <c r="BO293" s="30">
        <f>IF(BN293="More than 20%",10,IF(BN293="Between 12 to 20%",5,IF(BN293="Less than 12%",0,0)))</f>
        <v/>
      </c>
      <c r="BP293" s="30" t="n"/>
      <c r="BQ293" s="30">
        <f>IF(BP293="No",10,0)</f>
        <v/>
      </c>
      <c r="BR293" s="30" t="n"/>
      <c r="BS293" s="30">
        <f>IF(BR293="NO",5,0)</f>
        <v/>
      </c>
      <c r="BT293" s="30" t="n"/>
      <c r="BU293" s="30">
        <f>IF(BT293="Above 2",0,IF(BT293="Between 1.5 to 2",5,IF(BT293="Less than 1.5",10,0)))</f>
        <v/>
      </c>
      <c r="BV293" s="30" t="n"/>
      <c r="BW293" s="30">
        <f>IF(BV293="Above 70%",10,IF(BV293="Between 50% to 70%",5,IF(BV293="Less than 50%",0,IF(BV293="Negative",-10,IF(BV293="Less than 50% and Borrowings are increasing",-5,0)))))</f>
        <v/>
      </c>
      <c r="BX293" s="30" t="n"/>
      <c r="BY293" s="30">
        <f>IF(BX293="More than 1.2",-10,IF(BX293="Between 0.7 to 1.2",0,IF(BX293="Less than 0.7",10,0)))</f>
        <v/>
      </c>
      <c r="BZ293" s="30" t="n"/>
      <c r="CA293" s="30">
        <f>IF(BZ293="Yes",-10,0)</f>
        <v/>
      </c>
      <c r="CB293" s="30" t="n"/>
      <c r="CC293" s="30">
        <f>IF(CB293="More than 15%",-10,IF(CB293="Less than 15%",10,0))</f>
        <v/>
      </c>
      <c r="CD293" s="30" t="n"/>
      <c r="CE293" s="30">
        <f>IF(CD293="Yes, more than 10%",-10,IF(CD293="No",10,0))</f>
        <v/>
      </c>
    </row>
  </sheetData>
  <autoFilter ref="A1:CE293"/>
  <conditionalFormatting sqref="B2:B29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9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9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9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9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9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93">
    <cfRule type="cellIs" priority="36" operator="equal" dxfId="3" stopIfTrue="1">
      <formula>"Underperforming"</formula>
    </cfRule>
  </conditionalFormatting>
  <conditionalFormatting sqref="N2:N293">
    <cfRule type="cellIs" priority="37" operator="equal" dxfId="3" stopIfTrue="1">
      <formula>-5</formula>
    </cfRule>
  </conditionalFormatting>
  <conditionalFormatting sqref="Q2:Q293">
    <cfRule type="expression" priority="38" dxfId="0" stopIfTrue="1">
      <formula>=AND(Q2&lt;&gt;"",Q2&gt;0,I2&gt;=Q2)</formula>
    </cfRule>
    <cfRule type="expression" priority="39" dxfId="3" stopIfTrue="1">
      <formula>=AND(Q2&lt;&gt;"",Q2&gt;0,I2&lt;Q2)</formula>
    </cfRule>
  </conditionalFormatting>
  <dataValidations count="30">
    <dataValidation sqref="X2:X293" showDropDown="0" showInputMessage="0" showErrorMessage="0" allowBlank="1" type="list">
      <formula1>"Growing Industry,Stagnant Industry,Cyclical in an Upturn"</formula1>
    </dataValidation>
    <dataValidation sqref="Z2:Z29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93" showDropDown="0" showInputMessage="0" showErrorMessage="0" allowBlank="1" type="list">
      <formula1>"Yes,No"</formula1>
    </dataValidation>
    <dataValidation sqref="AD2:AD293" showDropDown="0" showInputMessage="0" showErrorMessage="0" allowBlank="1" type="list">
      <formula1>"Tailwind,Headwind"</formula1>
    </dataValidation>
    <dataValidation sqref="AF2:AF293" showDropDown="0" showInputMessage="0" showErrorMessage="0" allowBlank="1" type="list">
      <formula1>"Structural (10 Years Consistency),Shallow Cyclical (2 to 3 Years Growth),Cyclical"</formula1>
    </dataValidation>
    <dataValidation sqref="AH2:AH293" showDropDown="0" showInputMessage="0" showErrorMessage="0" allowBlank="1" type="list">
      <formula1>"Yes due to Product Mix change or Operating Leverage,Yes, these are peak margins,No"</formula1>
    </dataValidation>
    <dataValidation sqref="AJ2:AJ293" showDropDown="0" showInputMessage="0" showErrorMessage="0" allowBlank="1" type="list">
      <formula1>"Stable,Volatile"</formula1>
    </dataValidation>
    <dataValidation sqref="AL2:AL293" showDropDown="0" showInputMessage="0" showErrorMessage="0" allowBlank="1" type="list">
      <formula1>"Yes,No"</formula1>
    </dataValidation>
    <dataValidation sqref="AN2:AN293" showDropDown="0" showInputMessage="0" showErrorMessage="0" allowBlank="1" type="list">
      <formula1>"B2C,B2B,B2G"</formula1>
    </dataValidation>
    <dataValidation sqref="AP2:AP293" showDropDown="0" showInputMessage="0" showErrorMessage="0" allowBlank="1" type="list">
      <formula1>"Yes,No"</formula1>
    </dataValidation>
    <dataValidation sqref="AR2:AR293" showDropDown="0" showInputMessage="0" showErrorMessage="0" allowBlank="1" type="list">
      <formula1>"Fully Annuity,Higher Annuity, Lower One time,Higher One Time, Lower Annuity,Fully One Time"</formula1>
    </dataValidation>
    <dataValidation sqref="AT2:AT293" showDropDown="0" showInputMessage="0" showErrorMessage="0" allowBlank="1" type="list">
      <formula1>"Good,Allocated capital in Non-core Areas"</formula1>
    </dataValidation>
    <dataValidation sqref="AV2:AV293" showDropDown="0" showInputMessage="0" showErrorMessage="0" allowBlank="1" type="list">
      <formula1>"Yes for more than 2 years,Yes only for next 1 to 2 years,No"</formula1>
    </dataValidation>
    <dataValidation sqref="AX2:AX293" showDropDown="0" showInputMessage="0" showErrorMessage="0" allowBlank="1" type="list">
      <formula1>"Above 40,20 to 40,0 to 20"</formula1>
    </dataValidation>
    <dataValidation sqref="AZ2:AZ293" showDropDown="0" showInputMessage="0" showErrorMessage="0" allowBlank="1" type="list">
      <formula1>"Between 50 to 75,Above 75,Below 45"</formula1>
    </dataValidation>
    <dataValidation sqref="BB2:BB293" showDropDown="0" showInputMessage="0" showErrorMessage="0" allowBlank="1" type="list">
      <formula1>"Stage 1,Stage 2,Stage 3,Stage 4"</formula1>
    </dataValidation>
    <dataValidation sqref="BD2:BD293" showDropDown="0" showInputMessage="0" showErrorMessage="0" allowBlank="1" type="list">
      <formula1>"Positive Trend,Negative Trend"</formula1>
    </dataValidation>
    <dataValidation sqref="BF2:BF293" showDropDown="0" showInputMessage="0" showErrorMessage="0" allowBlank="1" type="list">
      <formula1>"Uptrend,Sideways,Downtrend"</formula1>
    </dataValidation>
    <dataValidation sqref="BH2:BH293" showDropDown="0" showInputMessage="0" showErrorMessage="0" allowBlank="1" type="list">
      <formula1>"Uptrend,Sideways,Downtrend"</formula1>
    </dataValidation>
    <dataValidation sqref="BJ2:BJ29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93" showDropDown="0" showInputMessage="0" showErrorMessage="0" allowBlank="1" type="list">
      <formula1>"Yes,No"</formula1>
    </dataValidation>
    <dataValidation sqref="BN2:BN293" showDropDown="0" showInputMessage="0" showErrorMessage="0" allowBlank="1" type="list">
      <formula1>"More than 20%,Between 12 to 20%,Less than 12%"</formula1>
    </dataValidation>
    <dataValidation sqref="BP2:BP293" showDropDown="0" showInputMessage="0" showErrorMessage="0" allowBlank="1" type="list">
      <formula1>"Yes,No"</formula1>
    </dataValidation>
    <dataValidation sqref="BR2:BR293" showDropDown="0" showInputMessage="0" showErrorMessage="0" allowBlank="1" type="list">
      <formula1>"Yes,No"</formula1>
    </dataValidation>
    <dataValidation sqref="BT2:BT293" showDropDown="0" showInputMessage="0" showErrorMessage="0" allowBlank="1" type="list">
      <formula1>"Above 2,Between 1.5 to 2,Less than 1.5"</formula1>
    </dataValidation>
    <dataValidation sqref="BV2:BV293" showDropDown="0" showInputMessage="0" showErrorMessage="0" allowBlank="1" type="list">
      <formula1>"Above 70%,Between 50% to 70%,Less than 50%,Less than 50% and Borrowings are increasing,Negative"</formula1>
    </dataValidation>
    <dataValidation sqref="BX2:BX293" showDropDown="0" showInputMessage="0" showErrorMessage="0" allowBlank="1" type="list">
      <formula1>"More than 1.2,Between 0.7 to 1.2,Less than 0.7"</formula1>
    </dataValidation>
    <dataValidation sqref="BZ2:BZ293" showDropDown="0" showInputMessage="0" showErrorMessage="0" allowBlank="1" type="list">
      <formula1>"Yes,No"</formula1>
    </dataValidation>
    <dataValidation sqref="CB2:CB293" showDropDown="0" showInputMessage="0" showErrorMessage="0" allowBlank="1" type="list">
      <formula1>"More than 15%,Less than 15%"</formula1>
    </dataValidation>
    <dataValidation sqref="CD2:CD29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IF(B2=0,"",RANK(B2,$B$2:$B$34,0))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9982.91</v>
      </c>
      <c r="I2" s="31" t="n">
        <v>267.6</v>
      </c>
      <c r="J2" s="31" t="n">
        <v>1.36</v>
      </c>
      <c r="K2" s="31" t="n">
        <v>2909567</v>
      </c>
      <c r="L2" s="30" t="n">
        <v>44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68.66</v>
      </c>
      <c r="P2" s="31" t="n">
        <v>53.94</v>
      </c>
      <c r="Q2" s="31" t="n">
        <v>213.81</v>
      </c>
      <c r="R2" s="30" t="inlineStr">
        <is>
          <t>Near 52W High Breakout</t>
        </is>
      </c>
      <c r="S2" s="30" t="inlineStr">
        <is>
          <t>Nifty Bank</t>
        </is>
      </c>
      <c r="T2" s="31" t="n">
        <v>-4.23</v>
      </c>
      <c r="U2" s="31" t="n">
        <v>38.9</v>
      </c>
      <c r="V2" s="31" t="n">
        <v>45.04</v>
      </c>
      <c r="W2" s="31" t="n">
        <v>12.34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IF(B3=0,"",RANK(B3,$B$2:$B$34,0))</f>
        <v/>
      </c>
      <c r="B3" s="31">
        <f>SUM(N3,Y3,AA3,AC3,AE3,AG3,AI3,AK3,AM3,AO3,AQ3,AS3,AU3,AW3,AY3,BA3,BC3,BE3,BG3,BI3,BK3,BM3,BO3,BQ3,BS3,BU3,BW3,BY3,CA3)</f>
        <v/>
      </c>
      <c r="C3" s="30" t="inlineStr">
        <is>
          <t>RBLBANK</t>
        </is>
      </c>
      <c r="D3" s="30" t="inlineStr">
        <is>
          <t>Rbl Bank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largecap</t>
        </is>
      </c>
      <c r="H3" s="31" t="n">
        <v>21272.3</v>
      </c>
      <c r="I3" s="31" t="n">
        <v>348.2</v>
      </c>
      <c r="J3" s="31" t="n">
        <v>1.18</v>
      </c>
      <c r="K3" s="31" t="n">
        <v>4863148</v>
      </c>
      <c r="L3" s="30" t="n">
        <v>49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64.48999999999999</v>
      </c>
      <c r="P3" s="31" t="n">
        <v>27.24</v>
      </c>
      <c r="Q3" s="31" t="n">
        <v>287.67</v>
      </c>
      <c r="R3" s="30" t="inlineStr">
        <is>
          <t>Near 52W High Breakout</t>
        </is>
      </c>
      <c r="S3" s="30" t="inlineStr">
        <is>
          <t>Nifty Bank</t>
        </is>
      </c>
      <c r="T3" s="31" t="n">
        <v>-4.23</v>
      </c>
      <c r="U3" s="31" t="n">
        <v>60.58</v>
      </c>
      <c r="V3" s="31" t="n">
        <v>67.67</v>
      </c>
      <c r="W3" s="31" t="n">
        <v>13.32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IF(B4=0,"",RANK(B4,$B$2:$B$34,0))</f>
        <v/>
      </c>
      <c r="B4" s="31">
        <f>SUM(N4,Y4,AA4,AC4,AE4,AG4,AI4,AK4,AM4,AO4,AQ4,AS4,AU4,AW4,AY4,BA4,BC4,BE4,BG4,BI4,BK4,BM4,BO4,BQ4,BS4,BU4,BW4,BY4,CA4)</f>
        <v/>
      </c>
      <c r="C4" s="30" t="inlineStr">
        <is>
          <t>BANDHANBNK</t>
        </is>
      </c>
      <c r="D4" s="30" t="inlineStr">
        <is>
          <t>Bandhan Bank Ltd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33239.19</v>
      </c>
      <c r="I4" s="31" t="n">
        <v>207.62</v>
      </c>
      <c r="J4" s="31" t="n">
        <v>0.63</v>
      </c>
      <c r="K4" s="31" t="n">
        <v>11101299</v>
      </c>
      <c r="L4" s="30" t="n">
        <v>28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65.98</v>
      </c>
      <c r="P4" s="31" t="n">
        <v>28.23</v>
      </c>
      <c r="Q4" s="31" t="n">
        <v>167.51</v>
      </c>
      <c r="R4" s="30" t="inlineStr">
        <is>
          <t>Near 52W High Breakout</t>
        </is>
      </c>
      <c r="S4" s="30" t="inlineStr">
        <is>
          <t>Nifty Bank</t>
        </is>
      </c>
      <c r="T4" s="31" t="n">
        <v>-4.23</v>
      </c>
      <c r="U4" s="31" t="n">
        <v>20.72</v>
      </c>
      <c r="V4" s="31" t="n">
        <v>26.05</v>
      </c>
      <c r="W4" s="31" t="n">
        <v>7.65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IF(B5=0,"",RANK(B5,$B$2:$B$34,0))</f>
        <v/>
      </c>
      <c r="B5" s="31">
        <f>SUM(N5,Y5,AA5,AC5,AE5,AG5,AI5,AK5,AM5,AO5,AQ5,AS5,AU5,AW5,AY5,BA5,BC5,BE5,BG5,BI5,BK5,BM5,BO5,BQ5,BS5,BU5,BW5,BY5,CA5)</f>
        <v/>
      </c>
      <c r="C5" s="30" t="inlineStr">
        <is>
          <t>TMB</t>
        </is>
      </c>
      <c r="D5" s="30" t="inlineStr">
        <is>
          <t>Tamilnad Mercantile Bank Ltd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midcap</t>
        </is>
      </c>
      <c r="H5" s="31" t="n">
        <v>11714.05</v>
      </c>
      <c r="I5" s="31" t="n">
        <v>740.45</v>
      </c>
      <c r="J5" s="31" t="n">
        <v>0.09</v>
      </c>
      <c r="K5" s="31" t="n">
        <v>269115</v>
      </c>
      <c r="L5" s="30" t="n">
        <v>55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65.7</v>
      </c>
      <c r="P5" s="31" t="n">
        <v>29.57</v>
      </c>
      <c r="Q5" s="31" t="n">
        <v>582.52</v>
      </c>
      <c r="R5" s="30" t="inlineStr">
        <is>
          <t>Near 52W High Breakout</t>
        </is>
      </c>
      <c r="S5" s="30" t="inlineStr">
        <is>
          <t>Nifty Bank</t>
        </is>
      </c>
      <c r="T5" s="31" t="n">
        <v>-4.23</v>
      </c>
      <c r="U5" s="31" t="n">
        <v>66.40000000000001</v>
      </c>
      <c r="V5" s="31" t="n">
        <v>73.73999999999999</v>
      </c>
      <c r="W5" s="31" t="n">
        <v>14.85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IF(B6=0,"",RANK(B6,$B$2:$B$34,0))</f>
        <v/>
      </c>
      <c r="B6" s="31">
        <f>SUM(N6,Y6,AA6,AC6,AE6,AG6,AI6,AK6,AM6,AO6,AQ6,AS6,AU6,AW6,AY6,BA6,BC6,BE6,BG6,BI6,BK6,BM6,BO6,BQ6,BS6,BU6,BW6,BY6,CA6)</f>
        <v/>
      </c>
      <c r="C6" s="30" t="inlineStr">
        <is>
          <t>WELINV</t>
        </is>
      </c>
      <c r="D6" s="30" t="inlineStr">
        <is>
          <t>Welspun Investments And Commercials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679.37</v>
      </c>
      <c r="I6" s="31" t="n">
        <v>1857.9</v>
      </c>
      <c r="J6" s="31" t="n">
        <v>-0.06</v>
      </c>
      <c r="K6" s="31" t="n">
        <v>122</v>
      </c>
      <c r="L6" s="30" t="n">
        <v>71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77.44</v>
      </c>
      <c r="P6" s="31" t="n">
        <v>40.76</v>
      </c>
      <c r="Q6" s="31" t="n">
        <v>1418.9</v>
      </c>
      <c r="R6" s="30" t="inlineStr">
        <is>
          <t>Near 52W High Breakout</t>
        </is>
      </c>
      <c r="S6" s="30" t="inlineStr">
        <is>
          <t>Nifty Bank</t>
        </is>
      </c>
      <c r="T6" s="31" t="n">
        <v>-4.23</v>
      </c>
      <c r="U6" s="31" t="n">
        <v>59.28</v>
      </c>
      <c r="V6" s="31" t="n">
        <v>66.31999999999999</v>
      </c>
      <c r="W6" s="31" t="n">
        <v>20.92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Above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IF(B7=0,"",RANK(B7,$B$2:$B$34,0))</f>
        <v/>
      </c>
      <c r="B7" s="31">
        <f>SUM(N7,Y7,AA7,AC7,AE7,AG7,AI7,AK7,AM7,AO7,AQ7,AS7,AU7,AW7,AY7,BA7,BC7,BE7,BG7,BI7,BK7,BM7,BO7,BQ7,BS7,BU7,BW7,BY7,CA7)</f>
        <v/>
      </c>
      <c r="C7" s="30" t="inlineStr">
        <is>
          <t>FEDFINA</t>
        </is>
      </c>
      <c r="D7" s="30" t="inlineStr">
        <is>
          <t>Fedbank Financial Services Ltd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midcap</t>
        </is>
      </c>
      <c r="H7" s="31" t="n">
        <v>5932.29</v>
      </c>
      <c r="I7" s="31" t="n">
        <v>157.01</v>
      </c>
      <c r="J7" s="31" t="n">
        <v>-0.96</v>
      </c>
      <c r="K7" s="31" t="n">
        <v>515510</v>
      </c>
      <c r="L7" s="30" t="n">
        <v>53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60.85</v>
      </c>
      <c r="P7" s="31" t="n">
        <v>21.35</v>
      </c>
      <c r="Q7" s="31" t="n">
        <v>124.7</v>
      </c>
      <c r="R7" s="30" t="inlineStr">
        <is>
          <t>Near 52W High Breakout</t>
        </is>
      </c>
      <c r="S7" s="30" t="inlineStr">
        <is>
          <t>Nifty Bank</t>
        </is>
      </c>
      <c r="T7" s="31" t="n">
        <v>-4.23</v>
      </c>
      <c r="U7" s="31" t="n">
        <v>50.84</v>
      </c>
      <c r="V7" s="31" t="n">
        <v>57.5</v>
      </c>
      <c r="W7" s="31" t="n">
        <v>14.51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IF(B8=0,"",RANK(B8,$B$2:$B$34,0))</f>
        <v/>
      </c>
      <c r="B8" s="31">
        <f>SUM(N8,Y8,AA8,AC8,AE8,AG8,AI8,AK8,AM8,AO8,AQ8,AS8,AU8,AW8,AY8,BA8,BC8,BE8,BG8,BI8,BK8,BM8,BO8,BQ8,BS8,BU8,BW8,BY8,CA8)</f>
        <v/>
      </c>
      <c r="C8" s="30" t="inlineStr">
        <is>
          <t>J&amp;KBANK</t>
        </is>
      </c>
      <c r="D8" s="30" t="inlineStr">
        <is>
          <t>The Jammu &amp; Kashmir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midcap</t>
        </is>
      </c>
      <c r="H8" s="31" t="n">
        <v>15627.98</v>
      </c>
      <c r="I8" s="31" t="n">
        <v>148.65</v>
      </c>
      <c r="J8" s="31" t="n">
        <v>4.74</v>
      </c>
      <c r="K8" s="31" t="n">
        <v>13152376</v>
      </c>
      <c r="L8" s="30" t="n">
        <v>47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</v>
      </c>
      <c r="P8" s="31" t="n">
        <v>48.27</v>
      </c>
      <c r="Q8" s="31" t="n">
        <v>118.12</v>
      </c>
      <c r="R8" s="30" t="inlineStr">
        <is>
          <t>Near 52W High Breakout</t>
        </is>
      </c>
      <c r="S8" s="30" t="inlineStr">
        <is>
          <t>Nifty Bank</t>
        </is>
      </c>
      <c r="T8" s="31" t="n">
        <v>-4.23</v>
      </c>
      <c r="U8" s="31" t="n">
        <v>41.98</v>
      </c>
      <c r="V8" s="31" t="n">
        <v>48.24</v>
      </c>
      <c r="W8" s="31" t="n">
        <v>12.84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less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Above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IF(B9=0,"",RANK(B9,$B$2:$B$34,0))</f>
        <v/>
      </c>
      <c r="B9" s="31">
        <f>SUM(N9,Y9,AA9,AC9,AE9,AG9,AI9,AK9,AM9,AO9,AQ9,AS9,AU9,AW9,AY9,BA9,BC9,BE9,BG9,BI9,BK9,BM9,BO9,BQ9,BS9,BU9,BW9,BY9,CA9)</f>
        <v/>
      </c>
      <c r="C9" s="30" t="inlineStr">
        <is>
          <t>NORTHARC</t>
        </is>
      </c>
      <c r="D9" s="30" t="inlineStr">
        <is>
          <t>Northern ARC Capital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4643.58</v>
      </c>
      <c r="I9" s="31" t="n">
        <v>293.05</v>
      </c>
      <c r="J9" s="31" t="n">
        <v>1.97</v>
      </c>
      <c r="K9" s="31" t="n">
        <v>1042554</v>
      </c>
      <c r="L9" s="30" t="n">
        <v>40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64.26000000000001</v>
      </c>
      <c r="P9" s="31" t="n">
        <v>29.23</v>
      </c>
      <c r="Q9" s="31" t="n">
        <v>225.12</v>
      </c>
      <c r="R9" s="30" t="inlineStr">
        <is>
          <t>Near 52W High Breakout</t>
        </is>
      </c>
      <c r="S9" s="30" t="inlineStr">
        <is>
          <t>Nifty Bank</t>
        </is>
      </c>
      <c r="T9" s="31" t="n">
        <v>-4.23</v>
      </c>
      <c r="U9" s="31" t="n">
        <v>34.94</v>
      </c>
      <c r="V9" s="31" t="n">
        <v>40.9</v>
      </c>
      <c r="W9" s="31" t="n">
        <v>11.06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IF(B10=0,"",RANK(B10,$B$2:$B$34,0))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DHANBANK</t>
        </is>
      </c>
      <c r="D10" s="30" t="inlineStr">
        <is>
          <t>Dhanlaxmi Bank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smallcap</t>
        </is>
      </c>
      <c r="H10" s="31" t="n">
        <v>1330.92</v>
      </c>
      <c r="I10" s="31" t="n">
        <v>33.99</v>
      </c>
      <c r="J10" s="31" t="n">
        <v>0.8</v>
      </c>
      <c r="K10" s="31" t="n">
        <v>3220827</v>
      </c>
      <c r="L10" s="30" t="n">
        <v>46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71.22</v>
      </c>
      <c r="P10" s="31" t="n">
        <v>28.77</v>
      </c>
      <c r="Q10" s="31" t="n">
        <v>25.97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-4.23</v>
      </c>
      <c r="U10" s="31" t="n">
        <v>7.19</v>
      </c>
      <c r="V10" s="31" t="n">
        <v>11.92</v>
      </c>
      <c r="W10" s="31" t="n">
        <v>12.7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IF(B11=0,"",RANK(B11,$B$2:$B$34,0))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SATIN</t>
        </is>
      </c>
      <c r="D11" s="30" t="inlineStr">
        <is>
          <t>Satin Creditcare Network Limited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smallcap</t>
        </is>
      </c>
      <c r="H11" s="31" t="n">
        <v>2553.2</v>
      </c>
      <c r="I11" s="31" t="n">
        <v>235.25</v>
      </c>
      <c r="J11" s="31" t="n">
        <v>1.79</v>
      </c>
      <c r="K11" s="31" t="n">
        <v>624651</v>
      </c>
      <c r="L11" s="30" t="n">
        <v>72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76.03</v>
      </c>
      <c r="P11" s="31" t="n">
        <v>36.91</v>
      </c>
      <c r="Q11" s="31" t="n">
        <v>185.56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-4.23</v>
      </c>
      <c r="U11" s="31" t="n">
        <v>48.98</v>
      </c>
      <c r="V11" s="31" t="n">
        <v>55.55</v>
      </c>
      <c r="W11" s="31" t="n">
        <v>21.49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less than 2.5x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IF(B12=0,"",RANK(B12,$B$2:$B$34,0))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ANGELONE</t>
        </is>
      </c>
      <c r="D12" s="30" t="inlineStr">
        <is>
          <t>Angel One Ltd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largecap</t>
        </is>
      </c>
      <c r="H12" s="31" t="n">
        <v>31210.59</v>
      </c>
      <c r="I12" s="31" t="n">
        <v>334.75</v>
      </c>
      <c r="J12" s="31" t="n">
        <v>-2.31</v>
      </c>
      <c r="K12" s="31" t="n">
        <v>6426900</v>
      </c>
      <c r="L12" s="30" t="n">
        <v>56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64.26000000000001</v>
      </c>
      <c r="P12" s="31" t="n">
        <v>26.63</v>
      </c>
      <c r="Q12" s="31" t="n">
        <v>259.53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-4.23</v>
      </c>
      <c r="U12" s="31" t="n">
        <v>5.74</v>
      </c>
      <c r="V12" s="31" t="n">
        <v>10.41</v>
      </c>
      <c r="W12" s="31" t="n">
        <v>15.48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between 2.5x to 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IF(B13=0,"",RANK(B13,$B$2:$B$34,0))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FEDERALBNK</t>
        </is>
      </c>
      <c r="D13" s="30" t="inlineStr">
        <is>
          <t>The Federal Bank  Limited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largecap</t>
        </is>
      </c>
      <c r="H13" s="31" t="n">
        <v>72215.78999999999</v>
      </c>
      <c r="I13" s="31" t="n">
        <v>301.05</v>
      </c>
      <c r="J13" s="31" t="n">
        <v>2.73</v>
      </c>
      <c r="K13" s="31" t="n">
        <v>15946881</v>
      </c>
      <c r="L13" s="30" t="n">
        <v>36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63.18</v>
      </c>
      <c r="P13" s="31" t="n">
        <v>19.58</v>
      </c>
      <c r="Q13" s="31" t="n">
        <v>254.68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-4.23</v>
      </c>
      <c r="U13" s="31" t="n">
        <v>45.77</v>
      </c>
      <c r="V13" s="31" t="n">
        <v>52.2</v>
      </c>
      <c r="W13" s="31" t="n">
        <v>9.800000000000001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0 to 20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IF(B14=0,"",RANK(B14,$B$2:$B$34,0))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RANEHOLDIN</t>
        </is>
      </c>
      <c r="D14" s="30" t="inlineStr">
        <is>
          <t>Rane Holdings Limited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2087.42</v>
      </c>
      <c r="I14" s="31" t="n">
        <v>1483.8</v>
      </c>
      <c r="J14" s="31" t="n">
        <v>1.49</v>
      </c>
      <c r="K14" s="31" t="n">
        <v>9023</v>
      </c>
      <c r="L14" s="30" t="n">
        <v>14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62.79</v>
      </c>
      <c r="P14" s="31" t="n">
        <v>24.35</v>
      </c>
      <c r="Q14" s="31" t="n">
        <v>1095.18</v>
      </c>
      <c r="R14" s="30" t="inlineStr">
        <is>
          <t>Earnings / Momentum Support</t>
        </is>
      </c>
      <c r="S14" s="30" t="inlineStr">
        <is>
          <t>Nifty Bank</t>
        </is>
      </c>
      <c r="T14" s="31" t="n">
        <v>-4.23</v>
      </c>
      <c r="U14" s="31" t="n">
        <v>-2.25</v>
      </c>
      <c r="V14" s="31" t="n">
        <v>2.06</v>
      </c>
      <c r="W14" s="31" t="n">
        <v>4.73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No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IF(B15=0,"",RANK(B15,$B$2:$B$34,0))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CONSOFINVT</t>
        </is>
      </c>
      <c r="D15" s="30" t="inlineStr">
        <is>
          <t>Consolidated Finvest &amp; Holdings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778.97</v>
      </c>
      <c r="I15" s="31" t="n">
        <v>242.97</v>
      </c>
      <c r="J15" s="31" t="n">
        <v>0.83</v>
      </c>
      <c r="K15" s="31" t="n">
        <v>31468</v>
      </c>
      <c r="L15" s="30" t="n">
        <v>24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67.09999999999999</v>
      </c>
      <c r="P15" s="31" t="n">
        <v>23.63</v>
      </c>
      <c r="Q15" s="31" t="n">
        <v>190.03</v>
      </c>
      <c r="R15" s="30" t="inlineStr">
        <is>
          <t>Volume Spike &amp; Near 52W High Breakout</t>
        </is>
      </c>
      <c r="S15" s="30" t="inlineStr">
        <is>
          <t>Nifty Bank</t>
        </is>
      </c>
      <c r="T15" s="31" t="n">
        <v>-4.23</v>
      </c>
      <c r="U15" s="31" t="n">
        <v>21.55</v>
      </c>
      <c r="V15" s="31" t="n">
        <v>26.92</v>
      </c>
      <c r="W15" s="31" t="n">
        <v>6.8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less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IF(B16=0,"",RANK(B16,$B$2:$B$34,0))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STARHEALTH</t>
        </is>
      </c>
      <c r="D16" s="30" t="inlineStr">
        <is>
          <t>Star Health &amp; Allied Insurance Company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largecap</t>
        </is>
      </c>
      <c r="H16" s="31" t="n">
        <v>31403.09</v>
      </c>
      <c r="I16" s="31" t="n">
        <v>530.05</v>
      </c>
      <c r="J16" s="31" t="n">
        <v>-0.68</v>
      </c>
      <c r="K16" s="31" t="n">
        <v>381004</v>
      </c>
      <c r="L16" s="30" t="n">
        <v>19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63.71</v>
      </c>
      <c r="P16" s="31" t="n">
        <v>23.71</v>
      </c>
      <c r="Q16" s="31" t="n">
        <v>436.63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-4.23</v>
      </c>
      <c r="U16" s="31" t="n">
        <v>12.78</v>
      </c>
      <c r="V16" s="31" t="n">
        <v>17.76</v>
      </c>
      <c r="W16" s="31" t="n">
        <v>5.78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IF(B17=0,"",RANK(B17,$B$2:$B$34,0))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HEALTHX</t>
        </is>
      </c>
      <c r="D17" s="30" t="inlineStr">
        <is>
          <t>Health X Platform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smallcap</t>
        </is>
      </c>
      <c r="H17" s="31" t="n">
        <v>958.9299999999999</v>
      </c>
      <c r="I17" s="31" t="n">
        <v>302.1</v>
      </c>
      <c r="J17" s="31" t="n">
        <v>0.22</v>
      </c>
      <c r="K17" s="31" t="n">
        <v>151790</v>
      </c>
      <c r="L17" s="30" t="n">
        <v>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55.69</v>
      </c>
      <c r="P17" s="31" t="n">
        <v>14.77</v>
      </c>
      <c r="Q17" s="31" t="n">
        <v>232.96</v>
      </c>
      <c r="R17" s="30" t="inlineStr">
        <is>
          <t>Volume Spike / Accumulation</t>
        </is>
      </c>
      <c r="S17" s="30" t="inlineStr">
        <is>
          <t>Nifty Bank</t>
        </is>
      </c>
      <c r="T17" s="31" t="n">
        <v>-4.23</v>
      </c>
      <c r="U17" s="31" t="n">
        <v>8.710000000000001</v>
      </c>
      <c r="V17" s="31" t="n">
        <v>13.51</v>
      </c>
      <c r="W17" s="31" t="n">
        <v>3.46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0 to 20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IF(B18=0,"",RANK(B18,$B$2:$B$34,0))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JSFB</t>
        </is>
      </c>
      <c r="D18" s="30" t="inlineStr">
        <is>
          <t>Jana Small Finance Bank Ltd</t>
        </is>
      </c>
      <c r="E18" s="30" t="inlineStr">
        <is>
          <t>bank</t>
        </is>
      </c>
      <c r="F18" s="30" t="inlineStr">
        <is>
          <t>banks - private sector</t>
        </is>
      </c>
      <c r="G18" s="30" t="inlineStr">
        <is>
          <t>midcap</t>
        </is>
      </c>
      <c r="H18" s="31" t="n">
        <v>5168.8</v>
      </c>
      <c r="I18" s="31" t="n">
        <v>483.75</v>
      </c>
      <c r="J18" s="31" t="n">
        <v>-1.43</v>
      </c>
      <c r="K18" s="31" t="n">
        <v>491117</v>
      </c>
      <c r="L18" s="30" t="n">
        <v>32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61.14</v>
      </c>
      <c r="P18" s="31" t="n">
        <v>25.86</v>
      </c>
      <c r="Q18" s="31" t="n">
        <v>371.25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-4.23</v>
      </c>
      <c r="U18" s="31" t="n">
        <v>-0.84</v>
      </c>
      <c r="V18" s="31" t="n">
        <v>3.54</v>
      </c>
      <c r="W18" s="31" t="n">
        <v>9.210000000000001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IF(B19=0,"",RANK(B19,$B$2:$B$34,0))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PAISALO</t>
        </is>
      </c>
      <c r="D19" s="30" t="inlineStr">
        <is>
          <t>Paisalo Digital Ltd</t>
        </is>
      </c>
      <c r="E19" s="30" t="inlineStr">
        <is>
          <t>financials</t>
        </is>
      </c>
      <c r="F19" s="30" t="inlineStr">
        <is>
          <t>finance &amp; investments</t>
        </is>
      </c>
      <c r="G19" s="30" t="inlineStr">
        <is>
          <t>smallcap</t>
        </is>
      </c>
      <c r="H19" s="31" t="n">
        <v>4792.27</v>
      </c>
      <c r="I19" s="31" t="n">
        <v>53.92</v>
      </c>
      <c r="J19" s="31" t="n">
        <v>2.33</v>
      </c>
      <c r="K19" s="31" t="n">
        <v>15717266</v>
      </c>
      <c r="L19" s="30" t="n">
        <v>80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73.08</v>
      </c>
      <c r="P19" s="31" t="n">
        <v>28.81</v>
      </c>
      <c r="Q19" s="31" t="n">
        <v>41.66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-4.23</v>
      </c>
      <c r="U19" s="31" t="n">
        <v>70.31999999999999</v>
      </c>
      <c r="V19" s="31" t="n">
        <v>77.84</v>
      </c>
      <c r="W19" s="31" t="n">
        <v>25.82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between 2.5x to 5x and Growth less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IF(B20=0,"",RANK(B20,$B$2:$B$34,0))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NIVABUPA</t>
        </is>
      </c>
      <c r="D20" s="30" t="inlineStr">
        <is>
          <t>Niva Bupa Health Insurance Company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midcap</t>
        </is>
      </c>
      <c r="H20" s="31" t="n">
        <v>15524.18</v>
      </c>
      <c r="I20" s="31" t="n">
        <v>84.03</v>
      </c>
      <c r="J20" s="31" t="n">
        <v>0</v>
      </c>
      <c r="K20" s="31" t="n">
        <v>727216</v>
      </c>
      <c r="L20" s="30" t="n">
        <v>12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60.39</v>
      </c>
      <c r="P20" s="31" t="n">
        <v>23</v>
      </c>
      <c r="Q20" s="31" t="n">
        <v>70.83</v>
      </c>
      <c r="R20" s="30" t="inlineStr">
        <is>
          <t>Earnings / Momentum Support</t>
        </is>
      </c>
      <c r="S20" s="30" t="inlineStr">
        <is>
          <t>Nifty Bank</t>
        </is>
      </c>
      <c r="T20" s="31" t="n">
        <v>-4.23</v>
      </c>
      <c r="U20" s="31" t="n">
        <v>1.28</v>
      </c>
      <c r="V20" s="31" t="n">
        <v>5.75</v>
      </c>
      <c r="W20" s="31" t="n">
        <v>4.17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No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IF(B21=0,"",RANK(B21,$B$2:$B$34,0))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MONARCH</t>
        </is>
      </c>
      <c r="D21" s="30" t="inlineStr">
        <is>
          <t>Monarch Networth Capital Ltd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smallcap</t>
        </is>
      </c>
      <c r="H21" s="31" t="n">
        <v>2698.29</v>
      </c>
      <c r="I21" s="31" t="n">
        <v>338.8</v>
      </c>
      <c r="J21" s="31" t="n">
        <v>-0.47</v>
      </c>
      <c r="K21" s="31" t="n">
        <v>69899</v>
      </c>
      <c r="L21" s="30" t="n">
        <v>29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62.91</v>
      </c>
      <c r="P21" s="31" t="n">
        <v>20.84</v>
      </c>
      <c r="Q21" s="31" t="n">
        <v>266.88</v>
      </c>
      <c r="R21" s="30" t="inlineStr">
        <is>
          <t>Earnings / Momentum Support</t>
        </is>
      </c>
      <c r="S21" s="30" t="inlineStr">
        <is>
          <t>Nifty Bank</t>
        </is>
      </c>
      <c r="T21" s="31" t="n">
        <v>-4.23</v>
      </c>
      <c r="U21" s="31" t="n">
        <v>5.03</v>
      </c>
      <c r="V21" s="31" t="n">
        <v>9.67</v>
      </c>
      <c r="W21" s="31" t="n">
        <v>8.26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between 2.5x to 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IF(B22=0,"",RANK(B22,$B$2:$B$34,0))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OFSS</t>
        </is>
      </c>
      <c r="D22" s="30" t="inlineStr">
        <is>
          <t>Oracle Financial Services Software Limited</t>
        </is>
      </c>
      <c r="E22" s="30" t="inlineStr">
        <is>
          <t>i.t</t>
        </is>
      </c>
      <c r="F22" s="30" t="inlineStr">
        <is>
          <t>computers - software - large</t>
        </is>
      </c>
      <c r="G22" s="30" t="inlineStr">
        <is>
          <t>largecap</t>
        </is>
      </c>
      <c r="H22" s="31" t="n">
        <v>90033.49000000001</v>
      </c>
      <c r="I22" s="31" t="n">
        <v>9997.5</v>
      </c>
      <c r="J22" s="31" t="n">
        <v>-3.35</v>
      </c>
      <c r="K22" s="31" t="n">
        <v>235347</v>
      </c>
      <c r="L22" s="30" t="n">
        <v>61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72.16</v>
      </c>
      <c r="P22" s="31" t="n">
        <v>36.84</v>
      </c>
      <c r="Q22" s="31" t="n">
        <v>8061.76</v>
      </c>
      <c r="R22" s="30" t="inlineStr">
        <is>
          <t>Near 52W High Breakout</t>
        </is>
      </c>
      <c r="S22" s="30" t="inlineStr">
        <is>
          <t>Nifty IT</t>
        </is>
      </c>
      <c r="T22" s="31" t="n">
        <v>-21.21</v>
      </c>
      <c r="U22" s="31" t="n">
        <v>18.86</v>
      </c>
      <c r="V22" s="31" t="n">
        <v>50.86</v>
      </c>
      <c r="W22" s="31" t="n">
        <v>16.59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above 5x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IF(B23=0,"",RANK(B23,$B$2:$B$34,0))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IFCI</t>
        </is>
      </c>
      <c r="D23" s="30" t="inlineStr">
        <is>
          <t>Ifci Limited</t>
        </is>
      </c>
      <c r="E23" s="30" t="inlineStr">
        <is>
          <t>financials</t>
        </is>
      </c>
      <c r="F23" s="30" t="inlineStr">
        <is>
          <t>finance - term-lending institutions</t>
        </is>
      </c>
      <c r="G23" s="30" t="inlineStr">
        <is>
          <t>midcap</t>
        </is>
      </c>
      <c r="H23" s="31" t="n">
        <v>19302.07</v>
      </c>
      <c r="I23" s="31" t="n">
        <v>80.42</v>
      </c>
      <c r="J23" s="31" t="n">
        <v>12.26</v>
      </c>
      <c r="K23" s="31" t="n">
        <v>322483580</v>
      </c>
      <c r="L23" s="30" t="n">
        <v>58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70.53</v>
      </c>
      <c r="P23" s="31" t="n">
        <v>19.85</v>
      </c>
      <c r="Q23" s="31" t="n">
        <v>60.18</v>
      </c>
      <c r="R23" s="30" t="inlineStr">
        <is>
          <t>Volume Spike &amp; Near 52W High Breakout</t>
        </is>
      </c>
      <c r="S23" s="30" t="inlineStr">
        <is>
          <t>Nifty Bank</t>
        </is>
      </c>
      <c r="T23" s="31" t="n">
        <v>-4.23</v>
      </c>
      <c r="U23" s="31" t="n">
        <v>21.79</v>
      </c>
      <c r="V23" s="31" t="n">
        <v>27.17</v>
      </c>
      <c r="W23" s="31" t="n">
        <v>15.75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less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Blue sky scenario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IF(B24=0,"",RANK(B24,$B$2:$B$34,0))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SOUTHBANK</t>
        </is>
      </c>
      <c r="D24" s="30" t="inlineStr">
        <is>
          <t>The South Indian Bank Limited</t>
        </is>
      </c>
      <c r="E24" s="30" t="inlineStr">
        <is>
          <t>bank</t>
        </is>
      </c>
      <c r="F24" s="30" t="inlineStr">
        <is>
          <t>banks - private sector</t>
        </is>
      </c>
      <c r="G24" s="30" t="inlineStr">
        <is>
          <t>midcap</t>
        </is>
      </c>
      <c r="H24" s="31" t="n">
        <v>11014.73</v>
      </c>
      <c r="I24" s="31" t="n">
        <v>43.6</v>
      </c>
      <c r="J24" s="31" t="n">
        <v>3.61</v>
      </c>
      <c r="K24" s="31" t="n">
        <v>32825203</v>
      </c>
      <c r="L24" s="30" t="n">
        <v>42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62.65</v>
      </c>
      <c r="P24" s="31" t="n">
        <v>11.17</v>
      </c>
      <c r="Q24" s="31" t="n">
        <v>34.18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-4.23</v>
      </c>
      <c r="U24" s="31" t="n">
        <v>51.6</v>
      </c>
      <c r="V24" s="31" t="n">
        <v>58.3</v>
      </c>
      <c r="W24" s="31" t="n">
        <v>11.52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less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IF(B25=0,"",RANK(B25,$B$2:$B$34,0))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EQUITASBNK</t>
        </is>
      </c>
      <c r="D25" s="30" t="inlineStr">
        <is>
          <t>Equitas Small Finance Bank Ltd</t>
        </is>
      </c>
      <c r="E25" s="30" t="inlineStr">
        <is>
          <t>bank</t>
        </is>
      </c>
      <c r="F25" s="30" t="inlineStr">
        <is>
          <t>banks - private sector</t>
        </is>
      </c>
      <c r="G25" s="30" t="inlineStr">
        <is>
          <t>midcap</t>
        </is>
      </c>
      <c r="H25" s="31" t="n">
        <v>7959.92</v>
      </c>
      <c r="I25" s="31" t="n">
        <v>70.90000000000001</v>
      </c>
      <c r="J25" s="31" t="n">
        <v>1.63</v>
      </c>
      <c r="K25" s="31" t="n">
        <v>2148146</v>
      </c>
      <c r="L25" s="30" t="n">
        <v>20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59.25</v>
      </c>
      <c r="P25" s="31" t="n">
        <v>19.34</v>
      </c>
      <c r="Q25" s="31" t="n">
        <v>57.48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-4.23</v>
      </c>
      <c r="U25" s="31" t="n">
        <v>6.38</v>
      </c>
      <c r="V25" s="31" t="n">
        <v>11.07</v>
      </c>
      <c r="W25" s="31" t="n">
        <v>6.05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Cyclical in an Uptick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inlineStr">
        <is>
          <t>Yes</t>
        </is>
      </c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No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No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more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Close to 52 week high or retracement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IF(B26=0,"",RANK(B26,$B$2:$B$34,0))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CGCL</t>
        </is>
      </c>
      <c r="D26" s="30" t="inlineStr">
        <is>
          <t>Capri Global Capital Limited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midcap</t>
        </is>
      </c>
      <c r="H26" s="31" t="n">
        <v>19124.73</v>
      </c>
      <c r="I26" s="31" t="n">
        <v>201.36</v>
      </c>
      <c r="J26" s="31" t="n">
        <v>1.3</v>
      </c>
      <c r="K26" s="31" t="n">
        <v>1485416</v>
      </c>
      <c r="L26" s="30" t="n">
        <v>42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62.38</v>
      </c>
      <c r="P26" s="31" t="n">
        <v>17.1</v>
      </c>
      <c r="Q26" s="31" t="n">
        <v>161.7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-4.23</v>
      </c>
      <c r="U26" s="31" t="n">
        <v>32.58</v>
      </c>
      <c r="V26" s="31" t="n">
        <v>38.43</v>
      </c>
      <c r="W26" s="31" t="n">
        <v>11.79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more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0 to 20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IF(B27=0,"",RANK(B27,$B$2:$B$34,0))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SURYODAY</t>
        </is>
      </c>
      <c r="D27" s="30" t="inlineStr">
        <is>
          <t>Suryoday Small Finance Bank Ltd</t>
        </is>
      </c>
      <c r="E27" s="30" t="inlineStr">
        <is>
          <t>bank</t>
        </is>
      </c>
      <c r="F27" s="30" t="inlineStr">
        <is>
          <t>banks - private sector</t>
        </is>
      </c>
      <c r="G27" s="30" t="inlineStr">
        <is>
          <t>smallcap</t>
        </is>
      </c>
      <c r="H27" s="31" t="n">
        <v>1795.45</v>
      </c>
      <c r="I27" s="31" t="n">
        <v>169.67</v>
      </c>
      <c r="J27" s="31" t="n">
        <v>0.44</v>
      </c>
      <c r="K27" s="31" t="n">
        <v>436485</v>
      </c>
      <c r="L27" s="30" t="n">
        <v>38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63.07</v>
      </c>
      <c r="P27" s="31" t="n">
        <v>27.54</v>
      </c>
      <c r="Q27" s="31" t="n">
        <v>139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-4.23</v>
      </c>
      <c r="U27" s="31" t="n">
        <v>17.05</v>
      </c>
      <c r="V27" s="31" t="n">
        <v>22.22</v>
      </c>
      <c r="W27" s="31" t="n">
        <v>10.65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IF(B28=0,"",RANK(B28,$B$2:$B$34,0))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MUFIN</t>
        </is>
      </c>
      <c r="D28" s="30" t="inlineStr">
        <is>
          <t>Mufin Green Finance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smallcap</t>
        </is>
      </c>
      <c r="H28" s="31" t="n">
        <v>2427.49</v>
      </c>
      <c r="I28" s="31" t="n">
        <v>122.48</v>
      </c>
      <c r="J28" s="31" t="n">
        <v>-0.02</v>
      </c>
      <c r="K28" s="31" t="n">
        <v>1191621</v>
      </c>
      <c r="L28" s="30" t="n">
        <v>45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61.79</v>
      </c>
      <c r="P28" s="31" t="n">
        <v>15.5</v>
      </c>
      <c r="Q28" s="31" t="n">
        <v>97.33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-4.23</v>
      </c>
      <c r="U28" s="31" t="n">
        <v>54.69</v>
      </c>
      <c r="V28" s="31" t="n">
        <v>61.52</v>
      </c>
      <c r="W28" s="31" t="n">
        <v>12.4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IF(B29=0,"",RANK(B29,$B$2:$B$34,0))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SAMMAANCAP</t>
        </is>
      </c>
      <c r="D29" s="30" t="inlineStr">
        <is>
          <t>Sammaan Capital Ltd</t>
        </is>
      </c>
      <c r="E29" s="30" t="inlineStr">
        <is>
          <t>financials</t>
        </is>
      </c>
      <c r="F29" s="30" t="inlineStr">
        <is>
          <t>finance - housing</t>
        </is>
      </c>
      <c r="G29" s="30" t="inlineStr">
        <is>
          <t>largecap</t>
        </is>
      </c>
      <c r="H29" s="31" t="n">
        <v>20783.69</v>
      </c>
      <c r="I29" s="31" t="n">
        <v>177.92</v>
      </c>
      <c r="J29" s="31" t="n">
        <v>-0.55</v>
      </c>
      <c r="K29" s="31" t="n">
        <v>17811574</v>
      </c>
      <c r="L29" s="30" t="n">
        <v>45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65.15000000000001</v>
      </c>
      <c r="P29" s="31" t="n">
        <v>15.72</v>
      </c>
      <c r="Q29" s="31" t="n">
        <v>138.64</v>
      </c>
      <c r="R29" s="30" t="inlineStr">
        <is>
          <t>Earnings / Momentum Support</t>
        </is>
      </c>
      <c r="S29" s="30" t="inlineStr">
        <is>
          <t>Nifty Bank</t>
        </is>
      </c>
      <c r="T29" s="31" t="n">
        <v>-4.23</v>
      </c>
      <c r="U29" s="31" t="n">
        <v>40.6</v>
      </c>
      <c r="V29" s="31" t="n">
        <v>46.81</v>
      </c>
      <c r="W29" s="31" t="n">
        <v>12.49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No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less than 2.5x and Growth less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IF(B30=0,"",RANK(B30,$B$2:$B$34,0))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YESBANK</t>
        </is>
      </c>
      <c r="D30" s="30" t="inlineStr">
        <is>
          <t>Yes Bank Limited</t>
        </is>
      </c>
      <c r="E30" s="30" t="inlineStr">
        <is>
          <t>bank</t>
        </is>
      </c>
      <c r="F30" s="30" t="inlineStr">
        <is>
          <t>banks - private sector</t>
        </is>
      </c>
      <c r="G30" s="30" t="inlineStr">
        <is>
          <t>largecap</t>
        </is>
      </c>
      <c r="H30" s="31" t="n">
        <v>71636.99000000001</v>
      </c>
      <c r="I30" s="31" t="n">
        <v>22.93</v>
      </c>
      <c r="J30" s="31" t="n">
        <v>0.44</v>
      </c>
      <c r="K30" s="31" t="n">
        <v>111470651</v>
      </c>
      <c r="L30" s="30" t="n">
        <v>15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60.03</v>
      </c>
      <c r="P30" s="31" t="n">
        <v>20.62</v>
      </c>
      <c r="Q30" s="31" t="n">
        <v>19.12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-4.23</v>
      </c>
      <c r="U30" s="31" t="n">
        <v>9.98</v>
      </c>
      <c r="V30" s="31" t="n">
        <v>14.83</v>
      </c>
      <c r="W30" s="31" t="n">
        <v>5.11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less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20 to 40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Negative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IF(B31=0,"",RANK(B31,$B$2:$B$34,0))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NUVAMA</t>
        </is>
      </c>
      <c r="D31" s="30" t="inlineStr">
        <is>
          <t>Nuvama Wealth Management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28642.41</v>
      </c>
      <c r="I31" s="31" t="n">
        <v>1558.1</v>
      </c>
      <c r="J31" s="31" t="n">
        <v>-0.97</v>
      </c>
      <c r="K31" s="31" t="n">
        <v>773233</v>
      </c>
      <c r="L31" s="30" t="n">
        <v>31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59.72</v>
      </c>
      <c r="P31" s="31" t="n">
        <v>28.92</v>
      </c>
      <c r="Q31" s="31" t="n">
        <v>1259.66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-4.23</v>
      </c>
      <c r="U31" s="31" t="n">
        <v>8.82</v>
      </c>
      <c r="V31" s="31" t="n">
        <v>13.62</v>
      </c>
      <c r="W31" s="31" t="n">
        <v>8.529999999999999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above 5x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IF(B32=0,"",RANK(B32,$B$2:$B$34,0))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TFCILTD</t>
        </is>
      </c>
      <c r="D32" s="30" t="inlineStr">
        <is>
          <t>Tourism Finance Corporation Of India Limited</t>
        </is>
      </c>
      <c r="E32" s="30" t="inlineStr">
        <is>
          <t>financials</t>
        </is>
      </c>
      <c r="F32" s="30" t="inlineStr">
        <is>
          <t>finance - term-lending institutions</t>
        </is>
      </c>
      <c r="G32" s="30" t="inlineStr">
        <is>
          <t>smallcap</t>
        </is>
      </c>
      <c r="H32" s="31" t="n">
        <v>3495.48</v>
      </c>
      <c r="I32" s="31" t="n">
        <v>75.91</v>
      </c>
      <c r="J32" s="31" t="n">
        <v>0.54</v>
      </c>
      <c r="K32" s="31" t="n">
        <v>5855346</v>
      </c>
      <c r="L32" s="30" t="n">
        <v>53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57.08</v>
      </c>
      <c r="P32" s="31" t="n">
        <v>20.87</v>
      </c>
      <c r="Q32" s="31" t="n">
        <v>62.78</v>
      </c>
      <c r="R32" s="30" t="inlineStr">
        <is>
          <t>Earnings / Momentum Support</t>
        </is>
      </c>
      <c r="S32" s="30" t="inlineStr">
        <is>
          <t>Nifty Bank</t>
        </is>
      </c>
      <c r="T32" s="31" t="n">
        <v>-4.23</v>
      </c>
      <c r="U32" s="31" t="n">
        <v>64.23999999999999</v>
      </c>
      <c r="V32" s="31" t="n">
        <v>71.5</v>
      </c>
      <c r="W32" s="31" t="n">
        <v>14.7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No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Negative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IF(B33=0,"",RANK(B33,$B$2:$B$34,0))</f>
        <v/>
      </c>
      <c r="B33" s="31">
        <f>SUM(N33,Y33,AA33,AC33,AE33,AG33,AI33,AK33,AM33,AO33,AQ33,AS33,AU33,AW33,AY33,BA33,BC33,BE33,BG33,BI33,BK33,BM33,BO33,BQ33,BS33,BU33,BW33,BY33,CA33)</f>
        <v/>
      </c>
      <c r="C33" s="32" t="inlineStr">
        <is>
          <t>BFINVEST</t>
        </is>
      </c>
      <c r="D33" s="32" t="inlineStr">
        <is>
          <t>Bf Investment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1641.37</v>
      </c>
      <c r="I33" s="31" t="n">
        <v>440.8</v>
      </c>
      <c r="J33" s="31" t="n">
        <v>1.16</v>
      </c>
      <c r="K33" s="31" t="n">
        <v>32248</v>
      </c>
      <c r="L33" s="30" t="n">
        <v>2</v>
      </c>
      <c r="M33" s="30" t="inlineStr">
        <is>
          <t>Underperforming</t>
        </is>
      </c>
      <c r="N33" s="31">
        <f>IF(M33="Underperforming",-5,IF(L33&gt;=95,15,IF(L33&gt;=90,10,IF(L33&gt;=80,5,0))))</f>
        <v/>
      </c>
      <c r="O33" s="31" t="n">
        <v>56.13</v>
      </c>
      <c r="P33" s="31" t="n">
        <v>19.15</v>
      </c>
      <c r="Q33" s="31" t="n">
        <v>341.93</v>
      </c>
      <c r="R33" s="30" t="inlineStr">
        <is>
          <t>Earnings / Momentum Support</t>
        </is>
      </c>
      <c r="S33" s="30" t="inlineStr">
        <is>
          <t>Nifty Bank</t>
        </is>
      </c>
      <c r="T33" s="31" t="n">
        <v>-4.23</v>
      </c>
      <c r="U33" s="31" t="n">
        <v>-13.97</v>
      </c>
      <c r="V33" s="31" t="n">
        <v>-10.17</v>
      </c>
      <c r="W33" s="31" t="n">
        <v>0.37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1</t>
        </is>
      </c>
      <c r="BQ33" s="30">
        <f>IF(BP33="Stage 2",20,IF(BP33="Stage 1",0,IF(BP33="Stage 3",5,IF(BP33="Stage 4",-5,0))))</f>
        <v/>
      </c>
      <c r="BR33" s="30" t="inlineStr">
        <is>
          <t>Negative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IF(B34=0,"",RANK(B34,$B$2:$B$34,0))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IIFLCAPS</t>
        </is>
      </c>
      <c r="D34" s="30" t="inlineStr">
        <is>
          <t>IIFL Capital Services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midcap</t>
        </is>
      </c>
      <c r="H34" s="31" t="n">
        <v>10531.16</v>
      </c>
      <c r="I34" s="31" t="n">
        <v>338.6</v>
      </c>
      <c r="J34" s="31" t="n">
        <v>0.13</v>
      </c>
      <c r="K34" s="31" t="n">
        <v>155412</v>
      </c>
      <c r="L34" s="30" t="n">
        <v>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55.69</v>
      </c>
      <c r="P34" s="31" t="n">
        <v>19.38</v>
      </c>
      <c r="Q34" s="31" t="n">
        <v>269.88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-4.23</v>
      </c>
      <c r="U34" s="31" t="n">
        <v>-0.13</v>
      </c>
      <c r="V34" s="31" t="n">
        <v>4.28</v>
      </c>
      <c r="W34" s="31" t="n">
        <v>2.23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</sheetData>
  <autoFilter ref="A1:CA34"/>
  <conditionalFormatting sqref="B2:B3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4">
    <cfRule type="cellIs" priority="34" operator="equal" dxfId="3" stopIfTrue="1">
      <formula>"Underperforming"</formula>
    </cfRule>
  </conditionalFormatting>
  <conditionalFormatting sqref="N2:N34">
    <cfRule type="cellIs" priority="35" operator="equal" dxfId="3" stopIfTrue="1">
      <formula>-5</formula>
    </cfRule>
  </conditionalFormatting>
  <conditionalFormatting sqref="Q2:Q34">
    <cfRule type="expression" priority="36" dxfId="0" stopIfTrue="1">
      <formula>=AND(Q2&lt;&gt;"",Q2&gt;0,I2&gt;=Q2)</formula>
    </cfRule>
    <cfRule type="expression" priority="37" dxfId="3" stopIfTrue="1">
      <formula>=AND(Q2&lt;&gt;"",Q2&gt;0,I2&lt;Q2)</formula>
    </cfRule>
  </conditionalFormatting>
  <dataValidations count="28">
    <dataValidation sqref="X2:X34" showDropDown="0" showInputMessage="0" showErrorMessage="0" allowBlank="1" type="list">
      <formula1>"Growing Industry,Stagnant Industry,Cyclical in an Upturn"</formula1>
    </dataValidation>
    <dataValidation sqref="Z2:Z34" showDropDown="0" showInputMessage="0" showErrorMessage="0" allowBlank="1" type="list">
      <formula1>"Fragmented with Low ROE,Fragmented with High ROE,Highly Cyclical"</formula1>
    </dataValidation>
    <dataValidation sqref="AB2:AB34" showDropDown="0" showInputMessage="0" showErrorMessage="0" allowBlank="1" type="list">
      <formula1>"Yes,No"</formula1>
    </dataValidation>
    <dataValidation sqref="AD2:AD34" showDropDown="0" showInputMessage="0" showErrorMessage="0" allowBlank="1" type="list">
      <formula1>"Tailwind,Headwind"</formula1>
    </dataValidation>
    <dataValidation sqref="AF2:AF3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4" showDropDown="0" showInputMessage="0" showErrorMessage="0" allowBlank="1" type="list">
      <formula1>"Yes,No"</formula1>
    </dataValidation>
    <dataValidation sqref="AJ2:AJ34" showDropDown="0" showInputMessage="0" showErrorMessage="0" allowBlank="1" type="list">
      <formula1>"Yes,No,Not Applicable"</formula1>
    </dataValidation>
    <dataValidation sqref="AL2:AL34" showDropDown="0" showInputMessage="0" showErrorMessage="0" allowBlank="1" type="list">
      <formula1>"Yes,No"</formula1>
    </dataValidation>
    <dataValidation sqref="AN2:AN34" showDropDown="0" showInputMessage="0" showErrorMessage="0" allowBlank="1" type="list">
      <formula1>"Yes,No"</formula1>
    </dataValidation>
    <dataValidation sqref="AP2:AP34" showDropDown="0" showInputMessage="0" showErrorMessage="0" allowBlank="1" type="list">
      <formula1>"Yes,No"</formula1>
    </dataValidation>
    <dataValidation sqref="AR2:AR34" showDropDown="0" showInputMessage="0" showErrorMessage="0" allowBlank="1" type="list">
      <formula1>"Yes,No"</formula1>
    </dataValidation>
    <dataValidation sqref="AT2:AT34" showDropDown="0" showInputMessage="0" showErrorMessage="0" allowBlank="1" type="list">
      <formula1>"No,Yes"</formula1>
    </dataValidation>
    <dataValidation sqref="AV2:AV34" showDropDown="0" showInputMessage="0" showErrorMessage="0" allowBlank="1" type="list">
      <formula1>"No,Yes"</formula1>
    </dataValidation>
    <dataValidation sqref="AX2:AX34" showDropDown="0" showInputMessage="0" showErrorMessage="0" allowBlank="1" type="list">
      <formula1>"No,Yes CEO Resignation,Yes CEO Retirement"</formula1>
    </dataValidation>
    <dataValidation sqref="AZ2:AZ34" showDropDown="0" showInputMessage="0" showErrorMessage="0" allowBlank="1" type="list">
      <formula1>"No,Yes"</formula1>
    </dataValidation>
    <dataValidation sqref="BB2:BB34" showDropDown="0" showInputMessage="0" showErrorMessage="0" allowBlank="1" type="list">
      <formula1>"No,Yes"</formula1>
    </dataValidation>
    <dataValidation sqref="BD2:BD34" showDropDown="0" showInputMessage="0" showErrorMessage="0" allowBlank="1" type="list">
      <formula1>"Yes,No"</formula1>
    </dataValidation>
    <dataValidation sqref="BF2:BF34" showDropDown="0" showInputMessage="0" showErrorMessage="0" allowBlank="1" type="list">
      <formula1>"Yes,No"</formula1>
    </dataValidation>
    <dataValidation sqref="BH2:BH34" showDropDown="0" showInputMessage="0" showErrorMessage="0" allowBlank="1" type="list">
      <formula1>"Yes,No"</formula1>
    </dataValidation>
    <dataValidation sqref="BJ2:BJ3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4" showDropDown="0" showInputMessage="0" showErrorMessage="0" allowBlank="1" type="list">
      <formula1>"Above 40,20 to 40,0 to 20"</formula1>
    </dataValidation>
    <dataValidation sqref="BN2:BN34" showDropDown="0" showInputMessage="0" showErrorMessage="0" allowBlank="1" type="list">
      <formula1>"Between 50 to 75,Above 75,Below 45"</formula1>
    </dataValidation>
    <dataValidation sqref="BP2:BP34" showDropDown="0" showInputMessage="0" showErrorMessage="0" allowBlank="1" type="list">
      <formula1>"Stage 1,Stage 2,Stage 3,Stage 4"</formula1>
    </dataValidation>
    <dataValidation sqref="BR2:BR34" showDropDown="0" showInputMessage="0" showErrorMessage="0" allowBlank="1" type="list">
      <formula1>"Positive Trend,Negative Trend"</formula1>
    </dataValidation>
    <dataValidation sqref="BT2:BT34" showDropDown="0" showInputMessage="0" showErrorMessage="0" allowBlank="1" type="list">
      <formula1>"Uptrend,Sideways,Downtrend"</formula1>
    </dataValidation>
    <dataValidation sqref="BV2:BV34" showDropDown="0" showInputMessage="0" showErrorMessage="0" allowBlank="1" type="list">
      <formula1>"Uptrend,Sideways,Downtrend"</formula1>
    </dataValidation>
    <dataValidation sqref="BX2:BX3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IF(B2=0,"",RANK(B2,$B$2:$B$21,0))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2055</v>
      </c>
      <c r="H2" s="30" t="inlineStr">
        <is>
          <t>IBULLSLTD</t>
        </is>
      </c>
      <c r="I2" s="30" t="inlineStr">
        <is>
          <t>Indiabulls Limited</t>
        </is>
      </c>
      <c r="J2" s="30" t="inlineStr">
        <is>
          <t>miscellaneous</t>
        </is>
      </c>
      <c r="K2" s="30" t="inlineStr">
        <is>
          <t>diversified - medium / small</t>
        </is>
      </c>
      <c r="L2" s="30" t="inlineStr">
        <is>
          <t>midcap</t>
        </is>
      </c>
      <c r="M2" s="31" t="n">
        <v>5387.92</v>
      </c>
      <c r="N2" s="31" t="n">
        <v>24.33</v>
      </c>
      <c r="O2" s="31" t="n">
        <v>4.96</v>
      </c>
      <c r="P2" s="31" t="n">
        <v>20613396</v>
      </c>
      <c r="Q2" s="30" t="n">
        <v>96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73.27</v>
      </c>
      <c r="U2" s="31" t="n">
        <v>35.77</v>
      </c>
      <c r="V2" s="31" t="n">
        <v>17.43</v>
      </c>
      <c r="W2" s="30" t="inlineStr">
        <is>
          <t>Near 52W High Breakout</t>
        </is>
      </c>
      <c r="X2" s="30" t="inlineStr">
        <is>
          <t>Nifty 50</t>
        </is>
      </c>
      <c r="Y2" s="31" t="n">
        <v>-6.39</v>
      </c>
      <c r="Z2" s="31" t="n">
        <v>54.67</v>
      </c>
      <c r="AA2" s="31" t="n">
        <v>65.23</v>
      </c>
      <c r="AB2" s="31" t="n">
        <v>56.33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20 to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Between 50% to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IF(B3=0,"",RANK(B3,$B$2:$B$21,0))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140</v>
      </c>
      <c r="E3" s="31" t="inlineStr">
        <is>
          <t>5%</t>
        </is>
      </c>
      <c r="F3" s="31" t="n">
        <v>50000</v>
      </c>
      <c r="G3" s="31" t="n">
        <v>33</v>
      </c>
      <c r="H3" s="30" t="inlineStr">
        <is>
          <t>VENUSREM</t>
        </is>
      </c>
      <c r="I3" s="30" t="inlineStr">
        <is>
          <t>Venus Remedies Limited</t>
        </is>
      </c>
      <c r="J3" s="30" t="inlineStr">
        <is>
          <t>healthcare</t>
        </is>
      </c>
      <c r="K3" s="30" t="inlineStr">
        <is>
          <t>pharmaceuticals - indian - formulations</t>
        </is>
      </c>
      <c r="L3" s="30" t="inlineStr">
        <is>
          <t>smallcap</t>
        </is>
      </c>
      <c r="M3" s="31" t="n">
        <v>1886.48</v>
      </c>
      <c r="N3" s="31" t="n">
        <v>1481.8</v>
      </c>
      <c r="O3" s="31" t="n">
        <v>5</v>
      </c>
      <c r="P3" s="31" t="n">
        <v>49108</v>
      </c>
      <c r="Q3" s="30" t="n">
        <v>96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77.69</v>
      </c>
      <c r="U3" s="31" t="n">
        <v>45.46</v>
      </c>
      <c r="V3" s="31" t="n">
        <v>1115.07</v>
      </c>
      <c r="W3" s="30" t="inlineStr">
        <is>
          <t>Near 52W High Breakout</t>
        </is>
      </c>
      <c r="X3" s="30" t="inlineStr">
        <is>
          <t>Nifty Pharma</t>
        </is>
      </c>
      <c r="Y3" s="31" t="n">
        <v>11.08</v>
      </c>
      <c r="Z3" s="31" t="n">
        <v>244.6</v>
      </c>
      <c r="AA3" s="31" t="n">
        <v>210.24</v>
      </c>
      <c r="AB3" s="31" t="n">
        <v>56.82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IF(B4=0,"",RANK(B4,$B$2:$B$21,0))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138.4</v>
      </c>
      <c r="E4" s="31" t="inlineStr">
        <is>
          <t>5%</t>
        </is>
      </c>
      <c r="F4" s="31" t="n">
        <v>50000</v>
      </c>
      <c r="G4" s="31" t="n">
        <v>113</v>
      </c>
      <c r="H4" s="30" t="inlineStr">
        <is>
          <t>BLISSGVS</t>
        </is>
      </c>
      <c r="I4" s="30" t="inlineStr">
        <is>
          <t>Bliss Gvs Pharma Limited</t>
        </is>
      </c>
      <c r="J4" s="30" t="inlineStr">
        <is>
          <t>healthcare</t>
        </is>
      </c>
      <c r="K4" s="30" t="inlineStr">
        <is>
          <t>pharmaceuticals - indian - formulations</t>
        </is>
      </c>
      <c r="L4" s="30" t="inlineStr">
        <is>
          <t>smallcap</t>
        </is>
      </c>
      <c r="M4" s="31" t="n">
        <v>4596</v>
      </c>
      <c r="N4" s="31" t="n">
        <v>439.65</v>
      </c>
      <c r="O4" s="31" t="n">
        <v>1.2</v>
      </c>
      <c r="P4" s="31" t="n">
        <v>2648317</v>
      </c>
      <c r="Q4" s="30" t="n">
        <v>95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88.5</v>
      </c>
      <c r="U4" s="31" t="n">
        <v>57.25</v>
      </c>
      <c r="V4" s="31" t="n">
        <v>338.91</v>
      </c>
      <c r="W4" s="30" t="inlineStr">
        <is>
          <t>Near 52W High Breakout</t>
        </is>
      </c>
      <c r="X4" s="30" t="inlineStr">
        <is>
          <t>Nifty Pharma</t>
        </is>
      </c>
      <c r="Y4" s="31" t="n">
        <v>11.08</v>
      </c>
      <c r="Z4" s="31" t="n">
        <v>223.87</v>
      </c>
      <c r="AA4" s="31" t="n">
        <v>191.57</v>
      </c>
      <c r="AB4" s="31" t="n">
        <v>52.14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Less than 12%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IF(B5=0,"",RANK(B5,$B$2:$B$21,0))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139.9</v>
      </c>
      <c r="E5" s="31" t="inlineStr">
        <is>
          <t>5%</t>
        </is>
      </c>
      <c r="F5" s="31" t="n">
        <v>50000</v>
      </c>
      <c r="G5" s="31" t="n">
        <v>151</v>
      </c>
      <c r="H5" s="30" t="inlineStr">
        <is>
          <t>MODISONLTD</t>
        </is>
      </c>
      <c r="I5" s="30" t="inlineStr">
        <is>
          <t>Modison Ltd</t>
        </is>
      </c>
      <c r="J5" s="30" t="inlineStr">
        <is>
          <t>industrials</t>
        </is>
      </c>
      <c r="K5" s="30" t="inlineStr">
        <is>
          <t>electric equipment</t>
        </is>
      </c>
      <c r="L5" s="30" t="inlineStr">
        <is>
          <t>smallcap</t>
        </is>
      </c>
      <c r="M5" s="31" t="n">
        <v>1017.96</v>
      </c>
      <c r="N5" s="31" t="n">
        <v>329</v>
      </c>
      <c r="O5" s="31" t="n">
        <v>4.88</v>
      </c>
      <c r="P5" s="31" t="n">
        <v>200782</v>
      </c>
      <c r="Q5" s="30" t="n">
        <v>97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85.59</v>
      </c>
      <c r="U5" s="31" t="n">
        <v>28.82</v>
      </c>
      <c r="V5" s="31" t="n">
        <v>252.87</v>
      </c>
      <c r="W5" s="30" t="inlineStr">
        <is>
          <t>Near 52W High Breakout</t>
        </is>
      </c>
      <c r="X5" s="30" t="inlineStr">
        <is>
          <t>Nifty 50</t>
        </is>
      </c>
      <c r="Y5" s="31" t="n">
        <v>-6.39</v>
      </c>
      <c r="Z5" s="31" t="n">
        <v>108.43</v>
      </c>
      <c r="AA5" s="31" t="n">
        <v>122.66</v>
      </c>
      <c r="AB5" s="31" t="n">
        <v>57.15</v>
      </c>
      <c r="AC5" s="30" t="inlineStr">
        <is>
          <t>Cyclical in an Upturn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20 to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IF(B6=0,"",RANK(B6,$B$2:$B$21,0))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138.4</v>
      </c>
      <c r="E6" s="31" t="inlineStr">
        <is>
          <t>5%</t>
        </is>
      </c>
      <c r="F6" s="31" t="n">
        <v>50000</v>
      </c>
      <c r="G6" s="31" t="n">
        <v>41</v>
      </c>
      <c r="H6" s="30" t="inlineStr">
        <is>
          <t>SYRMA</t>
        </is>
      </c>
      <c r="I6" s="30" t="inlineStr">
        <is>
          <t>Syrma SGS Technology Ltd</t>
        </is>
      </c>
      <c r="J6" s="30" t="inlineStr">
        <is>
          <t>consumer discretionary</t>
        </is>
      </c>
      <c r="K6" s="30" t="inlineStr">
        <is>
          <t>electronics - components</t>
        </is>
      </c>
      <c r="L6" s="30" t="inlineStr">
        <is>
          <t>largecap</t>
        </is>
      </c>
      <c r="M6" s="31" t="n">
        <v>22499.46</v>
      </c>
      <c r="N6" s="31" t="n">
        <v>1195.3</v>
      </c>
      <c r="O6" s="31" t="n">
        <v>2.44</v>
      </c>
      <c r="P6" s="31" t="n">
        <v>2008192</v>
      </c>
      <c r="Q6" s="30" t="n">
        <v>87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71.84999999999999</v>
      </c>
      <c r="U6" s="31" t="n">
        <v>29.27</v>
      </c>
      <c r="V6" s="31" t="n">
        <v>915.03</v>
      </c>
      <c r="W6" s="30" t="inlineStr">
        <is>
          <t>Near 52W High Breakout</t>
        </is>
      </c>
      <c r="X6" s="30" t="inlineStr">
        <is>
          <t>Nifty 50</t>
        </is>
      </c>
      <c r="Y6" s="31" t="n">
        <v>-6.39</v>
      </c>
      <c r="Z6" s="31" t="n">
        <v>123.88</v>
      </c>
      <c r="AA6" s="31" t="n">
        <v>139.16</v>
      </c>
      <c r="AB6" s="31" t="n">
        <v>32.27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Between 1.5 to 2</t>
        </is>
      </c>
      <c r="BZ6" s="30">
        <f>IF(BY6="Above 2",0,IF(BY6="Between 1.5 to 2",5,IF(BY6="Less than 1.5",10,0)))</f>
        <v/>
      </c>
      <c r="CA6" s="30" t="inlineStr">
        <is>
          <t>Between 50% to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IF(B7=0,"",RANK(B7,$B$2:$B$21,0))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140</v>
      </c>
      <c r="E7" s="31" t="inlineStr">
        <is>
          <t>5%</t>
        </is>
      </c>
      <c r="F7" s="31" t="n">
        <v>50000</v>
      </c>
      <c r="G7" s="31" t="n">
        <v>80</v>
      </c>
      <c r="H7" s="30" t="inlineStr">
        <is>
          <t>STLTECH</t>
        </is>
      </c>
      <c r="I7" s="30" t="inlineStr">
        <is>
          <t>Sterlite Technologies Limited</t>
        </is>
      </c>
      <c r="J7" s="30" t="inlineStr">
        <is>
          <t>industrials</t>
        </is>
      </c>
      <c r="K7" s="30" t="inlineStr">
        <is>
          <t>cables - telephone</t>
        </is>
      </c>
      <c r="L7" s="30" t="inlineStr">
        <is>
          <t>largecap</t>
        </is>
      </c>
      <c r="M7" s="31" t="n">
        <v>28851.07</v>
      </c>
      <c r="N7" s="31" t="n">
        <v>620.6</v>
      </c>
      <c r="O7" s="31" t="n">
        <v>5</v>
      </c>
      <c r="P7" s="31" t="n">
        <v>3222970</v>
      </c>
      <c r="Q7" s="30" t="n">
        <v>99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96.08</v>
      </c>
      <c r="U7" s="31" t="n">
        <v>76.43000000000001</v>
      </c>
      <c r="V7" s="31" t="n">
        <v>498.26</v>
      </c>
      <c r="W7" s="30" t="inlineStr">
        <is>
          <t>Near 52W High Breakout</t>
        </is>
      </c>
      <c r="X7" s="30" t="inlineStr">
        <is>
          <t>Nifty Infra</t>
        </is>
      </c>
      <c r="Y7" s="31" t="n">
        <v>1.52</v>
      </c>
      <c r="Z7" s="31" t="n">
        <v>718.73</v>
      </c>
      <c r="AA7" s="31" t="n">
        <v>706.48</v>
      </c>
      <c r="AB7" s="31" t="n">
        <v>120.58</v>
      </c>
      <c r="AC7" s="30" t="inlineStr">
        <is>
          <t>Cyclical in an Upturn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Between 0.7 to 1.2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IF(B8=0,"",RANK(B8,$B$2:$B$21,0))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139.5</v>
      </c>
      <c r="E8" s="31" t="inlineStr">
        <is>
          <t>5%</t>
        </is>
      </c>
      <c r="F8" s="31" t="n">
        <v>50000</v>
      </c>
      <c r="G8" s="31" t="n">
        <v>10</v>
      </c>
      <c r="H8" s="30" t="inlineStr">
        <is>
          <t>THANGAMAYL</t>
        </is>
      </c>
      <c r="I8" s="30" t="inlineStr">
        <is>
          <t>Thangamayil Jewellery Limited</t>
        </is>
      </c>
      <c r="J8" s="30" t="inlineStr">
        <is>
          <t>consumer discretionary</t>
        </is>
      </c>
      <c r="K8" s="30" t="inlineStr">
        <is>
          <t>diamond cutting / jewellery</t>
        </is>
      </c>
      <c r="L8" s="30" t="inlineStr">
        <is>
          <t>midcap</t>
        </is>
      </c>
      <c r="M8" s="31" t="n">
        <v>14268.82</v>
      </c>
      <c r="N8" s="31" t="n">
        <v>4795</v>
      </c>
      <c r="O8" s="31" t="n">
        <v>4.45</v>
      </c>
      <c r="P8" s="31" t="n">
        <v>224232</v>
      </c>
      <c r="Q8" s="30" t="n">
        <v>83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66.05</v>
      </c>
      <c r="U8" s="31" t="n">
        <v>38.71</v>
      </c>
      <c r="V8" s="31" t="n">
        <v>3461.45</v>
      </c>
      <c r="W8" s="30" t="inlineStr">
        <is>
          <t>Near 52W High Breakout</t>
        </is>
      </c>
      <c r="X8" s="30" t="inlineStr">
        <is>
          <t>Nifty 50</t>
        </is>
      </c>
      <c r="Y8" s="31" t="n">
        <v>-6.39</v>
      </c>
      <c r="Z8" s="31" t="n">
        <v>152.19</v>
      </c>
      <c r="AA8" s="31" t="n">
        <v>169.4</v>
      </c>
      <c r="AB8" s="31" t="n">
        <v>27.29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Between 50% to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IF(B9=0,"",RANK(B9,$B$2:$B$21,0))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137.9</v>
      </c>
      <c r="E9" s="31" t="inlineStr">
        <is>
          <t>5%</t>
        </is>
      </c>
      <c r="F9" s="31" t="n">
        <v>50000</v>
      </c>
      <c r="G9" s="31" t="n">
        <v>26</v>
      </c>
      <c r="H9" s="30" t="inlineStr">
        <is>
          <t>KERNEX</t>
        </is>
      </c>
      <c r="I9" s="30" t="inlineStr">
        <is>
          <t>Kernex Microsystems (india) Limited</t>
        </is>
      </c>
      <c r="J9" s="30" t="inlineStr">
        <is>
          <t>consumer discretionary</t>
        </is>
      </c>
      <c r="K9" s="30" t="inlineStr">
        <is>
          <t>electronics - components</t>
        </is>
      </c>
      <c r="L9" s="30" t="inlineStr">
        <is>
          <t>smallcap</t>
        </is>
      </c>
      <c r="M9" s="31" t="n">
        <v>3032.33</v>
      </c>
      <c r="N9" s="31" t="n">
        <v>1877.9</v>
      </c>
      <c r="O9" s="31" t="n">
        <v>4.06</v>
      </c>
      <c r="P9" s="31" t="n">
        <v>535959</v>
      </c>
      <c r="Q9" s="30" t="n">
        <v>85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71.08</v>
      </c>
      <c r="U9" s="31" t="n">
        <v>27.28</v>
      </c>
      <c r="V9" s="31" t="n">
        <v>1360.43</v>
      </c>
      <c r="W9" s="30" t="inlineStr">
        <is>
          <t>Volume Spike &amp; Near 52W High Breakout</t>
        </is>
      </c>
      <c r="X9" s="30" t="inlineStr">
        <is>
          <t>Nifty 50</t>
        </is>
      </c>
      <c r="Y9" s="31" t="n">
        <v>-6.39</v>
      </c>
      <c r="Z9" s="31" t="n">
        <v>52.5</v>
      </c>
      <c r="AA9" s="31" t="n">
        <v>62.91</v>
      </c>
      <c r="AB9" s="31" t="n">
        <v>29.22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Less than 12%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IF(B10=0,"",RANK(B10,$B$2:$B$21,0))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138.7</v>
      </c>
      <c r="E10" s="31" t="inlineStr">
        <is>
          <t>5%</t>
        </is>
      </c>
      <c r="F10" s="31" t="n">
        <v>50000</v>
      </c>
      <c r="G10" s="31" t="n">
        <v>62</v>
      </c>
      <c r="H10" s="30" t="inlineStr">
        <is>
          <t>GRANULES</t>
        </is>
      </c>
      <c r="I10" s="30" t="inlineStr">
        <is>
          <t>Granules India Limited</t>
        </is>
      </c>
      <c r="J10" s="30" t="inlineStr">
        <is>
          <t>healthcare</t>
        </is>
      </c>
      <c r="K10" s="30" t="inlineStr">
        <is>
          <t>pharmaceuticals - indian - bulk drugs &amp; formln</t>
        </is>
      </c>
      <c r="L10" s="30" t="inlineStr">
        <is>
          <t>midcap</t>
        </is>
      </c>
      <c r="M10" s="31" t="n">
        <v>19267.45</v>
      </c>
      <c r="N10" s="31" t="n">
        <v>793.8</v>
      </c>
      <c r="O10" s="31" t="n">
        <v>2.09</v>
      </c>
      <c r="P10" s="31" t="n">
        <v>769581</v>
      </c>
      <c r="Q10" s="30" t="n">
        <v>63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78.22</v>
      </c>
      <c r="U10" s="31" t="n">
        <v>32.31</v>
      </c>
      <c r="V10" s="31" t="n">
        <v>666.15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11.08</v>
      </c>
      <c r="Z10" s="31" t="n">
        <v>50.25</v>
      </c>
      <c r="AA10" s="31" t="n">
        <v>35.26</v>
      </c>
      <c r="AB10" s="31" t="n">
        <v>16.89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No</t>
        </is>
      </c>
      <c r="BX10" s="30">
        <f>IF(BW10="NO",5,0)</f>
        <v/>
      </c>
      <c r="BY10" s="30" t="inlineStr">
        <is>
          <t>Less than 1.5</t>
        </is>
      </c>
      <c r="BZ10" s="30">
        <f>IF(BY10="Above 2",0,IF(BY10="Between 1.5 to 2",5,IF(BY10="Less than 1.5",10,0)))</f>
        <v/>
      </c>
      <c r="CA10" s="30" t="inlineStr">
        <is>
          <t>Between 50% to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IF(B11=0,"",RANK(B11,$B$2:$B$21,0))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138.4</v>
      </c>
      <c r="E11" s="31" t="inlineStr">
        <is>
          <t>5%</t>
        </is>
      </c>
      <c r="F11" s="31" t="n">
        <v>50000</v>
      </c>
      <c r="G11" s="31" t="n">
        <v>15</v>
      </c>
      <c r="H11" s="30" t="inlineStr">
        <is>
          <t>ACUTAAS</t>
        </is>
      </c>
      <c r="I11" s="30" t="inlineStr">
        <is>
          <t>Acutaas Chemicals Ltd</t>
        </is>
      </c>
      <c r="J11" s="30" t="inlineStr">
        <is>
          <t>healthcare</t>
        </is>
      </c>
      <c r="K11" s="30" t="inlineStr">
        <is>
          <t>pharmaceuticals - indian - bulk drugs</t>
        </is>
      </c>
      <c r="L11" s="30" t="inlineStr">
        <is>
          <t>largecap</t>
        </is>
      </c>
      <c r="M11" s="31" t="n">
        <v>24869.17</v>
      </c>
      <c r="N11" s="31" t="n">
        <v>3135.7</v>
      </c>
      <c r="O11" s="31" t="n">
        <v>3.23</v>
      </c>
      <c r="P11" s="31" t="n">
        <v>385864</v>
      </c>
      <c r="Q11" s="30" t="n">
        <v>85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77.04000000000001</v>
      </c>
      <c r="U11" s="31" t="n">
        <v>64.17</v>
      </c>
      <c r="V11" s="31" t="n">
        <v>2445.32</v>
      </c>
      <c r="W11" s="30" t="inlineStr">
        <is>
          <t>Near 52W High Breakout</t>
        </is>
      </c>
      <c r="X11" s="30" t="inlineStr">
        <is>
          <t>Nifty Pharma</t>
        </is>
      </c>
      <c r="Y11" s="31" t="n">
        <v>11.08</v>
      </c>
      <c r="Z11" s="31" t="n">
        <v>175.22</v>
      </c>
      <c r="AA11" s="31" t="n">
        <v>147.77</v>
      </c>
      <c r="AB11" s="31" t="n">
        <v>31.13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Annuity, Lower One Time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Above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Between 50% to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IF(B12=0,"",RANK(B12,$B$2:$B$21,0))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139.1</v>
      </c>
      <c r="E12" s="31" t="inlineStr">
        <is>
          <t>5%</t>
        </is>
      </c>
      <c r="F12" s="31" t="n">
        <v>50000</v>
      </c>
      <c r="G12" s="31" t="n">
        <v>43</v>
      </c>
      <c r="H12" s="30" t="inlineStr">
        <is>
          <t>CARYSIL</t>
        </is>
      </c>
      <c r="I12" s="30" t="inlineStr">
        <is>
          <t>Carysil Ltd</t>
        </is>
      </c>
      <c r="J12" s="30" t="inlineStr">
        <is>
          <t>consumer discretionary</t>
        </is>
      </c>
      <c r="K12" s="30" t="inlineStr">
        <is>
          <t>domestic appliances</t>
        </is>
      </c>
      <c r="L12" s="30" t="inlineStr">
        <is>
          <t>smallcap</t>
        </is>
      </c>
      <c r="M12" s="31" t="n">
        <v>3167.08</v>
      </c>
      <c r="N12" s="31" t="n">
        <v>1138</v>
      </c>
      <c r="O12" s="31" t="n">
        <v>2.2</v>
      </c>
      <c r="P12" s="31" t="n">
        <v>182936</v>
      </c>
      <c r="Q12" s="30" t="n">
        <v>46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69.06999999999999</v>
      </c>
      <c r="U12" s="31" t="n">
        <v>18.25</v>
      </c>
      <c r="V12" s="31" t="n">
        <v>858.78</v>
      </c>
      <c r="W12" s="30" t="inlineStr">
        <is>
          <t>Near 52W High Breakout</t>
        </is>
      </c>
      <c r="X12" s="30" t="inlineStr">
        <is>
          <t>Nifty 50</t>
        </is>
      </c>
      <c r="Y12" s="31" t="n">
        <v>-6.39</v>
      </c>
      <c r="Z12" s="31" t="n">
        <v>30.95</v>
      </c>
      <c r="AA12" s="31" t="n">
        <v>39.89</v>
      </c>
      <c r="AB12" s="31" t="n">
        <v>12.72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0 to 20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Less than 1.5</t>
        </is>
      </c>
      <c r="BZ12" s="30">
        <f>IF(BY12="Above 2",0,IF(BY12="Between 1.5 to 2",5,IF(BY12="Less than 1.5",10,0)))</f>
        <v/>
      </c>
      <c r="CA12" s="30" t="inlineStr">
        <is>
          <t>Between 50% to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IF(B13=0,"",RANK(B13,$B$2:$B$21,0))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138.2</v>
      </c>
      <c r="E13" s="31" t="inlineStr">
        <is>
          <t>5%</t>
        </is>
      </c>
      <c r="F13" s="31" t="n">
        <v>50000</v>
      </c>
      <c r="G13" s="31" t="n">
        <v>205</v>
      </c>
      <c r="H13" s="30" t="inlineStr">
        <is>
          <t>SKMEGGPROD</t>
        </is>
      </c>
      <c r="I13" s="30" t="inlineStr">
        <is>
          <t>Skm Egg Products Export (india) Limited</t>
        </is>
      </c>
      <c r="J13" s="30" t="inlineStr">
        <is>
          <t>fmcg</t>
        </is>
      </c>
      <c r="K13" s="30" t="inlineStr">
        <is>
          <t>food - processing - indian</t>
        </is>
      </c>
      <c r="L13" s="30" t="inlineStr">
        <is>
          <t>smallcap</t>
        </is>
      </c>
      <c r="M13" s="31" t="n">
        <v>1225.77</v>
      </c>
      <c r="N13" s="31" t="n">
        <v>243.51</v>
      </c>
      <c r="O13" s="31" t="n">
        <v>4.61</v>
      </c>
      <c r="P13" s="31" t="n">
        <v>2661942</v>
      </c>
      <c r="Q13" s="30" t="n">
        <v>88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71.03</v>
      </c>
      <c r="U13" s="31" t="n">
        <v>15.81</v>
      </c>
      <c r="V13" s="31" t="n">
        <v>169.86</v>
      </c>
      <c r="W13" s="30" t="inlineStr">
        <is>
          <t>Volume Spike &amp; Near 52W High Breakout</t>
        </is>
      </c>
      <c r="X13" s="30" t="inlineStr">
        <is>
          <t>Nifty FMCG</t>
        </is>
      </c>
      <c r="Y13" s="31" t="n">
        <v>-13.76</v>
      </c>
      <c r="Z13" s="31" t="n">
        <v>116.88</v>
      </c>
      <c r="AA13" s="31" t="n">
        <v>151.49</v>
      </c>
      <c r="AB13" s="31" t="n">
        <v>32.77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B2C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0 to 20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No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Less than 50%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IF(B14=0,"",RANK(B14,$B$2:$B$21,0))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140</v>
      </c>
      <c r="E14" s="31" t="inlineStr">
        <is>
          <t>5%</t>
        </is>
      </c>
      <c r="F14" s="31" t="n">
        <v>50000</v>
      </c>
      <c r="G14" s="31" t="n">
        <v>250</v>
      </c>
      <c r="H14" s="30" t="inlineStr">
        <is>
          <t>HFCL</t>
        </is>
      </c>
      <c r="I14" s="30" t="inlineStr">
        <is>
          <t>HFCL Ltd</t>
        </is>
      </c>
      <c r="J14" s="30" t="inlineStr">
        <is>
          <t>telecom</t>
        </is>
      </c>
      <c r="K14" s="30" t="inlineStr">
        <is>
          <t>cables - telephone</t>
        </is>
      </c>
      <c r="L14" s="30" t="inlineStr">
        <is>
          <t>largecap</t>
        </is>
      </c>
      <c r="M14" s="31" t="n">
        <v>29072.26</v>
      </c>
      <c r="N14" s="31" t="n">
        <v>199.41</v>
      </c>
      <c r="O14" s="31" t="n">
        <v>4.99</v>
      </c>
      <c r="P14" s="31" t="n">
        <v>65716679</v>
      </c>
      <c r="Q14" s="30" t="n">
        <v>98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92.53</v>
      </c>
      <c r="U14" s="31" t="n">
        <v>43.94</v>
      </c>
      <c r="V14" s="31" t="n">
        <v>157.64</v>
      </c>
      <c r="W14" s="30" t="inlineStr">
        <is>
          <t>Near 52W High Breakout</t>
        </is>
      </c>
      <c r="X14" s="30" t="inlineStr">
        <is>
          <t>Nifty Infra</t>
        </is>
      </c>
      <c r="Y14" s="31" t="n">
        <v>1.52</v>
      </c>
      <c r="Z14" s="31" t="n">
        <v>118.44</v>
      </c>
      <c r="AA14" s="31" t="n">
        <v>115.17</v>
      </c>
      <c r="AB14" s="31" t="n">
        <v>69.79000000000001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Oligopoly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Negative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IF(B15=0,"",RANK(B15,$B$2:$B$21,0))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138</v>
      </c>
      <c r="E15" s="31" t="inlineStr">
        <is>
          <t>5%</t>
        </is>
      </c>
      <c r="F15" s="31" t="n">
        <v>50000</v>
      </c>
      <c r="G15" s="31" t="n">
        <v>114</v>
      </c>
      <c r="H15" s="30" t="inlineStr">
        <is>
          <t>SIGMAADV</t>
        </is>
      </c>
      <c r="I15" s="30" t="inlineStr">
        <is>
          <t>Sigma Advanced System Ltd</t>
        </is>
      </c>
      <c r="J15" s="30" t="inlineStr">
        <is>
          <t>aerospace &amp; defence</t>
        </is>
      </c>
      <c r="K15" s="30" t="inlineStr">
        <is>
          <t>electronics - components</t>
        </is>
      </c>
      <c r="L15" s="30" t="inlineStr">
        <is>
          <t>midcap</t>
        </is>
      </c>
      <c r="M15" s="31" t="n">
        <v>7333.33</v>
      </c>
      <c r="N15" s="31" t="n">
        <v>436.9</v>
      </c>
      <c r="O15" s="31" t="n">
        <v>5</v>
      </c>
      <c r="P15" s="31" t="n">
        <v>840720</v>
      </c>
      <c r="Q15" s="30" t="n">
        <v>99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84.04000000000001</v>
      </c>
      <c r="U15" s="31" t="n">
        <v>33.95</v>
      </c>
      <c r="V15" s="31" t="n">
        <v>333.84</v>
      </c>
      <c r="W15" s="30" t="inlineStr">
        <is>
          <t>Volume Spike &amp; Near 52W High Breakout</t>
        </is>
      </c>
      <c r="X15" s="30" t="inlineStr">
        <is>
          <t>Nifty 50</t>
        </is>
      </c>
      <c r="Y15" s="31" t="n">
        <v>-6.39</v>
      </c>
      <c r="Z15" s="31" t="n">
        <v>373.14</v>
      </c>
      <c r="AA15" s="31" t="n">
        <v>405.44</v>
      </c>
      <c r="AB15" s="31" t="n">
        <v>83.97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No</t>
        </is>
      </c>
      <c r="BX15" s="30">
        <f>IF(BW15="NO",5,0)</f>
        <v/>
      </c>
      <c r="BY15" s="30" t="inlineStr">
        <is>
          <t>Less than 1.5</t>
        </is>
      </c>
      <c r="BZ15" s="30">
        <f>IF(BY15="Above 2",0,IF(BY15="Between 1.5 to 2",5,IF(BY15="Less than 1.5",10,0)))</f>
        <v/>
      </c>
      <c r="CA15" s="30" t="inlineStr">
        <is>
          <t>Negative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Between 0.7 to 1.2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IF(B16=0,"",RANK(B16,$B$2:$B$21,0))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139.7</v>
      </c>
      <c r="E16" s="31" t="inlineStr">
        <is>
          <t>5%</t>
        </is>
      </c>
      <c r="F16" s="31" t="n">
        <v>50000</v>
      </c>
      <c r="G16" s="31" t="n">
        <v>35</v>
      </c>
      <c r="H16" s="30" t="inlineStr">
        <is>
          <t>LAURUSLABS</t>
        </is>
      </c>
      <c r="I16" s="30" t="inlineStr">
        <is>
          <t>Laurus Labs Limited</t>
        </is>
      </c>
      <c r="J16" s="30" t="inlineStr">
        <is>
          <t>healthcare</t>
        </is>
      </c>
      <c r="K16" s="30" t="inlineStr">
        <is>
          <t>pharmaceuticals - indian - bulk drugs &amp; formln</t>
        </is>
      </c>
      <c r="L16" s="30" t="inlineStr">
        <is>
          <t>largecap</t>
        </is>
      </c>
      <c r="M16" s="31" t="n">
        <v>74640.57000000001</v>
      </c>
      <c r="N16" s="31" t="n">
        <v>1394.3</v>
      </c>
      <c r="O16" s="31" t="n">
        <v>0.85</v>
      </c>
      <c r="P16" s="31" t="n">
        <v>1443846</v>
      </c>
      <c r="Q16" s="30" t="n">
        <v>80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77.95</v>
      </c>
      <c r="U16" s="31" t="n">
        <v>29.67</v>
      </c>
      <c r="V16" s="31" t="n">
        <v>1182.99</v>
      </c>
      <c r="W16" s="30" t="inlineStr">
        <is>
          <t>Near 52W High Breakout</t>
        </is>
      </c>
      <c r="X16" s="30" t="inlineStr">
        <is>
          <t>Nifty Pharma</t>
        </is>
      </c>
      <c r="Y16" s="31" t="n">
        <v>11.08</v>
      </c>
      <c r="Z16" s="31" t="n">
        <v>117.56</v>
      </c>
      <c r="AA16" s="31" t="n">
        <v>95.86</v>
      </c>
      <c r="AB16" s="31" t="n">
        <v>25.16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Yes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Annuity, Lower One Time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Between 12 to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IF(B17=0,"",RANK(B17,$B$2:$B$21,0))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138</v>
      </c>
      <c r="E17" s="31" t="inlineStr">
        <is>
          <t>5%</t>
        </is>
      </c>
      <c r="F17" s="31" t="n">
        <v>50000</v>
      </c>
      <c r="G17" s="31" t="n">
        <v>1148</v>
      </c>
      <c r="H17" s="30" t="inlineStr">
        <is>
          <t>FCL</t>
        </is>
      </c>
      <c r="I17" s="30" t="inlineStr">
        <is>
          <t>Fineotex Chemical Limited</t>
        </is>
      </c>
      <c r="J17" s="30" t="inlineStr">
        <is>
          <t>chemicals</t>
        </is>
      </c>
      <c r="K17" s="30" t="inlineStr">
        <is>
          <t>chemicals</t>
        </is>
      </c>
      <c r="L17" s="30" t="inlineStr">
        <is>
          <t>smallcap</t>
        </is>
      </c>
      <c r="M17" s="31" t="n">
        <v>4932.83</v>
      </c>
      <c r="N17" s="31" t="n">
        <v>43.54</v>
      </c>
      <c r="O17" s="31" t="n">
        <v>2.79</v>
      </c>
      <c r="P17" s="31" t="n">
        <v>29794119</v>
      </c>
      <c r="Q17" s="30" t="n">
        <v>90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78.79000000000001</v>
      </c>
      <c r="U17" s="31" t="n">
        <v>27.7</v>
      </c>
      <c r="V17" s="31" t="n">
        <v>33.06</v>
      </c>
      <c r="W17" s="30" t="inlineStr">
        <is>
          <t>Near 52W High Breakout</t>
        </is>
      </c>
      <c r="X17" s="30" t="inlineStr">
        <is>
          <t>Nifty IT</t>
        </is>
      </c>
      <c r="Y17" s="31" t="n">
        <v>-21.21</v>
      </c>
      <c r="Z17" s="31" t="n">
        <v>72.16</v>
      </c>
      <c r="AA17" s="31" t="n">
        <v>118.51</v>
      </c>
      <c r="AB17" s="31" t="n">
        <v>36.93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No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Negative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IF(B18=0,"",RANK(B18,$B$2:$B$21,0))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139.4</v>
      </c>
      <c r="E18" s="31" t="inlineStr">
        <is>
          <t>5%</t>
        </is>
      </c>
      <c r="F18" s="31" t="n">
        <v>50000</v>
      </c>
      <c r="G18" s="31" t="n">
        <v>23</v>
      </c>
      <c r="H18" s="30" t="inlineStr">
        <is>
          <t>RRKABEL</t>
        </is>
      </c>
      <c r="I18" s="30" t="inlineStr">
        <is>
          <t>R R Kabel Ltd</t>
        </is>
      </c>
      <c r="J18" s="30" t="inlineStr">
        <is>
          <t>industrials</t>
        </is>
      </c>
      <c r="K18" s="30" t="inlineStr">
        <is>
          <t>cables - power</t>
        </is>
      </c>
      <c r="L18" s="30" t="inlineStr">
        <is>
          <t>largecap</t>
        </is>
      </c>
      <c r="M18" s="31" t="n">
        <v>22890.29</v>
      </c>
      <c r="N18" s="31" t="n">
        <v>2155.9</v>
      </c>
      <c r="O18" s="31" t="n">
        <v>6.53</v>
      </c>
      <c r="P18" s="31" t="n">
        <v>1528524</v>
      </c>
      <c r="Q18" s="30" t="n">
        <v>67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77.28</v>
      </c>
      <c r="U18" s="31" t="n">
        <v>32.05</v>
      </c>
      <c r="V18" s="31" t="n">
        <v>1705.72</v>
      </c>
      <c r="W18" s="30" t="inlineStr">
        <is>
          <t>Near 52W High Breakout</t>
        </is>
      </c>
      <c r="X18" s="30" t="inlineStr">
        <is>
          <t>Nifty Energy</t>
        </is>
      </c>
      <c r="Y18" s="31" t="n">
        <v>11.89</v>
      </c>
      <c r="Z18" s="31" t="n">
        <v>53.33</v>
      </c>
      <c r="AA18" s="31" t="n">
        <v>37.03</v>
      </c>
      <c r="AB18" s="31" t="n">
        <v>18.62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Between 1.5 to 2</t>
        </is>
      </c>
      <c r="BZ18" s="30">
        <f>IF(BY18="Above 2",0,IF(BY18="Between 1.5 to 2",5,IF(BY18="Less than 1.5",10,0)))</f>
        <v/>
      </c>
      <c r="CA18" s="30" t="inlineStr">
        <is>
          <t>Less than 50%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IF(B19=0,"",RANK(B19,$B$2:$B$21,0))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138</v>
      </c>
      <c r="E19" s="31" t="inlineStr">
        <is>
          <t>5%</t>
        </is>
      </c>
      <c r="F19" s="31" t="n">
        <v>50000</v>
      </c>
      <c r="G19" s="31" t="n">
        <v>88</v>
      </c>
      <c r="H19" s="30" t="inlineStr">
        <is>
          <t>SKYGOLD</t>
        </is>
      </c>
      <c r="I19" s="30" t="inlineStr">
        <is>
          <t>Sky Gold Ltd</t>
        </is>
      </c>
      <c r="J19" s="30" t="inlineStr">
        <is>
          <t>consumer discretionary</t>
        </is>
      </c>
      <c r="K19" s="30" t="inlineStr">
        <is>
          <t>diamond cutting / jewellery</t>
        </is>
      </c>
      <c r="L19" s="30" t="inlineStr">
        <is>
          <t>midcap</t>
        </is>
      </c>
      <c r="M19" s="31" t="n">
        <v>8668.290000000001</v>
      </c>
      <c r="N19" s="31" t="n">
        <v>563.25</v>
      </c>
      <c r="O19" s="31" t="n">
        <v>0.63</v>
      </c>
      <c r="P19" s="31" t="n">
        <v>1758735</v>
      </c>
      <c r="Q19" s="30" t="n">
        <v>80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69.67</v>
      </c>
      <c r="U19" s="31" t="n">
        <v>31.18</v>
      </c>
      <c r="V19" s="31" t="n">
        <v>409.57</v>
      </c>
      <c r="W19" s="30" t="inlineStr">
        <is>
          <t>Near 52W High Breakout</t>
        </is>
      </c>
      <c r="X19" s="30" t="inlineStr">
        <is>
          <t>Nifty 50</t>
        </is>
      </c>
      <c r="Y19" s="31" t="n">
        <v>-6.39</v>
      </c>
      <c r="Z19" s="31" t="n">
        <v>49.24</v>
      </c>
      <c r="AA19" s="31" t="n">
        <v>59.43</v>
      </c>
      <c r="AB19" s="31" t="n">
        <v>25.54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Negative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Between 0.7 to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IF(B20=0,"",RANK(B20,$B$2:$B$21,0))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137.9</v>
      </c>
      <c r="E20" s="31" t="inlineStr">
        <is>
          <t>5%</t>
        </is>
      </c>
      <c r="F20" s="31" t="n">
        <v>50000</v>
      </c>
      <c r="G20" s="31" t="n">
        <v>69</v>
      </c>
      <c r="H20" s="30" t="inlineStr">
        <is>
          <t>SANDHAR</t>
        </is>
      </c>
      <c r="I20" s="30" t="inlineStr">
        <is>
          <t>Sandhar Technologies Limited</t>
        </is>
      </c>
      <c r="J20" s="30" t="inlineStr">
        <is>
          <t>auto</t>
        </is>
      </c>
      <c r="K20" s="30" t="inlineStr">
        <is>
          <t>auto ancillaries</t>
        </is>
      </c>
      <c r="L20" s="30" t="inlineStr">
        <is>
          <t>smallcap</t>
        </is>
      </c>
      <c r="M20" s="31" t="n">
        <v>4196.2</v>
      </c>
      <c r="N20" s="31" t="n">
        <v>718.25</v>
      </c>
      <c r="O20" s="31" t="n">
        <v>3.03</v>
      </c>
      <c r="P20" s="31" t="n">
        <v>1154289</v>
      </c>
      <c r="Q20" s="30" t="n">
        <v>66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72.36</v>
      </c>
      <c r="U20" s="31" t="n">
        <v>15.54</v>
      </c>
      <c r="V20" s="31" t="n">
        <v>540.63</v>
      </c>
      <c r="W20" s="30" t="inlineStr">
        <is>
          <t>Near 52W High Breakout</t>
        </is>
      </c>
      <c r="X20" s="30" t="inlineStr">
        <is>
          <t>Nifty Auto</t>
        </is>
      </c>
      <c r="Y20" s="31" t="n">
        <v>10.28</v>
      </c>
      <c r="Z20" s="31" t="n">
        <v>41.01</v>
      </c>
      <c r="AA20" s="31" t="n">
        <v>27.87</v>
      </c>
      <c r="AB20" s="31" t="n">
        <v>17.81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0 to 20</t>
        </is>
      </c>
      <c r="BD20" s="30">
        <f>IF(BC20="Above 40",20,IF(BC20="20 to 40",10,IF(BC20="0 to 20",-5,0)))</f>
        <v/>
      </c>
      <c r="BE20" s="30" t="inlineStr">
        <is>
          <t>Between 50 to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More than 20%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No</t>
        </is>
      </c>
      <c r="BX20" s="30">
        <f>IF(BW20="NO",5,0)</f>
        <v/>
      </c>
      <c r="BY20" s="30" t="inlineStr">
        <is>
          <t>Less than 1.5</t>
        </is>
      </c>
      <c r="BZ20" s="30">
        <f>IF(BY20="Above 2",0,IF(BY20="Between 1.5 to 2",5,IF(BY20="Less than 1.5",10,0)))</f>
        <v/>
      </c>
      <c r="CA20" s="30" t="inlineStr">
        <is>
          <t>Less than 50%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Between 0.7 to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IF(B21=0,"",RANK(B21,$B$2:$B$21,0))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138.9</v>
      </c>
      <c r="E21" s="31" t="inlineStr">
        <is>
          <t>5%</t>
        </is>
      </c>
      <c r="F21" s="31" t="n">
        <v>50000</v>
      </c>
      <c r="G21" s="31" t="n">
        <v>47</v>
      </c>
      <c r="H21" s="30" t="inlineStr">
        <is>
          <t>BBOX</t>
        </is>
      </c>
      <c r="I21" s="30" t="inlineStr">
        <is>
          <t>Black Box Ltd</t>
        </is>
      </c>
      <c r="J21" s="30" t="inlineStr">
        <is>
          <t>i.t</t>
        </is>
      </c>
      <c r="K21" s="30" t="inlineStr">
        <is>
          <t>computers - software - medium / small</t>
        </is>
      </c>
      <c r="L21" s="30" t="inlineStr">
        <is>
          <t>midcap</t>
        </is>
      </c>
      <c r="M21" s="31" t="n">
        <v>18313.96</v>
      </c>
      <c r="N21" s="31" t="n">
        <v>1056.3</v>
      </c>
      <c r="O21" s="31" t="n">
        <v>2.37</v>
      </c>
      <c r="P21" s="31" t="n">
        <v>934234</v>
      </c>
      <c r="Q21" s="30" t="n">
        <v>93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85.53</v>
      </c>
      <c r="U21" s="31" t="n">
        <v>31.28</v>
      </c>
      <c r="V21" s="31" t="n">
        <v>836.64</v>
      </c>
      <c r="W21" s="30" t="inlineStr">
        <is>
          <t>Near 52W High Breakout</t>
        </is>
      </c>
      <c r="X21" s="30" t="inlineStr">
        <is>
          <t>Nifty IT</t>
        </is>
      </c>
      <c r="Y21" s="31" t="n">
        <v>-21.21</v>
      </c>
      <c r="Z21" s="31" t="n">
        <v>88.84999999999999</v>
      </c>
      <c r="AA21" s="31" t="n">
        <v>139.69</v>
      </c>
      <c r="AB21" s="31" t="n">
        <v>41.55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Structural (10 Years Consistency)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Annuity, Lower One Time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Above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Less than 12%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Less than 50%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Between 0.7 to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expression" priority="38" dxfId="0" stopIfTrue="1">
      <formula>=AND(V2&lt;&gt;"",V2&gt;0,N2&gt;=V2)</formula>
    </cfRule>
    <cfRule type="expression" priority="39" dxfId="3" stopIfTrue="1">
      <formula>=AND(V2&lt;&gt;"",V2&gt;0,N2&lt;V2)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IF(B2=0,"",RANK(B2,$B$2:$B$3,0))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139.6</v>
      </c>
      <c r="E2" s="31" t="inlineStr">
        <is>
          <t>5%</t>
        </is>
      </c>
      <c r="F2" s="31" t="n">
        <v>50000</v>
      </c>
      <c r="G2" s="31" t="n">
        <v>336</v>
      </c>
      <c r="H2" s="30" t="inlineStr">
        <is>
          <t>J&amp;KBANK</t>
        </is>
      </c>
      <c r="I2" s="30" t="inlineStr">
        <is>
          <t>The Jammu &amp; Kashmir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midcap</t>
        </is>
      </c>
      <c r="M2" s="31" t="n">
        <v>15627.98</v>
      </c>
      <c r="N2" s="31" t="n">
        <v>148.65</v>
      </c>
      <c r="O2" s="31" t="n">
        <v>4.74</v>
      </c>
      <c r="P2" s="31" t="n">
        <v>13152376</v>
      </c>
      <c r="Q2" s="30" t="n">
        <v>47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70</v>
      </c>
      <c r="U2" s="31" t="n">
        <v>48.27</v>
      </c>
      <c r="V2" s="31" t="n">
        <v>118.12</v>
      </c>
      <c r="W2" s="30" t="inlineStr">
        <is>
          <t>Near 52W High Breakout</t>
        </is>
      </c>
      <c r="X2" s="30" t="inlineStr">
        <is>
          <t>Nifty Bank</t>
        </is>
      </c>
      <c r="Y2" s="31" t="n">
        <v>-4.23</v>
      </c>
      <c r="Z2" s="31" t="n">
        <v>41.98</v>
      </c>
      <c r="AA2" s="31" t="n">
        <v>48.24</v>
      </c>
      <c r="AB2" s="31" t="n">
        <v>12.84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less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IF(B3=0,"",RANK(B3,$B$2:$B$3,0))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139.4</v>
      </c>
      <c r="E3" s="31" t="inlineStr">
        <is>
          <t>5%</t>
        </is>
      </c>
      <c r="F3" s="31" t="n">
        <v>50000</v>
      </c>
      <c r="G3" s="31" t="n">
        <v>166</v>
      </c>
      <c r="H3" s="30" t="inlineStr">
        <is>
          <t>FEDERALBNK</t>
        </is>
      </c>
      <c r="I3" s="30" t="inlineStr">
        <is>
          <t>The Federal Bank  Limited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largecap</t>
        </is>
      </c>
      <c r="M3" s="31" t="n">
        <v>72215.78999999999</v>
      </c>
      <c r="N3" s="31" t="n">
        <v>301.05</v>
      </c>
      <c r="O3" s="31" t="n">
        <v>2.73</v>
      </c>
      <c r="P3" s="31" t="n">
        <v>15946881</v>
      </c>
      <c r="Q3" s="30" t="n">
        <v>36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63.18</v>
      </c>
      <c r="U3" s="31" t="n">
        <v>19.58</v>
      </c>
      <c r="V3" s="31" t="n">
        <v>254.68</v>
      </c>
      <c r="W3" s="30" t="inlineStr">
        <is>
          <t>Near 52W High Breakout</t>
        </is>
      </c>
      <c r="X3" s="30" t="inlineStr">
        <is>
          <t>Nifty Bank</t>
        </is>
      </c>
      <c r="Y3" s="31" t="n">
        <v>-4.23</v>
      </c>
      <c r="Z3" s="31" t="n">
        <v>45.77</v>
      </c>
      <c r="AA3" s="31" t="n">
        <v>52.2</v>
      </c>
      <c r="AB3" s="31" t="n">
        <v>9.800000000000001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less than 2.5x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0 to 20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expression" priority="36" dxfId="0" stopIfTrue="1">
      <formula>=AND(V2&lt;&gt;"",V2&gt;0,N2&gt;=V2)</formula>
    </cfRule>
    <cfRule type="expression" priority="37" dxfId="3" stopIfTrue="1">
      <formula>=AND(V2&lt;&gt;"",V2&gt;0,N2&lt;V2)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10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FMCG - Personal Care</t>
        </is>
      </c>
      <c r="G2" s="30" t="inlineStr">
        <is>
          <t>midcap</t>
        </is>
      </c>
      <c r="H2" s="31" t="n">
        <v>7254.54</v>
      </c>
      <c r="I2" s="31" t="n">
        <v>555.4</v>
      </c>
      <c r="J2" s="31" t="n">
        <v>-2.84</v>
      </c>
      <c r="K2" s="31" t="n">
        <v>0</v>
      </c>
      <c r="L2" s="30" t="n">
        <v>91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74.64</v>
      </c>
      <c r="P2" s="31" t="n">
        <v>51.77</v>
      </c>
      <c r="Q2" s="31" t="n">
        <v>441.56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-13.76</v>
      </c>
      <c r="U2" s="31" t="n">
        <v>219.1</v>
      </c>
      <c r="V2" s="31" t="n">
        <v>270.02</v>
      </c>
      <c r="W2" s="31" t="n">
        <v>37.16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25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5655.22</v>
      </c>
      <c r="I3" s="31" t="n">
        <v>24.33</v>
      </c>
      <c r="J3" s="31" t="n">
        <v>4.96</v>
      </c>
      <c r="K3" s="31" t="n">
        <v>0</v>
      </c>
      <c r="L3" s="30" t="n">
        <v>96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73.27</v>
      </c>
      <c r="P3" s="31" t="n">
        <v>35.77</v>
      </c>
      <c r="Q3" s="31" t="n">
        <v>17.43</v>
      </c>
      <c r="R3" s="30" t="inlineStr">
        <is>
          <t>Near 52W High Breakout</t>
        </is>
      </c>
      <c r="S3" s="30" t="inlineStr">
        <is>
          <t>Nifty 50</t>
        </is>
      </c>
      <c r="T3" s="31" t="n">
        <v>-6.39</v>
      </c>
      <c r="U3" s="31" t="n">
        <v>54.67</v>
      </c>
      <c r="V3" s="31" t="n">
        <v>65.23</v>
      </c>
      <c r="W3" s="31" t="n">
        <v>56.33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23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VMARCIND</t>
        </is>
      </c>
      <c r="D4" s="30" t="inlineStr">
        <is>
          <t>V-Marc India Ltd</t>
        </is>
      </c>
      <c r="E4" s="30" t="inlineStr">
        <is>
          <t>unknown</t>
        </is>
      </c>
      <c r="F4" s="30" t="inlineStr">
        <is>
          <t>Cables - Power</t>
        </is>
      </c>
      <c r="G4" s="30" t="inlineStr">
        <is>
          <t>smallcap</t>
        </is>
      </c>
      <c r="H4" s="31" t="n">
        <v>3517.19</v>
      </c>
      <c r="I4" s="31" t="n">
        <v>1440.25</v>
      </c>
      <c r="J4" s="31" t="n">
        <v>0.25</v>
      </c>
      <c r="K4" s="31" t="n">
        <v>0</v>
      </c>
      <c r="L4" s="30" t="n">
        <v>98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86.73999999999999</v>
      </c>
      <c r="P4" s="31" t="n">
        <v>36.8</v>
      </c>
      <c r="Q4" s="31" t="n">
        <v>1082.45</v>
      </c>
      <c r="R4" s="30" t="inlineStr">
        <is>
          <t>Near 52W High Breakout</t>
        </is>
      </c>
      <c r="S4" s="30" t="inlineStr">
        <is>
          <t>Nifty 50</t>
        </is>
      </c>
      <c r="T4" s="31" t="n">
        <v>-6.39</v>
      </c>
      <c r="U4" s="31" t="n">
        <v>350.36</v>
      </c>
      <c r="V4" s="31" t="n">
        <v>381.1</v>
      </c>
      <c r="W4" s="31" t="n">
        <v>60.75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25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VENUSREM</t>
        </is>
      </c>
      <c r="D5" s="30" t="inlineStr">
        <is>
          <t>Venus Remedies Ltd</t>
        </is>
      </c>
      <c r="E5" s="30" t="inlineStr">
        <is>
          <t>healthcare</t>
        </is>
      </c>
      <c r="F5" s="30" t="inlineStr">
        <is>
          <t>Pharmaceuticals - I V Fluids</t>
        </is>
      </c>
      <c r="G5" s="30" t="inlineStr">
        <is>
          <t>smallcap</t>
        </is>
      </c>
      <c r="H5" s="31" t="n">
        <v>1980.72</v>
      </c>
      <c r="I5" s="31" t="n">
        <v>1481.8</v>
      </c>
      <c r="J5" s="31" t="n">
        <v>5</v>
      </c>
      <c r="K5" s="31" t="n">
        <v>0</v>
      </c>
      <c r="L5" s="30" t="n">
        <v>96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77.69</v>
      </c>
      <c r="P5" s="31" t="n">
        <v>45.46</v>
      </c>
      <c r="Q5" s="31" t="n">
        <v>1115.07</v>
      </c>
      <c r="R5" s="30" t="inlineStr">
        <is>
          <t>Near 52W High Breakout</t>
        </is>
      </c>
      <c r="S5" s="30" t="inlineStr">
        <is>
          <t>Nifty Pharma</t>
        </is>
      </c>
      <c r="T5" s="31" t="n">
        <v>11.08</v>
      </c>
      <c r="U5" s="31" t="n">
        <v>244.6</v>
      </c>
      <c r="V5" s="31" t="n">
        <v>210.24</v>
      </c>
      <c r="W5" s="31" t="n">
        <v>56.82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26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GVT&amp;D</t>
        </is>
      </c>
      <c r="D6" s="30" t="inlineStr">
        <is>
          <t>GE Vernova T&amp;D India Ltd</t>
        </is>
      </c>
      <c r="E6" s="30" t="inlineStr">
        <is>
          <t>industrials</t>
        </is>
      </c>
      <c r="F6" s="30" t="inlineStr">
        <is>
          <t>Electrical Equipments/HVDC</t>
        </is>
      </c>
      <c r="G6" s="30" t="inlineStr">
        <is>
          <t>largecap</t>
        </is>
      </c>
      <c r="H6" s="31" t="n">
        <v>127114.3</v>
      </c>
      <c r="I6" s="31" t="n">
        <v>4964.5</v>
      </c>
      <c r="J6" s="31" t="n">
        <v>3.84</v>
      </c>
      <c r="K6" s="31" t="n">
        <v>0</v>
      </c>
      <c r="L6" s="30" t="n">
        <v>76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70.20999999999999</v>
      </c>
      <c r="P6" s="31" t="n">
        <v>49.15</v>
      </c>
      <c r="Q6" s="31" t="n">
        <v>3909.13</v>
      </c>
      <c r="R6" s="30" t="inlineStr">
        <is>
          <t>Near 52W High Breakout</t>
        </is>
      </c>
      <c r="S6" s="30" t="inlineStr">
        <is>
          <t>Nifty 500</t>
        </is>
      </c>
      <c r="T6" s="31" t="n">
        <v>-3.08</v>
      </c>
      <c r="U6" s="31" t="n">
        <v>114.78</v>
      </c>
      <c r="V6" s="31" t="n">
        <v>121.6</v>
      </c>
      <c r="W6" s="31" t="n">
        <v>23.2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22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SEAMECLTD</t>
        </is>
      </c>
      <c r="D7" s="30" t="inlineStr">
        <is>
          <t>SEAMEC Ltd</t>
        </is>
      </c>
      <c r="E7" s="30" t="inlineStr">
        <is>
          <t>miscellaneous</t>
        </is>
      </c>
      <c r="F7" s="30" t="inlineStr">
        <is>
          <t>Shipping</t>
        </is>
      </c>
      <c r="G7" s="30" t="inlineStr">
        <is>
          <t>smallcap</t>
        </is>
      </c>
      <c r="H7" s="31" t="n">
        <v>4111.99</v>
      </c>
      <c r="I7" s="31" t="n">
        <v>1617.3</v>
      </c>
      <c r="J7" s="31" t="n">
        <v>-1.58</v>
      </c>
      <c r="K7" s="31" t="n">
        <v>0</v>
      </c>
      <c r="L7" s="30" t="n">
        <v>65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73.26000000000001</v>
      </c>
      <c r="P7" s="31" t="n">
        <v>55.66</v>
      </c>
      <c r="Q7" s="31" t="n">
        <v>1250.16</v>
      </c>
      <c r="R7" s="30" t="inlineStr">
        <is>
          <t>Near 52W High Breakout</t>
        </is>
      </c>
      <c r="S7" s="30" t="inlineStr">
        <is>
          <t>Nifty 50</t>
        </is>
      </c>
      <c r="T7" s="31" t="n">
        <v>-6.39</v>
      </c>
      <c r="U7" s="31" t="n">
        <v>84.09</v>
      </c>
      <c r="V7" s="31" t="n">
        <v>96.65000000000001</v>
      </c>
      <c r="W7" s="31" t="n">
        <v>17.6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21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INDOBORAX</t>
        </is>
      </c>
      <c r="D8" s="30" t="inlineStr">
        <is>
          <t>Indo Borax &amp; Chemicals Ltd</t>
        </is>
      </c>
      <c r="E8" s="30" t="inlineStr">
        <is>
          <t>chemicals</t>
        </is>
      </c>
      <c r="F8" s="30" t="inlineStr">
        <is>
          <t>Chemicals - Inorganic</t>
        </is>
      </c>
      <c r="G8" s="30" t="inlineStr">
        <is>
          <t>smallcap</t>
        </is>
      </c>
      <c r="H8" s="31" t="n">
        <v>1110.63</v>
      </c>
      <c r="I8" s="31" t="n">
        <v>346.1</v>
      </c>
      <c r="J8" s="31" t="n">
        <v>0.06</v>
      </c>
      <c r="K8" s="31" t="n">
        <v>0</v>
      </c>
      <c r="L8" s="30" t="n">
        <v>71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79</v>
      </c>
      <c r="P8" s="31" t="n">
        <v>45.65</v>
      </c>
      <c r="Q8" s="31" t="n">
        <v>273.42</v>
      </c>
      <c r="R8" s="30" t="inlineStr">
        <is>
          <t>Near 52W High Breakout</t>
        </is>
      </c>
      <c r="S8" s="30" t="inlineStr">
        <is>
          <t>Nifty 50</t>
        </is>
      </c>
      <c r="T8" s="31" t="n">
        <v>-6.39</v>
      </c>
      <c r="U8" s="31" t="n">
        <v>77.11</v>
      </c>
      <c r="V8" s="31" t="n">
        <v>89.2</v>
      </c>
      <c r="W8" s="31" t="n">
        <v>21.36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20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KPL</t>
        </is>
      </c>
      <c r="D9" s="30" t="inlineStr">
        <is>
          <t>Kwality Pharmaceuticals Ltd</t>
        </is>
      </c>
      <c r="E9" s="30" t="inlineStr">
        <is>
          <t>Healthcare</t>
        </is>
      </c>
      <c r="F9" s="30" t="inlineStr">
        <is>
          <t>Pharma - Formulators</t>
        </is>
      </c>
      <c r="G9" s="30" t="inlineStr">
        <is>
          <t>smallcap</t>
        </is>
      </c>
      <c r="H9" s="31" t="n">
        <v>2417.81</v>
      </c>
      <c r="I9" s="31" t="n">
        <v>2330.15</v>
      </c>
      <c r="J9" s="31" t="n">
        <v>1.58</v>
      </c>
      <c r="K9" s="31" t="n">
        <v>0</v>
      </c>
      <c r="L9" s="30" t="n">
        <v>90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77.94</v>
      </c>
      <c r="P9" s="31" t="n">
        <v>52.16</v>
      </c>
      <c r="Q9" s="31" t="n">
        <v>1707.32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11.08</v>
      </c>
      <c r="U9" s="31" t="n">
        <v>152.96</v>
      </c>
      <c r="V9" s="31" t="n">
        <v>127.73</v>
      </c>
      <c r="W9" s="31" t="n">
        <v>36.38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Less than 50%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27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VALIANT</t>
        </is>
      </c>
      <c r="D10" s="30" t="inlineStr">
        <is>
          <t>Valiant Communications Ltd</t>
        </is>
      </c>
      <c r="E10" s="30" t="inlineStr">
        <is>
          <t>Technology</t>
        </is>
      </c>
      <c r="F10" s="30" t="inlineStr">
        <is>
          <t>Telecom Services</t>
        </is>
      </c>
      <c r="G10" s="30" t="inlineStr">
        <is>
          <t>smallcap</t>
        </is>
      </c>
      <c r="H10" s="31" t="n">
        <v>1405.39</v>
      </c>
      <c r="I10" s="31" t="n">
        <v>1202</v>
      </c>
      <c r="J10" s="31" t="n">
        <v>-2.51</v>
      </c>
      <c r="K10" s="31" t="n">
        <v>0</v>
      </c>
      <c r="L10" s="30" t="n">
        <v>82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65.81999999999999</v>
      </c>
      <c r="P10" s="31" t="n">
        <v>25.8</v>
      </c>
      <c r="Q10" s="31" t="n">
        <v>904.3200000000001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-6.39</v>
      </c>
      <c r="U10" s="31" t="n">
        <v>170.25</v>
      </c>
      <c r="V10" s="31" t="n">
        <v>188.69</v>
      </c>
      <c r="W10" s="31" t="n">
        <v>26.92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Oligopoly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20 to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20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SEKURITIND</t>
        </is>
      </c>
      <c r="D11" s="30" t="inlineStr">
        <is>
          <t>Saint-Gobain Sekurit India Ltd</t>
        </is>
      </c>
      <c r="E11" s="30" t="inlineStr">
        <is>
          <t>Consumer Cyclical</t>
        </is>
      </c>
      <c r="F11" s="30" t="inlineStr">
        <is>
          <t>Glass &amp; Glass Products</t>
        </is>
      </c>
      <c r="G11" s="30" t="inlineStr">
        <is>
          <t>smallcap</t>
        </is>
      </c>
      <c r="H11" s="31" t="n">
        <v>1131.53</v>
      </c>
      <c r="I11" s="31" t="n">
        <v>124.2</v>
      </c>
      <c r="J11" s="31" t="n">
        <v>4.06</v>
      </c>
      <c r="K11" s="31" t="n">
        <v>0</v>
      </c>
      <c r="L11" s="30" t="n">
        <v>35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71.67</v>
      </c>
      <c r="P11" s="31" t="n">
        <v>28.71</v>
      </c>
      <c r="Q11" s="31" t="n">
        <v>100.87</v>
      </c>
      <c r="R11" s="30" t="inlineStr">
        <is>
          <t>Volume Spike &amp; Near 52W High Breakout</t>
        </is>
      </c>
      <c r="S11" s="30" t="inlineStr">
        <is>
          <t>Nifty Auto</t>
        </is>
      </c>
      <c r="T11" s="31" t="n">
        <v>10.28</v>
      </c>
      <c r="U11" s="31" t="n">
        <v>15.29</v>
      </c>
      <c r="V11" s="31" t="n">
        <v>4.55</v>
      </c>
      <c r="W11" s="31" t="n">
        <v>9.56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20 to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Between 50% to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23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NETWEB</t>
        </is>
      </c>
      <c r="D12" s="30" t="inlineStr">
        <is>
          <t>Netweb Technologies India Ltd</t>
        </is>
      </c>
      <c r="E12" s="30" t="inlineStr">
        <is>
          <t>i.t</t>
        </is>
      </c>
      <c r="F12" s="30" t="inlineStr">
        <is>
          <t>Data Centre</t>
        </is>
      </c>
      <c r="G12" s="30" t="inlineStr">
        <is>
          <t>largecap</t>
        </is>
      </c>
      <c r="H12" s="31" t="n">
        <v>26792.3</v>
      </c>
      <c r="I12" s="31" t="n">
        <v>4705.3</v>
      </c>
      <c r="J12" s="31" t="n">
        <v>-1.62</v>
      </c>
      <c r="K12" s="31" t="n">
        <v>0</v>
      </c>
      <c r="L12" s="30" t="n">
        <v>85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66.56</v>
      </c>
      <c r="P12" s="31" t="n">
        <v>43.58</v>
      </c>
      <c r="Q12" s="31" t="n">
        <v>3299.01</v>
      </c>
      <c r="R12" s="30" t="inlineStr">
        <is>
          <t>Near 52W High Breakout</t>
        </is>
      </c>
      <c r="S12" s="30" t="inlineStr">
        <is>
          <t>Nifty IT</t>
        </is>
      </c>
      <c r="T12" s="31" t="n">
        <v>-21.21</v>
      </c>
      <c r="U12" s="31" t="n">
        <v>138.34</v>
      </c>
      <c r="V12" s="31" t="n">
        <v>202.5</v>
      </c>
      <c r="W12" s="31" t="n">
        <v>30.53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22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MAYURUNIQ</t>
        </is>
      </c>
      <c r="D13" s="30" t="inlineStr">
        <is>
          <t>Mayur Uniquoters Ltd</t>
        </is>
      </c>
      <c r="E13" s="30" t="inlineStr">
        <is>
          <t>consumer discretionary</t>
        </is>
      </c>
      <c r="F13" s="30" t="inlineStr">
        <is>
          <t>Plastics - Plastic &amp; Plastic Products</t>
        </is>
      </c>
      <c r="G13" s="30" t="inlineStr">
        <is>
          <t>smallcap</t>
        </is>
      </c>
      <c r="H13" s="31" t="n">
        <v>3193.98</v>
      </c>
      <c r="I13" s="31" t="n">
        <v>735.05</v>
      </c>
      <c r="J13" s="31" t="n">
        <v>-1.37</v>
      </c>
      <c r="K13" s="31" t="n">
        <v>0</v>
      </c>
      <c r="L13" s="30" t="n">
        <v>54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73.77</v>
      </c>
      <c r="P13" s="31" t="n">
        <v>31.28</v>
      </c>
      <c r="Q13" s="31" t="n">
        <v>591.3</v>
      </c>
      <c r="R13" s="30" t="inlineStr">
        <is>
          <t>Near 52W High Breakout</t>
        </is>
      </c>
      <c r="S13" s="30" t="inlineStr">
        <is>
          <t>Nifty 50</t>
        </is>
      </c>
      <c r="T13" s="31" t="n">
        <v>-6.39</v>
      </c>
      <c r="U13" s="31" t="n">
        <v>27.66</v>
      </c>
      <c r="V13" s="31" t="n">
        <v>36.38</v>
      </c>
      <c r="W13" s="31" t="n">
        <v>14.84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Between 50% to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19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BLISSGVS</t>
        </is>
      </c>
      <c r="D14" s="30" t="inlineStr">
        <is>
          <t>Bliss GVS Pharma Ltd</t>
        </is>
      </c>
      <c r="E14" s="30" t="inlineStr">
        <is>
          <t>healthcare</t>
        </is>
      </c>
      <c r="F14" s="30" t="inlineStr">
        <is>
          <t>Pharma - Formulators</t>
        </is>
      </c>
      <c r="G14" s="30" t="inlineStr">
        <is>
          <t>smallcap</t>
        </is>
      </c>
      <c r="H14" s="31" t="n">
        <v>4651.01</v>
      </c>
      <c r="I14" s="31" t="n">
        <v>439.65</v>
      </c>
      <c r="J14" s="31" t="n">
        <v>1.2</v>
      </c>
      <c r="K14" s="31" t="n">
        <v>0</v>
      </c>
      <c r="L14" s="30" t="n">
        <v>95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88.5</v>
      </c>
      <c r="P14" s="31" t="n">
        <v>57.25</v>
      </c>
      <c r="Q14" s="31" t="n">
        <v>338.91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11.08</v>
      </c>
      <c r="U14" s="31" t="n">
        <v>223.87</v>
      </c>
      <c r="V14" s="31" t="n">
        <v>191.57</v>
      </c>
      <c r="W14" s="31" t="n">
        <v>52.14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Less than 12%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26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GVPIL</t>
        </is>
      </c>
      <c r="D15" s="30" t="inlineStr">
        <is>
          <t>GE Power India Ltd</t>
        </is>
      </c>
      <c r="E15" s="30" t="inlineStr">
        <is>
          <t>realty</t>
        </is>
      </c>
      <c r="F15" s="30" t="inlineStr">
        <is>
          <t>Infra - General</t>
        </is>
      </c>
      <c r="G15" s="30" t="inlineStr">
        <is>
          <t>midcap</t>
        </is>
      </c>
      <c r="H15" s="31" t="n">
        <v>5838.37</v>
      </c>
      <c r="I15" s="31" t="n">
        <v>868.45</v>
      </c>
      <c r="J15" s="31" t="n">
        <v>1.11</v>
      </c>
      <c r="K15" s="31" t="n">
        <v>0</v>
      </c>
      <c r="L15" s="30" t="n">
        <v>95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86.70999999999999</v>
      </c>
      <c r="P15" s="31" t="n">
        <v>53.84</v>
      </c>
      <c r="Q15" s="31" t="n">
        <v>659.01</v>
      </c>
      <c r="R15" s="30" t="inlineStr">
        <is>
          <t>Volume Spike &amp; Near 52W High Breakout</t>
        </is>
      </c>
      <c r="S15" s="30" t="inlineStr">
        <is>
          <t>Nifty Realty</t>
        </is>
      </c>
      <c r="T15" s="31" t="n">
        <v>-26.64</v>
      </c>
      <c r="U15" s="31" t="n">
        <v>218.52</v>
      </c>
      <c r="V15" s="31" t="n">
        <v>334.22</v>
      </c>
      <c r="W15" s="31" t="n">
        <v>49.21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Duopoly That Cooperate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Shallow Cyclical (2 to 3 Years Growth)</t>
        </is>
      </c>
      <c r="AG15" s="30">
        <f>IF(AF15="Structural (10 Years Consistency)",10,IF(AF15="Shallow Cyclical (2 to 3 years growth)",5,0))</f>
        <v/>
      </c>
      <c r="AH15" s="30" t="inlineStr">
        <is>
          <t>Yes due to Product Mix change or Operating Leverage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Fully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only for next 1 to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Close to 52 week high or retracement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Between 0.7 to 1.2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22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GLAND</t>
        </is>
      </c>
      <c r="D16" s="30" t="inlineStr">
        <is>
          <t>Gland Pharma Ltd</t>
        </is>
      </c>
      <c r="E16" s="30" t="inlineStr">
        <is>
          <t>healthcare</t>
        </is>
      </c>
      <c r="F16" s="30" t="inlineStr">
        <is>
          <t>Pharma - API &amp; CRAMS</t>
        </is>
      </c>
      <c r="G16" s="30" t="inlineStr">
        <is>
          <t>largecap</t>
        </is>
      </c>
      <c r="H16" s="31" t="n">
        <v>36778.58</v>
      </c>
      <c r="I16" s="31" t="n">
        <v>2232.3</v>
      </c>
      <c r="J16" s="31" t="n">
        <v>-1.96</v>
      </c>
      <c r="K16" s="31" t="n">
        <v>0</v>
      </c>
      <c r="L16" s="30" t="n">
        <v>52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67.34</v>
      </c>
      <c r="P16" s="31" t="n">
        <v>26.1</v>
      </c>
      <c r="Q16" s="31" t="n">
        <v>1885.13</v>
      </c>
      <c r="R16" s="30" t="inlineStr">
        <is>
          <t>Near 52W High Breakout</t>
        </is>
      </c>
      <c r="S16" s="30" t="inlineStr">
        <is>
          <t>Nifty Pharma</t>
        </is>
      </c>
      <c r="T16" s="31" t="n">
        <v>11.08</v>
      </c>
      <c r="U16" s="31" t="n">
        <v>37.22</v>
      </c>
      <c r="V16" s="31" t="n">
        <v>23.53</v>
      </c>
      <c r="W16" s="31" t="n">
        <v>14.33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20 to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Between 50% to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20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IOLCP</t>
        </is>
      </c>
      <c r="D17" s="30" t="inlineStr">
        <is>
          <t>IOL Chemicals &amp; Pharmaceuticals Ltd</t>
        </is>
      </c>
      <c r="E17" s="30" t="inlineStr">
        <is>
          <t>healthcare</t>
        </is>
      </c>
      <c r="F17" s="30" t="inlineStr">
        <is>
          <t>Pharma - API &amp; CRAMS</t>
        </is>
      </c>
      <c r="G17" s="30" t="inlineStr">
        <is>
          <t>smallcap</t>
        </is>
      </c>
      <c r="H17" s="31" t="n">
        <v>3844.33</v>
      </c>
      <c r="I17" s="31" t="n">
        <v>130.97</v>
      </c>
      <c r="J17" s="31" t="n">
        <v>-0.34</v>
      </c>
      <c r="K17" s="31" t="n">
        <v>0</v>
      </c>
      <c r="L17" s="30" t="n">
        <v>83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80.03</v>
      </c>
      <c r="P17" s="31" t="n">
        <v>35.37</v>
      </c>
      <c r="Q17" s="31" t="n">
        <v>99.19</v>
      </c>
      <c r="R17" s="30" t="inlineStr">
        <is>
          <t>Near 52W High Breakout</t>
        </is>
      </c>
      <c r="S17" s="30" t="inlineStr">
        <is>
          <t>Nifty Pharma</t>
        </is>
      </c>
      <c r="T17" s="31" t="n">
        <v>11.08</v>
      </c>
      <c r="U17" s="31" t="n">
        <v>49.59</v>
      </c>
      <c r="V17" s="31" t="n">
        <v>34.67</v>
      </c>
      <c r="W17" s="31" t="n">
        <v>27.84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Annuity, Lower One Time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20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SAKAR</t>
        </is>
      </c>
      <c r="D18" s="30" t="inlineStr">
        <is>
          <t>Sakar Healthcare Ltd</t>
        </is>
      </c>
      <c r="E18" s="30" t="inlineStr">
        <is>
          <t>healthcare</t>
        </is>
      </c>
      <c r="F18" s="30" t="inlineStr">
        <is>
          <t>Hospitals</t>
        </is>
      </c>
      <c r="G18" s="30" t="inlineStr">
        <is>
          <t>smallcap</t>
        </is>
      </c>
      <c r="H18" s="31" t="n">
        <v>1808.58</v>
      </c>
      <c r="I18" s="31" t="n">
        <v>812.85</v>
      </c>
      <c r="J18" s="31" t="n">
        <v>-2.61</v>
      </c>
      <c r="K18" s="31" t="n">
        <v>0</v>
      </c>
      <c r="L18" s="30" t="n">
        <v>88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78.37</v>
      </c>
      <c r="P18" s="31" t="n">
        <v>52.59</v>
      </c>
      <c r="Q18" s="31" t="n">
        <v>581.48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11.08</v>
      </c>
      <c r="U18" s="31" t="n">
        <v>155.37</v>
      </c>
      <c r="V18" s="31" t="n">
        <v>129.9</v>
      </c>
      <c r="W18" s="31" t="n">
        <v>33.18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19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MODISONLTD</t>
        </is>
      </c>
      <c r="D19" s="30" t="inlineStr">
        <is>
          <t>Modison Ltd</t>
        </is>
      </c>
      <c r="E19" s="30" t="inlineStr">
        <is>
          <t>industrials</t>
        </is>
      </c>
      <c r="F19" s="30" t="inlineStr">
        <is>
          <t>Capital Goods - Electric General</t>
        </is>
      </c>
      <c r="G19" s="30" t="inlineStr">
        <is>
          <t>smallcap</t>
        </is>
      </c>
      <c r="H19" s="31" t="n">
        <v>1067.61</v>
      </c>
      <c r="I19" s="31" t="n">
        <v>329</v>
      </c>
      <c r="J19" s="31" t="n">
        <v>4.88</v>
      </c>
      <c r="K19" s="31" t="n">
        <v>0</v>
      </c>
      <c r="L19" s="30" t="n">
        <v>97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85.59</v>
      </c>
      <c r="P19" s="31" t="n">
        <v>28.82</v>
      </c>
      <c r="Q19" s="31" t="n">
        <v>252.87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-6.39</v>
      </c>
      <c r="U19" s="31" t="n">
        <v>108.43</v>
      </c>
      <c r="V19" s="31" t="n">
        <v>122.66</v>
      </c>
      <c r="W19" s="31" t="n">
        <v>57.15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31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AVALON</t>
        </is>
      </c>
      <c r="D20" s="30" t="inlineStr">
        <is>
          <t>Avalon Technologies Ltd</t>
        </is>
      </c>
      <c r="E20" s="30" t="inlineStr">
        <is>
          <t>consumer discretionary</t>
        </is>
      </c>
      <c r="F20" s="30" t="inlineStr">
        <is>
          <t>Consumer Electronics - EMS</t>
        </is>
      </c>
      <c r="G20" s="30" t="inlineStr">
        <is>
          <t>midcap</t>
        </is>
      </c>
      <c r="H20" s="31" t="n">
        <v>10120.41</v>
      </c>
      <c r="I20" s="31" t="n">
        <v>1515.8</v>
      </c>
      <c r="J20" s="31" t="n">
        <v>0.26</v>
      </c>
      <c r="K20" s="31" t="n">
        <v>0</v>
      </c>
      <c r="L20" s="30" t="n">
        <v>82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71.76000000000001</v>
      </c>
      <c r="P20" s="31" t="n">
        <v>27.98</v>
      </c>
      <c r="Q20" s="31" t="n">
        <v>1093.24</v>
      </c>
      <c r="R20" s="30" t="inlineStr">
        <is>
          <t>Near 52W High Breakout</t>
        </is>
      </c>
      <c r="S20" s="30" t="inlineStr">
        <is>
          <t>Nifty 50</t>
        </is>
      </c>
      <c r="T20" s="31" t="n">
        <v>-6.39</v>
      </c>
      <c r="U20" s="31" t="n">
        <v>74.95999999999999</v>
      </c>
      <c r="V20" s="31" t="n">
        <v>86.91</v>
      </c>
      <c r="W20" s="31" t="n">
        <v>26.74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25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TIMEX</t>
        </is>
      </c>
      <c r="D21" s="30" t="inlineStr">
        <is>
          <t>Timex Group India Ltd</t>
        </is>
      </c>
      <c r="E21" s="30" t="inlineStr">
        <is>
          <t>Consumer Cyclical</t>
        </is>
      </c>
      <c r="F21" s="30" t="inlineStr">
        <is>
          <t>Watches</t>
        </is>
      </c>
      <c r="G21" s="30" t="inlineStr">
        <is>
          <t>smallcap</t>
        </is>
      </c>
      <c r="H21" s="31" t="n">
        <v>4380.22</v>
      </c>
      <c r="I21" s="31" t="n">
        <v>433.9</v>
      </c>
      <c r="J21" s="31" t="n">
        <v>-0.34</v>
      </c>
      <c r="K21" s="31" t="n">
        <v>0</v>
      </c>
      <c r="L21" s="30" t="n">
        <v>79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68.45999999999999</v>
      </c>
      <c r="P21" s="31" t="n">
        <v>25.86</v>
      </c>
      <c r="Q21" s="31" t="n">
        <v>334.27</v>
      </c>
      <c r="R21" s="30" t="inlineStr">
        <is>
          <t>Near 52W High Breakout</t>
        </is>
      </c>
      <c r="S21" s="30" t="inlineStr">
        <is>
          <t>Nifty 50</t>
        </is>
      </c>
      <c r="T21" s="31" t="n">
        <v>-6.39</v>
      </c>
      <c r="U21" s="31" t="n">
        <v>60.26</v>
      </c>
      <c r="V21" s="31" t="n">
        <v>71.2</v>
      </c>
      <c r="W21" s="31" t="n">
        <v>24.84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24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BHAGYANGR</t>
        </is>
      </c>
      <c r="D22" s="30" t="inlineStr">
        <is>
          <t>Bhagyanagar India Ltd</t>
        </is>
      </c>
      <c r="E22" s="30" t="inlineStr">
        <is>
          <t>power &amp; utilities</t>
        </is>
      </c>
      <c r="F22" s="30" t="inlineStr">
        <is>
          <t>Recycling</t>
        </is>
      </c>
      <c r="G22" s="30" t="inlineStr">
        <is>
          <t>smallcap</t>
        </is>
      </c>
      <c r="H22" s="31" t="n">
        <v>1085.75</v>
      </c>
      <c r="I22" s="31" t="n">
        <v>339.35</v>
      </c>
      <c r="J22" s="31" t="n">
        <v>5</v>
      </c>
      <c r="K22" s="31" t="n">
        <v>0</v>
      </c>
      <c r="L22" s="30" t="n">
        <v>98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78.01000000000001</v>
      </c>
      <c r="P22" s="31" t="n">
        <v>56.53</v>
      </c>
      <c r="Q22" s="31" t="n">
        <v>244.13</v>
      </c>
      <c r="R22" s="30" t="inlineStr">
        <is>
          <t>Near 52W High Breakout</t>
        </is>
      </c>
      <c r="S22" s="30" t="inlineStr">
        <is>
          <t>Nifty IT</t>
        </is>
      </c>
      <c r="T22" s="31" t="n">
        <v>-21.21</v>
      </c>
      <c r="U22" s="31" t="n">
        <v>329.99</v>
      </c>
      <c r="V22" s="31" t="n">
        <v>445.75</v>
      </c>
      <c r="W22" s="31" t="n">
        <v>60.94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Between 0.7 to 1.2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23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SYRMA</t>
        </is>
      </c>
      <c r="D23" s="30" t="inlineStr">
        <is>
          <t>Syrma SGS Technology Ltd</t>
        </is>
      </c>
      <c r="E23" s="30" t="inlineStr">
        <is>
          <t>consumer discretionary</t>
        </is>
      </c>
      <c r="F23" s="30" t="inlineStr">
        <is>
          <t>Consumer Electronics - EMS</t>
        </is>
      </c>
      <c r="G23" s="30" t="inlineStr">
        <is>
          <t>largecap</t>
        </is>
      </c>
      <c r="H23" s="31" t="n">
        <v>23049.03</v>
      </c>
      <c r="I23" s="31" t="n">
        <v>1195.3</v>
      </c>
      <c r="J23" s="31" t="n">
        <v>2.44</v>
      </c>
      <c r="K23" s="31" t="n">
        <v>0</v>
      </c>
      <c r="L23" s="30" t="n">
        <v>87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71.84999999999999</v>
      </c>
      <c r="P23" s="31" t="n">
        <v>29.27</v>
      </c>
      <c r="Q23" s="31" t="n">
        <v>915.03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-6.39</v>
      </c>
      <c r="U23" s="31" t="n">
        <v>123.88</v>
      </c>
      <c r="V23" s="31" t="n">
        <v>139.16</v>
      </c>
      <c r="W23" s="31" t="n">
        <v>32.27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Between 1.5 to 2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22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RPTECH</t>
        </is>
      </c>
      <c r="D24" s="30" t="inlineStr">
        <is>
          <t>Rashi Peripherals Ltd</t>
        </is>
      </c>
      <c r="E24" s="30" t="inlineStr">
        <is>
          <t>services</t>
        </is>
      </c>
      <c r="F24" s="30" t="inlineStr">
        <is>
          <t>Trading</t>
        </is>
      </c>
      <c r="G24" s="30" t="inlineStr">
        <is>
          <t>smallcap</t>
        </is>
      </c>
      <c r="H24" s="31" t="n">
        <v>3573.41</v>
      </c>
      <c r="I24" s="31" t="n">
        <v>542.25</v>
      </c>
      <c r="J24" s="31" t="n">
        <v>-2.16</v>
      </c>
      <c r="K24" s="31" t="n">
        <v>0</v>
      </c>
      <c r="L24" s="30" t="n">
        <v>78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76.72</v>
      </c>
      <c r="P24" s="31" t="n">
        <v>45.85</v>
      </c>
      <c r="Q24" s="31" t="n">
        <v>419.44</v>
      </c>
      <c r="R24" s="30" t="inlineStr">
        <is>
          <t>Near 52W High Breakout</t>
        </is>
      </c>
      <c r="S24" s="30" t="inlineStr">
        <is>
          <t>Nifty 50</t>
        </is>
      </c>
      <c r="T24" s="31" t="n">
        <v>-6.39</v>
      </c>
      <c r="U24" s="31" t="n">
        <v>72.75</v>
      </c>
      <c r="V24" s="31" t="n">
        <v>84.54000000000001</v>
      </c>
      <c r="W24" s="31" t="n">
        <v>24.15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Less than 50%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21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SUPRIYA</t>
        </is>
      </c>
      <c r="D25" s="30" t="inlineStr">
        <is>
          <t>Supriya Lifescience Ltd</t>
        </is>
      </c>
      <c r="E25" s="30" t="inlineStr">
        <is>
          <t>healthcare</t>
        </is>
      </c>
      <c r="F25" s="30" t="inlineStr">
        <is>
          <t>Pharma - API &amp; CRAMS</t>
        </is>
      </c>
      <c r="G25" s="30" t="inlineStr">
        <is>
          <t>midcap</t>
        </is>
      </c>
      <c r="H25" s="31" t="n">
        <v>7251.1</v>
      </c>
      <c r="I25" s="31" t="n">
        <v>900.95</v>
      </c>
      <c r="J25" s="31" t="n">
        <v>-1.78</v>
      </c>
      <c r="K25" s="31" t="n">
        <v>0</v>
      </c>
      <c r="L25" s="30" t="n">
        <v>58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68.91</v>
      </c>
      <c r="P25" s="31" t="n">
        <v>31.75</v>
      </c>
      <c r="Q25" s="31" t="n">
        <v>735.83</v>
      </c>
      <c r="R25" s="30" t="inlineStr">
        <is>
          <t>Volume Spike / Accumulation</t>
        </is>
      </c>
      <c r="S25" s="30" t="inlineStr">
        <is>
          <t>Nifty Pharma</t>
        </is>
      </c>
      <c r="T25" s="31" t="n">
        <v>11.08</v>
      </c>
      <c r="U25" s="31" t="n">
        <v>30.67</v>
      </c>
      <c r="V25" s="31" t="n">
        <v>17.63</v>
      </c>
      <c r="W25" s="31" t="n">
        <v>16.03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21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THANGAMAYL</t>
        </is>
      </c>
      <c r="D26" s="30" t="inlineStr">
        <is>
          <t>Thangamayil Jewellery Ltd</t>
        </is>
      </c>
      <c r="E26" s="30" t="inlineStr">
        <is>
          <t>consumer discretionary</t>
        </is>
      </c>
      <c r="F26" s="30" t="inlineStr">
        <is>
          <t>Diamond, Gems &amp; Jewellery</t>
        </is>
      </c>
      <c r="G26" s="30" t="inlineStr">
        <is>
          <t>midcap</t>
        </is>
      </c>
      <c r="H26" s="31" t="n">
        <v>14903.83</v>
      </c>
      <c r="I26" s="31" t="n">
        <v>4795</v>
      </c>
      <c r="J26" s="31" t="n">
        <v>4.45</v>
      </c>
      <c r="K26" s="31" t="n">
        <v>0</v>
      </c>
      <c r="L26" s="30" t="n">
        <v>83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66.05</v>
      </c>
      <c r="P26" s="31" t="n">
        <v>38.71</v>
      </c>
      <c r="Q26" s="31" t="n">
        <v>3461.45</v>
      </c>
      <c r="R26" s="30" t="inlineStr">
        <is>
          <t>Near 52W High Breakout</t>
        </is>
      </c>
      <c r="S26" s="30" t="inlineStr">
        <is>
          <t>Nifty 50</t>
        </is>
      </c>
      <c r="T26" s="31" t="n">
        <v>-6.39</v>
      </c>
      <c r="U26" s="31" t="n">
        <v>152.19</v>
      </c>
      <c r="V26" s="31" t="n">
        <v>169.4</v>
      </c>
      <c r="W26" s="31" t="n">
        <v>27.29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Between 50% to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29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RATEGAIN</t>
        </is>
      </c>
      <c r="D27" s="30" t="inlineStr">
        <is>
          <t>Rategain Travel Technologies Ltd</t>
        </is>
      </c>
      <c r="E27" s="30" t="inlineStr">
        <is>
          <t>i.t</t>
        </is>
      </c>
      <c r="F27" s="30" t="inlineStr">
        <is>
          <t>IT Product Companies</t>
        </is>
      </c>
      <c r="G27" s="30" t="inlineStr">
        <is>
          <t>midcap</t>
        </is>
      </c>
      <c r="H27" s="31" t="n">
        <v>9042.610000000001</v>
      </c>
      <c r="I27" s="31" t="n">
        <v>765.25</v>
      </c>
      <c r="J27" s="31" t="n">
        <v>-1.23</v>
      </c>
      <c r="K27" s="31" t="n">
        <v>0</v>
      </c>
      <c r="L27" s="30" t="n">
        <v>83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70.98999999999999</v>
      </c>
      <c r="P27" s="31" t="n">
        <v>25.5</v>
      </c>
      <c r="Q27" s="31" t="n">
        <v>582.14</v>
      </c>
      <c r="R27" s="30" t="inlineStr">
        <is>
          <t>Near 52W High Breakout</t>
        </is>
      </c>
      <c r="S27" s="30" t="inlineStr">
        <is>
          <t>Nifty IT</t>
        </is>
      </c>
      <c r="T27" s="31" t="n">
        <v>-21.21</v>
      </c>
      <c r="U27" s="31" t="n">
        <v>71.97</v>
      </c>
      <c r="V27" s="31" t="n">
        <v>118.26</v>
      </c>
      <c r="W27" s="31" t="n">
        <v>27.51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Between 1.5 to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29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KERNEX</t>
        </is>
      </c>
      <c r="D28" s="30" t="inlineStr">
        <is>
          <t>Kernex Microsystems (India) Ltd</t>
        </is>
      </c>
      <c r="E28" s="30" t="inlineStr">
        <is>
          <t>consumer discretionary</t>
        </is>
      </c>
      <c r="F28" s="30" t="inlineStr">
        <is>
          <t>Railways - Kavach/Springs</t>
        </is>
      </c>
      <c r="G28" s="30" t="inlineStr">
        <is>
          <t>smallcap</t>
        </is>
      </c>
      <c r="H28" s="31" t="n">
        <v>3155.33</v>
      </c>
      <c r="I28" s="31" t="n">
        <v>1877.9</v>
      </c>
      <c r="J28" s="31" t="n">
        <v>4.06</v>
      </c>
      <c r="K28" s="31" t="n">
        <v>0</v>
      </c>
      <c r="L28" s="30" t="n">
        <v>85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71.08</v>
      </c>
      <c r="P28" s="31" t="n">
        <v>27.28</v>
      </c>
      <c r="Q28" s="31" t="n">
        <v>1360.43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-6.39</v>
      </c>
      <c r="U28" s="31" t="n">
        <v>52.5</v>
      </c>
      <c r="V28" s="31" t="n">
        <v>62.91</v>
      </c>
      <c r="W28" s="31" t="n">
        <v>29.22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Less than 12%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27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UNIPARTS</t>
        </is>
      </c>
      <c r="D29" s="30" t="inlineStr">
        <is>
          <t>Uniparts India Ltd</t>
        </is>
      </c>
      <c r="E29" s="30" t="inlineStr">
        <is>
          <t>industrials</t>
        </is>
      </c>
      <c r="F29" s="30" t="inlineStr">
        <is>
          <t>Castings, Forgings &amp; Fastners</t>
        </is>
      </c>
      <c r="G29" s="30" t="inlineStr">
        <is>
          <t>smallcap</t>
        </is>
      </c>
      <c r="H29" s="31" t="n">
        <v>2824.38</v>
      </c>
      <c r="I29" s="31" t="n">
        <v>625.65</v>
      </c>
      <c r="J29" s="31" t="n">
        <v>4.41</v>
      </c>
      <c r="K29" s="31" t="n">
        <v>0</v>
      </c>
      <c r="L29" s="30" t="n">
        <v>70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70.95999999999999</v>
      </c>
      <c r="P29" s="31" t="n">
        <v>30.78</v>
      </c>
      <c r="Q29" s="31" t="n">
        <v>481.58</v>
      </c>
      <c r="R29" s="30" t="inlineStr">
        <is>
          <t>Near 52W High Breakout</t>
        </is>
      </c>
      <c r="S29" s="30" t="inlineStr">
        <is>
          <t>Nifty 50</t>
        </is>
      </c>
      <c r="T29" s="31" t="n">
        <v>-6.39</v>
      </c>
      <c r="U29" s="31" t="n">
        <v>80.15000000000001</v>
      </c>
      <c r="V29" s="31" t="n">
        <v>92.44</v>
      </c>
      <c r="W29" s="31" t="n">
        <v>20.68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27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MTARTECH</t>
        </is>
      </c>
      <c r="D30" s="30" t="inlineStr">
        <is>
          <t>MTAR Technologies Ltd</t>
        </is>
      </c>
      <c r="E30" s="30" t="inlineStr">
        <is>
          <t>aerospace &amp; defence</t>
        </is>
      </c>
      <c r="F30" s="30" t="inlineStr">
        <is>
          <t>Aerospace &amp; Defence - Equipments</t>
        </is>
      </c>
      <c r="G30" s="30" t="inlineStr">
        <is>
          <t>largecap</t>
        </is>
      </c>
      <c r="H30" s="31" t="n">
        <v>22971.26</v>
      </c>
      <c r="I30" s="31" t="n">
        <v>7468</v>
      </c>
      <c r="J30" s="31" t="n">
        <v>3.49</v>
      </c>
      <c r="K30" s="31" t="n">
        <v>0</v>
      </c>
      <c r="L30" s="30" t="n">
        <v>97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80.72</v>
      </c>
      <c r="P30" s="31" t="n">
        <v>64.09999999999999</v>
      </c>
      <c r="Q30" s="31" t="n">
        <v>5930.46</v>
      </c>
      <c r="R30" s="30" t="inlineStr">
        <is>
          <t>Earnings / Momentum Support</t>
        </is>
      </c>
      <c r="S30" s="30" t="inlineStr">
        <is>
          <t>Nifty 50</t>
        </is>
      </c>
      <c r="T30" s="31" t="n">
        <v>-6.39</v>
      </c>
      <c r="U30" s="31" t="n">
        <v>321.75</v>
      </c>
      <c r="V30" s="31" t="n">
        <v>350.54</v>
      </c>
      <c r="W30" s="31" t="n">
        <v>60.48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21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GOCLCORP</t>
        </is>
      </c>
      <c r="D31" s="30" t="inlineStr">
        <is>
          <t>GOCL Corporation Ltd</t>
        </is>
      </c>
      <c r="E31" s="30" t="inlineStr">
        <is>
          <t>miscellaneous</t>
        </is>
      </c>
      <c r="F31" s="30" t="inlineStr">
        <is>
          <t>Lubricants</t>
        </is>
      </c>
      <c r="G31" s="30" t="inlineStr">
        <is>
          <t>smallcap</t>
        </is>
      </c>
      <c r="H31" s="31" t="n">
        <v>2072.63</v>
      </c>
      <c r="I31" s="31" t="n">
        <v>418.1</v>
      </c>
      <c r="J31" s="31" t="n">
        <v>4.32</v>
      </c>
      <c r="K31" s="31" t="n">
        <v>0</v>
      </c>
      <c r="L31" s="30" t="n">
        <v>78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72.40000000000001</v>
      </c>
      <c r="P31" s="31" t="n">
        <v>25.06</v>
      </c>
      <c r="Q31" s="31" t="n">
        <v>310.68</v>
      </c>
      <c r="R31" s="30" t="inlineStr">
        <is>
          <t>Near 52W High Breakout</t>
        </is>
      </c>
      <c r="S31" s="30" t="inlineStr">
        <is>
          <t>Nifty IT</t>
        </is>
      </c>
      <c r="T31" s="31" t="n">
        <v>-21.21</v>
      </c>
      <c r="U31" s="31" t="n">
        <v>35.69</v>
      </c>
      <c r="V31" s="31" t="n">
        <v>72.20999999999999</v>
      </c>
      <c r="W31" s="31" t="n">
        <v>23.88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21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CEMPRO</t>
        </is>
      </c>
      <c r="D32" s="30" t="inlineStr">
        <is>
          <t>Cemindia Projects Ltd</t>
        </is>
      </c>
      <c r="E32" s="30" t="inlineStr">
        <is>
          <t>realty</t>
        </is>
      </c>
      <c r="F32" s="30" t="inlineStr">
        <is>
          <t>Infra - Construction &amp; Contracting</t>
        </is>
      </c>
      <c r="G32" s="30" t="inlineStr">
        <is>
          <t>midcap</t>
        </is>
      </c>
      <c r="H32" s="31" t="n">
        <v>17606.51</v>
      </c>
      <c r="I32" s="31" t="n">
        <v>1024.9</v>
      </c>
      <c r="J32" s="31" t="n">
        <v>-1.61</v>
      </c>
      <c r="K32" s="31" t="n">
        <v>0</v>
      </c>
      <c r="L32" s="30" t="n">
        <v>84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68.89</v>
      </c>
      <c r="P32" s="31" t="n">
        <v>35.1</v>
      </c>
      <c r="Q32" s="31" t="n">
        <v>813.6799999999999</v>
      </c>
      <c r="R32" s="30" t="inlineStr">
        <is>
          <t>Near 52W High Breakout</t>
        </is>
      </c>
      <c r="S32" s="30" t="inlineStr">
        <is>
          <t>Nifty Realty</t>
        </is>
      </c>
      <c r="T32" s="31" t="n">
        <v>-26.64</v>
      </c>
      <c r="U32" s="31" t="n">
        <v>37.4</v>
      </c>
      <c r="V32" s="31" t="n">
        <v>87.3</v>
      </c>
      <c r="W32" s="31" t="n">
        <v>28.34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20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MOTHERSON</t>
        </is>
      </c>
      <c r="D33" s="30" t="inlineStr">
        <is>
          <t>Samvardhana Motherson International Ltd</t>
        </is>
      </c>
      <c r="E33" s="30" t="inlineStr">
        <is>
          <t>auto</t>
        </is>
      </c>
      <c r="F33" s="30" t="inlineStr">
        <is>
          <t>Auto Ancillaries - Diversified</t>
        </is>
      </c>
      <c r="G33" s="30" t="inlineStr">
        <is>
          <t>largecap</t>
        </is>
      </c>
      <c r="H33" s="31" t="n">
        <v>153683.24</v>
      </c>
      <c r="I33" s="31" t="n">
        <v>145.61</v>
      </c>
      <c r="J33" s="31" t="n">
        <v>0.5</v>
      </c>
      <c r="K33" s="31" t="n">
        <v>0</v>
      </c>
      <c r="L33" s="30" t="n">
        <v>41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68.02</v>
      </c>
      <c r="P33" s="31" t="n">
        <v>18.72</v>
      </c>
      <c r="Q33" s="31" t="n">
        <v>115.6</v>
      </c>
      <c r="R33" s="30" t="inlineStr">
        <is>
          <t>Near 52W High Breakout</t>
        </is>
      </c>
      <c r="S33" s="30" t="inlineStr">
        <is>
          <t>Nifty Auto</t>
        </is>
      </c>
      <c r="T33" s="31" t="n">
        <v>10.28</v>
      </c>
      <c r="U33" s="31" t="n">
        <v>39.44</v>
      </c>
      <c r="V33" s="31" t="n">
        <v>26.45</v>
      </c>
      <c r="W33" s="31" t="n">
        <v>11.37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0 to 20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19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PRECWIRE</t>
        </is>
      </c>
      <c r="D34" s="30" t="inlineStr">
        <is>
          <t>Precision Wires India Ltd</t>
        </is>
      </c>
      <c r="E34" s="30" t="inlineStr">
        <is>
          <t>metals &amp; mining</t>
        </is>
      </c>
      <c r="F34" s="30" t="inlineStr">
        <is>
          <t>Copper Wires</t>
        </is>
      </c>
      <c r="G34" s="30" t="inlineStr">
        <is>
          <t>midcap</t>
        </is>
      </c>
      <c r="H34" s="31" t="n">
        <v>7983.22</v>
      </c>
      <c r="I34" s="31" t="n">
        <v>436.7</v>
      </c>
      <c r="J34" s="31" t="n">
        <v>1.93</v>
      </c>
      <c r="K34" s="31" t="n">
        <v>0</v>
      </c>
      <c r="L34" s="30" t="n">
        <v>81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72.05</v>
      </c>
      <c r="P34" s="31" t="n">
        <v>70.11</v>
      </c>
      <c r="Q34" s="31" t="n">
        <v>317.4</v>
      </c>
      <c r="R34" s="30" t="inlineStr">
        <is>
          <t>Near 52W High Breakout</t>
        </is>
      </c>
      <c r="S34" s="30" t="inlineStr">
        <is>
          <t>Nifty Metal</t>
        </is>
      </c>
      <c r="T34" s="31" t="n">
        <v>43.89</v>
      </c>
      <c r="U34" s="31" t="n">
        <v>134.91</v>
      </c>
      <c r="V34" s="31" t="n">
        <v>63.25</v>
      </c>
      <c r="W34" s="31" t="n">
        <v>26.45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Cyclical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Volatile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19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KMCSHIL</t>
        </is>
      </c>
      <c r="D35" s="30" t="inlineStr">
        <is>
          <t>KMC Speciality Hospitals (India) Ltd</t>
        </is>
      </c>
      <c r="E35" s="30" t="inlineStr">
        <is>
          <t>Healthcare</t>
        </is>
      </c>
      <c r="F35" s="30" t="inlineStr">
        <is>
          <t>Hospitals</t>
        </is>
      </c>
      <c r="G35" s="30" t="inlineStr">
        <is>
          <t>smallcap</t>
        </is>
      </c>
      <c r="H35" s="31" t="n">
        <v>1916.25</v>
      </c>
      <c r="I35" s="31" t="n">
        <v>117.5</v>
      </c>
      <c r="J35" s="31" t="n">
        <v>-1.18</v>
      </c>
      <c r="K35" s="31" t="n">
        <v>0</v>
      </c>
      <c r="L35" s="30" t="n">
        <v>71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83.28</v>
      </c>
      <c r="P35" s="31" t="n">
        <v>49.48</v>
      </c>
      <c r="Q35" s="31" t="n">
        <v>93.54000000000001</v>
      </c>
      <c r="R35" s="30" t="inlineStr">
        <is>
          <t>Volume Spike &amp; Near 52W High Breakout</t>
        </is>
      </c>
      <c r="S35" s="30" t="inlineStr">
        <is>
          <t>Nifty Pharma</t>
        </is>
      </c>
      <c r="T35" s="31" t="n">
        <v>11.08</v>
      </c>
      <c r="U35" s="31" t="n">
        <v>75.53</v>
      </c>
      <c r="V35" s="31" t="n">
        <v>58.02</v>
      </c>
      <c r="W35" s="31" t="n">
        <v>21.13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28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ACUTAAS</t>
        </is>
      </c>
      <c r="D36" s="30" t="inlineStr">
        <is>
          <t>Acutaas Chemicals Ltd</t>
        </is>
      </c>
      <c r="E36" s="30" t="inlineStr">
        <is>
          <t>healthcare</t>
        </is>
      </c>
      <c r="F36" s="30" t="inlineStr">
        <is>
          <t>Pharma - API &amp; CRAMS</t>
        </is>
      </c>
      <c r="G36" s="30" t="inlineStr">
        <is>
          <t>largecap</t>
        </is>
      </c>
      <c r="H36" s="31" t="n">
        <v>25672.33</v>
      </c>
      <c r="I36" s="31" t="n">
        <v>3135.7</v>
      </c>
      <c r="J36" s="31" t="n">
        <v>3.23</v>
      </c>
      <c r="K36" s="31" t="n">
        <v>0</v>
      </c>
      <c r="L36" s="30" t="n">
        <v>85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77.04000000000001</v>
      </c>
      <c r="P36" s="31" t="n">
        <v>64.17</v>
      </c>
      <c r="Q36" s="31" t="n">
        <v>2445.32</v>
      </c>
      <c r="R36" s="30" t="inlineStr">
        <is>
          <t>Near 52W High Breakout</t>
        </is>
      </c>
      <c r="S36" s="30" t="inlineStr">
        <is>
          <t>Nifty Pharma</t>
        </is>
      </c>
      <c r="T36" s="31" t="n">
        <v>11.08</v>
      </c>
      <c r="U36" s="31" t="n">
        <v>175.22</v>
      </c>
      <c r="V36" s="31" t="n">
        <v>147.77</v>
      </c>
      <c r="W36" s="31" t="n">
        <v>31.13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27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NGLFINE</t>
        </is>
      </c>
      <c r="D37" s="30" t="inlineStr">
        <is>
          <t>NGL Fine Chem Ltd</t>
        </is>
      </c>
      <c r="E37" s="30" t="inlineStr">
        <is>
          <t>healthcare</t>
        </is>
      </c>
      <c r="F37" s="30" t="inlineStr">
        <is>
          <t>Pharma - Animal</t>
        </is>
      </c>
      <c r="G37" s="30" t="inlineStr">
        <is>
          <t>smallcap</t>
        </is>
      </c>
      <c r="H37" s="31" t="n">
        <v>1634.15</v>
      </c>
      <c r="I37" s="31" t="n">
        <v>2645.1</v>
      </c>
      <c r="J37" s="31" t="n">
        <v>-0.35</v>
      </c>
      <c r="K37" s="31" t="n">
        <v>0</v>
      </c>
      <c r="L37" s="30" t="n">
        <v>82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69.47</v>
      </c>
      <c r="P37" s="31" t="n">
        <v>66.69</v>
      </c>
      <c r="Q37" s="31" t="n">
        <v>1819.82</v>
      </c>
      <c r="R37" s="30" t="inlineStr">
        <is>
          <t>Earnings / Momentum Support</t>
        </is>
      </c>
      <c r="S37" s="30" t="inlineStr">
        <is>
          <t>Nifty Pharma</t>
        </is>
      </c>
      <c r="T37" s="31" t="n">
        <v>11.08</v>
      </c>
      <c r="U37" s="31" t="n">
        <v>149.94</v>
      </c>
      <c r="V37" s="31" t="n">
        <v>125.02</v>
      </c>
      <c r="W37" s="31" t="n">
        <v>26.71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No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Between 50% to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SKIPPER</t>
        </is>
      </c>
      <c r="D38" s="30" t="inlineStr">
        <is>
          <t>Skipper Ltd</t>
        </is>
      </c>
      <c r="E38" s="30" t="inlineStr">
        <is>
          <t>industrials</t>
        </is>
      </c>
      <c r="F38" s="30" t="inlineStr">
        <is>
          <t>Electrical Equipments/HVDC</t>
        </is>
      </c>
      <c r="G38" s="30" t="inlineStr">
        <is>
          <t>midcap</t>
        </is>
      </c>
      <c r="H38" s="31" t="n">
        <v>6443.07</v>
      </c>
      <c r="I38" s="31" t="n">
        <v>570.5</v>
      </c>
      <c r="J38" s="31" t="n">
        <v>-0.33</v>
      </c>
      <c r="K38" s="31" t="n">
        <v>0</v>
      </c>
      <c r="L38" s="30" t="n">
        <v>70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72.27</v>
      </c>
      <c r="P38" s="31" t="n">
        <v>32.69</v>
      </c>
      <c r="Q38" s="31" t="n">
        <v>429.33</v>
      </c>
      <c r="R38" s="30" t="inlineStr">
        <is>
          <t>Volume Spike &amp; Near 52W High Breakout</t>
        </is>
      </c>
      <c r="S38" s="30" t="inlineStr">
        <is>
          <t>Nifty 50</t>
        </is>
      </c>
      <c r="T38" s="31" t="n">
        <v>-6.39</v>
      </c>
      <c r="U38" s="31" t="n">
        <v>17.23</v>
      </c>
      <c r="V38" s="31" t="n">
        <v>25.23</v>
      </c>
      <c r="W38" s="31" t="n">
        <v>20.51</v>
      </c>
      <c r="X38" s="30" t="inlineStr">
        <is>
          <t>Cyclical in an Upturn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Less than 50%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32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NITTAGELA</t>
        </is>
      </c>
      <c r="D39" s="30" t="inlineStr">
        <is>
          <t>Nitta Gelatin India Ltd</t>
        </is>
      </c>
      <c r="E39" s="30" t="inlineStr">
        <is>
          <t>Basic Materials</t>
        </is>
      </c>
      <c r="F39" s="30" t="inlineStr">
        <is>
          <t>Chemicals - Organic</t>
        </is>
      </c>
      <c r="G39" s="30" t="inlineStr">
        <is>
          <t>smallcap</t>
        </is>
      </c>
      <c r="H39" s="31" t="n">
        <v>1642.42</v>
      </c>
      <c r="I39" s="31" t="n">
        <v>1809</v>
      </c>
      <c r="J39" s="31" t="n">
        <v>10.25</v>
      </c>
      <c r="K39" s="31" t="n">
        <v>0</v>
      </c>
      <c r="L39" s="30" t="n">
        <v>95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91.75</v>
      </c>
      <c r="P39" s="31" t="n">
        <v>39.12</v>
      </c>
      <c r="Q39" s="31" t="n">
        <v>1485.85</v>
      </c>
      <c r="R39" s="30" t="inlineStr">
        <is>
          <t>Near 52W High Breakout</t>
        </is>
      </c>
      <c r="S39" s="30" t="inlineStr">
        <is>
          <t>Nifty IT</t>
        </is>
      </c>
      <c r="T39" s="31" t="n">
        <v>-21.21</v>
      </c>
      <c r="U39" s="31" t="n">
        <v>115.71</v>
      </c>
      <c r="V39" s="31" t="n">
        <v>173.77</v>
      </c>
      <c r="W39" s="31" t="n">
        <v>48.13</v>
      </c>
      <c r="X39" s="30" t="inlineStr">
        <is>
          <t>Cyclical in an Upturn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Cyclical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Volatile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25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SANSERA</t>
        </is>
      </c>
      <c r="D40" s="30" t="inlineStr">
        <is>
          <t>Sansera Engineering Ltd</t>
        </is>
      </c>
      <c r="E40" s="30" t="inlineStr">
        <is>
          <t>auto</t>
        </is>
      </c>
      <c r="F40" s="30" t="inlineStr">
        <is>
          <t>Auto Ancillaries - Diversified</t>
        </is>
      </c>
      <c r="G40" s="30" t="inlineStr">
        <is>
          <t>midcap</t>
        </is>
      </c>
      <c r="H40" s="31" t="n">
        <v>18168.55</v>
      </c>
      <c r="I40" s="31" t="n">
        <v>2914.8</v>
      </c>
      <c r="J40" s="31" t="n">
        <v>-1.3</v>
      </c>
      <c r="K40" s="31" t="n">
        <v>0</v>
      </c>
      <c r="L40" s="30" t="n">
        <v>78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74.23</v>
      </c>
      <c r="P40" s="31" t="n">
        <v>39.79</v>
      </c>
      <c r="Q40" s="31" t="n">
        <v>2243.15</v>
      </c>
      <c r="R40" s="30" t="inlineStr">
        <is>
          <t>Near 52W High Breakout</t>
        </is>
      </c>
      <c r="S40" s="30" t="inlineStr">
        <is>
          <t>Nifty Auto</t>
        </is>
      </c>
      <c r="T40" s="31" t="n">
        <v>10.28</v>
      </c>
      <c r="U40" s="31" t="n">
        <v>116.13</v>
      </c>
      <c r="V40" s="31" t="n">
        <v>95.98999999999999</v>
      </c>
      <c r="W40" s="31" t="n">
        <v>24.11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23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3" t="inlineStr">
        <is>
          <t>COCKERILL</t>
        </is>
      </c>
      <c r="D41" s="33" t="inlineStr">
        <is>
          <t>John Cockerill India Ltd</t>
        </is>
      </c>
      <c r="E41" s="30" t="inlineStr">
        <is>
          <t>Industrials</t>
        </is>
      </c>
      <c r="F41" s="30" t="inlineStr">
        <is>
          <t>Capital Goods - Engineering Heavy</t>
        </is>
      </c>
      <c r="G41" s="30" t="inlineStr">
        <is>
          <t>smallcap</t>
        </is>
      </c>
      <c r="H41" s="31" t="n">
        <v>4499.95</v>
      </c>
      <c r="I41" s="31" t="n">
        <v>9113.25</v>
      </c>
      <c r="J41" s="31" t="n">
        <v>20</v>
      </c>
      <c r="K41" s="31" t="n">
        <v>0</v>
      </c>
      <c r="L41" s="30" t="n">
        <v>93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81.20999999999999</v>
      </c>
      <c r="P41" s="31" t="n">
        <v>27.68</v>
      </c>
      <c r="Q41" s="31" t="n">
        <v>7153.32</v>
      </c>
      <c r="R41" s="30" t="inlineStr">
        <is>
          <t>Volume Spike &amp; Near 52W High Breakout</t>
        </is>
      </c>
      <c r="S41" s="30" t="inlineStr">
        <is>
          <t>Nifty Metal</t>
        </is>
      </c>
      <c r="T41" s="31" t="n">
        <v>43.89</v>
      </c>
      <c r="U41" s="31" t="n">
        <v>143.66</v>
      </c>
      <c r="V41" s="31" t="n">
        <v>69.33</v>
      </c>
      <c r="W41" s="31" t="n">
        <v>40.94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23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WHEELS</t>
        </is>
      </c>
      <c r="D42" s="30" t="inlineStr">
        <is>
          <t>Wheels India Ltd</t>
        </is>
      </c>
      <c r="E42" s="30" t="inlineStr">
        <is>
          <t>auto</t>
        </is>
      </c>
      <c r="F42" s="30" t="inlineStr">
        <is>
          <t>Auto Ancillaries - Wheels</t>
        </is>
      </c>
      <c r="G42" s="30" t="inlineStr">
        <is>
          <t>smallcap</t>
        </is>
      </c>
      <c r="H42" s="31" t="n">
        <v>3659.33</v>
      </c>
      <c r="I42" s="31" t="n">
        <v>1497.7</v>
      </c>
      <c r="J42" s="31" t="n">
        <v>-1.33</v>
      </c>
      <c r="K42" s="31" t="n">
        <v>0</v>
      </c>
      <c r="L42" s="30" t="n">
        <v>87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70.09</v>
      </c>
      <c r="P42" s="31" t="n">
        <v>46.71</v>
      </c>
      <c r="Q42" s="31" t="n">
        <v>1303.61</v>
      </c>
      <c r="R42" s="30" t="inlineStr">
        <is>
          <t>Earnings / Momentum Support</t>
        </is>
      </c>
      <c r="S42" s="30" t="inlineStr">
        <is>
          <t>Nifty Auto</t>
        </is>
      </c>
      <c r="T42" s="31" t="n">
        <v>10.28</v>
      </c>
      <c r="U42" s="31" t="n">
        <v>104.05</v>
      </c>
      <c r="V42" s="31" t="n">
        <v>85.03</v>
      </c>
      <c r="W42" s="31" t="n">
        <v>31.9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Less than 12%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22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HONASA</t>
        </is>
      </c>
      <c r="D43" s="30" t="inlineStr">
        <is>
          <t>Honasa Consumer Ltd</t>
        </is>
      </c>
      <c r="E43" s="30" t="inlineStr">
        <is>
          <t>services</t>
        </is>
      </c>
      <c r="F43" s="30" t="inlineStr">
        <is>
          <t>New age - Platform - E-Retail</t>
        </is>
      </c>
      <c r="G43" s="30" t="inlineStr">
        <is>
          <t>midcap</t>
        </is>
      </c>
      <c r="H43" s="31" t="n">
        <v>13083.12</v>
      </c>
      <c r="I43" s="31" t="n">
        <v>402.1</v>
      </c>
      <c r="J43" s="31" t="n">
        <v>-1.22</v>
      </c>
      <c r="K43" s="31" t="n">
        <v>0</v>
      </c>
      <c r="L43" s="30" t="n">
        <v>50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73.17</v>
      </c>
      <c r="P43" s="31" t="n">
        <v>27.04</v>
      </c>
      <c r="Q43" s="31" t="n">
        <v>326.22</v>
      </c>
      <c r="R43" s="30" t="inlineStr">
        <is>
          <t>Near 52W High Breakout</t>
        </is>
      </c>
      <c r="S43" s="30" t="inlineStr">
        <is>
          <t>Nifty 50</t>
        </is>
      </c>
      <c r="T43" s="31" t="n">
        <v>-6.39</v>
      </c>
      <c r="U43" s="31" t="n">
        <v>25.66</v>
      </c>
      <c r="V43" s="31" t="n">
        <v>34.23</v>
      </c>
      <c r="W43" s="31" t="n">
        <v>13.54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B2C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20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STLTECH</t>
        </is>
      </c>
      <c r="D44" s="30" t="inlineStr">
        <is>
          <t>Sterlite Technologies Ltd</t>
        </is>
      </c>
      <c r="E44" s="30" t="inlineStr">
        <is>
          <t>industrials</t>
        </is>
      </c>
      <c r="F44" s="30" t="inlineStr">
        <is>
          <t>Cables - Telecom</t>
        </is>
      </c>
      <c r="G44" s="30" t="inlineStr">
        <is>
          <t>largecap</t>
        </is>
      </c>
      <c r="H44" s="31" t="n">
        <v>30295.68</v>
      </c>
      <c r="I44" s="31" t="n">
        <v>620.6</v>
      </c>
      <c r="J44" s="31" t="n">
        <v>5</v>
      </c>
      <c r="K44" s="31" t="n">
        <v>0</v>
      </c>
      <c r="L44" s="30" t="n">
        <v>99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96.08</v>
      </c>
      <c r="P44" s="31" t="n">
        <v>76.43000000000001</v>
      </c>
      <c r="Q44" s="31" t="n">
        <v>498.26</v>
      </c>
      <c r="R44" s="30" t="inlineStr">
        <is>
          <t>Near 52W High Breakout</t>
        </is>
      </c>
      <c r="S44" s="30" t="inlineStr">
        <is>
          <t>Nifty Infra</t>
        </is>
      </c>
      <c r="T44" s="31" t="n">
        <v>1.52</v>
      </c>
      <c r="U44" s="31" t="n">
        <v>718.73</v>
      </c>
      <c r="V44" s="31" t="n">
        <v>706.48</v>
      </c>
      <c r="W44" s="31" t="n">
        <v>120.58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Oligopoly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Between 0.7 to 1.2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20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CPPLUS</t>
        </is>
      </c>
      <c r="D45" s="30" t="inlineStr">
        <is>
          <t>Aditya Infotech Ltd</t>
        </is>
      </c>
      <c r="E45" s="30" t="inlineStr">
        <is>
          <t>Industrials</t>
        </is>
      </c>
      <c r="F45" s="30" t="inlineStr">
        <is>
          <t>CCTV Camera</t>
        </is>
      </c>
      <c r="G45" s="30" t="inlineStr">
        <is>
          <t>largecap</t>
        </is>
      </c>
      <c r="H45" s="31" t="n">
        <v>39706.19</v>
      </c>
      <c r="I45" s="31" t="n">
        <v>3369.2</v>
      </c>
      <c r="J45" s="31" t="n">
        <v>4.84</v>
      </c>
      <c r="K45" s="31" t="n">
        <v>0</v>
      </c>
      <c r="L45" s="30" t="n">
        <v>94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87.12</v>
      </c>
      <c r="P45" s="31" t="n">
        <v>55.35</v>
      </c>
      <c r="Q45" s="31" t="n">
        <v>2666.78</v>
      </c>
      <c r="R45" s="30" t="inlineStr">
        <is>
          <t>Volume Spike &amp; Near 52W High Breakout</t>
        </is>
      </c>
      <c r="S45" s="30" t="inlineStr">
        <is>
          <t>Nifty 50</t>
        </is>
      </c>
      <c r="T45" s="31" t="n">
        <v>-3.93</v>
      </c>
      <c r="U45" s="31" t="n">
        <v>208.86</v>
      </c>
      <c r="V45" s="31" t="n">
        <v>221.5</v>
      </c>
      <c r="W45" s="31" t="n">
        <v>45.49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Less than 50%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20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DIVGIITTS</t>
        </is>
      </c>
      <c r="D46" s="30" t="inlineStr">
        <is>
          <t>Divgi Torqtransfer Systems Ltd</t>
        </is>
      </c>
      <c r="E46" s="30" t="inlineStr">
        <is>
          <t>auto</t>
        </is>
      </c>
      <c r="F46" s="30" t="inlineStr">
        <is>
          <t>Auto Ancillaries - Transmission</t>
        </is>
      </c>
      <c r="G46" s="30" t="inlineStr">
        <is>
          <t>smallcap</t>
        </is>
      </c>
      <c r="H46" s="31" t="n">
        <v>2454.59</v>
      </c>
      <c r="I46" s="31" t="n">
        <v>802.6</v>
      </c>
      <c r="J46" s="31" t="n">
        <v>1.67</v>
      </c>
      <c r="K46" s="31" t="n">
        <v>0</v>
      </c>
      <c r="L46" s="30" t="n">
        <v>31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60.64</v>
      </c>
      <c r="P46" s="31" t="n">
        <v>26.07</v>
      </c>
      <c r="Q46" s="31" t="n">
        <v>585.7</v>
      </c>
      <c r="R46" s="30" t="inlineStr">
        <is>
          <t>Near 52W High Breakout</t>
        </is>
      </c>
      <c r="S46" s="30" t="inlineStr">
        <is>
          <t>Nifty Auto</t>
        </is>
      </c>
      <c r="T46" s="31" t="n">
        <v>10.28</v>
      </c>
      <c r="U46" s="31" t="n">
        <v>33.56</v>
      </c>
      <c r="V46" s="31" t="n">
        <v>21.12</v>
      </c>
      <c r="W46" s="31" t="n">
        <v>8.76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Between 50% to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19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VERANDA</t>
        </is>
      </c>
      <c r="D47" s="30" t="inlineStr">
        <is>
          <t>Veranda Learning Solutions Ltd</t>
        </is>
      </c>
      <c r="E47" s="30" t="inlineStr">
        <is>
          <t>services</t>
        </is>
      </c>
      <c r="F47" s="30" t="inlineStr">
        <is>
          <t>Computer Education</t>
        </is>
      </c>
      <c r="G47" s="30" t="inlineStr">
        <is>
          <t>smallcap</t>
        </is>
      </c>
      <c r="H47" s="31" t="n">
        <v>2244.18</v>
      </c>
      <c r="I47" s="31" t="n">
        <v>232.99</v>
      </c>
      <c r="J47" s="31" t="n">
        <v>-0.55</v>
      </c>
      <c r="K47" s="31" t="n">
        <v>0</v>
      </c>
      <c r="L47" s="30" t="n">
        <v>51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62.81</v>
      </c>
      <c r="P47" s="31" t="n">
        <v>31.62</v>
      </c>
      <c r="Q47" s="31" t="n">
        <v>170.78</v>
      </c>
      <c r="R47" s="30" t="inlineStr">
        <is>
          <t>Earnings / Momentum Support</t>
        </is>
      </c>
      <c r="S47" s="30" t="inlineStr">
        <is>
          <t>Nifty 50</t>
        </is>
      </c>
      <c r="T47" s="31" t="n">
        <v>-6.39</v>
      </c>
      <c r="U47" s="31" t="n">
        <v>17.66</v>
      </c>
      <c r="V47" s="31" t="n">
        <v>25.69</v>
      </c>
      <c r="W47" s="31" t="n">
        <v>13.93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19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SKMEGGPROD</t>
        </is>
      </c>
      <c r="D48" s="30" t="inlineStr">
        <is>
          <t>SKM Egg Products Export (India) Ltd</t>
        </is>
      </c>
      <c r="E48" s="30" t="inlineStr">
        <is>
          <t>fmcg</t>
        </is>
      </c>
      <c r="F48" s="30" t="inlineStr">
        <is>
          <t>FMCG - Animal/Polutry</t>
        </is>
      </c>
      <c r="G48" s="30" t="inlineStr">
        <is>
          <t>smallcap</t>
        </is>
      </c>
      <c r="H48" s="31" t="n">
        <v>1282.32</v>
      </c>
      <c r="I48" s="31" t="n">
        <v>243.51</v>
      </c>
      <c r="J48" s="31" t="n">
        <v>4.61</v>
      </c>
      <c r="K48" s="31" t="n">
        <v>0</v>
      </c>
      <c r="L48" s="30" t="n">
        <v>88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71.03</v>
      </c>
      <c r="P48" s="31" t="n">
        <v>15.81</v>
      </c>
      <c r="Q48" s="31" t="n">
        <v>169.86</v>
      </c>
      <c r="R48" s="30" t="inlineStr">
        <is>
          <t>Volume Spike &amp; Near 52W High Breakout</t>
        </is>
      </c>
      <c r="S48" s="30" t="inlineStr">
        <is>
          <t>Nifty FMCG</t>
        </is>
      </c>
      <c r="T48" s="31" t="n">
        <v>-13.76</v>
      </c>
      <c r="U48" s="31" t="n">
        <v>116.88</v>
      </c>
      <c r="V48" s="31" t="n">
        <v>151.49</v>
      </c>
      <c r="W48" s="31" t="n">
        <v>32.77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B2C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0 to 20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30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2" t="inlineStr">
        <is>
          <t>MARKSANS</t>
        </is>
      </c>
      <c r="D49" s="32" t="inlineStr">
        <is>
          <t>Marksans Pharma Ltd</t>
        </is>
      </c>
      <c r="E49" s="30" t="inlineStr">
        <is>
          <t>healthcare</t>
        </is>
      </c>
      <c r="F49" s="30" t="inlineStr">
        <is>
          <t>Pharma - Formulators</t>
        </is>
      </c>
      <c r="G49" s="30" t="inlineStr">
        <is>
          <t>midcap</t>
        </is>
      </c>
      <c r="H49" s="31" t="n">
        <v>10983.33</v>
      </c>
      <c r="I49" s="31" t="n">
        <v>242.37</v>
      </c>
      <c r="J49" s="31" t="n">
        <v>0.49</v>
      </c>
      <c r="K49" s="31" t="n">
        <v>0</v>
      </c>
      <c r="L49" s="30" t="n">
        <v>38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72.56999999999999</v>
      </c>
      <c r="P49" s="31" t="n">
        <v>25.72</v>
      </c>
      <c r="Q49" s="31" t="n">
        <v>191.22</v>
      </c>
      <c r="R49" s="30" t="inlineStr">
        <is>
          <t>Earnings / Momentum Support</t>
        </is>
      </c>
      <c r="S49" s="30" t="inlineStr">
        <is>
          <t>Nifty Pharma</t>
        </is>
      </c>
      <c r="T49" s="31" t="n">
        <v>11.08</v>
      </c>
      <c r="U49" s="31" t="n">
        <v>-3.46</v>
      </c>
      <c r="V49" s="31" t="n">
        <v>-13.09</v>
      </c>
      <c r="W49" s="31" t="n">
        <v>10.51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21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CUPID</t>
        </is>
      </c>
      <c r="D50" s="30" t="inlineStr">
        <is>
          <t>Cupid Ltd</t>
        </is>
      </c>
      <c r="E50" s="30" t="inlineStr">
        <is>
          <t>fmcg</t>
        </is>
      </c>
      <c r="F50" s="30" t="inlineStr">
        <is>
          <t>Contraceptives/Protectives</t>
        </is>
      </c>
      <c r="G50" s="30" t="inlineStr">
        <is>
          <t>midcap</t>
        </is>
      </c>
      <c r="H50" s="31" t="n">
        <v>17453.7</v>
      </c>
      <c r="I50" s="31" t="n">
        <v>129.8</v>
      </c>
      <c r="J50" s="31" t="n">
        <v>1.13</v>
      </c>
      <c r="K50" s="31" t="n">
        <v>0</v>
      </c>
      <c r="L50" s="30" t="n">
        <v>98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73.94</v>
      </c>
      <c r="P50" s="31" t="n">
        <v>40.4</v>
      </c>
      <c r="Q50" s="31" t="n">
        <v>101.97</v>
      </c>
      <c r="R50" s="30" t="inlineStr">
        <is>
          <t>Near 52W High Breakout</t>
        </is>
      </c>
      <c r="S50" s="30" t="inlineStr">
        <is>
          <t>Nifty FMCG</t>
        </is>
      </c>
      <c r="T50" s="31" t="n">
        <v>-13.76</v>
      </c>
      <c r="U50" s="31" t="n">
        <v>500.93</v>
      </c>
      <c r="V50" s="31" t="n">
        <v>596.8099999999999</v>
      </c>
      <c r="W50" s="31" t="n">
        <v>60.7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B2C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Negative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20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SIGMAADV</t>
        </is>
      </c>
      <c r="D51" s="30" t="inlineStr">
        <is>
          <t>Sigma Advanced System Ltd</t>
        </is>
      </c>
      <c r="E51" s="30" t="inlineStr">
        <is>
          <t>aerospace &amp; defence</t>
        </is>
      </c>
      <c r="F51" s="30" t="inlineStr">
        <is>
          <t>Aerospace &amp; Defence - Equipments</t>
        </is>
      </c>
      <c r="G51" s="30" t="inlineStr">
        <is>
          <t>midcap</t>
        </is>
      </c>
      <c r="H51" s="31" t="n">
        <v>7699.91</v>
      </c>
      <c r="I51" s="31" t="n">
        <v>436.9</v>
      </c>
      <c r="J51" s="31" t="n">
        <v>5</v>
      </c>
      <c r="K51" s="31" t="n">
        <v>0</v>
      </c>
      <c r="L51" s="30" t="n">
        <v>99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84.04000000000001</v>
      </c>
      <c r="P51" s="31" t="n">
        <v>33.95</v>
      </c>
      <c r="Q51" s="31" t="n">
        <v>333.84</v>
      </c>
      <c r="R51" s="30" t="inlineStr">
        <is>
          <t>Volume Spike &amp; Near 52W High Breakout</t>
        </is>
      </c>
      <c r="S51" s="30" t="inlineStr">
        <is>
          <t>Nifty 50</t>
        </is>
      </c>
      <c r="T51" s="31" t="n">
        <v>-6.39</v>
      </c>
      <c r="U51" s="31" t="n">
        <v>373.14</v>
      </c>
      <c r="V51" s="31" t="n">
        <v>405.44</v>
      </c>
      <c r="W51" s="31" t="n">
        <v>83.97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Negative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Between 0.7 to 1.2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32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HFCL</t>
        </is>
      </c>
      <c r="D52" s="30" t="inlineStr">
        <is>
          <t>HFCL Ltd</t>
        </is>
      </c>
      <c r="E52" s="30" t="inlineStr">
        <is>
          <t>telecom</t>
        </is>
      </c>
      <c r="F52" s="30" t="inlineStr">
        <is>
          <t>Telecom Services</t>
        </is>
      </c>
      <c r="G52" s="30" t="inlineStr">
        <is>
          <t>largecap</t>
        </is>
      </c>
      <c r="H52" s="31" t="n">
        <v>30521.74</v>
      </c>
      <c r="I52" s="31" t="n">
        <v>199.41</v>
      </c>
      <c r="J52" s="31" t="n">
        <v>4.99</v>
      </c>
      <c r="K52" s="31" t="n">
        <v>0</v>
      </c>
      <c r="L52" s="30" t="n">
        <v>98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92.53</v>
      </c>
      <c r="P52" s="31" t="n">
        <v>43.94</v>
      </c>
      <c r="Q52" s="31" t="n">
        <v>157.64</v>
      </c>
      <c r="R52" s="30" t="inlineStr">
        <is>
          <t>Near 52W High Breakout</t>
        </is>
      </c>
      <c r="S52" s="30" t="inlineStr">
        <is>
          <t>Nifty Infra</t>
        </is>
      </c>
      <c r="T52" s="31" t="n">
        <v>1.52</v>
      </c>
      <c r="U52" s="31" t="n">
        <v>118.44</v>
      </c>
      <c r="V52" s="31" t="n">
        <v>115.17</v>
      </c>
      <c r="W52" s="31" t="n">
        <v>69.79000000000001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Negative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27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POWERINDIA</t>
        </is>
      </c>
      <c r="D53" s="30" t="inlineStr">
        <is>
          <t>Hitachi Energy India Ltd</t>
        </is>
      </c>
      <c r="E53" s="30" t="inlineStr">
        <is>
          <t>industrials</t>
        </is>
      </c>
      <c r="F53" s="30" t="inlineStr">
        <is>
          <t>Electrical Equipments/HVDC</t>
        </is>
      </c>
      <c r="G53" s="30" t="inlineStr">
        <is>
          <t>largecap</t>
        </is>
      </c>
      <c r="H53" s="31" t="n">
        <v>156850.15</v>
      </c>
      <c r="I53" s="31" t="n">
        <v>35190</v>
      </c>
      <c r="J53" s="31" t="n">
        <v>0.24</v>
      </c>
      <c r="K53" s="31" t="n">
        <v>0</v>
      </c>
      <c r="L53" s="30" t="n">
        <v>74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68.92</v>
      </c>
      <c r="P53" s="31" t="n">
        <v>59.34</v>
      </c>
      <c r="Q53" s="31" t="n">
        <v>30707.04</v>
      </c>
      <c r="R53" s="30" t="inlineStr">
        <is>
          <t>Earnings / Momentum Support</t>
        </is>
      </c>
      <c r="S53" s="30" t="inlineStr">
        <is>
          <t>Nifty 50</t>
        </is>
      </c>
      <c r="T53" s="31" t="n">
        <v>-6.39</v>
      </c>
      <c r="U53" s="31" t="n">
        <v>93.38</v>
      </c>
      <c r="V53" s="31" t="n">
        <v>106.57</v>
      </c>
      <c r="W53" s="31" t="n">
        <v>22.42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No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FIEMIND</t>
        </is>
      </c>
      <c r="D54" s="33" t="inlineStr">
        <is>
          <t>Fiem Industries Ltd</t>
        </is>
      </c>
      <c r="E54" s="30" t="inlineStr">
        <is>
          <t>auto</t>
        </is>
      </c>
      <c r="F54" s="30" t="inlineStr">
        <is>
          <t>Auto Ancillaries - 2&amp;3 Wheelers</t>
        </is>
      </c>
      <c r="G54" s="30" t="inlineStr">
        <is>
          <t>midcap</t>
        </is>
      </c>
      <c r="H54" s="31" t="n">
        <v>6177.22</v>
      </c>
      <c r="I54" s="31" t="n">
        <v>2347</v>
      </c>
      <c r="J54" s="31" t="n">
        <v>3.24</v>
      </c>
      <c r="K54" s="31" t="n">
        <v>0</v>
      </c>
      <c r="L54" s="30" t="n">
        <v>27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60.47</v>
      </c>
      <c r="P54" s="31" t="n">
        <v>14.13</v>
      </c>
      <c r="Q54" s="31" t="n">
        <v>1869.91</v>
      </c>
      <c r="R54" s="30" t="inlineStr">
        <is>
          <t>Near 52W High Breakout</t>
        </is>
      </c>
      <c r="S54" s="30" t="inlineStr">
        <is>
          <t>Nifty Auto</t>
        </is>
      </c>
      <c r="T54" s="31" t="n">
        <v>10.28</v>
      </c>
      <c r="U54" s="31" t="n">
        <v>26.65</v>
      </c>
      <c r="V54" s="31" t="n">
        <v>14.85</v>
      </c>
      <c r="W54" s="31" t="n">
        <v>7.52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0 to 20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19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APOLLO</t>
        </is>
      </c>
      <c r="D55" s="30" t="inlineStr">
        <is>
          <t>Apollo Micro Systems Ltd</t>
        </is>
      </c>
      <c r="E55" s="30" t="inlineStr">
        <is>
          <t>aerospace &amp; defence</t>
        </is>
      </c>
      <c r="F55" s="30" t="inlineStr">
        <is>
          <t>Aerospace &amp; Defence - Equipments</t>
        </is>
      </c>
      <c r="G55" s="30" t="inlineStr">
        <is>
          <t>midcap</t>
        </is>
      </c>
      <c r="H55" s="31" t="n">
        <v>14561.45</v>
      </c>
      <c r="I55" s="31" t="n">
        <v>407.55</v>
      </c>
      <c r="J55" s="31" t="n">
        <v>-6.74</v>
      </c>
      <c r="K55" s="31" t="n">
        <v>0</v>
      </c>
      <c r="L55" s="30" t="n">
        <v>91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73.39</v>
      </c>
      <c r="P55" s="31" t="n">
        <v>30.38</v>
      </c>
      <c r="Q55" s="31" t="n">
        <v>289.15</v>
      </c>
      <c r="R55" s="30" t="inlineStr">
        <is>
          <t>Near 52W High Breakout</t>
        </is>
      </c>
      <c r="S55" s="30" t="inlineStr">
        <is>
          <t>Nifty 50</t>
        </is>
      </c>
      <c r="T55" s="31" t="n">
        <v>-6.39</v>
      </c>
      <c r="U55" s="31" t="n">
        <v>99</v>
      </c>
      <c r="V55" s="31" t="n">
        <v>112.58</v>
      </c>
      <c r="W55" s="31" t="n">
        <v>37.77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Oligopoly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Cyclical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B2C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Fully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Yes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Between 1.5 to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27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SHILPAMED</t>
        </is>
      </c>
      <c r="D56" s="30" t="inlineStr">
        <is>
          <t>Shilpa Medicare Ltd</t>
        </is>
      </c>
      <c r="E56" s="30" t="inlineStr">
        <is>
          <t>healthcare</t>
        </is>
      </c>
      <c r="F56" s="30" t="inlineStr">
        <is>
          <t>Pharma - API &amp; CRAMS</t>
        </is>
      </c>
      <c r="G56" s="30" t="inlineStr">
        <is>
          <t>midcap</t>
        </is>
      </c>
      <c r="H56" s="31" t="n">
        <v>10080.29</v>
      </c>
      <c r="I56" s="31" t="n">
        <v>515.4</v>
      </c>
      <c r="J56" s="31" t="n">
        <v>-0.38</v>
      </c>
      <c r="K56" s="31" t="n">
        <v>0</v>
      </c>
      <c r="L56" s="30" t="n">
        <v>59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76.73</v>
      </c>
      <c r="P56" s="31" t="n">
        <v>39.55</v>
      </c>
      <c r="Q56" s="31" t="n">
        <v>399.28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11.08</v>
      </c>
      <c r="U56" s="31" t="n">
        <v>12.86</v>
      </c>
      <c r="V56" s="31" t="n">
        <v>1.6</v>
      </c>
      <c r="W56" s="31" t="n">
        <v>16.18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22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FCL</t>
        </is>
      </c>
      <c r="D57" s="30" t="inlineStr">
        <is>
          <t>Fineotex Chemical Ltd</t>
        </is>
      </c>
      <c r="E57" s="30" t="inlineStr">
        <is>
          <t>chemicals</t>
        </is>
      </c>
      <c r="F57" s="30" t="inlineStr">
        <is>
          <t>Speciality Chemicals</t>
        </is>
      </c>
      <c r="G57" s="30" t="inlineStr">
        <is>
          <t>midcap</t>
        </is>
      </c>
      <c r="H57" s="31" t="n">
        <v>5070.24</v>
      </c>
      <c r="I57" s="31" t="n">
        <v>43.54</v>
      </c>
      <c r="J57" s="31" t="n">
        <v>2.79</v>
      </c>
      <c r="K57" s="31" t="n">
        <v>0</v>
      </c>
      <c r="L57" s="30" t="n">
        <v>90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78.79000000000001</v>
      </c>
      <c r="P57" s="31" t="n">
        <v>27.7</v>
      </c>
      <c r="Q57" s="31" t="n">
        <v>33.06</v>
      </c>
      <c r="R57" s="30" t="inlineStr">
        <is>
          <t>Near 52W High Breakout</t>
        </is>
      </c>
      <c r="S57" s="30" t="inlineStr">
        <is>
          <t>Nifty IT</t>
        </is>
      </c>
      <c r="T57" s="31" t="n">
        <v>-21.21</v>
      </c>
      <c r="U57" s="31" t="n">
        <v>72.16</v>
      </c>
      <c r="V57" s="31" t="n">
        <v>118.51</v>
      </c>
      <c r="W57" s="31" t="n">
        <v>36.93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Negative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29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MINDACORP</t>
        </is>
      </c>
      <c r="D58" s="30" t="inlineStr">
        <is>
          <t>Minda Corporation Ltd</t>
        </is>
      </c>
      <c r="E58" s="30" t="inlineStr">
        <is>
          <t>auto</t>
        </is>
      </c>
      <c r="F58" s="30" t="inlineStr">
        <is>
          <t>Auto Ancillaries - Diversified</t>
        </is>
      </c>
      <c r="G58" s="30" t="inlineStr">
        <is>
          <t>midcap</t>
        </is>
      </c>
      <c r="H58" s="31" t="n">
        <v>14975.94</v>
      </c>
      <c r="I58" s="31" t="n">
        <v>626.4</v>
      </c>
      <c r="J58" s="31" t="n">
        <v>-0.55</v>
      </c>
      <c r="K58" s="31" t="n">
        <v>0</v>
      </c>
      <c r="L58" s="30" t="n">
        <v>26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63.56</v>
      </c>
      <c r="P58" s="31" t="n">
        <v>19.22</v>
      </c>
      <c r="Q58" s="31" t="n">
        <v>498.11</v>
      </c>
      <c r="R58" s="30" t="inlineStr">
        <is>
          <t>Near 52W High Breakout</t>
        </is>
      </c>
      <c r="S58" s="30" t="inlineStr">
        <is>
          <t>Nifty Auto</t>
        </is>
      </c>
      <c r="T58" s="31" t="n">
        <v>10.28</v>
      </c>
      <c r="U58" s="31" t="n">
        <v>12.17</v>
      </c>
      <c r="V58" s="31" t="n">
        <v>1.71</v>
      </c>
      <c r="W58" s="31" t="n">
        <v>7.18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26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SIS</t>
        </is>
      </c>
      <c r="D59" s="30" t="inlineStr">
        <is>
          <t>SIS Ltd</t>
        </is>
      </c>
      <c r="E59" s="30" t="inlineStr">
        <is>
          <t>miscellaneous</t>
        </is>
      </c>
      <c r="F59" s="30" t="inlineStr">
        <is>
          <t>Facility Management</t>
        </is>
      </c>
      <c r="G59" s="30" t="inlineStr">
        <is>
          <t>midcap</t>
        </is>
      </c>
      <c r="H59" s="31" t="n">
        <v>5925.92</v>
      </c>
      <c r="I59" s="31" t="n">
        <v>419.4</v>
      </c>
      <c r="J59" s="31" t="n">
        <v>1.67</v>
      </c>
      <c r="K59" s="31" t="n">
        <v>0</v>
      </c>
      <c r="L59" s="30" t="n">
        <v>46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75.75</v>
      </c>
      <c r="P59" s="31" t="n">
        <v>35.04</v>
      </c>
      <c r="Q59" s="31" t="n">
        <v>338.9</v>
      </c>
      <c r="R59" s="30" t="inlineStr">
        <is>
          <t>Near 52W High Breakout</t>
        </is>
      </c>
      <c r="S59" s="30" t="inlineStr">
        <is>
          <t>Nifty 50</t>
        </is>
      </c>
      <c r="T59" s="31" t="n">
        <v>-6.39</v>
      </c>
      <c r="U59" s="31" t="n">
        <v>15.68</v>
      </c>
      <c r="V59" s="31" t="n">
        <v>23.57</v>
      </c>
      <c r="W59" s="31" t="n">
        <v>12.52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Between 0.7 to 1.2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3" t="inlineStr">
        <is>
          <t>WOCKPHARMA</t>
        </is>
      </c>
      <c r="D60" s="33" t="inlineStr">
        <is>
          <t>Wockhardt Ltd</t>
        </is>
      </c>
      <c r="E60" s="30" t="inlineStr">
        <is>
          <t>healthcare</t>
        </is>
      </c>
      <c r="F60" s="30" t="inlineStr">
        <is>
          <t>Pharma - Formulators</t>
        </is>
      </c>
      <c r="G60" s="30" t="inlineStr">
        <is>
          <t>largecap</t>
        </is>
      </c>
      <c r="H60" s="31" t="n">
        <v>33699.25</v>
      </c>
      <c r="I60" s="31" t="n">
        <v>2073.9</v>
      </c>
      <c r="J60" s="31" t="n">
        <v>5.48</v>
      </c>
      <c r="K60" s="31" t="n">
        <v>0</v>
      </c>
      <c r="L60" s="30" t="n">
        <v>71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78.20999999999999</v>
      </c>
      <c r="P60" s="31" t="n">
        <v>27.69</v>
      </c>
      <c r="Q60" s="31" t="n">
        <v>1509.63</v>
      </c>
      <c r="R60" s="30" t="inlineStr">
        <is>
          <t>Volume Spike &amp; Near 52W High Breakout</t>
        </is>
      </c>
      <c r="S60" s="30" t="inlineStr">
        <is>
          <t>Nifty Pharma</t>
        </is>
      </c>
      <c r="T60" s="31" t="n">
        <v>11.08</v>
      </c>
      <c r="U60" s="31" t="n">
        <v>37.76</v>
      </c>
      <c r="V60" s="31" t="n">
        <v>24.02</v>
      </c>
      <c r="W60" s="31" t="n">
        <v>20.98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Between 50% to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19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SKYGOLD</t>
        </is>
      </c>
      <c r="D61" s="30" t="inlineStr">
        <is>
          <t>Sky Gold &amp; Diamonds Ltd</t>
        </is>
      </c>
      <c r="E61" s="30" t="inlineStr">
        <is>
          <t>consumer discretionary</t>
        </is>
      </c>
      <c r="F61" s="30" t="inlineStr">
        <is>
          <t>Diamond, Gems &amp; Jewellery</t>
        </is>
      </c>
      <c r="G61" s="30" t="inlineStr">
        <is>
          <t>midcap</t>
        </is>
      </c>
      <c r="H61" s="31" t="n">
        <v>8723.27</v>
      </c>
      <c r="I61" s="31" t="n">
        <v>563.25</v>
      </c>
      <c r="J61" s="31" t="n">
        <v>0.63</v>
      </c>
      <c r="K61" s="31" t="n">
        <v>0</v>
      </c>
      <c r="L61" s="30" t="n">
        <v>80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69.67</v>
      </c>
      <c r="P61" s="31" t="n">
        <v>31.18</v>
      </c>
      <c r="Q61" s="31" t="n">
        <v>409.57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-6.39</v>
      </c>
      <c r="U61" s="31" t="n">
        <v>49.24</v>
      </c>
      <c r="V61" s="31" t="n">
        <v>59.43</v>
      </c>
      <c r="W61" s="31" t="n">
        <v>25.54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31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PTCIL</t>
        </is>
      </c>
      <c r="D62" s="30" t="inlineStr">
        <is>
          <t>PTC Industries Ltd</t>
        </is>
      </c>
      <c r="E62" s="30" t="inlineStr">
        <is>
          <t>industrials</t>
        </is>
      </c>
      <c r="F62" s="30" t="inlineStr">
        <is>
          <t>Castings - Steel/Alloy</t>
        </is>
      </c>
      <c r="G62" s="30" t="inlineStr">
        <is>
          <t>largecap</t>
        </is>
      </c>
      <c r="H62" s="31" t="n">
        <v>28364.4</v>
      </c>
      <c r="I62" s="31" t="n">
        <v>18919</v>
      </c>
      <c r="J62" s="31" t="n">
        <v>-2.38</v>
      </c>
      <c r="K62" s="31" t="n">
        <v>0</v>
      </c>
      <c r="L62" s="30" t="n">
        <v>28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62.07</v>
      </c>
      <c r="P62" s="31" t="n">
        <v>12.32</v>
      </c>
      <c r="Q62" s="31" t="n">
        <v>14793.58</v>
      </c>
      <c r="R62" s="30" t="inlineStr">
        <is>
          <t>Volume Spike &amp; Near 52W High Breakout</t>
        </is>
      </c>
      <c r="S62" s="30" t="inlineStr">
        <is>
          <t>Nifty 50</t>
        </is>
      </c>
      <c r="T62" s="31" t="n">
        <v>-6.39</v>
      </c>
      <c r="U62" s="31" t="n">
        <v>29.55</v>
      </c>
      <c r="V62" s="31" t="n">
        <v>38.39</v>
      </c>
      <c r="W62" s="31" t="n">
        <v>7.81</v>
      </c>
      <c r="X62" s="30" t="inlineStr">
        <is>
          <t>Cyclical in an Upturn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0 to 20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26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RRKABEL</t>
        </is>
      </c>
      <c r="D63" s="30" t="inlineStr">
        <is>
          <t>R R Kabel Ltd</t>
        </is>
      </c>
      <c r="E63" s="30" t="inlineStr">
        <is>
          <t>industrials</t>
        </is>
      </c>
      <c r="F63" s="30" t="inlineStr">
        <is>
          <t>Cables - Power</t>
        </is>
      </c>
      <c r="G63" s="30" t="inlineStr">
        <is>
          <t>largecap</t>
        </is>
      </c>
      <c r="H63" s="31" t="n">
        <v>24384.42</v>
      </c>
      <c r="I63" s="31" t="n">
        <v>2155.9</v>
      </c>
      <c r="J63" s="31" t="n">
        <v>6.53</v>
      </c>
      <c r="K63" s="31" t="n">
        <v>0</v>
      </c>
      <c r="L63" s="30" t="n">
        <v>67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77.28</v>
      </c>
      <c r="P63" s="31" t="n">
        <v>32.05</v>
      </c>
      <c r="Q63" s="31" t="n">
        <v>1705.72</v>
      </c>
      <c r="R63" s="30" t="inlineStr">
        <is>
          <t>Near 52W High Breakout</t>
        </is>
      </c>
      <c r="S63" s="30" t="inlineStr">
        <is>
          <t>Nifty Energy</t>
        </is>
      </c>
      <c r="T63" s="31" t="n">
        <v>11.89</v>
      </c>
      <c r="U63" s="31" t="n">
        <v>53.33</v>
      </c>
      <c r="V63" s="31" t="n">
        <v>37.03</v>
      </c>
      <c r="W63" s="31" t="n">
        <v>18.62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Between 1.5 to 2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25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RAIN</t>
        </is>
      </c>
      <c r="D64" s="30" t="inlineStr">
        <is>
          <t>Rain Industries Ltd</t>
        </is>
      </c>
      <c r="E64" s="30" t="inlineStr">
        <is>
          <t>miscellaneous</t>
        </is>
      </c>
      <c r="F64" s="30" t="inlineStr">
        <is>
          <t>Cement</t>
        </is>
      </c>
      <c r="G64" s="30" t="inlineStr">
        <is>
          <t>midcap</t>
        </is>
      </c>
      <c r="H64" s="31" t="n">
        <v>6742.72</v>
      </c>
      <c r="I64" s="31" t="n">
        <v>200.47</v>
      </c>
      <c r="J64" s="31" t="n">
        <v>1.3</v>
      </c>
      <c r="K64" s="31" t="n">
        <v>0</v>
      </c>
      <c r="L64" s="30" t="n">
        <v>68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73.20999999999999</v>
      </c>
      <c r="P64" s="31" t="n">
        <v>18.85</v>
      </c>
      <c r="Q64" s="31" t="n">
        <v>150.36</v>
      </c>
      <c r="R64" s="30" t="inlineStr">
        <is>
          <t>Near 52W High Breakout</t>
        </is>
      </c>
      <c r="S64" s="30" t="inlineStr">
        <is>
          <t>Nifty 50</t>
        </is>
      </c>
      <c r="T64" s="31" t="n">
        <v>-6.39</v>
      </c>
      <c r="U64" s="31" t="n">
        <v>37.87</v>
      </c>
      <c r="V64" s="31" t="n">
        <v>47.28</v>
      </c>
      <c r="W64" s="31" t="n">
        <v>19.89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More than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25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JNKINDIA</t>
        </is>
      </c>
      <c r="D65" s="30" t="inlineStr">
        <is>
          <t>JNK India Ltd</t>
        </is>
      </c>
      <c r="E65" s="30" t="inlineStr">
        <is>
          <t>realty</t>
        </is>
      </c>
      <c r="F65" s="30" t="inlineStr">
        <is>
          <t>Capital Goods - Engineering Heavy</t>
        </is>
      </c>
      <c r="G65" s="30" t="inlineStr">
        <is>
          <t>smallcap</t>
        </is>
      </c>
      <c r="H65" s="31" t="n">
        <v>2144.71</v>
      </c>
      <c r="I65" s="31" t="n">
        <v>383.3</v>
      </c>
      <c r="J65" s="31" t="n">
        <v>6.06</v>
      </c>
      <c r="K65" s="31" t="n">
        <v>0</v>
      </c>
      <c r="L65" s="30" t="n">
        <v>68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66.59</v>
      </c>
      <c r="P65" s="31" t="n">
        <v>23.9</v>
      </c>
      <c r="Q65" s="31" t="n">
        <v>267.64</v>
      </c>
      <c r="R65" s="30" t="inlineStr">
        <is>
          <t>Near 52W High Breakout</t>
        </is>
      </c>
      <c r="S65" s="30" t="inlineStr">
        <is>
          <t>Nifty Realty</t>
        </is>
      </c>
      <c r="T65" s="31" t="n">
        <v>-26.64</v>
      </c>
      <c r="U65" s="31" t="n">
        <v>10.97</v>
      </c>
      <c r="V65" s="31" t="n">
        <v>51.28</v>
      </c>
      <c r="W65" s="31" t="n">
        <v>19.44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25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SANDHAR</t>
        </is>
      </c>
      <c r="D66" s="30" t="inlineStr">
        <is>
          <t>Sandhar Technologies Limited</t>
        </is>
      </c>
      <c r="E66" s="30" t="inlineStr">
        <is>
          <t>auto</t>
        </is>
      </c>
      <c r="F66" s="30" t="inlineStr">
        <is>
          <t>Auto Ancillaries - 2&amp;3 Wheelers</t>
        </is>
      </c>
      <c r="G66" s="30" t="inlineStr">
        <is>
          <t>smallcap</t>
        </is>
      </c>
      <c r="H66" s="31" t="n">
        <v>4323.2</v>
      </c>
      <c r="I66" s="31" t="n">
        <v>718.25</v>
      </c>
      <c r="J66" s="31" t="n">
        <v>3.03</v>
      </c>
      <c r="K66" s="31" t="n">
        <v>0</v>
      </c>
      <c r="L66" s="30" t="n">
        <v>66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72.36</v>
      </c>
      <c r="P66" s="31" t="n">
        <v>15.54</v>
      </c>
      <c r="Q66" s="31" t="n">
        <v>540.63</v>
      </c>
      <c r="R66" s="30" t="inlineStr">
        <is>
          <t>Near 52W High Breakout</t>
        </is>
      </c>
      <c r="S66" s="30" t="inlineStr">
        <is>
          <t>Nifty Auto</t>
        </is>
      </c>
      <c r="T66" s="31" t="n">
        <v>10.28</v>
      </c>
      <c r="U66" s="31" t="n">
        <v>41.01</v>
      </c>
      <c r="V66" s="31" t="n">
        <v>27.87</v>
      </c>
      <c r="W66" s="31" t="n">
        <v>17.81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0 to 20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24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PREMIERENE</t>
        </is>
      </c>
      <c r="D67" s="30" t="inlineStr">
        <is>
          <t>Premier Energies Ltd</t>
        </is>
      </c>
      <c r="E67" s="30" t="inlineStr">
        <is>
          <t>services</t>
        </is>
      </c>
      <c r="F67" s="30" t="inlineStr">
        <is>
          <t>Capital Goods - Solar</t>
        </is>
      </c>
      <c r="G67" s="30" t="inlineStr">
        <is>
          <t>largecap</t>
        </is>
      </c>
      <c r="H67" s="31" t="n">
        <v>49435.32</v>
      </c>
      <c r="I67" s="31" t="n">
        <v>1089</v>
      </c>
      <c r="J67" s="31" t="n">
        <v>1.36</v>
      </c>
      <c r="K67" s="31" t="n">
        <v>0</v>
      </c>
      <c r="L67" s="30" t="n">
        <v>49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66.05</v>
      </c>
      <c r="P67" s="31" t="n">
        <v>18.66</v>
      </c>
      <c r="Q67" s="31" t="n">
        <v>858.83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-6.39</v>
      </c>
      <c r="U67" s="31" t="n">
        <v>3.5</v>
      </c>
      <c r="V67" s="31" t="n">
        <v>10.57</v>
      </c>
      <c r="W67" s="31" t="n">
        <v>13.32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0 to 20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Between 0.7 to 1.2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21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SANGHVIMOV</t>
        </is>
      </c>
      <c r="D68" s="33" t="inlineStr">
        <is>
          <t>Sanghvi Movers Ltd</t>
        </is>
      </c>
      <c r="E68" s="30" t="inlineStr">
        <is>
          <t>miscellaneous</t>
        </is>
      </c>
      <c r="F68" s="30" t="inlineStr">
        <is>
          <t>Capital Goods - EPC/Cranes</t>
        </is>
      </c>
      <c r="G68" s="30" t="inlineStr">
        <is>
          <t>smallcap</t>
        </is>
      </c>
      <c r="H68" s="31" t="n">
        <v>3110.68</v>
      </c>
      <c r="I68" s="31" t="n">
        <v>359.3</v>
      </c>
      <c r="J68" s="31" t="n">
        <v>0.52</v>
      </c>
      <c r="K68" s="31" t="n">
        <v>0</v>
      </c>
      <c r="L68" s="30" t="n">
        <v>57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59.67</v>
      </c>
      <c r="P68" s="31" t="n">
        <v>18.61</v>
      </c>
      <c r="Q68" s="31" t="n">
        <v>254.86</v>
      </c>
      <c r="R68" s="30" t="inlineStr">
        <is>
          <t>Earnings / Momentum Support</t>
        </is>
      </c>
      <c r="S68" s="30" t="inlineStr">
        <is>
          <t>Nifty 50</t>
        </is>
      </c>
      <c r="T68" s="31" t="n">
        <v>-6.39</v>
      </c>
      <c r="U68" s="31" t="n">
        <v>21.69</v>
      </c>
      <c r="V68" s="31" t="n">
        <v>30</v>
      </c>
      <c r="W68" s="31" t="n">
        <v>15.59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No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0 to 20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3" t="inlineStr">
        <is>
          <t>IDEAFORGE</t>
        </is>
      </c>
      <c r="D69" s="33" t="inlineStr">
        <is>
          <t>Ideaforge Technology Ltd</t>
        </is>
      </c>
      <c r="E69" s="30" t="inlineStr">
        <is>
          <t>aerospace &amp; defence</t>
        </is>
      </c>
      <c r="F69" s="30" t="inlineStr">
        <is>
          <t>Aerospace &amp; Defence - Equipments</t>
        </is>
      </c>
      <c r="G69" s="30" t="inlineStr">
        <is>
          <t>smallcap</t>
        </is>
      </c>
      <c r="H69" s="31" t="n">
        <v>3719.08</v>
      </c>
      <c r="I69" s="31" t="n">
        <v>857.15</v>
      </c>
      <c r="J69" s="31" t="n">
        <v>3.41</v>
      </c>
      <c r="K69" s="31" t="n">
        <v>0</v>
      </c>
      <c r="L69" s="30" t="n">
        <v>87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77.64</v>
      </c>
      <c r="P69" s="31" t="n">
        <v>36.89</v>
      </c>
      <c r="Q69" s="31" t="n">
        <v>610.49</v>
      </c>
      <c r="R69" s="30" t="inlineStr">
        <is>
          <t>Near 52W High Breakout</t>
        </is>
      </c>
      <c r="S69" s="30" t="inlineStr">
        <is>
          <t>Nifty Infra</t>
        </is>
      </c>
      <c r="T69" s="31" t="n">
        <v>1.52</v>
      </c>
      <c r="U69" s="31" t="n">
        <v>44.95</v>
      </c>
      <c r="V69" s="31" t="n">
        <v>42.78</v>
      </c>
      <c r="W69" s="31" t="n">
        <v>32.24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SASKEN</t>
        </is>
      </c>
      <c r="D70" s="30" t="inlineStr">
        <is>
          <t>Sasken Technologies Ltd</t>
        </is>
      </c>
      <c r="E70" s="30" t="inlineStr">
        <is>
          <t>i.t</t>
        </is>
      </c>
      <c r="F70" s="30" t="inlineStr">
        <is>
          <t>IT - Software</t>
        </is>
      </c>
      <c r="G70" s="30" t="inlineStr">
        <is>
          <t>smallcap</t>
        </is>
      </c>
      <c r="H70" s="31" t="n">
        <v>3351.65</v>
      </c>
      <c r="I70" s="31" t="n">
        <v>2207</v>
      </c>
      <c r="J70" s="31" t="n">
        <v>-5.62</v>
      </c>
      <c r="K70" s="31" t="n">
        <v>0</v>
      </c>
      <c r="L70" s="30" t="n">
        <v>89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75.89</v>
      </c>
      <c r="P70" s="31" t="n">
        <v>27.93</v>
      </c>
      <c r="Q70" s="31" t="n">
        <v>1699.6</v>
      </c>
      <c r="R70" s="30" t="inlineStr">
        <is>
          <t>Near 52W High Breakout</t>
        </is>
      </c>
      <c r="S70" s="30" t="inlineStr">
        <is>
          <t>Nifty IT</t>
        </is>
      </c>
      <c r="T70" s="31" t="n">
        <v>-21.21</v>
      </c>
      <c r="U70" s="31" t="n">
        <v>53.63</v>
      </c>
      <c r="V70" s="31" t="n">
        <v>94.98999999999999</v>
      </c>
      <c r="W70" s="31" t="n">
        <v>34.17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Negative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22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SENORES</t>
        </is>
      </c>
      <c r="D71" s="30" t="inlineStr">
        <is>
          <t>Senores Pharmaceuticals Ltd</t>
        </is>
      </c>
      <c r="E71" s="30" t="inlineStr">
        <is>
          <t>Healthcare</t>
        </is>
      </c>
      <c r="F71" s="30" t="inlineStr">
        <is>
          <t>Pharma - API</t>
        </is>
      </c>
      <c r="G71" s="30" t="inlineStr">
        <is>
          <t>smallcap</t>
        </is>
      </c>
      <c r="H71" s="31" t="n">
        <v>4813.06</v>
      </c>
      <c r="I71" s="31" t="n">
        <v>1045.1</v>
      </c>
      <c r="J71" s="31" t="n">
        <v>1.12</v>
      </c>
      <c r="K71" s="31" t="n">
        <v>0</v>
      </c>
      <c r="L71" s="30" t="n">
        <v>77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67.09</v>
      </c>
      <c r="P71" s="31" t="n">
        <v>36.77</v>
      </c>
      <c r="Q71" s="31" t="n">
        <v>868.1799999999999</v>
      </c>
      <c r="R71" s="30" t="inlineStr">
        <is>
          <t>Earnings / Momentum Support</t>
        </is>
      </c>
      <c r="S71" s="30" t="inlineStr">
        <is>
          <t>Nifty Pharma</t>
        </is>
      </c>
      <c r="T71" s="31" t="n">
        <v>11.08</v>
      </c>
      <c r="U71" s="31" t="n">
        <v>96.12</v>
      </c>
      <c r="V71" s="31" t="n">
        <v>76.56</v>
      </c>
      <c r="W71" s="31" t="n">
        <v>23.58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20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JAYBARMARU</t>
        </is>
      </c>
      <c r="D72" s="30" t="inlineStr">
        <is>
          <t>Jay Bharat Maruti Ltd</t>
        </is>
      </c>
      <c r="E72" s="30" t="inlineStr">
        <is>
          <t>auto</t>
        </is>
      </c>
      <c r="F72" s="30" t="inlineStr">
        <is>
          <t>Auto Ancillaries - Diversified</t>
        </is>
      </c>
      <c r="G72" s="30" t="inlineStr">
        <is>
          <t>smallcap</t>
        </is>
      </c>
      <c r="H72" s="31" t="n">
        <v>1382.46</v>
      </c>
      <c r="I72" s="31" t="n">
        <v>127.71</v>
      </c>
      <c r="J72" s="31" t="n">
        <v>1.24</v>
      </c>
      <c r="K72" s="31" t="n">
        <v>0</v>
      </c>
      <c r="L72" s="30" t="n">
        <v>68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65.36</v>
      </c>
      <c r="P72" s="31" t="n">
        <v>15.35</v>
      </c>
      <c r="Q72" s="31" t="n">
        <v>89.87</v>
      </c>
      <c r="R72" s="30" t="inlineStr">
        <is>
          <t>Near 52W High Breakout</t>
        </is>
      </c>
      <c r="S72" s="30" t="inlineStr">
        <is>
          <t>Nifty Auto</t>
        </is>
      </c>
      <c r="T72" s="31" t="n">
        <v>10.28</v>
      </c>
      <c r="U72" s="31" t="n">
        <v>64.66</v>
      </c>
      <c r="V72" s="31" t="n">
        <v>49.32</v>
      </c>
      <c r="W72" s="31" t="n">
        <v>18.75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0 to 20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25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SOTL</t>
        </is>
      </c>
      <c r="D73" s="33" t="inlineStr">
        <is>
          <t>Savita Oil Technologies Ltd</t>
        </is>
      </c>
      <c r="E73" s="30" t="inlineStr">
        <is>
          <t>energy</t>
        </is>
      </c>
      <c r="F73" s="30" t="inlineStr">
        <is>
          <t>Petrochem - Others</t>
        </is>
      </c>
      <c r="G73" s="30" t="inlineStr">
        <is>
          <t>smallcap</t>
        </is>
      </c>
      <c r="H73" s="31" t="n">
        <v>3528.12</v>
      </c>
      <c r="I73" s="31" t="n">
        <v>514.6</v>
      </c>
      <c r="J73" s="31" t="n">
        <v>17.56</v>
      </c>
      <c r="K73" s="31" t="n">
        <v>0</v>
      </c>
      <c r="L73" s="30" t="n">
        <v>54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71.02</v>
      </c>
      <c r="P73" s="31" t="n">
        <v>22.87</v>
      </c>
      <c r="Q73" s="31" t="n">
        <v>392.11</v>
      </c>
      <c r="R73" s="30" t="inlineStr">
        <is>
          <t>Volume Spike &amp; Near 52W High Breakout</t>
        </is>
      </c>
      <c r="S73" s="30" t="inlineStr">
        <is>
          <t>Nifty Energy</t>
        </is>
      </c>
      <c r="T73" s="31" t="n">
        <v>11.89</v>
      </c>
      <c r="U73" s="31" t="n">
        <v>22.49</v>
      </c>
      <c r="V73" s="31" t="n">
        <v>9.470000000000001</v>
      </c>
      <c r="W73" s="31" t="n">
        <v>14.81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Cyclical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Volatile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24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INDNIPPON</t>
        </is>
      </c>
      <c r="D74" s="30" t="inlineStr">
        <is>
          <t>India Nippon Electricals Ltd</t>
        </is>
      </c>
      <c r="E74" s="30" t="inlineStr">
        <is>
          <t>auto</t>
        </is>
      </c>
      <c r="F74" s="30" t="inlineStr">
        <is>
          <t>Auto Ancillaries - Engine Parts</t>
        </is>
      </c>
      <c r="G74" s="30" t="inlineStr">
        <is>
          <t>smallcap</t>
        </is>
      </c>
      <c r="H74" s="31" t="n">
        <v>2037.06</v>
      </c>
      <c r="I74" s="31" t="n">
        <v>900.5</v>
      </c>
      <c r="J74" s="31" t="n">
        <v>0.54</v>
      </c>
      <c r="K74" s="31" t="n">
        <v>0</v>
      </c>
      <c r="L74" s="30" t="n">
        <v>34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60.42</v>
      </c>
      <c r="P74" s="31" t="n">
        <v>10.62</v>
      </c>
      <c r="Q74" s="31" t="n">
        <v>713.77</v>
      </c>
      <c r="R74" s="30" t="inlineStr">
        <is>
          <t>Earnings / Momentum Support</t>
        </is>
      </c>
      <c r="S74" s="30" t="inlineStr">
        <is>
          <t>Nifty Auto</t>
        </is>
      </c>
      <c r="T74" s="31" t="n">
        <v>10.28</v>
      </c>
      <c r="U74" s="31" t="n">
        <v>33.12</v>
      </c>
      <c r="V74" s="31" t="n">
        <v>20.71</v>
      </c>
      <c r="W74" s="31" t="n">
        <v>9.380000000000001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23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DIACABS</t>
        </is>
      </c>
      <c r="D75" s="30" t="inlineStr">
        <is>
          <t>Diamond Power Infrastructure Ltd</t>
        </is>
      </c>
      <c r="E75" s="30" t="inlineStr">
        <is>
          <t>industrials</t>
        </is>
      </c>
      <c r="F75" s="30" t="inlineStr">
        <is>
          <t>Cables - Power</t>
        </is>
      </c>
      <c r="G75" s="30" t="inlineStr">
        <is>
          <t>midcap</t>
        </is>
      </c>
      <c r="H75" s="31" t="n">
        <v>9942.889999999999</v>
      </c>
      <c r="I75" s="31" t="n">
        <v>188.68</v>
      </c>
      <c r="J75" s="31" t="n">
        <v>-3.07</v>
      </c>
      <c r="K75" s="31" t="n">
        <v>0</v>
      </c>
      <c r="L75" s="30" t="n">
        <v>75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69.68000000000001</v>
      </c>
      <c r="P75" s="31" t="n">
        <v>29.5</v>
      </c>
      <c r="Q75" s="31" t="n">
        <v>146.93</v>
      </c>
      <c r="R75" s="30" t="inlineStr">
        <is>
          <t>Near 52W High Breakout</t>
        </is>
      </c>
      <c r="S75" s="30" t="inlineStr">
        <is>
          <t>Nifty Energy</t>
        </is>
      </c>
      <c r="T75" s="31" t="n">
        <v>11.89</v>
      </c>
      <c r="U75" s="31" t="n">
        <v>86.3</v>
      </c>
      <c r="V75" s="31" t="n">
        <v>66.48999999999999</v>
      </c>
      <c r="W75" s="31" t="n">
        <v>23.02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Negative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ROBU</t>
        </is>
      </c>
      <c r="D76" s="30" t="inlineStr">
        <is>
          <t>Macfos Ltd</t>
        </is>
      </c>
      <c r="E76" s="30" t="inlineStr">
        <is>
          <t>Technology</t>
        </is>
      </c>
      <c r="F76" s="30" t="inlineStr">
        <is>
          <t>E-Commerce - Platform - Utility</t>
        </is>
      </c>
      <c r="G76" s="30" t="inlineStr">
        <is>
          <t>smallcap</t>
        </is>
      </c>
      <c r="H76" s="31" t="n">
        <v>1190.09</v>
      </c>
      <c r="I76" s="31" t="n">
        <v>1148.9</v>
      </c>
      <c r="J76" s="31" t="n">
        <v>-1.64</v>
      </c>
      <c r="K76" s="31" t="n">
        <v>0</v>
      </c>
      <c r="L76" s="30" t="n">
        <v>64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76.56</v>
      </c>
      <c r="P76" s="31" t="n">
        <v>67.59</v>
      </c>
      <c r="Q76" s="31" t="n">
        <v>856.34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-6.39</v>
      </c>
      <c r="U76" s="31" t="n">
        <v>60.82</v>
      </c>
      <c r="V76" s="31" t="n">
        <v>71.8</v>
      </c>
      <c r="W76" s="31" t="n">
        <v>17.43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Oligopoly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Above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Negative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23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VIYASH</t>
        </is>
      </c>
      <c r="D77" s="30" t="inlineStr">
        <is>
          <t>Viyash Scientific Ltd</t>
        </is>
      </c>
      <c r="E77" s="30" t="inlineStr">
        <is>
          <t>healthcare</t>
        </is>
      </c>
      <c r="F77" s="30" t="inlineStr">
        <is>
          <t>Pharma - Animal</t>
        </is>
      </c>
      <c r="G77" s="30" t="inlineStr">
        <is>
          <t>midcap</t>
        </is>
      </c>
      <c r="H77" s="31" t="n">
        <v>10834.51</v>
      </c>
      <c r="I77" s="31" t="n">
        <v>248</v>
      </c>
      <c r="J77" s="31" t="n">
        <v>-0.78</v>
      </c>
      <c r="K77" s="31" t="n">
        <v>0</v>
      </c>
      <c r="L77" s="30" t="n">
        <v>38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64.39</v>
      </c>
      <c r="P77" s="31" t="n">
        <v>28.69</v>
      </c>
      <c r="Q77" s="31" t="n">
        <v>196.16</v>
      </c>
      <c r="R77" s="30" t="inlineStr">
        <is>
          <t>Earnings / Momentum Support</t>
        </is>
      </c>
      <c r="S77" s="30" t="inlineStr">
        <is>
          <t>Nifty Pharma</t>
        </is>
      </c>
      <c r="T77" s="31" t="n">
        <v>11.08</v>
      </c>
      <c r="U77" s="31" t="n">
        <v>32.02</v>
      </c>
      <c r="V77" s="31" t="n">
        <v>18.85</v>
      </c>
      <c r="W77" s="31" t="n">
        <v>10.51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Less than 50%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19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V2RETAIL</t>
        </is>
      </c>
      <c r="D78" s="30" t="inlineStr">
        <is>
          <t>V2 Retail Ltd</t>
        </is>
      </c>
      <c r="E78" s="30" t="inlineStr">
        <is>
          <t>consumer discretionary</t>
        </is>
      </c>
      <c r="F78" s="30" t="inlineStr">
        <is>
          <t>Textiles - Readymade Apparel</t>
        </is>
      </c>
      <c r="G78" s="30" t="inlineStr">
        <is>
          <t>midcap</t>
        </is>
      </c>
      <c r="H78" s="31" t="n">
        <v>8957.32</v>
      </c>
      <c r="I78" s="31" t="n">
        <v>245.65</v>
      </c>
      <c r="J78" s="31" t="n">
        <v>2.22</v>
      </c>
      <c r="K78" s="31" t="n">
        <v>0</v>
      </c>
      <c r="L78" s="30" t="n">
        <v>50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65.81999999999999</v>
      </c>
      <c r="P78" s="31" t="n">
        <v>25.8</v>
      </c>
      <c r="Q78" s="31" t="n">
        <v>183.09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-6.39</v>
      </c>
      <c r="U78" s="31" t="n">
        <v>34.91</v>
      </c>
      <c r="V78" s="31" t="n">
        <v>44.12</v>
      </c>
      <c r="W78" s="31" t="n">
        <v>13.38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Negative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23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ANTELOPUS</t>
        </is>
      </c>
      <c r="D79" s="30" t="inlineStr">
        <is>
          <t>Antelopus Selan Energy Ltd</t>
        </is>
      </c>
      <c r="E79" s="30" t="inlineStr">
        <is>
          <t>energy</t>
        </is>
      </c>
      <c r="F79" s="30" t="inlineStr">
        <is>
          <t>Oil Drilling &amp; Exploration</t>
        </is>
      </c>
      <c r="G79" s="30" t="inlineStr">
        <is>
          <t>smallcap</t>
        </is>
      </c>
      <c r="H79" s="31" t="n">
        <v>3065.45</v>
      </c>
      <c r="I79" s="31" t="n">
        <v>871.8</v>
      </c>
      <c r="J79" s="31" t="n">
        <v>2.06</v>
      </c>
      <c r="K79" s="31" t="n">
        <v>0</v>
      </c>
      <c r="L79" s="30" t="n">
        <v>74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70.56999999999999</v>
      </c>
      <c r="P79" s="31" t="n">
        <v>39.47</v>
      </c>
      <c r="Q79" s="31" t="n">
        <v>607.26</v>
      </c>
      <c r="R79" s="30" t="inlineStr">
        <is>
          <t>Near 52W High Breakout</t>
        </is>
      </c>
      <c r="S79" s="30" t="inlineStr">
        <is>
          <t>Nifty Energy</t>
        </is>
      </c>
      <c r="T79" s="31" t="n">
        <v>11.89</v>
      </c>
      <c r="U79" s="31" t="n">
        <v>44.71</v>
      </c>
      <c r="V79" s="31" t="n">
        <v>29.33</v>
      </c>
      <c r="W79" s="31" t="n">
        <v>22.19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Oligopoly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Cyclical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Volatile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KINGFA</t>
        </is>
      </c>
      <c r="D80" s="30" t="inlineStr">
        <is>
          <t>Kingfa Science &amp; Technology (India) Ltd</t>
        </is>
      </c>
      <c r="E80" s="30" t="inlineStr">
        <is>
          <t>plastic products</t>
        </is>
      </c>
      <c r="F80" s="30" t="inlineStr">
        <is>
          <t>Plastics - Plastic &amp; Plastic Products</t>
        </is>
      </c>
      <c r="G80" s="30" t="inlineStr">
        <is>
          <t>midcap</t>
        </is>
      </c>
      <c r="H80" s="31" t="n">
        <v>7147</v>
      </c>
      <c r="I80" s="31" t="n">
        <v>5274</v>
      </c>
      <c r="J80" s="31" t="n">
        <v>-1.24</v>
      </c>
      <c r="K80" s="31" t="n">
        <v>0</v>
      </c>
      <c r="L80" s="30" t="n">
        <v>62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62.39</v>
      </c>
      <c r="P80" s="31" t="n">
        <v>22.02</v>
      </c>
      <c r="Q80" s="31" t="n">
        <v>4205</v>
      </c>
      <c r="R80" s="30" t="inlineStr">
        <is>
          <t>Near 52W High Breakout</t>
        </is>
      </c>
      <c r="S80" s="30" t="inlineStr">
        <is>
          <t>Nifty 50</t>
        </is>
      </c>
      <c r="T80" s="31" t="n">
        <v>-6.39</v>
      </c>
      <c r="U80" s="31" t="n">
        <v>64.03</v>
      </c>
      <c r="V80" s="31" t="n">
        <v>75.23</v>
      </c>
      <c r="W80" s="31" t="n">
        <v>16.7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Negative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Between 12 to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20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CEIGALL</t>
        </is>
      </c>
      <c r="D81" s="33" t="inlineStr">
        <is>
          <t>Ceigall India Ltd</t>
        </is>
      </c>
      <c r="E81" s="30" t="inlineStr">
        <is>
          <t>realty</t>
        </is>
      </c>
      <c r="F81" s="30" t="inlineStr">
        <is>
          <t>Construction - Civil/Turnkey</t>
        </is>
      </c>
      <c r="G81" s="30" t="inlineStr">
        <is>
          <t>midcap</t>
        </is>
      </c>
      <c r="H81" s="31" t="n">
        <v>6281.83</v>
      </c>
      <c r="I81" s="31" t="n">
        <v>360.6</v>
      </c>
      <c r="J81" s="31" t="n">
        <v>3.68</v>
      </c>
      <c r="K81" s="31" t="n">
        <v>0</v>
      </c>
      <c r="L81" s="30" t="n">
        <v>55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69.23</v>
      </c>
      <c r="P81" s="31" t="n">
        <v>41.58</v>
      </c>
      <c r="Q81" s="31" t="n">
        <v>298.21</v>
      </c>
      <c r="R81" s="30" t="inlineStr">
        <is>
          <t>Near 52W High Breakout</t>
        </is>
      </c>
      <c r="S81" s="30" t="inlineStr">
        <is>
          <t>Nifty Realty</t>
        </is>
      </c>
      <c r="T81" s="31" t="n">
        <v>-26.64</v>
      </c>
      <c r="U81" s="31" t="n">
        <v>47.29</v>
      </c>
      <c r="V81" s="31" t="n">
        <v>100.78</v>
      </c>
      <c r="W81" s="31" t="n">
        <v>15.16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Negative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19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VADILALIND</t>
        </is>
      </c>
      <c r="D82" s="30" t="inlineStr">
        <is>
          <t>Vadilal Industries Ltd</t>
        </is>
      </c>
      <c r="E82" s="30" t="inlineStr">
        <is>
          <t>fmcg</t>
        </is>
      </c>
      <c r="F82" s="30" t="inlineStr">
        <is>
          <t>FMCG - Dairy Products</t>
        </is>
      </c>
      <c r="G82" s="30" t="inlineStr">
        <is>
          <t>smallcap</t>
        </is>
      </c>
      <c r="H82" s="31" t="n">
        <v>3877.04</v>
      </c>
      <c r="I82" s="31" t="n">
        <v>5393.9</v>
      </c>
      <c r="J82" s="31" t="n">
        <v>0.17</v>
      </c>
      <c r="K82" s="31" t="n">
        <v>0</v>
      </c>
      <c r="L82" s="30" t="n">
        <v>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60.15</v>
      </c>
      <c r="P82" s="31" t="n">
        <v>10.29</v>
      </c>
      <c r="Q82" s="31" t="n">
        <v>4112.35</v>
      </c>
      <c r="R82" s="30" t="inlineStr">
        <is>
          <t>Volume Spike &amp; Near 52W High Breakout</t>
        </is>
      </c>
      <c r="S82" s="30" t="inlineStr">
        <is>
          <t>Nifty FMCG</t>
        </is>
      </c>
      <c r="T82" s="31" t="n">
        <v>-13.76</v>
      </c>
      <c r="U82" s="31" t="n">
        <v>-0.59</v>
      </c>
      <c r="V82" s="31" t="n">
        <v>15.27</v>
      </c>
      <c r="W82" s="31" t="n">
        <v>1.1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B2C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1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Between 50% to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20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2" t="inlineStr">
        <is>
          <t>NSLNISP</t>
        </is>
      </c>
      <c r="D83" s="32" t="inlineStr">
        <is>
          <t>NMDC Steel Ltd</t>
        </is>
      </c>
      <c r="E83" s="30" t="inlineStr">
        <is>
          <t>metals &amp; mining</t>
        </is>
      </c>
      <c r="F83" s="30" t="inlineStr">
        <is>
          <t>Steel</t>
        </is>
      </c>
      <c r="G83" s="30" t="inlineStr">
        <is>
          <t>midcap</t>
        </is>
      </c>
      <c r="H83" s="31" t="n">
        <v>15371.03</v>
      </c>
      <c r="I83" s="31" t="n">
        <v>52.45</v>
      </c>
      <c r="J83" s="31" t="n">
        <v>-0.19</v>
      </c>
      <c r="K83" s="31" t="n">
        <v>0</v>
      </c>
      <c r="L83" s="30" t="n">
        <v>52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70.94</v>
      </c>
      <c r="P83" s="31" t="n">
        <v>24.11</v>
      </c>
      <c r="Q83" s="31" t="n">
        <v>41.5</v>
      </c>
      <c r="R83" s="30" t="inlineStr">
        <is>
          <t>Volume Spike &amp; Near 52W High Breakout</t>
        </is>
      </c>
      <c r="S83" s="30" t="inlineStr">
        <is>
          <t>Nifty Metal</t>
        </is>
      </c>
      <c r="T83" s="31" t="n">
        <v>43.89</v>
      </c>
      <c r="U83" s="31" t="n">
        <v>33.02</v>
      </c>
      <c r="V83" s="31" t="n">
        <v>-7.56</v>
      </c>
      <c r="W83" s="31" t="n">
        <v>14.08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25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AEROFLEX</t>
        </is>
      </c>
      <c r="D84" s="30" t="inlineStr">
        <is>
          <t>Aeroflex Industries Ltd</t>
        </is>
      </c>
      <c r="E84" s="30" t="inlineStr">
        <is>
          <t>metals &amp; mining</t>
        </is>
      </c>
      <c r="F84" s="30" t="inlineStr">
        <is>
          <t>Stainless Steel</t>
        </is>
      </c>
      <c r="G84" s="30" t="inlineStr">
        <is>
          <t>midcap</t>
        </is>
      </c>
      <c r="H84" s="31" t="n">
        <v>5748.45</v>
      </c>
      <c r="I84" s="31" t="n">
        <v>434.4</v>
      </c>
      <c r="J84" s="31" t="n">
        <v>3.56</v>
      </c>
      <c r="K84" s="31" t="n">
        <v>0</v>
      </c>
      <c r="L84" s="30" t="n">
        <v>94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72.16</v>
      </c>
      <c r="P84" s="31" t="n">
        <v>53.76</v>
      </c>
      <c r="Q84" s="31" t="n">
        <v>306.29</v>
      </c>
      <c r="R84" s="30" t="inlineStr">
        <is>
          <t>Near 52W High Breakout</t>
        </is>
      </c>
      <c r="S84" s="30" t="inlineStr">
        <is>
          <t>Nifty Metal</t>
        </is>
      </c>
      <c r="T84" s="31" t="n">
        <v>43.89</v>
      </c>
      <c r="U84" s="31" t="n">
        <v>166.88</v>
      </c>
      <c r="V84" s="31" t="n">
        <v>85.47</v>
      </c>
      <c r="W84" s="31" t="n">
        <v>45.55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Between 1.5 to 2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20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YASHO</t>
        </is>
      </c>
      <c r="D85" s="30" t="inlineStr">
        <is>
          <t>Yasho Industries Ltd</t>
        </is>
      </c>
      <c r="E85" s="30" t="inlineStr">
        <is>
          <t>chemicals</t>
        </is>
      </c>
      <c r="F85" s="30" t="inlineStr">
        <is>
          <t>Speciality Chemicals</t>
        </is>
      </c>
      <c r="G85" s="30" t="inlineStr">
        <is>
          <t>smallcap</t>
        </is>
      </c>
      <c r="H85" s="31" t="n">
        <v>2702.12</v>
      </c>
      <c r="I85" s="31" t="n">
        <v>2241.1</v>
      </c>
      <c r="J85" s="31" t="n">
        <v>3.37</v>
      </c>
      <c r="K85" s="31" t="n">
        <v>0</v>
      </c>
      <c r="L85" s="30" t="n">
        <v>44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75.25</v>
      </c>
      <c r="P85" s="31" t="n">
        <v>17.62</v>
      </c>
      <c r="Q85" s="31" t="n">
        <v>1687.82</v>
      </c>
      <c r="R85" s="30" t="inlineStr">
        <is>
          <t>Near 52W High Breakout</t>
        </is>
      </c>
      <c r="S85" s="30" t="inlineStr">
        <is>
          <t>Nifty 50</t>
        </is>
      </c>
      <c r="T85" s="31" t="n">
        <v>-6.39</v>
      </c>
      <c r="U85" s="31" t="n">
        <v>9.630000000000001</v>
      </c>
      <c r="V85" s="31" t="n">
        <v>17.11</v>
      </c>
      <c r="W85" s="31" t="n">
        <v>12.28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0 to 20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22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CRAFTSMAN</t>
        </is>
      </c>
      <c r="D86" s="30" t="inlineStr">
        <is>
          <t>Craftsman Automation Ltd</t>
        </is>
      </c>
      <c r="E86" s="30" t="inlineStr">
        <is>
          <t>auto</t>
        </is>
      </c>
      <c r="F86" s="30" t="inlineStr">
        <is>
          <t>Auto &amp; Auto Ancl - CV</t>
        </is>
      </c>
      <c r="G86" s="30" t="inlineStr">
        <is>
          <t>largecap</t>
        </is>
      </c>
      <c r="H86" s="31" t="n">
        <v>21227.89</v>
      </c>
      <c r="I86" s="31" t="n">
        <v>8898.5</v>
      </c>
      <c r="J86" s="31" t="n">
        <v>-0.9</v>
      </c>
      <c r="K86" s="31" t="n">
        <v>0</v>
      </c>
      <c r="L86" s="30" t="n">
        <v>51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64.09999999999999</v>
      </c>
      <c r="P86" s="31" t="n">
        <v>29.52</v>
      </c>
      <c r="Q86" s="31" t="n">
        <v>7035.71</v>
      </c>
      <c r="R86" s="30" t="inlineStr">
        <is>
          <t>Near 52W High Breakout</t>
        </is>
      </c>
      <c r="S86" s="30" t="inlineStr">
        <is>
          <t>Nifty Auto</t>
        </is>
      </c>
      <c r="T86" s="31" t="n">
        <v>10.28</v>
      </c>
      <c r="U86" s="31" t="n">
        <v>58.91</v>
      </c>
      <c r="V86" s="31" t="n">
        <v>44.1</v>
      </c>
      <c r="W86" s="31" t="n">
        <v>13.95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Less than 50% and Borrowings are increasing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Between 0.7 to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19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2" t="inlineStr">
        <is>
          <t>SILVERTUC</t>
        </is>
      </c>
      <c r="D87" s="32" t="inlineStr">
        <is>
          <t>Silver Touch Technologies Ltd</t>
        </is>
      </c>
      <c r="E87" s="30" t="inlineStr">
        <is>
          <t>i.t</t>
        </is>
      </c>
      <c r="F87" s="30" t="inlineStr">
        <is>
          <t>IT - Software</t>
        </is>
      </c>
      <c r="G87" s="30" t="inlineStr">
        <is>
          <t>smallcap</t>
        </is>
      </c>
      <c r="H87" s="31" t="n">
        <v>2220.82</v>
      </c>
      <c r="I87" s="31" t="n">
        <v>175.13</v>
      </c>
      <c r="J87" s="31" t="n">
        <v>0.17</v>
      </c>
      <c r="K87" s="31" t="n">
        <v>0</v>
      </c>
      <c r="L87" s="30" t="n">
        <v>1</v>
      </c>
      <c r="M87" s="30" t="inlineStr">
        <is>
          <t>Underperforming</t>
        </is>
      </c>
      <c r="N87" s="31">
        <f>IF(M87="Underperforming",-5,IF(L87&gt;=95,15,IF(L87&gt;=90,10,IF(L87&gt;=80,5,0))))</f>
        <v/>
      </c>
      <c r="O87" s="31" t="n">
        <v>37.38</v>
      </c>
      <c r="P87" s="31" t="n">
        <v>45.38</v>
      </c>
      <c r="Q87" s="31" t="n">
        <v>50.11</v>
      </c>
      <c r="R87" s="30" t="inlineStr">
        <is>
          <t>Earnings / Momentum Support</t>
        </is>
      </c>
      <c r="S87" s="30" t="inlineStr">
        <is>
          <t>Nifty IT</t>
        </is>
      </c>
      <c r="T87" s="31" t="n">
        <v>-21.21</v>
      </c>
      <c r="U87" s="31" t="n">
        <v>-77.25</v>
      </c>
      <c r="V87" s="31" t="n">
        <v>-71.12</v>
      </c>
      <c r="W87" s="31" t="n">
        <v>-7.3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Below 45</t>
        </is>
      </c>
      <c r="BA87" s="30">
        <f>IF(AZ87="Between 50 to 75",10,IF(AZ87="Above 75",0,0))</f>
        <v/>
      </c>
      <c r="BB87" s="30" t="inlineStr">
        <is>
          <t>Stage 4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Less than 50%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18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2" t="inlineStr">
        <is>
          <t>LLOYDSME</t>
        </is>
      </c>
      <c r="D88" s="32" t="inlineStr">
        <is>
          <t>Lloyds Metals &amp; Energy Ltd</t>
        </is>
      </c>
      <c r="E88" s="30" t="inlineStr">
        <is>
          <t>metals &amp; mining</t>
        </is>
      </c>
      <c r="F88" s="30" t="inlineStr">
        <is>
          <t>Mining/Minerals - Iron Ore</t>
        </is>
      </c>
      <c r="G88" s="30" t="inlineStr">
        <is>
          <t>largecap</t>
        </is>
      </c>
      <c r="H88" s="31" t="n">
        <v>100896.11</v>
      </c>
      <c r="I88" s="31" t="n">
        <v>1792.8</v>
      </c>
      <c r="J88" s="31" t="n">
        <v>-1.59</v>
      </c>
      <c r="K88" s="31" t="n">
        <v>0</v>
      </c>
      <c r="L88" s="30" t="n">
        <v>61</v>
      </c>
      <c r="M88" s="30" t="inlineStr">
        <is>
          <t>Underperforming</t>
        </is>
      </c>
      <c r="N88" s="31">
        <f>IF(M88="Underperforming",-5,IF(L88&gt;=95,15,IF(L88&gt;=90,10,IF(L88&gt;=80,5,0))))</f>
        <v/>
      </c>
      <c r="O88" s="31" t="n">
        <v>71.75</v>
      </c>
      <c r="P88" s="31" t="n">
        <v>35.52</v>
      </c>
      <c r="Q88" s="31" t="n">
        <v>1451.8</v>
      </c>
      <c r="R88" s="30" t="inlineStr">
        <is>
          <t>Near 52W High Breakout</t>
        </is>
      </c>
      <c r="S88" s="30" t="inlineStr">
        <is>
          <t>Nifty Metal</t>
        </is>
      </c>
      <c r="T88" s="31" t="n">
        <v>43.89</v>
      </c>
      <c r="U88" s="31" t="n">
        <v>22.89</v>
      </c>
      <c r="V88" s="31" t="n">
        <v>-14.6</v>
      </c>
      <c r="W88" s="31" t="n">
        <v>16.57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Less than 50% and Borrowings are increasing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More than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21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KRISHANA</t>
        </is>
      </c>
      <c r="D89" s="30" t="inlineStr">
        <is>
          <t>Krishana Phoschem Ltd</t>
        </is>
      </c>
      <c r="E89" s="30" t="inlineStr">
        <is>
          <t>chemicals</t>
        </is>
      </c>
      <c r="F89" s="30" t="inlineStr">
        <is>
          <t>Fertilisers</t>
        </is>
      </c>
      <c r="G89" s="30" t="inlineStr">
        <is>
          <t>smallcap</t>
        </is>
      </c>
      <c r="H89" s="31" t="n">
        <v>4133.62</v>
      </c>
      <c r="I89" s="31" t="n">
        <v>682.65</v>
      </c>
      <c r="J89" s="31" t="n">
        <v>-0.55</v>
      </c>
      <c r="K89" s="31" t="n">
        <v>0</v>
      </c>
      <c r="L89" s="30" t="n">
        <v>67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67.72</v>
      </c>
      <c r="P89" s="31" t="n">
        <v>34.03</v>
      </c>
      <c r="Q89" s="31" t="n">
        <v>536.65</v>
      </c>
      <c r="R89" s="30" t="inlineStr">
        <is>
          <t>Near 52W High Breakout</t>
        </is>
      </c>
      <c r="S89" s="30" t="inlineStr">
        <is>
          <t>Nifty 50</t>
        </is>
      </c>
      <c r="T89" s="31" t="n">
        <v>-6.39</v>
      </c>
      <c r="U89" s="31" t="n">
        <v>53.41</v>
      </c>
      <c r="V89" s="31" t="n">
        <v>63.88</v>
      </c>
      <c r="W89" s="31" t="n">
        <v>18.69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Negative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More than 1.2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24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ASHAPURMIN</t>
        </is>
      </c>
      <c r="D90" s="30" t="inlineStr">
        <is>
          <t>Ashapura Minechem Ltd</t>
        </is>
      </c>
      <c r="E90" s="30" t="inlineStr">
        <is>
          <t>Basic Materials</t>
        </is>
      </c>
      <c r="F90" s="30" t="inlineStr">
        <is>
          <t>Mining/Minerals</t>
        </is>
      </c>
      <c r="G90" s="30" t="inlineStr">
        <is>
          <t>midcap</t>
        </is>
      </c>
      <c r="H90" s="31" t="n">
        <v>6901.76</v>
      </c>
      <c r="I90" s="31" t="n">
        <v>722.5</v>
      </c>
      <c r="J90" s="31" t="n">
        <v>-0.55</v>
      </c>
      <c r="K90" s="31" t="n">
        <v>0</v>
      </c>
      <c r="L90" s="30" t="n">
        <v>75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60.28</v>
      </c>
      <c r="P90" s="31" t="n">
        <v>20.79</v>
      </c>
      <c r="Q90" s="31" t="n">
        <v>524.98</v>
      </c>
      <c r="R90" s="30" t="inlineStr">
        <is>
          <t>Earnings / Momentum Support</t>
        </is>
      </c>
      <c r="S90" s="30" t="inlineStr">
        <is>
          <t>Nifty Metal</t>
        </is>
      </c>
      <c r="T90" s="31" t="n">
        <v>43.89</v>
      </c>
      <c r="U90" s="31" t="n">
        <v>78.45999999999999</v>
      </c>
      <c r="V90" s="31" t="n">
        <v>24.02</v>
      </c>
      <c r="W90" s="31" t="n">
        <v>22.69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Headwind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Less than 12%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Between 0.7 to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19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2" t="inlineStr">
        <is>
          <t>VEDL</t>
        </is>
      </c>
      <c r="D91" s="32" t="inlineStr">
        <is>
          <t>Vedanta Ltd</t>
        </is>
      </c>
      <c r="E91" s="30" t="inlineStr">
        <is>
          <t>metals &amp; mining</t>
        </is>
      </c>
      <c r="F91" s="30" t="inlineStr">
        <is>
          <t>Mining/Minerals</t>
        </is>
      </c>
      <c r="G91" s="30" t="inlineStr">
        <is>
          <t>largecap</t>
        </is>
      </c>
      <c r="H91" s="31" t="n">
        <v>128338.94</v>
      </c>
      <c r="I91" s="31" t="n">
        <v>328.2</v>
      </c>
      <c r="J91" s="31" t="n">
        <v>-1.6</v>
      </c>
      <c r="K91" s="31" t="n">
        <v>0</v>
      </c>
      <c r="L91" s="30" t="n">
        <v>1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34.17</v>
      </c>
      <c r="P91" s="31" t="n">
        <v>47.89</v>
      </c>
      <c r="Q91" s="31" t="n">
        <v>584.28</v>
      </c>
      <c r="R91" s="30" t="inlineStr">
        <is>
          <t>Earnings / Momentum Support</t>
        </is>
      </c>
      <c r="S91" s="30" t="inlineStr">
        <is>
          <t>Nifty Metal</t>
        </is>
      </c>
      <c r="T91" s="31" t="n">
        <v>43.89</v>
      </c>
      <c r="U91" s="31" t="n">
        <v>-21.56</v>
      </c>
      <c r="V91" s="31" t="n">
        <v>-45.49</v>
      </c>
      <c r="W91" s="31" t="n">
        <v>-9.5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Headwind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No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Below 45</t>
        </is>
      </c>
      <c r="BA91" s="30">
        <f>IF(AZ91="Between 50 to 75",10,IF(AZ91="Above 75",0,0))</f>
        <v/>
      </c>
      <c r="BB91" s="30" t="inlineStr">
        <is>
          <t>Stage 4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No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Less than 1.5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20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3" t="inlineStr">
        <is>
          <t>BALAMINES</t>
        </is>
      </c>
      <c r="D92" s="33" t="inlineStr">
        <is>
          <t>Balaji Amines Ltd</t>
        </is>
      </c>
      <c r="E92" s="30" t="inlineStr">
        <is>
          <t>chemicals</t>
        </is>
      </c>
      <c r="F92" s="30" t="inlineStr">
        <is>
          <t>Chemicals - Organic</t>
        </is>
      </c>
      <c r="G92" s="30" t="inlineStr">
        <is>
          <t>midcap</t>
        </is>
      </c>
      <c r="H92" s="31" t="n">
        <v>6876.14</v>
      </c>
      <c r="I92" s="31" t="n">
        <v>2122.2</v>
      </c>
      <c r="J92" s="31" t="n">
        <v>5.26</v>
      </c>
      <c r="K92" s="31" t="n">
        <v>0</v>
      </c>
      <c r="L92" s="30" t="n">
        <v>90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82.29000000000001</v>
      </c>
      <c r="P92" s="31" t="n">
        <v>34.39</v>
      </c>
      <c r="Q92" s="31" t="n">
        <v>1605.18</v>
      </c>
      <c r="R92" s="30" t="inlineStr">
        <is>
          <t>Volume Spike &amp; Near 52W High Breakout</t>
        </is>
      </c>
      <c r="S92" s="30" t="inlineStr">
        <is>
          <t>Nifty 50</t>
        </is>
      </c>
      <c r="T92" s="31" t="n">
        <v>-6.39</v>
      </c>
      <c r="U92" s="31" t="n">
        <v>44.28</v>
      </c>
      <c r="V92" s="31" t="n">
        <v>54.13</v>
      </c>
      <c r="W92" s="31" t="n">
        <v>35.19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Duopoly That Cooperate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Shallow Cyclical (2 to 3 Years Growth)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4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Downtrend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Overhead supply in last 2 years in last 2 years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No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Between 50% to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20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OBSCP</t>
        </is>
      </c>
      <c r="D93" s="30" t="inlineStr">
        <is>
          <t>OBSC Perfection Ltd</t>
        </is>
      </c>
      <c r="E93" s="30" t="inlineStr">
        <is>
          <t>unknown</t>
        </is>
      </c>
      <c r="F93" s="30" t="inlineStr">
        <is>
          <t>Auto Ancillaries - Diversified</t>
        </is>
      </c>
      <c r="G93" s="30" t="inlineStr">
        <is>
          <t>smallcap</t>
        </is>
      </c>
      <c r="H93" s="31" t="n">
        <v>1210.74</v>
      </c>
      <c r="I93" s="31" t="n">
        <v>468.45</v>
      </c>
      <c r="J93" s="31" t="n">
        <v>-2.9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inlineStr"/>
      <c r="P93" s="31" t="inlineStr"/>
      <c r="Q93" s="31" t="inlineStr"/>
      <c r="R93" s="30" t="inlineStr"/>
      <c r="S93" s="30" t="inlineStr"/>
      <c r="T93" s="31" t="inlineStr"/>
      <c r="U93" s="31" t="inlineStr"/>
      <c r="V93" s="31" t="inlineStr"/>
      <c r="W93" s="31" t="inlineStr"/>
      <c r="X93" s="30" t="n"/>
      <c r="Y93" s="30">
        <f>IF(X93="Growing Industry",10,IF(X93="Cyclical in an Upturn",5,0))</f>
        <v/>
      </c>
      <c r="Z93" s="30" t="n"/>
      <c r="AA93" s="30">
        <f>IF(Z93="Monopoly",10,IF(Z93="Oligopoly",5,IF(Z93="Duopoly that cooperate",10,IF(Z93="Duopoly that compete",5,IF(Z93="Too many players with High ROCE",5,0)))))</f>
        <v/>
      </c>
      <c r="AB93" s="30" t="n"/>
      <c r="AC93" s="30">
        <f>IF(AB93="No",5,0)</f>
        <v/>
      </c>
      <c r="AD93" s="30" t="n"/>
      <c r="AE93" s="30">
        <f>IF(AD93="Tailwind",10,0)</f>
        <v/>
      </c>
      <c r="AF93" s="30" t="n"/>
      <c r="AG93" s="30">
        <f>IF(AF93="Structural (10 Years Consistency)",10,IF(AF93="Shallow Cyclical (2 to 3 years growth)",5,0))</f>
        <v/>
      </c>
      <c r="AH93" s="30" t="n"/>
      <c r="AI93" s="30">
        <f>IF(AH93="Yes due to Product Mix change or Operating Leverage",10,IF(AH93="Yes, these are peak margins",-5,IF(AH93="No",5,0)))</f>
        <v/>
      </c>
      <c r="AJ93" s="30" t="n"/>
      <c r="AK93" s="30">
        <f>IF(AJ93="Stable",10,0)</f>
        <v/>
      </c>
      <c r="AL93" s="30" t="n"/>
      <c r="AM93" s="30">
        <f>IF(AL93="Yes",10,0)</f>
        <v/>
      </c>
      <c r="AN93" s="30" t="n"/>
      <c r="AO93" s="30">
        <f>IF(AN93="B2C",10,IF(AN93="B2B",5,0))</f>
        <v/>
      </c>
      <c r="AP93" s="30" t="n"/>
      <c r="AQ93" s="30">
        <f>IF(AP93="Yes",10,0)</f>
        <v/>
      </c>
      <c r="AR93" s="30" t="n"/>
      <c r="AS93" s="30">
        <f>IF(AR93="Fully Annuity",10,IF(AR93="Higher Annuity, Lower One Time",5,IF(AR93="Higher One Time, Lower Annuity",3,0)))</f>
        <v/>
      </c>
      <c r="AT93" s="30" t="n"/>
      <c r="AU93" s="30">
        <f>IF(AT93="Good",10,0)</f>
        <v/>
      </c>
      <c r="AV93" s="30" t="n"/>
      <c r="AW93" s="30">
        <f>IF(AV93="Yes for more than 2 years",10,IF(AV93="Yes only for next 1 to 2 years",5,0))</f>
        <v/>
      </c>
      <c r="AX93" s="30" t="n"/>
      <c r="AY93" s="30">
        <f>IF(AX93="Above 40",20,IF(AX93="20 to 40",10,IF(AX93="0 to 20",-5,0)))</f>
        <v/>
      </c>
      <c r="AZ93" s="30" t="n"/>
      <c r="BA93" s="30">
        <f>IF(AZ93="Between 50 to 75",10,IF(AZ93="Above 75",0,0))</f>
        <v/>
      </c>
      <c r="BB93" s="30" t="n"/>
      <c r="BC93" s="30">
        <f>IF(BB93="Stage 2",20,IF(BB93="Stage 1",0,IF(BB93="Stage 3",5,IF(BB93="Stage 4",-5,0))))</f>
        <v/>
      </c>
      <c r="BD93" s="30" t="n"/>
      <c r="BE93" s="30">
        <f>IF(BD93="Positive Trend",20,IF(BD93="Negative Trend",-10,0))</f>
        <v/>
      </c>
      <c r="BF93" s="30" t="n"/>
      <c r="BG93" s="30">
        <f>IF(BF93="Uptrend",10,IF(BF93="Sideways",5,0))</f>
        <v/>
      </c>
      <c r="BH93" s="30" t="n"/>
      <c r="BI93" s="30">
        <f>IF(BH93="Uptrend",10,IF(BH93="Sideways",5,0))</f>
        <v/>
      </c>
      <c r="BJ93" s="30" t="n"/>
      <c r="BK93" s="30">
        <f>IF(BJ93="Overhead supply in last 2 years in last 2 years",-5,IF(BJ93="Close to 52 week high or retracement",5,IF(BJ93="Blue sky scenario",10,IF(BJ93="Long term Downtrend",-10,0))))</f>
        <v/>
      </c>
      <c r="BL93" s="30" t="n"/>
      <c r="BM93" s="30">
        <f>IF(BL93="Yes",10,0)</f>
        <v/>
      </c>
      <c r="BN93" s="30" t="n"/>
      <c r="BO93" s="30">
        <f>IF(BN93="More than 20%",10,IF(BN93="Between 12 to 20%",5,IF(BN93="Less than 12%",0,0)))</f>
        <v/>
      </c>
      <c r="BP93" s="30" t="n"/>
      <c r="BQ93" s="30">
        <f>IF(BP93="No",10,0)</f>
        <v/>
      </c>
      <c r="BR93" s="30" t="n"/>
      <c r="BS93" s="30">
        <f>IF(BR93="NO",5,0)</f>
        <v/>
      </c>
      <c r="BT93" s="30" t="n"/>
      <c r="BU93" s="30">
        <f>IF(BT93="Above 2",0,IF(BT93="Between 1.5 to 2",5,IF(BT93="Less than 1.5",10,0)))</f>
        <v/>
      </c>
      <c r="BV93" s="30" t="n"/>
      <c r="BW93" s="30">
        <f>IF(BV93="Above 70%",10,IF(BV93="Between 50% to 70%",5,IF(BV93="Less than 50%",0,IF(BV93="Negative",-10,IF(BV93="Less than 50% and Borrowings are increasing",-5,0)))))</f>
        <v/>
      </c>
      <c r="BX93" s="30" t="n"/>
      <c r="BY93" s="30">
        <f>IF(BX93="More than 1.2",-10,IF(BX93="Between 0.7 to 1.2",0,IF(BX93="Less than 0.7",10,0)))</f>
        <v/>
      </c>
      <c r="BZ93" s="30" t="n"/>
      <c r="CA93" s="30">
        <f>IF(BZ93="Yes",-10,0)</f>
        <v/>
      </c>
      <c r="CB93" s="30" t="n"/>
      <c r="CC93" s="30">
        <f>IF(CB93="More than 15%",-10,IF(CB93="Less than 15%",10,0))</f>
        <v/>
      </c>
      <c r="CD93" s="30" t="n"/>
      <c r="CE93" s="30">
        <f>IF(CD93="Yes, more than 10%",-10,IF(CD93="No",10,0))</f>
        <v/>
      </c>
      <c r="CF93" s="30" t="n"/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KSHINTL</t>
        </is>
      </c>
      <c r="D94" s="30" t="inlineStr">
        <is>
          <t>KSH International Ltd</t>
        </is>
      </c>
      <c r="E94" s="30" t="inlineStr">
        <is>
          <t>unknown</t>
        </is>
      </c>
      <c r="F94" s="30" t="inlineStr">
        <is>
          <t>Electrical Equipments/HVDC</t>
        </is>
      </c>
      <c r="G94" s="30" t="inlineStr">
        <is>
          <t>midcap</t>
        </is>
      </c>
      <c r="H94" s="31" t="n">
        <v>5753.81</v>
      </c>
      <c r="I94" s="31" t="n">
        <v>849.2</v>
      </c>
      <c r="J94" s="31" t="n">
        <v>4.23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SHREEREF</t>
        </is>
      </c>
      <c r="D95" s="30" t="inlineStr">
        <is>
          <t>Shree Refrigerations Ltd</t>
        </is>
      </c>
      <c r="E95" s="30" t="inlineStr">
        <is>
          <t>unknown</t>
        </is>
      </c>
      <c r="F95" s="30" t="inlineStr">
        <is>
          <t>Engineering - Light - General</t>
        </is>
      </c>
      <c r="G95" s="30" t="inlineStr">
        <is>
          <t>smallcap</t>
        </is>
      </c>
      <c r="H95" s="31" t="n">
        <v>1073.35</v>
      </c>
      <c r="I95" s="31" t="n">
        <v>299.85</v>
      </c>
      <c r="J95" s="31" t="n">
        <v>6.24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ASTRAMICRO</t>
        </is>
      </c>
      <c r="B101" s="36" t="inlineStr">
        <is>
          <t>Astra Microwave Products Limited</t>
        </is>
      </c>
      <c r="C101" s="36" t="inlineStr">
        <is>
          <t>Technology</t>
        </is>
      </c>
      <c r="D101" s="37" t="inlineStr">
        <is>
          <t>2026-06-03</t>
        </is>
      </c>
    </row>
    <row r="102">
      <c r="A102" s="35" t="inlineStr">
        <is>
          <t>FREDUN</t>
        </is>
      </c>
      <c r="B102" s="36" t="inlineStr">
        <is>
          <t>FREDUN</t>
        </is>
      </c>
      <c r="C102" s="36" t="inlineStr">
        <is>
          <t>unknown</t>
        </is>
      </c>
      <c r="D102" s="37" t="inlineStr">
        <is>
          <t>2026-06-03</t>
        </is>
      </c>
    </row>
    <row r="103">
      <c r="A103" s="35" t="inlineStr">
        <is>
          <t>HESTERBIO</t>
        </is>
      </c>
      <c r="B103" s="36" t="inlineStr">
        <is>
          <t>HESTERBIO</t>
        </is>
      </c>
      <c r="C103" s="36" t="inlineStr">
        <is>
          <t>Healthcare</t>
        </is>
      </c>
      <c r="D103" s="37" t="inlineStr">
        <is>
          <t>2026-06-03</t>
        </is>
      </c>
    </row>
    <row r="104">
      <c r="A104" s="35" t="inlineStr">
        <is>
          <t>MOBAVENUE</t>
        </is>
      </c>
      <c r="B104" s="36" t="inlineStr">
        <is>
          <t>MOBAVENUE</t>
        </is>
      </c>
      <c r="C104" s="36" t="inlineStr">
        <is>
          <t>unknown</t>
        </is>
      </c>
      <c r="D104" s="37" t="inlineStr">
        <is>
          <t>2026-06-03</t>
        </is>
      </c>
    </row>
    <row r="105">
      <c r="A105" s="35" t="inlineStr">
        <is>
          <t>MODINSU</t>
        </is>
      </c>
      <c r="B105" s="36" t="inlineStr">
        <is>
          <t>MODINSU</t>
        </is>
      </c>
      <c r="C105" s="36" t="inlineStr">
        <is>
          <t>unknown</t>
        </is>
      </c>
      <c r="D105" s="37" t="inlineStr">
        <is>
          <t>2026-06-03</t>
        </is>
      </c>
    </row>
    <row r="106">
      <c r="A106" s="35" t="inlineStr">
        <is>
          <t>ONIXSOLAR</t>
        </is>
      </c>
      <c r="B106" s="36" t="inlineStr">
        <is>
          <t>ONIXSOLAR</t>
        </is>
      </c>
      <c r="C106" s="36" t="inlineStr">
        <is>
          <t>unknown</t>
        </is>
      </c>
      <c r="D106" s="37" t="inlineStr">
        <is>
          <t>2026-06-03</t>
        </is>
      </c>
    </row>
    <row r="107">
      <c r="A107" s="35" t="inlineStr">
        <is>
          <t>SUNRAKSHAK</t>
        </is>
      </c>
      <c r="B107" s="36" t="inlineStr">
        <is>
          <t>SUNRAKSHAK</t>
        </is>
      </c>
      <c r="C107" s="36" t="inlineStr">
        <is>
          <t>unknown</t>
        </is>
      </c>
      <c r="D107" s="37" t="inlineStr">
        <is>
          <t>2026-06-03</t>
        </is>
      </c>
    </row>
    <row r="108">
      <c r="A108" s="35" t="inlineStr">
        <is>
          <t>TAALTECH</t>
        </is>
      </c>
      <c r="B108" s="36" t="inlineStr">
        <is>
          <t>TAALTECH</t>
        </is>
      </c>
      <c r="C108" s="36" t="inlineStr">
        <is>
          <t>unknown</t>
        </is>
      </c>
      <c r="D108" s="37" t="inlineStr">
        <is>
          <t>2026-06-03</t>
        </is>
      </c>
    </row>
    <row r="109">
      <c r="A109" s="35" t="inlineStr">
        <is>
          <t>UNIVCABLES</t>
        </is>
      </c>
      <c r="B109" s="36" t="inlineStr">
        <is>
          <t>Universal Cables Limited</t>
        </is>
      </c>
      <c r="C109" s="36" t="inlineStr">
        <is>
          <t>Industrials</t>
        </is>
      </c>
      <c r="D109" s="37" t="inlineStr">
        <is>
          <t>2026-06-03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expression" priority="39" dxfId="0" stopIfTrue="1">
      <formula>=AND(Q2&lt;&gt;"",Q2&gt;0,I2&gt;=Q2)</formula>
    </cfRule>
    <cfRule type="expression" priority="40" dxfId="3" stopIfTrue="1">
      <formula>=AND(Q2&lt;&gt;"",Q2&gt;0,I2&lt;Q2)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DHANBANK</t>
        </is>
      </c>
      <c r="D2" s="30" t="inlineStr">
        <is>
          <t>Dhanlaxmi Bank Ltd</t>
        </is>
      </c>
      <c r="E2" s="30" t="inlineStr">
        <is>
          <t>bank</t>
        </is>
      </c>
      <c r="F2" s="30" t="inlineStr">
        <is>
          <t>Banks - Private</t>
        </is>
      </c>
      <c r="G2" s="30" t="inlineStr">
        <is>
          <t>smallcap</t>
        </is>
      </c>
      <c r="H2" s="31" t="n">
        <v>1341.58</v>
      </c>
      <c r="I2" s="31" t="n">
        <v>33.99</v>
      </c>
      <c r="J2" s="31" t="n">
        <v>0.8</v>
      </c>
      <c r="K2" s="31" t="n">
        <v>0</v>
      </c>
      <c r="L2" s="30" t="n">
        <v>46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71.22</v>
      </c>
      <c r="P2" s="31" t="n">
        <v>28.77</v>
      </c>
      <c r="Q2" s="31" t="n">
        <v>25.97</v>
      </c>
      <c r="R2" s="30" t="inlineStr">
        <is>
          <t>Near 52W High Breakout</t>
        </is>
      </c>
      <c r="S2" s="30" t="inlineStr">
        <is>
          <t>Nifty Bank</t>
        </is>
      </c>
      <c r="T2" s="31" t="n">
        <v>-4.23</v>
      </c>
      <c r="U2" s="31" t="n">
        <v>7.19</v>
      </c>
      <c r="V2" s="31" t="n">
        <v>11.92</v>
      </c>
      <c r="W2" s="31" t="n">
        <v>12.7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24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SATIN</t>
        </is>
      </c>
      <c r="D3" s="30" t="inlineStr">
        <is>
          <t>Satin Creditcare Network Ltd</t>
        </is>
      </c>
      <c r="E3" s="30" t="inlineStr">
        <is>
          <t>financials</t>
        </is>
      </c>
      <c r="F3" s="30" t="inlineStr">
        <is>
          <t>Finance &amp; Investments - Microfinance</t>
        </is>
      </c>
      <c r="G3" s="30" t="inlineStr">
        <is>
          <t>smallcap</t>
        </is>
      </c>
      <c r="H3" s="31" t="n">
        <v>2598.83</v>
      </c>
      <c r="I3" s="31" t="n">
        <v>235.25</v>
      </c>
      <c r="J3" s="31" t="n">
        <v>1.79</v>
      </c>
      <c r="K3" s="31" t="n">
        <v>0</v>
      </c>
      <c r="L3" s="30" t="n">
        <v>72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76.03</v>
      </c>
      <c r="P3" s="31" t="n">
        <v>36.91</v>
      </c>
      <c r="Q3" s="31" t="n">
        <v>185.56</v>
      </c>
      <c r="R3" s="30" t="inlineStr">
        <is>
          <t>Near 52W High Breakout</t>
        </is>
      </c>
      <c r="S3" s="30" t="inlineStr">
        <is>
          <t>Nifty Bank</t>
        </is>
      </c>
      <c r="T3" s="31" t="n">
        <v>-4.23</v>
      </c>
      <c r="U3" s="31" t="n">
        <v>48.98</v>
      </c>
      <c r="V3" s="31" t="n">
        <v>55.55</v>
      </c>
      <c r="W3" s="31" t="n">
        <v>21.49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24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ANGELONE</t>
        </is>
      </c>
      <c r="D4" s="30" t="inlineStr">
        <is>
          <t>Angel One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largecap</t>
        </is>
      </c>
      <c r="H4" s="31" t="n">
        <v>30529.16</v>
      </c>
      <c r="I4" s="31" t="n">
        <v>334.75</v>
      </c>
      <c r="J4" s="31" t="n">
        <v>-2.31</v>
      </c>
      <c r="K4" s="31" t="n">
        <v>0</v>
      </c>
      <c r="L4" s="30" t="n">
        <v>56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64.26000000000001</v>
      </c>
      <c r="P4" s="31" t="n">
        <v>26.63</v>
      </c>
      <c r="Q4" s="31" t="n">
        <v>259.53</v>
      </c>
      <c r="R4" s="30" t="inlineStr">
        <is>
          <t>Near 52W High Breakout</t>
        </is>
      </c>
      <c r="S4" s="30" t="inlineStr">
        <is>
          <t>Nifty Bank</t>
        </is>
      </c>
      <c r="T4" s="31" t="n">
        <v>-4.23</v>
      </c>
      <c r="U4" s="31" t="n">
        <v>5.74</v>
      </c>
      <c r="V4" s="31" t="n">
        <v>10.41</v>
      </c>
      <c r="W4" s="31" t="n">
        <v>15.48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SGFIN</t>
        </is>
      </c>
      <c r="D5" s="30" t="inlineStr">
        <is>
          <t>SG Finserve Ltd</t>
        </is>
      </c>
      <c r="E5" s="30" t="inlineStr">
        <is>
          <t>Financial Services</t>
        </is>
      </c>
      <c r="F5" s="30" t="inlineStr">
        <is>
          <t>Finance &amp; Investments - MSME Lending</t>
        </is>
      </c>
      <c r="G5" s="30" t="inlineStr">
        <is>
          <t>smallcap</t>
        </is>
      </c>
      <c r="H5" s="31" t="n">
        <v>3848.27</v>
      </c>
      <c r="I5" s="31" t="n">
        <v>584</v>
      </c>
      <c r="J5" s="31" t="n">
        <v>2.71</v>
      </c>
      <c r="K5" s="31" t="n">
        <v>0</v>
      </c>
      <c r="L5" s="30" t="n">
        <v>51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70.22</v>
      </c>
      <c r="P5" s="31" t="n">
        <v>43.91</v>
      </c>
      <c r="Q5" s="31" t="n">
        <v>463.21</v>
      </c>
      <c r="R5" s="30" t="inlineStr">
        <is>
          <t>Near 52W High Breakout</t>
        </is>
      </c>
      <c r="S5" s="30" t="inlineStr">
        <is>
          <t>Nifty Bank</t>
        </is>
      </c>
      <c r="T5" s="31" t="n">
        <v>-1.49</v>
      </c>
      <c r="U5" s="31" t="n">
        <v>47.55</v>
      </c>
      <c r="V5" s="31" t="n">
        <v>49.78</v>
      </c>
      <c r="W5" s="31" t="n">
        <v>14.01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18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PAISALO</t>
        </is>
      </c>
      <c r="D6" s="30" t="inlineStr">
        <is>
          <t>Paisalo Digital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smallcap</t>
        </is>
      </c>
      <c r="H6" s="31" t="n">
        <v>4904.14</v>
      </c>
      <c r="I6" s="31" t="n">
        <v>53.92</v>
      </c>
      <c r="J6" s="31" t="n">
        <v>2.33</v>
      </c>
      <c r="K6" s="31" t="n">
        <v>0</v>
      </c>
      <c r="L6" s="30" t="n">
        <v>80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73.08</v>
      </c>
      <c r="P6" s="31" t="n">
        <v>28.81</v>
      </c>
      <c r="Q6" s="31" t="n">
        <v>41.66</v>
      </c>
      <c r="R6" s="30" t="inlineStr">
        <is>
          <t>Near 52W High Breakout</t>
        </is>
      </c>
      <c r="S6" s="30" t="inlineStr">
        <is>
          <t>Nifty Bank</t>
        </is>
      </c>
      <c r="T6" s="31" t="n">
        <v>-4.23</v>
      </c>
      <c r="U6" s="31" t="n">
        <v>70.31999999999999</v>
      </c>
      <c r="V6" s="31" t="n">
        <v>77.84</v>
      </c>
      <c r="W6" s="31" t="n">
        <v>25.82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23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CGCL</t>
        </is>
      </c>
      <c r="D7" s="30" t="inlineStr">
        <is>
          <t>Capri Global Capital Ltd</t>
        </is>
      </c>
      <c r="E7" s="30" t="inlineStr">
        <is>
          <t>financials</t>
        </is>
      </c>
      <c r="F7" s="30" t="inlineStr">
        <is>
          <t>Finance &amp; Investments - Gold Loan</t>
        </is>
      </c>
      <c r="G7" s="30" t="inlineStr">
        <is>
          <t>midcap</t>
        </is>
      </c>
      <c r="H7" s="31" t="n">
        <v>19373.93</v>
      </c>
      <c r="I7" s="31" t="n">
        <v>201.36</v>
      </c>
      <c r="J7" s="31" t="n">
        <v>1.3</v>
      </c>
      <c r="K7" s="31" t="n">
        <v>0</v>
      </c>
      <c r="L7" s="30" t="n">
        <v>42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62.38</v>
      </c>
      <c r="P7" s="31" t="n">
        <v>17.1</v>
      </c>
      <c r="Q7" s="31" t="n">
        <v>161.7</v>
      </c>
      <c r="R7" s="30" t="inlineStr">
        <is>
          <t>Near 52W High Breakout</t>
        </is>
      </c>
      <c r="S7" s="30" t="inlineStr">
        <is>
          <t>Nifty Bank</t>
        </is>
      </c>
      <c r="T7" s="31" t="n">
        <v>-4.23</v>
      </c>
      <c r="U7" s="31" t="n">
        <v>32.58</v>
      </c>
      <c r="V7" s="31" t="n">
        <v>38.43</v>
      </c>
      <c r="W7" s="31" t="n">
        <v>11.79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between 2.5x to 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0 to 20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20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expression" priority="37" dxfId="0" stopIfTrue="1">
      <formula>=AND(Q2&lt;&gt;"",Q2&gt;0,I2&gt;=Q2)</formula>
    </cfRule>
    <cfRule type="expression" priority="38" dxfId="3" stopIfTrue="1">
      <formula>=AND(Q2&lt;&gt;"",Q2&gt;0,I2&lt;Q2)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 Name</t>
        </is>
      </c>
      <c r="E1" s="29" t="inlineStr">
        <is>
          <t>Industry</t>
        </is>
      </c>
      <c r="F1" s="29" t="inlineStr">
        <is>
          <t>Common Count</t>
        </is>
      </c>
      <c r="G1" s="29" t="inlineStr">
        <is>
          <t>Scanner Signal</t>
        </is>
      </c>
      <c r="H1" s="29" t="inlineStr">
        <is>
          <t>Chartink Universe</t>
        </is>
      </c>
      <c r="I1" s="29" t="inlineStr">
        <is>
          <t>Scan Matches Count</t>
        </is>
      </c>
      <c r="J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MATCH(C2, 'Monit Non Financial'!$C$2:$C$400, 0)), IFERROR(INDEX('Monit Banks NBFC'!$B$2:$B$100, MATCH(C2, 'Monit Banks NBFC'!$C$2:$C$100, 0)), 0))</f>
        <v/>
      </c>
      <c r="C2" s="30" t="inlineStr">
        <is>
          <t>IBULLSLTD</t>
        </is>
      </c>
      <c r="D2" s="30" t="inlineStr">
        <is>
          <t>Indiabulls Limited</t>
        </is>
      </c>
      <c r="E2" s="30" t="inlineStr">
        <is>
          <t>Diversified</t>
        </is>
      </c>
      <c r="F2" s="30" t="n">
        <v>3</v>
      </c>
      <c r="G2" s="30" t="inlineStr">
        <is>
          <t>52W Breakout</t>
        </is>
      </c>
      <c r="H2" s="30" t="inlineStr">
        <is>
          <t>Yes</t>
        </is>
      </c>
      <c r="I2" s="30" t="n">
        <v>23</v>
      </c>
      <c r="J2" s="30" t="n">
        <v>24</v>
      </c>
    </row>
    <row r="3">
      <c r="A3" s="30">
        <f>IF(B3=0,"",ROW()-1)</f>
        <v/>
      </c>
      <c r="B3" s="31">
        <f>IFERROR(INDEX('Monit Non Financial'!$B$2:$B$400, MATCH(C3, 'Monit Non Financial'!$C$2:$C$400, 0)), IFERROR(INDEX('Monit Banks NBFC'!$B$2:$B$100, MATCH(C3, 'Monit Banks NBFC'!$C$2:$C$100, 0)), 0))</f>
        <v/>
      </c>
      <c r="C3" s="30" t="inlineStr">
        <is>
          <t>VENUSREM</t>
        </is>
      </c>
      <c r="D3" s="30" t="inlineStr">
        <is>
          <t>Venus Remedies Limited</t>
        </is>
      </c>
      <c r="E3" s="30" t="inlineStr">
        <is>
          <t>Pharmaceuticals - I V Fluids</t>
        </is>
      </c>
      <c r="F3" s="30" t="n">
        <v>3</v>
      </c>
      <c r="G3" s="30" t="inlineStr">
        <is>
          <t>52W Breakout</t>
        </is>
      </c>
      <c r="H3" s="30" t="inlineStr">
        <is>
          <t>Yes</t>
        </is>
      </c>
      <c r="I3" s="30" t="n">
        <v>26</v>
      </c>
      <c r="J3" s="30" t="n">
        <v>16</v>
      </c>
    </row>
    <row r="4">
      <c r="A4" s="30">
        <f>IF(B4=0,"",ROW()-1)</f>
        <v/>
      </c>
      <c r="B4" s="31">
        <f>IFERROR(INDEX('Monit Non Financial'!$B$2:$B$400, MATCH(C4, 'Monit Non Financial'!$C$2:$C$400, 0)), IFERROR(INDEX('Monit Banks NBFC'!$B$2:$B$100, MATCH(C4, 'Monit Banks NBFC'!$C$2:$C$100, 0)), 0))</f>
        <v/>
      </c>
      <c r="C4" s="30" t="inlineStr">
        <is>
          <t>BLISSGVS</t>
        </is>
      </c>
      <c r="D4" s="30" t="inlineStr">
        <is>
          <t>Bliss Gvs Pharma Limited</t>
        </is>
      </c>
      <c r="E4" s="30" t="inlineStr">
        <is>
          <t>Pharma - Formulators</t>
        </is>
      </c>
      <c r="F4" s="30" t="n">
        <v>3</v>
      </c>
      <c r="G4" s="30" t="inlineStr">
        <is>
          <t>52W Breakout</t>
        </is>
      </c>
      <c r="H4" s="30" t="inlineStr">
        <is>
          <t>Yes</t>
        </is>
      </c>
      <c r="I4" s="30" t="n">
        <v>26</v>
      </c>
      <c r="J4" s="30" t="n">
        <v>30</v>
      </c>
    </row>
    <row r="5">
      <c r="A5" s="30">
        <f>IF(B5=0,"",ROW()-1)</f>
        <v/>
      </c>
      <c r="B5" s="31">
        <f>IFERROR(INDEX('Monit Non Financial'!$B$2:$B$400, MATCH(C5, 'Monit Non Financial'!$C$2:$C$400, 0)), IFERROR(INDEX('Monit Banks NBFC'!$B$2:$B$100, MATCH(C5, 'Monit Banks NBFC'!$C$2:$C$100, 0)), 0))</f>
        <v/>
      </c>
      <c r="C5" s="30" t="inlineStr">
        <is>
          <t>SYRMA</t>
        </is>
      </c>
      <c r="D5" s="30" t="inlineStr">
        <is>
          <t>Syrma SGS Technology Ltd</t>
        </is>
      </c>
      <c r="E5" s="30" t="inlineStr">
        <is>
          <t>Consumer Electronics - EMS</t>
        </is>
      </c>
      <c r="F5" s="30" t="n">
        <v>3</v>
      </c>
      <c r="G5" s="30" t="inlineStr">
        <is>
          <t>52W Breakout</t>
        </is>
      </c>
      <c r="H5" s="30" t="inlineStr">
        <is>
          <t>Yes</t>
        </is>
      </c>
      <c r="I5" s="30" t="n">
        <v>22</v>
      </c>
      <c r="J5" s="30" t="n">
        <v>27</v>
      </c>
    </row>
    <row r="6">
      <c r="A6" s="30">
        <f>IF(B6=0,"",ROW()-1)</f>
        <v/>
      </c>
      <c r="B6" s="31">
        <f>IFERROR(INDEX('Monit Non Financial'!$B$2:$B$400, MATCH(C6, 'Monit Non Financial'!$C$2:$C$400, 0)), IFERROR(INDEX('Monit Banks NBFC'!$B$2:$B$100, MATCH(C6, 'Monit Banks NBFC'!$C$2:$C$100, 0)), 0))</f>
        <v/>
      </c>
      <c r="C6" s="30" t="inlineStr">
        <is>
          <t>MODISONLTD</t>
        </is>
      </c>
      <c r="D6" s="30" t="inlineStr">
        <is>
          <t>Modison Ltd</t>
        </is>
      </c>
      <c r="E6" s="30" t="inlineStr">
        <is>
          <t>Capital Goods - Electric General</t>
        </is>
      </c>
      <c r="F6" s="30" t="n">
        <v>3</v>
      </c>
      <c r="G6" s="30" t="inlineStr">
        <is>
          <t>52W Breakout</t>
        </is>
      </c>
      <c r="H6" s="30" t="inlineStr">
        <is>
          <t>Yes</t>
        </is>
      </c>
      <c r="I6" s="30" t="n">
        <v>31</v>
      </c>
      <c r="J6" s="30" t="n">
        <v>27</v>
      </c>
    </row>
    <row r="7">
      <c r="A7" s="30">
        <f>IF(B7=0,"",ROW()-1)</f>
        <v/>
      </c>
      <c r="B7" s="31">
        <f>IFERROR(INDEX('Monit Non Financial'!$B$2:$B$400, MATCH(C7, 'Monit Non Financial'!$C$2:$C$400, 0)), IFERROR(INDEX('Monit Banks NBFC'!$B$2:$B$100, MATCH(C7, 'Monit Banks NBFC'!$C$2:$C$100, 0)), 0))</f>
        <v/>
      </c>
      <c r="C7" s="30" t="inlineStr">
        <is>
          <t>THANGAMAYL</t>
        </is>
      </c>
      <c r="D7" s="30" t="inlineStr">
        <is>
          <t>Thangamayil Jewellery Limited</t>
        </is>
      </c>
      <c r="E7" s="30" t="inlineStr">
        <is>
          <t>Diamond, Gems &amp; Jewellery</t>
        </is>
      </c>
      <c r="F7" s="30" t="n">
        <v>3</v>
      </c>
      <c r="G7" s="30" t="inlineStr">
        <is>
          <t>52W Breakout</t>
        </is>
      </c>
      <c r="H7" s="30" t="inlineStr">
        <is>
          <t>Yes</t>
        </is>
      </c>
      <c r="I7" s="30" t="n">
        <v>29</v>
      </c>
      <c r="J7" s="30" t="n">
        <v>10</v>
      </c>
    </row>
    <row r="8">
      <c r="A8" s="30">
        <f>IF(B8=0,"",ROW()-1)</f>
        <v/>
      </c>
      <c r="B8" s="31">
        <f>IFERROR(INDEX('Monit Non Financial'!$B$2:$B$400, MATCH(C8, 'Monit Non Financial'!$C$2:$C$400, 0)), IFERROR(INDEX('Monit Banks NBFC'!$B$2:$B$100, MATCH(C8, 'Monit Banks NBFC'!$C$2:$C$100, 0)), 0))</f>
        <v/>
      </c>
      <c r="C8" s="30" t="inlineStr">
        <is>
          <t>KERNEX</t>
        </is>
      </c>
      <c r="D8" s="30" t="inlineStr">
        <is>
          <t>Kernex Microsystems (india) Limited</t>
        </is>
      </c>
      <c r="E8" s="30" t="inlineStr">
        <is>
          <t>Railways - Kavach/Springs</t>
        </is>
      </c>
      <c r="F8" s="30" t="n">
        <v>3</v>
      </c>
      <c r="G8" s="30" t="inlineStr">
        <is>
          <t>52W Breakout</t>
        </is>
      </c>
      <c r="H8" s="30" t="inlineStr">
        <is>
          <t>Yes</t>
        </is>
      </c>
      <c r="I8" s="30" t="n">
        <v>27</v>
      </c>
      <c r="J8" s="30" t="n">
        <v>26</v>
      </c>
    </row>
    <row r="9">
      <c r="A9" s="30">
        <f>IF(B9=0,"",ROW()-1)</f>
        <v/>
      </c>
      <c r="B9" s="31">
        <f>IFERROR(INDEX('Monit Non Financial'!$B$2:$B$400, MATCH(C9, 'Monit Non Financial'!$C$2:$C$400, 0)), IFERROR(INDEX('Monit Banks NBFC'!$B$2:$B$100, MATCH(C9, 'Monit Banks NBFC'!$C$2:$C$100, 0)), 0))</f>
        <v/>
      </c>
      <c r="C9" s="30" t="inlineStr">
        <is>
          <t>ACUTAAS</t>
        </is>
      </c>
      <c r="D9" s="30" t="inlineStr">
        <is>
          <t>Acutaas Chemicals Ltd</t>
        </is>
      </c>
      <c r="E9" s="30" t="inlineStr">
        <is>
          <t>Pharma - API &amp; CRAMS</t>
        </is>
      </c>
      <c r="F9" s="30" t="n">
        <v>3</v>
      </c>
      <c r="G9" s="30" t="inlineStr">
        <is>
          <t>52W Breakout</t>
        </is>
      </c>
      <c r="H9" s="30" t="inlineStr">
        <is>
          <t>Yes</t>
        </is>
      </c>
      <c r="I9" s="30" t="n">
        <v>27</v>
      </c>
      <c r="J9" s="30" t="n">
        <v>29</v>
      </c>
    </row>
    <row r="10">
      <c r="A10" s="30">
        <f>IF(B10=0,"",ROW()-1)</f>
        <v/>
      </c>
      <c r="B10" s="31">
        <f>IFERROR(INDEX('Monit Non Financial'!$B$2:$B$400, MATCH(C10, 'Monit Non Financial'!$C$2:$C$400, 0)), IFERROR(INDEX('Monit Banks NBFC'!$B$2:$B$100, MATCH(C10, 'Monit Banks NBFC'!$C$2:$C$100, 0)), 0))</f>
        <v/>
      </c>
      <c r="C10" s="30" t="inlineStr">
        <is>
          <t>STLTECH</t>
        </is>
      </c>
      <c r="D10" s="30" t="inlineStr">
        <is>
          <t>Sterlite Technologies Limited</t>
        </is>
      </c>
      <c r="E10" s="30" t="inlineStr">
        <is>
          <t>Cables - Telecom</t>
        </is>
      </c>
      <c r="F10" s="30" t="n">
        <v>3</v>
      </c>
      <c r="G10" s="30" t="inlineStr">
        <is>
          <t>52W Breakout</t>
        </is>
      </c>
      <c r="H10" s="30" t="inlineStr">
        <is>
          <t>Yes</t>
        </is>
      </c>
      <c r="I10" s="30" t="n">
        <v>20</v>
      </c>
      <c r="J10" s="30" t="n">
        <v>30</v>
      </c>
    </row>
    <row r="11">
      <c r="A11" s="30">
        <f>IF(B11=0,"",ROW()-1)</f>
        <v/>
      </c>
      <c r="B11" s="31">
        <f>IFERROR(INDEX('Monit Non Financial'!$B$2:$B$400, MATCH(C11, 'Monit Non Financial'!$C$2:$C$400, 0)), IFERROR(INDEX('Monit Banks NBFC'!$B$2:$B$100, MATCH(C11, 'Monit Banks NBFC'!$C$2:$C$100, 0)), 0))</f>
        <v/>
      </c>
      <c r="C11" s="30" t="inlineStr">
        <is>
          <t>SKMEGGPROD</t>
        </is>
      </c>
      <c r="D11" s="30" t="inlineStr">
        <is>
          <t>Skm Egg Products Export (india) Limited</t>
        </is>
      </c>
      <c r="E11" s="30" t="inlineStr">
        <is>
          <t>FMCG - Animal/Polutry</t>
        </is>
      </c>
      <c r="F11" s="30" t="n">
        <v>3</v>
      </c>
      <c r="G11" s="30" t="inlineStr">
        <is>
          <t>52W Breakout</t>
        </is>
      </c>
      <c r="H11" s="30" t="inlineStr">
        <is>
          <t>Yes</t>
        </is>
      </c>
      <c r="I11" s="30" t="n">
        <v>30</v>
      </c>
      <c r="J11" s="30" t="n">
        <v>11</v>
      </c>
    </row>
    <row r="12">
      <c r="A12" s="30">
        <f>IF(B12=0,"",ROW()-1)</f>
        <v/>
      </c>
      <c r="B12" s="31">
        <f>IFERROR(INDEX('Monit Non Financial'!$B$2:$B$400, MATCH(C12, 'Monit Non Financial'!$C$2:$C$400, 0)), IFERROR(INDEX('Monit Banks NBFC'!$B$2:$B$100, MATCH(C12, 'Monit Banks NBFC'!$C$2:$C$100, 0)), 0))</f>
        <v/>
      </c>
      <c r="C12" s="30" t="inlineStr">
        <is>
          <t>HFCL</t>
        </is>
      </c>
      <c r="D12" s="30" t="inlineStr">
        <is>
          <t>HFCL Ltd</t>
        </is>
      </c>
      <c r="E12" s="30" t="inlineStr">
        <is>
          <t>Telecom Services</t>
        </is>
      </c>
      <c r="F12" s="30" t="n">
        <v>3</v>
      </c>
      <c r="G12" s="30" t="inlineStr">
        <is>
          <t>52W Breakout</t>
        </is>
      </c>
      <c r="H12" s="30" t="inlineStr">
        <is>
          <t>Yes</t>
        </is>
      </c>
      <c r="I12" s="30" t="n">
        <v>27</v>
      </c>
      <c r="J12" s="30" t="n">
        <v>30</v>
      </c>
    </row>
    <row r="13">
      <c r="A13" s="30">
        <f>IF(B13=0,"",ROW()-1)</f>
        <v/>
      </c>
      <c r="B13" s="31">
        <f>IFERROR(INDEX('Monit Non Financial'!$B$2:$B$400, MATCH(C13, 'Monit Non Financial'!$C$2:$C$400, 0)), IFERROR(INDEX('Monit Banks NBFC'!$B$2:$B$100, MATCH(C13, 'Monit Banks NBFC'!$C$2:$C$100, 0)), 0))</f>
        <v/>
      </c>
      <c r="C13" s="30" t="inlineStr">
        <is>
          <t>SIGMAADV</t>
        </is>
      </c>
      <c r="D13" s="30" t="inlineStr">
        <is>
          <t>Sigma Advanced System Ltd</t>
        </is>
      </c>
      <c r="E13" s="30" t="inlineStr">
        <is>
          <t>Aerospace &amp; Defence - Equipments</t>
        </is>
      </c>
      <c r="F13" s="30" t="n">
        <v>3</v>
      </c>
      <c r="G13" s="30" t="inlineStr">
        <is>
          <t>52W Breakout</t>
        </is>
      </c>
      <c r="H13" s="30" t="inlineStr">
        <is>
          <t>Yes</t>
        </is>
      </c>
      <c r="I13" s="30" t="n">
        <v>32</v>
      </c>
      <c r="J13" s="30" t="n">
        <v>30</v>
      </c>
    </row>
    <row r="14">
      <c r="A14" s="30">
        <f>IF(B14=0,"",ROW()-1)</f>
        <v/>
      </c>
      <c r="B14" s="31">
        <f>IFERROR(INDEX('Monit Non Financial'!$B$2:$B$400, MATCH(C14, 'Monit Non Financial'!$C$2:$C$400, 0)), IFERROR(INDEX('Monit Banks NBFC'!$B$2:$B$100, MATCH(C14, 'Monit Banks NBFC'!$C$2:$C$100, 0)), 0))</f>
        <v/>
      </c>
      <c r="C14" s="30" t="inlineStr">
        <is>
          <t>FCL</t>
        </is>
      </c>
      <c r="D14" s="30" t="inlineStr">
        <is>
          <t>Fineotex Chemical Limited</t>
        </is>
      </c>
      <c r="E14" s="30" t="inlineStr">
        <is>
          <t>Speciality Chemicals</t>
        </is>
      </c>
      <c r="F14" s="30" t="n">
        <v>3</v>
      </c>
      <c r="G14" s="30" t="inlineStr">
        <is>
          <t>52W Breakout</t>
        </is>
      </c>
      <c r="H14" s="30" t="inlineStr">
        <is>
          <t>Yes</t>
        </is>
      </c>
      <c r="I14" s="30" t="n">
        <v>29</v>
      </c>
      <c r="J14" s="30" t="n">
        <v>15</v>
      </c>
    </row>
    <row r="15">
      <c r="A15" s="30">
        <f>IF(B15=0,"",ROW()-1)</f>
        <v/>
      </c>
      <c r="B15" s="31">
        <f>IFERROR(INDEX('Monit Non Financial'!$B$2:$B$400, MATCH(C15, 'Monit Non Financial'!$C$2:$C$400, 0)), IFERROR(INDEX('Monit Banks NBFC'!$B$2:$B$100, MATCH(C15, 'Monit Banks NBFC'!$C$2:$C$100, 0)), 0))</f>
        <v/>
      </c>
      <c r="C15" s="30" t="inlineStr">
        <is>
          <t>RRKABEL</t>
        </is>
      </c>
      <c r="D15" s="30" t="inlineStr">
        <is>
          <t>R R Kabel Ltd</t>
        </is>
      </c>
      <c r="E15" s="30" t="inlineStr">
        <is>
          <t>Cables - Power</t>
        </is>
      </c>
      <c r="F15" s="30" t="n">
        <v>3</v>
      </c>
      <c r="G15" s="30" t="inlineStr">
        <is>
          <t>52W Breakout</t>
        </is>
      </c>
      <c r="H15" s="30" t="inlineStr">
        <is>
          <t>Yes</t>
        </is>
      </c>
      <c r="I15" s="30" t="n">
        <v>25</v>
      </c>
      <c r="J15" s="30" t="n">
        <v>29</v>
      </c>
    </row>
    <row r="16">
      <c r="A16" s="30">
        <f>IF(B16=0,"",ROW()-1)</f>
        <v/>
      </c>
      <c r="B16" s="31">
        <f>IFERROR(INDEX('Monit Non Financial'!$B$2:$B$400, MATCH(C16, 'Monit Non Financial'!$C$2:$C$400, 0)), IFERROR(INDEX('Monit Banks NBFC'!$B$2:$B$100, MATCH(C16, 'Monit Banks NBFC'!$C$2:$C$100, 0)), 0))</f>
        <v/>
      </c>
      <c r="C16" s="30" t="inlineStr">
        <is>
          <t>SANDHAR</t>
        </is>
      </c>
      <c r="D16" s="30" t="inlineStr">
        <is>
          <t>Sandhar Technologies Limited</t>
        </is>
      </c>
      <c r="E16" s="30" t="inlineStr">
        <is>
          <t>Auto Ancillaries - 2&amp;3 Wheelers</t>
        </is>
      </c>
      <c r="F16" s="30" t="n">
        <v>3</v>
      </c>
      <c r="G16" s="30" t="inlineStr">
        <is>
          <t>52W Breakout</t>
        </is>
      </c>
      <c r="H16" s="30" t="inlineStr">
        <is>
          <t>Yes</t>
        </is>
      </c>
      <c r="I16" s="30" t="n">
        <v>24</v>
      </c>
      <c r="J16" s="30" t="n">
        <v>20</v>
      </c>
    </row>
    <row r="17">
      <c r="A17" s="30">
        <f>IF(B17=0,"",ROW()-1)</f>
        <v/>
      </c>
      <c r="B17" s="31">
        <f>IFERROR(INDEX('Monit Non Financial'!$B$2:$B$400, MATCH(C17, 'Monit Non Financial'!$C$2:$C$400, 0)), IFERROR(INDEX('Monit Banks NBFC'!$B$2:$B$100, MATCH(C17, 'Monit Banks NBFC'!$C$2:$C$100, 0)), 0))</f>
        <v/>
      </c>
      <c r="C17" s="30" t="inlineStr">
        <is>
          <t>SKYGOLD</t>
        </is>
      </c>
      <c r="D17" s="30" t="inlineStr">
        <is>
          <t>Sky Gold Ltd</t>
        </is>
      </c>
      <c r="E17" s="30" t="inlineStr">
        <is>
          <t>Diamond, Gems &amp; Jewellery</t>
        </is>
      </c>
      <c r="F17" s="30" t="n">
        <v>3</v>
      </c>
      <c r="G17" s="30" t="inlineStr">
        <is>
          <t>52W Breakout</t>
        </is>
      </c>
      <c r="H17" s="30" t="inlineStr">
        <is>
          <t>Yes</t>
        </is>
      </c>
      <c r="I17" s="30" t="n">
        <v>31</v>
      </c>
      <c r="J17" s="30" t="n">
        <v>26</v>
      </c>
    </row>
    <row r="18">
      <c r="A18" s="30">
        <f>IF(B18=0,"",ROW()-1)</f>
        <v/>
      </c>
      <c r="B18" s="31">
        <f>IFERROR(INDEX('Monit Non Financial'!$B$2:$B$400, MATCH(C18, 'Monit Non Financial'!$C$2:$C$400, 0)), IFERROR(INDEX('Monit Banks NBFC'!$B$2:$B$100, MATCH(C18, 'Monit Banks NBFC'!$C$2:$C$100, 0)), 0))</f>
        <v/>
      </c>
      <c r="C18" s="30" t="inlineStr">
        <is>
          <t>BAJAJCON</t>
        </is>
      </c>
      <c r="D18" s="30" t="inlineStr">
        <is>
          <t>Bajaj Consumer Care Ltd</t>
        </is>
      </c>
      <c r="E18" s="30" t="inlineStr">
        <is>
          <t>FMCG - Personal Care</t>
        </is>
      </c>
      <c r="F18" s="30" t="n">
        <v>2</v>
      </c>
      <c r="G18" s="30" t="inlineStr">
        <is>
          <t>No</t>
        </is>
      </c>
      <c r="H18" s="30" t="inlineStr">
        <is>
          <t>Yes</t>
        </is>
      </c>
      <c r="I18" s="30" t="n">
        <v>25</v>
      </c>
      <c r="J18" s="30" t="n">
        <v>30</v>
      </c>
    </row>
    <row r="19">
      <c r="A19" s="30">
        <f>IF(B19=0,"",ROW()-1)</f>
        <v/>
      </c>
      <c r="B19" s="31">
        <f>IFERROR(INDEX('Monit Non Financial'!$B$2:$B$400, MATCH(C19, 'Monit Non Financial'!$C$2:$C$400, 0)), IFERROR(INDEX('Monit Banks NBFC'!$B$2:$B$100, MATCH(C19, 'Monit Banks NBFC'!$C$2:$C$100, 0)), 0))</f>
        <v/>
      </c>
      <c r="C19" s="30" t="inlineStr">
        <is>
          <t>DHANBANK</t>
        </is>
      </c>
      <c r="D19" s="30" t="inlineStr">
        <is>
          <t>Dhanlaxmi Bank Limited</t>
        </is>
      </c>
      <c r="E19" s="30" t="inlineStr">
        <is>
          <t>Banks - Private</t>
        </is>
      </c>
      <c r="F19" s="30" t="n">
        <v>2</v>
      </c>
      <c r="G19" s="30" t="inlineStr">
        <is>
          <t>No</t>
        </is>
      </c>
      <c r="H19" s="30" t="inlineStr">
        <is>
          <t>Yes</t>
        </is>
      </c>
      <c r="I19" s="30" t="n">
        <v>24</v>
      </c>
      <c r="J19" s="30" t="n">
        <v>29</v>
      </c>
    </row>
    <row r="20">
      <c r="A20" s="30">
        <f>IF(B20=0,"",ROW()-1)</f>
        <v/>
      </c>
      <c r="B20" s="31">
        <f>IFERROR(INDEX('Monit Non Financial'!$B$2:$B$400, MATCH(C20, 'Monit Non Financial'!$C$2:$C$400, 0)), IFERROR(INDEX('Monit Banks NBFC'!$B$2:$B$100, MATCH(C20, 'Monit Banks NBFC'!$C$2:$C$100, 0)), 0))</f>
        <v/>
      </c>
      <c r="C20" s="30" t="inlineStr">
        <is>
          <t>INDOBORAX</t>
        </is>
      </c>
      <c r="D20" s="30" t="inlineStr">
        <is>
          <t>Indo Borax &amp; Chemicals Ltd</t>
        </is>
      </c>
      <c r="E20" s="30" t="inlineStr">
        <is>
          <t>Chemicals - Inorganic</t>
        </is>
      </c>
      <c r="F20" s="30" t="n">
        <v>2</v>
      </c>
      <c r="G20" s="30" t="inlineStr">
        <is>
          <t>No</t>
        </is>
      </c>
      <c r="H20" s="30" t="inlineStr">
        <is>
          <t>Yes</t>
        </is>
      </c>
      <c r="I20" s="30" t="n">
        <v>20</v>
      </c>
      <c r="J20" s="30" t="n">
        <v>27</v>
      </c>
    </row>
    <row r="21">
      <c r="A21" s="30">
        <f>IF(B21=0,"",ROW()-1)</f>
        <v/>
      </c>
      <c r="B21" s="31">
        <f>IFERROR(INDEX('Monit Non Financial'!$B$2:$B$400, MATCH(C21, 'Monit Non Financial'!$C$2:$C$400, 0)), IFERROR(INDEX('Monit Banks NBFC'!$B$2:$B$100, MATCH(C21, 'Monit Banks NBFC'!$C$2:$C$100, 0)), 0))</f>
        <v/>
      </c>
      <c r="C21" s="30" t="inlineStr">
        <is>
          <t>SEAMECLTD</t>
        </is>
      </c>
      <c r="D21" s="30" t="inlineStr">
        <is>
          <t>Seamec Limited</t>
        </is>
      </c>
      <c r="E21" s="30" t="inlineStr">
        <is>
          <t>Shipping</t>
        </is>
      </c>
      <c r="F21" s="30" t="n">
        <v>2</v>
      </c>
      <c r="G21" s="30" t="inlineStr">
        <is>
          <t>No</t>
        </is>
      </c>
      <c r="H21" s="30" t="inlineStr">
        <is>
          <t>Yes</t>
        </is>
      </c>
      <c r="I21" s="30" t="n">
        <v>21</v>
      </c>
      <c r="J21" s="30" t="n">
        <v>22</v>
      </c>
    </row>
    <row r="22">
      <c r="A22" s="30">
        <f>IF(B22=0,"",ROW()-1)</f>
        <v/>
      </c>
      <c r="B22" s="31">
        <f>IFERROR(INDEX('Monit Non Financial'!$B$2:$B$400, MATCH(C22, 'Monit Non Financial'!$C$2:$C$400, 0)), IFERROR(INDEX('Monit Banks NBFC'!$B$2:$B$100, MATCH(C22, 'Monit Banks NBFC'!$C$2:$C$100, 0)), 0))</f>
        <v/>
      </c>
      <c r="C22" s="30" t="inlineStr">
        <is>
          <t>J&amp;KBANK</t>
        </is>
      </c>
      <c r="D22" s="30" t="inlineStr">
        <is>
          <t>The Jammu &amp; Kashmir Bank Limited</t>
        </is>
      </c>
      <c r="E22" s="30" t="inlineStr">
        <is>
          <t>Banks - Private</t>
        </is>
      </c>
      <c r="F22" s="30" t="n">
        <v>2</v>
      </c>
      <c r="G22" s="30" t="inlineStr">
        <is>
          <t>52W Breakout</t>
        </is>
      </c>
      <c r="H22" s="30" t="inlineStr">
        <is>
          <t>Yes</t>
        </is>
      </c>
      <c r="I22" s="30" t="n">
        <v>15</v>
      </c>
      <c r="J22" s="30" t="n">
        <v>23</v>
      </c>
    </row>
    <row r="23">
      <c r="A23" s="30">
        <f>IF(B23=0,"",ROW()-1)</f>
        <v/>
      </c>
      <c r="B23" s="31">
        <f>IFERROR(INDEX('Monit Non Financial'!$B$2:$B$400, MATCH(C23, 'Monit Non Financial'!$C$2:$C$400, 0)), IFERROR(INDEX('Monit Banks NBFC'!$B$2:$B$100, MATCH(C23, 'Monit Banks NBFC'!$C$2:$C$100, 0)), 0))</f>
        <v/>
      </c>
      <c r="C23" s="30" t="inlineStr">
        <is>
          <t>GVT&amp;D</t>
        </is>
      </c>
      <c r="D23" s="30" t="inlineStr">
        <is>
          <t>GE Vernova T&amp;D India Ltd</t>
        </is>
      </c>
      <c r="E23" s="30" t="inlineStr">
        <is>
          <t>Electrical Equipments/HVDC</t>
        </is>
      </c>
      <c r="F23" s="30" t="n">
        <v>2</v>
      </c>
      <c r="G23" s="30" t="inlineStr">
        <is>
          <t>No</t>
        </is>
      </c>
      <c r="H23" s="30" t="inlineStr">
        <is>
          <t>Yes</t>
        </is>
      </c>
      <c r="I23" s="30" t="n">
        <v>22</v>
      </c>
      <c r="J23" s="30" t="n">
        <v>25</v>
      </c>
    </row>
    <row r="24">
      <c r="A24" s="30">
        <f>IF(B24=0,"",ROW()-1)</f>
        <v/>
      </c>
      <c r="B24" s="31">
        <f>IFERROR(INDEX('Monit Non Financial'!$B$2:$B$400, MATCH(C24, 'Monit Non Financial'!$C$2:$C$400, 0)), IFERROR(INDEX('Monit Banks NBFC'!$B$2:$B$100, MATCH(C24, 'Monit Banks NBFC'!$C$2:$C$100, 0)), 0))</f>
        <v/>
      </c>
      <c r="C24" s="30" t="inlineStr">
        <is>
          <t>SATIN</t>
        </is>
      </c>
      <c r="D24" s="30" t="inlineStr">
        <is>
          <t>Satin Creditcare Network Limited</t>
        </is>
      </c>
      <c r="E24" s="30" t="inlineStr">
        <is>
          <t>Finance &amp; Investments - Microfinance</t>
        </is>
      </c>
      <c r="F24" s="30" t="n">
        <v>2</v>
      </c>
      <c r="G24" s="30" t="inlineStr">
        <is>
          <t>No</t>
        </is>
      </c>
      <c r="H24" s="30" t="inlineStr">
        <is>
          <t>Yes</t>
        </is>
      </c>
      <c r="I24" s="30" t="n">
        <v>24</v>
      </c>
      <c r="J24" s="30" t="n">
        <v>30</v>
      </c>
    </row>
    <row r="25">
      <c r="A25" s="30">
        <f>IF(B25=0,"",ROW()-1)</f>
        <v/>
      </c>
      <c r="B25" s="31">
        <f>IFERROR(INDEX('Monit Non Financial'!$B$2:$B$400, MATCH(C25, 'Monit Non Financial'!$C$2:$C$400, 0)), IFERROR(INDEX('Monit Banks NBFC'!$B$2:$B$100, MATCH(C25, 'Monit Banks NBFC'!$C$2:$C$100, 0)), 0))</f>
        <v/>
      </c>
      <c r="C25" s="30" t="inlineStr">
        <is>
          <t>ANGELONE</t>
        </is>
      </c>
      <c r="D25" s="30" t="inlineStr">
        <is>
          <t>Angel One Ltd</t>
        </is>
      </c>
      <c r="E25" s="30" t="inlineStr">
        <is>
          <t>Finance - Capital Markets - Brokers</t>
        </is>
      </c>
      <c r="F25" s="30" t="n">
        <v>2</v>
      </c>
      <c r="G25" s="30" t="inlineStr">
        <is>
          <t>No</t>
        </is>
      </c>
      <c r="H25" s="30" t="inlineStr">
        <is>
          <t>Yes</t>
        </is>
      </c>
      <c r="I25" s="30" t="n">
        <v>20</v>
      </c>
      <c r="J25" s="30" t="n">
        <v>25</v>
      </c>
    </row>
    <row r="26">
      <c r="A26" s="30">
        <f>IF(B26=0,"",ROW()-1)</f>
        <v/>
      </c>
      <c r="B26" s="31">
        <f>IFERROR(INDEX('Monit Non Financial'!$B$2:$B$400, MATCH(C26, 'Monit Non Financial'!$C$2:$C$400, 0)), IFERROR(INDEX('Monit Banks NBFC'!$B$2:$B$100, MATCH(C26, 'Monit Banks NBFC'!$C$2:$C$100, 0)), 0))</f>
        <v/>
      </c>
      <c r="C26" s="30" t="inlineStr">
        <is>
          <t>MAYURUNIQ</t>
        </is>
      </c>
      <c r="D26" s="30" t="inlineStr">
        <is>
          <t>Mayur Uniquoters Ltd</t>
        </is>
      </c>
      <c r="E26" s="30" t="inlineStr">
        <is>
          <t>Plastics - Plastic &amp; Plastic Products</t>
        </is>
      </c>
      <c r="F26" s="30" t="n">
        <v>2</v>
      </c>
      <c r="G26" s="30" t="inlineStr">
        <is>
          <t>No</t>
        </is>
      </c>
      <c r="H26" s="30" t="inlineStr">
        <is>
          <t>Yes</t>
        </is>
      </c>
      <c r="I26" s="30" t="n">
        <v>19</v>
      </c>
      <c r="J26" s="30" t="n">
        <v>25</v>
      </c>
    </row>
    <row r="27">
      <c r="A27" s="30">
        <f>IF(B27=0,"",ROW()-1)</f>
        <v/>
      </c>
      <c r="B27" s="31">
        <f>IFERROR(INDEX('Monit Non Financial'!$B$2:$B$400, MATCH(C27, 'Monit Non Financial'!$C$2:$C$400, 0)), IFERROR(INDEX('Monit Banks NBFC'!$B$2:$B$100, MATCH(C27, 'Monit Banks NBFC'!$C$2:$C$100, 0)), 0))</f>
        <v/>
      </c>
      <c r="C27" s="30" t="inlineStr">
        <is>
          <t>PGHL</t>
        </is>
      </c>
      <c r="D27" s="30" t="inlineStr">
        <is>
          <t>Procter &amp; Gamble Health Ltd</t>
        </is>
      </c>
      <c r="E27" s="30" t="inlineStr">
        <is>
          <t>unknown</t>
        </is>
      </c>
      <c r="F27" s="30" t="n">
        <v>2</v>
      </c>
      <c r="G27" s="30" t="inlineStr">
        <is>
          <t>No</t>
        </is>
      </c>
      <c r="H27" s="30" t="inlineStr">
        <is>
          <t>Yes</t>
        </is>
      </c>
      <c r="I27" s="30" t="n">
        <v>0</v>
      </c>
      <c r="J27" s="30" t="n">
        <v>12</v>
      </c>
    </row>
    <row r="28">
      <c r="A28" s="30">
        <f>IF(B28=0,"",ROW()-1)</f>
        <v/>
      </c>
      <c r="B28" s="31">
        <f>IFERROR(INDEX('Monit Non Financial'!$B$2:$B$400, MATCH(C28, 'Monit Non Financial'!$C$2:$C$400, 0)), IFERROR(INDEX('Monit Banks NBFC'!$B$2:$B$100, MATCH(C28, 'Monit Banks NBFC'!$C$2:$C$100, 0)), 0))</f>
        <v/>
      </c>
      <c r="C28" s="30" t="inlineStr">
        <is>
          <t>NETWEB</t>
        </is>
      </c>
      <c r="D28" s="30" t="inlineStr">
        <is>
          <t>Netweb Technologies India Ltd</t>
        </is>
      </c>
      <c r="E28" s="30" t="inlineStr">
        <is>
          <t>Data Centre</t>
        </is>
      </c>
      <c r="F28" s="30" t="n">
        <v>2</v>
      </c>
      <c r="G28" s="30" t="inlineStr">
        <is>
          <t>No</t>
        </is>
      </c>
      <c r="H28" s="30" t="inlineStr">
        <is>
          <t>Yes</t>
        </is>
      </c>
      <c r="I28" s="30" t="n">
        <v>22</v>
      </c>
      <c r="J28" s="30" t="n">
        <v>19</v>
      </c>
    </row>
    <row r="29">
      <c r="A29" s="30">
        <f>IF(B29=0,"",ROW()-1)</f>
        <v/>
      </c>
      <c r="B29" s="31">
        <f>IFERROR(INDEX('Monit Non Financial'!$B$2:$B$400, MATCH(C29, 'Monit Non Financial'!$C$2:$C$400, 0)), IFERROR(INDEX('Monit Banks NBFC'!$B$2:$B$100, MATCH(C29, 'Monit Banks NBFC'!$C$2:$C$100, 0)), 0))</f>
        <v/>
      </c>
      <c r="C29" s="30" t="inlineStr">
        <is>
          <t>GLAND</t>
        </is>
      </c>
      <c r="D29" s="30" t="inlineStr">
        <is>
          <t>Gland Pharma Ltd</t>
        </is>
      </c>
      <c r="E29" s="30" t="inlineStr">
        <is>
          <t>Pharma - API &amp; CRAMS</t>
        </is>
      </c>
      <c r="F29" s="30" t="n">
        <v>2</v>
      </c>
      <c r="G29" s="30" t="inlineStr">
        <is>
          <t>No</t>
        </is>
      </c>
      <c r="H29" s="30" t="inlineStr">
        <is>
          <t>Yes</t>
        </is>
      </c>
      <c r="I29" s="30" t="n">
        <v>20</v>
      </c>
      <c r="J29" s="30" t="n">
        <v>24</v>
      </c>
    </row>
    <row r="30">
      <c r="A30" s="30">
        <f>IF(B30=0,"",ROW()-1)</f>
        <v/>
      </c>
      <c r="B30" s="31">
        <f>IFERROR(INDEX('Monit Non Financial'!$B$2:$B$400, MATCH(C30, 'Monit Non Financial'!$C$2:$C$400, 0)), IFERROR(INDEX('Monit Banks NBFC'!$B$2:$B$100, MATCH(C30, 'Monit Banks NBFC'!$C$2:$C$100, 0)), 0))</f>
        <v/>
      </c>
      <c r="C30" s="30" t="inlineStr">
        <is>
          <t>IOLCP</t>
        </is>
      </c>
      <c r="D30" s="30" t="inlineStr">
        <is>
          <t>Iol Chemicals And Pharmaceuticals Limited</t>
        </is>
      </c>
      <c r="E30" s="30" t="inlineStr">
        <is>
          <t>Pharma - API &amp; CRAMS</t>
        </is>
      </c>
      <c r="F30" s="30" t="n">
        <v>2</v>
      </c>
      <c r="G30" s="30" t="inlineStr">
        <is>
          <t>No</t>
        </is>
      </c>
      <c r="H30" s="30" t="inlineStr">
        <is>
          <t>Yes</t>
        </is>
      </c>
      <c r="I30" s="30" t="n">
        <v>20</v>
      </c>
      <c r="J30" s="30" t="n">
        <v>20</v>
      </c>
    </row>
    <row r="31">
      <c r="A31" s="30">
        <f>IF(B31=0,"",ROW()-1)</f>
        <v/>
      </c>
      <c r="B31" s="31">
        <f>IFERROR(INDEX('Monit Non Financial'!$B$2:$B$400, MATCH(C31, 'Monit Non Financial'!$C$2:$C$400, 0)), IFERROR(INDEX('Monit Banks NBFC'!$B$2:$B$100, MATCH(C31, 'Monit Banks NBFC'!$C$2:$C$100, 0)), 0))</f>
        <v/>
      </c>
      <c r="C31" s="30" t="inlineStr">
        <is>
          <t>SAKAR</t>
        </is>
      </c>
      <c r="D31" s="30" t="inlineStr">
        <is>
          <t>Sakar Healthcare Ltd</t>
        </is>
      </c>
      <c r="E31" s="30" t="inlineStr">
        <is>
          <t>Hospitals</t>
        </is>
      </c>
      <c r="F31" s="30" t="n">
        <v>2</v>
      </c>
      <c r="G31" s="30" t="inlineStr">
        <is>
          <t>No</t>
        </is>
      </c>
      <c r="H31" s="30" t="inlineStr">
        <is>
          <t>Yes</t>
        </is>
      </c>
      <c r="I31" s="30" t="n">
        <v>19</v>
      </c>
      <c r="J31" s="30" t="n">
        <v>23</v>
      </c>
    </row>
    <row r="32">
      <c r="A32" s="30">
        <f>IF(B32=0,"",ROW()-1)</f>
        <v/>
      </c>
      <c r="B32" s="31">
        <f>IFERROR(INDEX('Monit Non Financial'!$B$2:$B$400, MATCH(C32, 'Monit Non Financial'!$C$2:$C$400, 0)), IFERROR(INDEX('Monit Banks NBFC'!$B$2:$B$100, MATCH(C32, 'Monit Banks NBFC'!$C$2:$C$100, 0)), 0))</f>
        <v/>
      </c>
      <c r="C32" s="30" t="inlineStr">
        <is>
          <t>GVPIL</t>
        </is>
      </c>
      <c r="D32" s="30" t="inlineStr">
        <is>
          <t>GE Power India Ltd</t>
        </is>
      </c>
      <c r="E32" s="30" t="inlineStr">
        <is>
          <t>Infra - General</t>
        </is>
      </c>
      <c r="F32" s="30" t="n">
        <v>2</v>
      </c>
      <c r="G32" s="30" t="inlineStr">
        <is>
          <t>No</t>
        </is>
      </c>
      <c r="H32" s="30" t="inlineStr">
        <is>
          <t>Yes</t>
        </is>
      </c>
      <c r="I32" s="30" t="n">
        <v>22</v>
      </c>
      <c r="J32" s="30" t="n">
        <v>30</v>
      </c>
    </row>
    <row r="33">
      <c r="A33" s="30">
        <f>IF(B33=0,"",ROW()-1)</f>
        <v/>
      </c>
      <c r="B33" s="31">
        <f>IFERROR(INDEX('Monit Non Financial'!$B$2:$B$400, MATCH(C33, 'Monit Non Financial'!$C$2:$C$400, 0)), IFERROR(INDEX('Monit Banks NBFC'!$B$2:$B$100, MATCH(C33, 'Monit Banks NBFC'!$C$2:$C$100, 0)), 0))</f>
        <v/>
      </c>
      <c r="C33" s="30" t="inlineStr">
        <is>
          <t>FEDERALBNK</t>
        </is>
      </c>
      <c r="D33" s="30" t="inlineStr">
        <is>
          <t>The Federal Bank  Limited</t>
        </is>
      </c>
      <c r="E33" s="30" t="inlineStr">
        <is>
          <t>Banks - Private</t>
        </is>
      </c>
      <c r="F33" s="30" t="n">
        <v>2</v>
      </c>
      <c r="G33" s="30" t="inlineStr">
        <is>
          <t>52W Breakout</t>
        </is>
      </c>
      <c r="H33" s="30" t="inlineStr">
        <is>
          <t>Yes</t>
        </is>
      </c>
      <c r="I33" s="30" t="n">
        <v>14</v>
      </c>
      <c r="J33" s="30" t="n">
        <v>10</v>
      </c>
    </row>
    <row r="34">
      <c r="A34" s="30">
        <f>IF(B34=0,"",ROW()-1)</f>
        <v/>
      </c>
      <c r="B34" s="31">
        <f>IFERROR(INDEX('Monit Non Financial'!$B$2:$B$400, MATCH(C34, 'Monit Non Financial'!$C$2:$C$400, 0)), IFERROR(INDEX('Monit Banks NBFC'!$B$2:$B$100, MATCH(C34, 'Monit Banks NBFC'!$C$2:$C$100, 0)), 0))</f>
        <v/>
      </c>
      <c r="C34" s="30" t="inlineStr">
        <is>
          <t>RPTECH</t>
        </is>
      </c>
      <c r="D34" s="30" t="inlineStr">
        <is>
          <t>Rashi Peripherals Ltd</t>
        </is>
      </c>
      <c r="E34" s="30" t="inlineStr">
        <is>
          <t>Trading</t>
        </is>
      </c>
      <c r="F34" s="30" t="n">
        <v>2</v>
      </c>
      <c r="G34" s="30" t="inlineStr">
        <is>
          <t>No</t>
        </is>
      </c>
      <c r="H34" s="30" t="inlineStr">
        <is>
          <t>Yes</t>
        </is>
      </c>
      <c r="I34" s="30" t="n">
        <v>21</v>
      </c>
      <c r="J34" s="30" t="n">
        <v>30</v>
      </c>
    </row>
    <row r="35">
      <c r="A35" s="30">
        <f>IF(B35=0,"",ROW()-1)</f>
        <v/>
      </c>
      <c r="B35" s="31">
        <f>IFERROR(INDEX('Monit Non Financial'!$B$2:$B$400, MATCH(C35, 'Monit Non Financial'!$C$2:$C$400, 0)), IFERROR(INDEX('Monit Banks NBFC'!$B$2:$B$100, MATCH(C35, 'Monit Banks NBFC'!$C$2:$C$100, 0)), 0))</f>
        <v/>
      </c>
      <c r="C35" s="30" t="inlineStr">
        <is>
          <t>AVALON</t>
        </is>
      </c>
      <c r="D35" s="30" t="inlineStr">
        <is>
          <t>Avalon Technologies Ltd</t>
        </is>
      </c>
      <c r="E35" s="30" t="inlineStr">
        <is>
          <t>Consumer Electronics - EMS</t>
        </is>
      </c>
      <c r="F35" s="30" t="n">
        <v>2</v>
      </c>
      <c r="G35" s="30" t="inlineStr">
        <is>
          <t>No</t>
        </is>
      </c>
      <c r="H35" s="30" t="inlineStr">
        <is>
          <t>Yes</t>
        </is>
      </c>
      <c r="I35" s="30" t="n">
        <v>25</v>
      </c>
      <c r="J35" s="30" t="n">
        <v>26</v>
      </c>
    </row>
    <row r="36">
      <c r="A36" s="30">
        <f>IF(B36=0,"",ROW()-1)</f>
        <v/>
      </c>
      <c r="B36" s="31">
        <f>IFERROR(INDEX('Monit Non Financial'!$B$2:$B$400, MATCH(C36, 'Monit Non Financial'!$C$2:$C$400, 0)), IFERROR(INDEX('Monit Banks NBFC'!$B$2:$B$100, MATCH(C36, 'Monit Banks NBFC'!$C$2:$C$100, 0)), 0))</f>
        <v/>
      </c>
      <c r="C36" s="30" t="inlineStr">
        <is>
          <t>BHAGYANGR</t>
        </is>
      </c>
      <c r="D36" s="30" t="inlineStr">
        <is>
          <t>Bhagyanagar India</t>
        </is>
      </c>
      <c r="E36" s="30" t="inlineStr">
        <is>
          <t>Recycling</t>
        </is>
      </c>
      <c r="F36" s="30" t="n">
        <v>2</v>
      </c>
      <c r="G36" s="30" t="inlineStr">
        <is>
          <t>No</t>
        </is>
      </c>
      <c r="H36" s="30" t="inlineStr">
        <is>
          <t>Yes</t>
        </is>
      </c>
      <c r="I36" s="30" t="n">
        <v>23</v>
      </c>
      <c r="J36" s="30" t="n">
        <v>24</v>
      </c>
    </row>
    <row r="37">
      <c r="A37" s="30">
        <f>IF(B37=0,"",ROW()-1)</f>
        <v/>
      </c>
      <c r="B37" s="31">
        <f>IFERROR(INDEX('Monit Non Financial'!$B$2:$B$400, MATCH(C37, 'Monit Non Financial'!$C$2:$C$400, 0)), IFERROR(INDEX('Monit Banks NBFC'!$B$2:$B$100, MATCH(C37, 'Monit Banks NBFC'!$C$2:$C$100, 0)), 0))</f>
        <v/>
      </c>
      <c r="C37" s="30" t="inlineStr">
        <is>
          <t>SUPRIYA</t>
        </is>
      </c>
      <c r="D37" s="30" t="inlineStr">
        <is>
          <t>Supriya Lifescience Ltd</t>
        </is>
      </c>
      <c r="E37" s="30" t="inlineStr">
        <is>
          <t>Pharma - API &amp; CRAMS</t>
        </is>
      </c>
      <c r="F37" s="30" t="n">
        <v>2</v>
      </c>
      <c r="G37" s="30" t="inlineStr">
        <is>
          <t>No</t>
        </is>
      </c>
      <c r="H37" s="30" t="inlineStr">
        <is>
          <t>Yes</t>
        </is>
      </c>
      <c r="I37" s="30" t="n">
        <v>21</v>
      </c>
      <c r="J37" s="30" t="n">
        <v>26</v>
      </c>
    </row>
    <row r="38">
      <c r="A38" s="30">
        <f>IF(B38=0,"",ROW()-1)</f>
        <v/>
      </c>
      <c r="B38" s="31">
        <f>IFERROR(INDEX('Monit Non Financial'!$B$2:$B$400, MATCH(C38, 'Monit Non Financial'!$C$2:$C$400, 0)), IFERROR(INDEX('Monit Banks NBFC'!$B$2:$B$100, MATCH(C38, 'Monit Banks NBFC'!$C$2:$C$100, 0)), 0))</f>
        <v/>
      </c>
      <c r="C38" s="30" t="inlineStr">
        <is>
          <t>MTARTECH</t>
        </is>
      </c>
      <c r="D38" s="30" t="inlineStr">
        <is>
          <t>MTAR Technologies Ltd</t>
        </is>
      </c>
      <c r="E38" s="30" t="inlineStr">
        <is>
          <t>Aerospace &amp; Defence - Equipments</t>
        </is>
      </c>
      <c r="F38" s="30" t="n">
        <v>2</v>
      </c>
      <c r="G38" s="30" t="inlineStr">
        <is>
          <t>No</t>
        </is>
      </c>
      <c r="H38" s="30" t="inlineStr">
        <is>
          <t>Yes</t>
        </is>
      </c>
      <c r="I38" s="30" t="n">
        <v>21</v>
      </c>
      <c r="J38" s="30" t="n">
        <v>29</v>
      </c>
    </row>
    <row r="39">
      <c r="A39" s="30">
        <f>IF(B39=0,"",ROW()-1)</f>
        <v/>
      </c>
      <c r="B39" s="31">
        <f>IFERROR(INDEX('Monit Non Financial'!$B$2:$B$400, MATCH(C39, 'Monit Non Financial'!$C$2:$C$400, 0)), IFERROR(INDEX('Monit Banks NBFC'!$B$2:$B$100, MATCH(C39, 'Monit Banks NBFC'!$C$2:$C$100, 0)), 0))</f>
        <v/>
      </c>
      <c r="C39" s="30" t="inlineStr">
        <is>
          <t>MOTHERSON</t>
        </is>
      </c>
      <c r="D39" s="30" t="inlineStr">
        <is>
          <t>Samvardhana Motherson International Ltd</t>
        </is>
      </c>
      <c r="E39" s="30" t="inlineStr">
        <is>
          <t>Auto Ancillaries - Diversified</t>
        </is>
      </c>
      <c r="F39" s="30" t="n">
        <v>2</v>
      </c>
      <c r="G39" s="30" t="inlineStr">
        <is>
          <t>No</t>
        </is>
      </c>
      <c r="H39" s="30" t="inlineStr">
        <is>
          <t>Yes</t>
        </is>
      </c>
      <c r="I39" s="30" t="n">
        <v>19</v>
      </c>
      <c r="J39" s="30" t="n">
        <v>23</v>
      </c>
    </row>
    <row r="40">
      <c r="A40" s="30">
        <f>IF(B40=0,"",ROW()-1)</f>
        <v/>
      </c>
      <c r="B40" s="31">
        <f>IFERROR(INDEX('Monit Non Financial'!$B$2:$B$400, MATCH(C40, 'Monit Non Financial'!$C$2:$C$400, 0)), IFERROR(INDEX('Monit Banks NBFC'!$B$2:$B$100, MATCH(C40, 'Monit Banks NBFC'!$C$2:$C$100, 0)), 0))</f>
        <v/>
      </c>
      <c r="C40" s="30" t="inlineStr">
        <is>
          <t>RATEGAIN</t>
        </is>
      </c>
      <c r="D40" s="30" t="inlineStr">
        <is>
          <t>Rategain Travel Technologies Ltd</t>
        </is>
      </c>
      <c r="E40" s="30" t="inlineStr">
        <is>
          <t>IT Product Companies</t>
        </is>
      </c>
      <c r="F40" s="30" t="n">
        <v>2</v>
      </c>
      <c r="G40" s="30" t="inlineStr">
        <is>
          <t>No</t>
        </is>
      </c>
      <c r="H40" s="30" t="inlineStr">
        <is>
          <t>Yes</t>
        </is>
      </c>
      <c r="I40" s="30" t="n">
        <v>29</v>
      </c>
      <c r="J40" s="30" t="n">
        <v>26</v>
      </c>
    </row>
    <row r="41">
      <c r="A41" s="30">
        <f>IF(B41=0,"",ROW()-1)</f>
        <v/>
      </c>
      <c r="B41" s="31">
        <f>IFERROR(INDEX('Monit Non Financial'!$B$2:$B$400, MATCH(C41, 'Monit Non Financial'!$C$2:$C$400, 0)), IFERROR(INDEX('Monit Banks NBFC'!$B$2:$B$100, MATCH(C41, 'Monit Banks NBFC'!$C$2:$C$100, 0)), 0))</f>
        <v/>
      </c>
      <c r="C41" s="30" t="inlineStr">
        <is>
          <t>PRECWIRE</t>
        </is>
      </c>
      <c r="D41" s="30" t="inlineStr">
        <is>
          <t>Precision Wires India Limited</t>
        </is>
      </c>
      <c r="E41" s="30" t="inlineStr">
        <is>
          <t>Copper Wires</t>
        </is>
      </c>
      <c r="F41" s="30" t="n">
        <v>2</v>
      </c>
      <c r="G41" s="30" t="inlineStr">
        <is>
          <t>No</t>
        </is>
      </c>
      <c r="H41" s="30" t="inlineStr">
        <is>
          <t>Yes</t>
        </is>
      </c>
      <c r="I41" s="30" t="n">
        <v>19</v>
      </c>
      <c r="J41" s="30" t="n">
        <v>24</v>
      </c>
    </row>
    <row r="42">
      <c r="A42" s="30">
        <f>IF(B42=0,"",ROW()-1)</f>
        <v/>
      </c>
      <c r="B42" s="31">
        <f>IFERROR(INDEX('Monit Non Financial'!$B$2:$B$400, MATCH(C42, 'Monit Non Financial'!$C$2:$C$400, 0)), IFERROR(INDEX('Monit Banks NBFC'!$B$2:$B$100, MATCH(C42, 'Monit Banks NBFC'!$C$2:$C$100, 0)), 0))</f>
        <v/>
      </c>
      <c r="C42" s="30" t="inlineStr">
        <is>
          <t>UNIPARTS</t>
        </is>
      </c>
      <c r="D42" s="30" t="inlineStr">
        <is>
          <t>Uniparts India Ltd</t>
        </is>
      </c>
      <c r="E42" s="30" t="inlineStr">
        <is>
          <t>Castings, Forgings &amp; Fastners</t>
        </is>
      </c>
      <c r="F42" s="30" t="n">
        <v>2</v>
      </c>
      <c r="G42" s="30" t="inlineStr">
        <is>
          <t>No</t>
        </is>
      </c>
      <c r="H42" s="30" t="inlineStr">
        <is>
          <t>Yes</t>
        </is>
      </c>
      <c r="I42" s="30" t="n">
        <v>27</v>
      </c>
      <c r="J42" s="30" t="n">
        <v>29</v>
      </c>
    </row>
    <row r="43">
      <c r="A43" s="30">
        <f>IF(B43=0,"",ROW()-1)</f>
        <v/>
      </c>
      <c r="B43" s="31">
        <f>IFERROR(INDEX('Monit Non Financial'!$B$2:$B$400, MATCH(C43, 'Monit Non Financial'!$C$2:$C$400, 0)), IFERROR(INDEX('Monit Banks NBFC'!$B$2:$B$100, MATCH(C43, 'Monit Banks NBFC'!$C$2:$C$100, 0)), 0))</f>
        <v/>
      </c>
      <c r="C43" s="30" t="inlineStr">
        <is>
          <t>CEMPRO</t>
        </is>
      </c>
      <c r="D43" s="30" t="inlineStr">
        <is>
          <t>Cemindia Projects Ltd</t>
        </is>
      </c>
      <c r="E43" s="30" t="inlineStr">
        <is>
          <t>Infra - Construction &amp; Contracting</t>
        </is>
      </c>
      <c r="F43" s="30" t="n">
        <v>2</v>
      </c>
      <c r="G43" s="30" t="inlineStr">
        <is>
          <t>No</t>
        </is>
      </c>
      <c r="H43" s="30" t="inlineStr">
        <is>
          <t>Yes</t>
        </is>
      </c>
      <c r="I43" s="30" t="n">
        <v>20</v>
      </c>
      <c r="J43" s="30" t="n">
        <v>26</v>
      </c>
    </row>
    <row r="44">
      <c r="A44" s="30">
        <f>IF(B44=0,"",ROW()-1)</f>
        <v/>
      </c>
      <c r="B44" s="31">
        <f>IFERROR(INDEX('Monit Non Financial'!$B$2:$B$400, MATCH(C44, 'Monit Non Financial'!$C$2:$C$400, 0)), IFERROR(INDEX('Monit Banks NBFC'!$B$2:$B$100, MATCH(C44, 'Monit Banks NBFC'!$C$2:$C$100, 0)), 0))</f>
        <v/>
      </c>
      <c r="C44" s="30" t="inlineStr">
        <is>
          <t>GOCLCORP</t>
        </is>
      </c>
      <c r="D44" s="30" t="inlineStr">
        <is>
          <t>Gocl Corporation Limited</t>
        </is>
      </c>
      <c r="E44" s="30" t="inlineStr">
        <is>
          <t>Lubricants</t>
        </is>
      </c>
      <c r="F44" s="30" t="n">
        <v>2</v>
      </c>
      <c r="G44" s="30" t="inlineStr">
        <is>
          <t>No</t>
        </is>
      </c>
      <c r="H44" s="30" t="inlineStr">
        <is>
          <t>Yes</t>
        </is>
      </c>
      <c r="I44" s="30" t="n">
        <v>21</v>
      </c>
      <c r="J44" s="30" t="n">
        <v>11</v>
      </c>
    </row>
    <row r="45">
      <c r="A45" s="30">
        <f>IF(B45=0,"",ROW()-1)</f>
        <v/>
      </c>
      <c r="B45" s="31">
        <f>IFERROR(INDEX('Monit Non Financial'!$B$2:$B$400, MATCH(C45, 'Monit Non Financial'!$C$2:$C$400, 0)), IFERROR(INDEX('Monit Banks NBFC'!$B$2:$B$100, MATCH(C45, 'Monit Banks NBFC'!$C$2:$C$100, 0)), 0))</f>
        <v/>
      </c>
      <c r="C45" s="30" t="inlineStr">
        <is>
          <t>PAISALO</t>
        </is>
      </c>
      <c r="D45" s="30" t="inlineStr">
        <is>
          <t>Paisalo Digital Ltd</t>
        </is>
      </c>
      <c r="E45" s="30" t="inlineStr">
        <is>
          <t>Finance - Capital Markets - Brokers</t>
        </is>
      </c>
      <c r="F45" s="30" t="n">
        <v>2</v>
      </c>
      <c r="G45" s="30" t="inlineStr">
        <is>
          <t>No</t>
        </is>
      </c>
      <c r="H45" s="30" t="inlineStr">
        <is>
          <t>Yes</t>
        </is>
      </c>
      <c r="I45" s="30" t="n">
        <v>23</v>
      </c>
      <c r="J45" s="30" t="n">
        <v>28</v>
      </c>
    </row>
    <row r="46">
      <c r="A46" s="30">
        <f>IF(B46=0,"",ROW()-1)</f>
        <v/>
      </c>
      <c r="B46" s="31">
        <f>IFERROR(INDEX('Monit Non Financial'!$B$2:$B$400, MATCH(C46, 'Monit Non Financial'!$C$2:$C$400, 0)), IFERROR(INDEX('Monit Banks NBFC'!$B$2:$B$100, MATCH(C46, 'Monit Banks NBFC'!$C$2:$C$100, 0)), 0))</f>
        <v/>
      </c>
      <c r="C46" s="30" t="inlineStr">
        <is>
          <t>NGLFINE</t>
        </is>
      </c>
      <c r="D46" s="30" t="inlineStr">
        <is>
          <t>NGL Fine Chem Ltd</t>
        </is>
      </c>
      <c r="E46" s="30" t="inlineStr">
        <is>
          <t>Pharma - Animal</t>
        </is>
      </c>
      <c r="F46" s="30" t="n">
        <v>2</v>
      </c>
      <c r="G46" s="30" t="inlineStr">
        <is>
          <t>No</t>
        </is>
      </c>
      <c r="H46" s="30" t="inlineStr">
        <is>
          <t>Yes</t>
        </is>
      </c>
      <c r="I46" s="30" t="n">
        <v>20</v>
      </c>
      <c r="J46" s="30" t="n">
        <v>17</v>
      </c>
    </row>
    <row r="47">
      <c r="A47" s="30">
        <f>IF(B47=0,"",ROW()-1)</f>
        <v/>
      </c>
      <c r="B47" s="31">
        <f>IFERROR(INDEX('Monit Non Financial'!$B$2:$B$400, MATCH(C47, 'Monit Non Financial'!$C$2:$C$400, 0)), IFERROR(INDEX('Monit Banks NBFC'!$B$2:$B$100, MATCH(C47, 'Monit Banks NBFC'!$C$2:$C$100, 0)), 0))</f>
        <v/>
      </c>
      <c r="C47" s="30" t="inlineStr">
        <is>
          <t>DIVGIITTS</t>
        </is>
      </c>
      <c r="D47" s="30" t="inlineStr">
        <is>
          <t>Divgi Torqtransfer Systems Ltd</t>
        </is>
      </c>
      <c r="E47" s="30" t="inlineStr">
        <is>
          <t>Auto Ancillaries - Transmission</t>
        </is>
      </c>
      <c r="F47" s="30" t="n">
        <v>2</v>
      </c>
      <c r="G47" s="30" t="inlineStr">
        <is>
          <t>No</t>
        </is>
      </c>
      <c r="H47" s="30" t="inlineStr">
        <is>
          <t>Yes</t>
        </is>
      </c>
      <c r="I47" s="30" t="n">
        <v>19</v>
      </c>
      <c r="J47" s="30" t="n">
        <v>14</v>
      </c>
    </row>
    <row r="48">
      <c r="A48" s="30">
        <f>IF(B48=0,"",ROW()-1)</f>
        <v/>
      </c>
      <c r="B48" s="31">
        <f>IFERROR(INDEX('Monit Non Financial'!$B$2:$B$400, MATCH(C48, 'Monit Non Financial'!$C$2:$C$400, 0)), IFERROR(INDEX('Monit Banks NBFC'!$B$2:$B$100, MATCH(C48, 'Monit Banks NBFC'!$C$2:$C$100, 0)), 0))</f>
        <v/>
      </c>
      <c r="C48" s="30" t="inlineStr">
        <is>
          <t>SKIPPER</t>
        </is>
      </c>
      <c r="D48" s="30" t="inlineStr">
        <is>
          <t>Skipper Limited</t>
        </is>
      </c>
      <c r="E48" s="30" t="inlineStr">
        <is>
          <t>Electrical Equipments/HVDC</t>
        </is>
      </c>
      <c r="F48" s="30" t="n">
        <v>2</v>
      </c>
      <c r="G48" s="30" t="inlineStr">
        <is>
          <t>No</t>
        </is>
      </c>
      <c r="H48" s="30" t="inlineStr">
        <is>
          <t>Yes</t>
        </is>
      </c>
      <c r="I48" s="30" t="n">
        <v>32</v>
      </c>
      <c r="J48" s="30" t="n">
        <v>18</v>
      </c>
    </row>
    <row r="49">
      <c r="A49" s="30">
        <f>IF(B49=0,"",ROW()-1)</f>
        <v/>
      </c>
      <c r="B49" s="31">
        <f>IFERROR(INDEX('Monit Non Financial'!$B$2:$B$400, MATCH(C49, 'Monit Non Financial'!$C$2:$C$400, 0)), IFERROR(INDEX('Monit Banks NBFC'!$B$2:$B$100, MATCH(C49, 'Monit Banks NBFC'!$C$2:$C$100, 0)), 0))</f>
        <v/>
      </c>
      <c r="C49" s="30" t="inlineStr">
        <is>
          <t>VERANDA</t>
        </is>
      </c>
      <c r="D49" s="30" t="inlineStr">
        <is>
          <t>Veranda Learning Solutions Ltd</t>
        </is>
      </c>
      <c r="E49" s="30" t="inlineStr">
        <is>
          <t>Computer Education</t>
        </is>
      </c>
      <c r="F49" s="30" t="n">
        <v>2</v>
      </c>
      <c r="G49" s="30" t="inlineStr">
        <is>
          <t>No</t>
        </is>
      </c>
      <c r="H49" s="30" t="inlineStr">
        <is>
          <t>Yes</t>
        </is>
      </c>
      <c r="I49" s="30" t="n">
        <v>19</v>
      </c>
      <c r="J49" s="30" t="n">
        <v>20</v>
      </c>
    </row>
    <row r="50">
      <c r="A50" s="30">
        <f>IF(B50=0,"",ROW()-1)</f>
        <v/>
      </c>
      <c r="B50" s="31">
        <f>IFERROR(INDEX('Monit Non Financial'!$B$2:$B$400, MATCH(C50, 'Monit Non Financial'!$C$2:$C$400, 0)), IFERROR(INDEX('Monit Banks NBFC'!$B$2:$B$100, MATCH(C50, 'Monit Banks NBFC'!$C$2:$C$100, 0)), 0))</f>
        <v/>
      </c>
      <c r="C50" s="30" t="inlineStr">
        <is>
          <t>HONASA</t>
        </is>
      </c>
      <c r="D50" s="30" t="inlineStr">
        <is>
          <t>Honasa Consumer Ltd</t>
        </is>
      </c>
      <c r="E50" s="30" t="inlineStr">
        <is>
          <t>New age - Platform - E-Retail</t>
        </is>
      </c>
      <c r="F50" s="30" t="n">
        <v>2</v>
      </c>
      <c r="G50" s="30" t="inlineStr">
        <is>
          <t>No</t>
        </is>
      </c>
      <c r="H50" s="30" t="inlineStr">
        <is>
          <t>Yes</t>
        </is>
      </c>
      <c r="I50" s="30" t="n">
        <v>20</v>
      </c>
      <c r="J50" s="30" t="n">
        <v>30</v>
      </c>
    </row>
    <row r="51">
      <c r="A51" s="30">
        <f>IF(B51=0,"",ROW()-1)</f>
        <v/>
      </c>
      <c r="B51" s="31">
        <f>IFERROR(INDEX('Monit Non Financial'!$B$2:$B$400, MATCH(C51, 'Monit Non Financial'!$C$2:$C$400, 0)), IFERROR(INDEX('Monit Banks NBFC'!$B$2:$B$100, MATCH(C51, 'Monit Banks NBFC'!$C$2:$C$100, 0)), 0))</f>
        <v/>
      </c>
      <c r="C51" s="30" t="inlineStr">
        <is>
          <t>GRANULES</t>
        </is>
      </c>
      <c r="D51" s="30" t="inlineStr">
        <is>
          <t>Granules India Limited</t>
        </is>
      </c>
      <c r="E51" s="30" t="inlineStr">
        <is>
          <t>Pharma - API &amp; CRAMS</t>
        </is>
      </c>
      <c r="F51" s="30" t="n">
        <v>2</v>
      </c>
      <c r="G51" s="30" t="inlineStr">
        <is>
          <t>52W Breakout</t>
        </is>
      </c>
      <c r="H51" s="30" t="inlineStr">
        <is>
          <t>Yes</t>
        </is>
      </c>
      <c r="I51" s="30" t="n">
        <v>17</v>
      </c>
      <c r="J51" s="30" t="n">
        <v>30</v>
      </c>
    </row>
    <row r="52">
      <c r="A52" s="30">
        <f>IF(B52=0,"",ROW()-1)</f>
        <v/>
      </c>
      <c r="B52" s="31">
        <f>IFERROR(INDEX('Monit Non Financial'!$B$2:$B$400, MATCH(C52, 'Monit Non Financial'!$C$2:$C$400, 0)), IFERROR(INDEX('Monit Banks NBFC'!$B$2:$B$100, MATCH(C52, 'Monit Banks NBFC'!$C$2:$C$100, 0)), 0))</f>
        <v/>
      </c>
      <c r="C52" s="30" t="inlineStr">
        <is>
          <t>SPARC</t>
        </is>
      </c>
      <c r="D52" s="30" t="inlineStr">
        <is>
          <t>Sun Pharma Advanced Research Company Limited</t>
        </is>
      </c>
      <c r="E52" s="30" t="inlineStr">
        <is>
          <t>unknown</t>
        </is>
      </c>
      <c r="F52" s="30" t="n">
        <v>2</v>
      </c>
      <c r="G52" s="30" t="inlineStr">
        <is>
          <t>No</t>
        </is>
      </c>
      <c r="H52" s="30" t="inlineStr">
        <is>
          <t>Yes</t>
        </is>
      </c>
      <c r="I52" s="30" t="n">
        <v>0</v>
      </c>
      <c r="J52" s="30" t="n">
        <v>20</v>
      </c>
    </row>
    <row r="53">
      <c r="A53" s="30">
        <f>IF(B53=0,"",ROW()-1)</f>
        <v/>
      </c>
      <c r="B53" s="31">
        <f>IFERROR(INDEX('Monit Non Financial'!$B$2:$B$400, MATCH(C53, 'Monit Non Financial'!$C$2:$C$400, 0)), IFERROR(INDEX('Monit Banks NBFC'!$B$2:$B$100, MATCH(C53, 'Monit Banks NBFC'!$C$2:$C$100, 0)), 0))</f>
        <v/>
      </c>
      <c r="C53" s="30" t="inlineStr">
        <is>
          <t>SANSERA</t>
        </is>
      </c>
      <c r="D53" s="30" t="inlineStr">
        <is>
          <t>Sansera Engineering Ltd</t>
        </is>
      </c>
      <c r="E53" s="30" t="inlineStr">
        <is>
          <t>Auto Ancillaries - Diversified</t>
        </is>
      </c>
      <c r="F53" s="30" t="n">
        <v>2</v>
      </c>
      <c r="G53" s="30" t="inlineStr">
        <is>
          <t>No</t>
        </is>
      </c>
      <c r="H53" s="30" t="inlineStr">
        <is>
          <t>Yes</t>
        </is>
      </c>
      <c r="I53" s="30" t="n">
        <v>23</v>
      </c>
      <c r="J53" s="30" t="n">
        <v>24</v>
      </c>
    </row>
    <row r="54">
      <c r="A54" s="30">
        <f>IF(B54=0,"",ROW()-1)</f>
        <v/>
      </c>
      <c r="B54" s="31">
        <f>IFERROR(INDEX('Monit Non Financial'!$B$2:$B$400, MATCH(C54, 'Monit Non Financial'!$C$2:$C$400, 0)), IFERROR(INDEX('Monit Banks NBFC'!$B$2:$B$100, MATCH(C54, 'Monit Banks NBFC'!$C$2:$C$100, 0)), 0))</f>
        <v/>
      </c>
      <c r="C54" s="30" t="inlineStr">
        <is>
          <t>WHEELS</t>
        </is>
      </c>
      <c r="D54" s="30" t="inlineStr">
        <is>
          <t>Wheels India Limited</t>
        </is>
      </c>
      <c r="E54" s="30" t="inlineStr">
        <is>
          <t>Auto Ancillaries - Wheels</t>
        </is>
      </c>
      <c r="F54" s="30" t="n">
        <v>2</v>
      </c>
      <c r="G54" s="30" t="inlineStr">
        <is>
          <t>No</t>
        </is>
      </c>
      <c r="H54" s="30" t="inlineStr">
        <is>
          <t>Yes</t>
        </is>
      </c>
      <c r="I54" s="30" t="n">
        <v>22</v>
      </c>
      <c r="J54" s="30" t="n">
        <v>30</v>
      </c>
    </row>
    <row r="55">
      <c r="A55" s="30">
        <f>IF(B55=0,"",ROW()-1)</f>
        <v/>
      </c>
      <c r="B55" s="31">
        <f>IFERROR(INDEX('Monit Non Financial'!$B$2:$B$400, MATCH(C55, 'Monit Non Financial'!$C$2:$C$400, 0)), IFERROR(INDEX('Monit Banks NBFC'!$B$2:$B$100, MATCH(C55, 'Monit Banks NBFC'!$C$2:$C$100, 0)), 0))</f>
        <v/>
      </c>
      <c r="C55" s="30" t="inlineStr">
        <is>
          <t>CARYSIL</t>
        </is>
      </c>
      <c r="D55" s="30" t="inlineStr">
        <is>
          <t>Carysil Ltd</t>
        </is>
      </c>
      <c r="E55" s="30" t="inlineStr">
        <is>
          <t>Building Material USA</t>
        </is>
      </c>
      <c r="F55" s="30" t="n">
        <v>2</v>
      </c>
      <c r="G55" s="30" t="inlineStr">
        <is>
          <t>52W Breakout</t>
        </is>
      </c>
      <c r="H55" s="30" t="inlineStr">
        <is>
          <t>Yes</t>
        </is>
      </c>
      <c r="I55" s="30" t="n">
        <v>18</v>
      </c>
      <c r="J55" s="30" t="n">
        <v>26</v>
      </c>
    </row>
    <row r="56">
      <c r="A56" s="30">
        <f>IF(B56=0,"",ROW()-1)</f>
        <v/>
      </c>
      <c r="B56" s="31">
        <f>IFERROR(INDEX('Monit Non Financial'!$B$2:$B$400, MATCH(C56, 'Monit Non Financial'!$C$2:$C$400, 0)), IFERROR(INDEX('Monit Banks NBFC'!$B$2:$B$100, MATCH(C56, 'Monit Banks NBFC'!$C$2:$C$100, 0)), 0))</f>
        <v/>
      </c>
      <c r="C56" s="30" t="inlineStr">
        <is>
          <t>CUPID</t>
        </is>
      </c>
      <c r="D56" s="30" t="inlineStr">
        <is>
          <t>Cupid Limited</t>
        </is>
      </c>
      <c r="E56" s="30" t="inlineStr">
        <is>
          <t>Contraceptives/Protectives</t>
        </is>
      </c>
      <c r="F56" s="30" t="n">
        <v>2</v>
      </c>
      <c r="G56" s="30" t="inlineStr">
        <is>
          <t>No</t>
        </is>
      </c>
      <c r="H56" s="30" t="inlineStr">
        <is>
          <t>Yes</t>
        </is>
      </c>
      <c r="I56" s="30" t="n">
        <v>20</v>
      </c>
      <c r="J56" s="30" t="n">
        <v>29</v>
      </c>
    </row>
    <row r="57">
      <c r="A57" s="30">
        <f>IF(B57=0,"",ROW()-1)</f>
        <v/>
      </c>
      <c r="B57" s="31">
        <f>IFERROR(INDEX('Monit Non Financial'!$B$2:$B$400, MATCH(C57, 'Monit Non Financial'!$C$2:$C$400, 0)), IFERROR(INDEX('Monit Banks NBFC'!$B$2:$B$100, MATCH(C57, 'Monit Banks NBFC'!$C$2:$C$100, 0)), 0))</f>
        <v/>
      </c>
      <c r="C57" s="30" t="inlineStr">
        <is>
          <t>CGCL</t>
        </is>
      </c>
      <c r="D57" s="30" t="inlineStr">
        <is>
          <t>Capri Global Capital Limited</t>
        </is>
      </c>
      <c r="E57" s="30" t="inlineStr">
        <is>
          <t>Finance &amp; Investments - Gold Loan</t>
        </is>
      </c>
      <c r="F57" s="30" t="n">
        <v>2</v>
      </c>
      <c r="G57" s="30" t="inlineStr">
        <is>
          <t>No</t>
        </is>
      </c>
      <c r="H57" s="30" t="inlineStr">
        <is>
          <t>Yes</t>
        </is>
      </c>
      <c r="I57" s="30" t="n">
        <v>20</v>
      </c>
      <c r="J57" s="30" t="n">
        <v>19</v>
      </c>
    </row>
    <row r="58">
      <c r="A58" s="30">
        <f>IF(B58=0,"",ROW()-1)</f>
        <v/>
      </c>
      <c r="B58" s="31">
        <f>IFERROR(INDEX('Monit Non Financial'!$B$2:$B$400, MATCH(C58, 'Monit Non Financial'!$C$2:$C$400, 0)), IFERROR(INDEX('Monit Banks NBFC'!$B$2:$B$100, MATCH(C58, 'Monit Banks NBFC'!$C$2:$C$100, 0)), 0))</f>
        <v/>
      </c>
      <c r="C58" s="30" t="inlineStr">
        <is>
          <t>MARKSANS</t>
        </is>
      </c>
      <c r="D58" s="30" t="inlineStr">
        <is>
          <t>Marksans Pharma Limited</t>
        </is>
      </c>
      <c r="E58" s="30" t="inlineStr">
        <is>
          <t>Pharma - Formulators</t>
        </is>
      </c>
      <c r="F58" s="30" t="n">
        <v>2</v>
      </c>
      <c r="G58" s="30" t="inlineStr">
        <is>
          <t>No</t>
        </is>
      </c>
      <c r="H58" s="30" t="inlineStr">
        <is>
          <t>Yes</t>
        </is>
      </c>
      <c r="I58" s="30" t="n">
        <v>21</v>
      </c>
      <c r="J58" s="30" t="n">
        <v>13</v>
      </c>
    </row>
    <row r="59">
      <c r="A59" s="30">
        <f>IF(B59=0,"",ROW()-1)</f>
        <v/>
      </c>
      <c r="B59" s="31">
        <f>IFERROR(INDEX('Monit Non Financial'!$B$2:$B$400, MATCH(C59, 'Monit Non Financial'!$C$2:$C$400, 0)), IFERROR(INDEX('Monit Banks NBFC'!$B$2:$B$100, MATCH(C59, 'Monit Banks NBFC'!$C$2:$C$100, 0)), 0))</f>
        <v/>
      </c>
      <c r="C59" s="30" t="inlineStr">
        <is>
          <t>POWERINDIA</t>
        </is>
      </c>
      <c r="D59" s="30" t="inlineStr">
        <is>
          <t>Hitachi Energy India Ltd</t>
        </is>
      </c>
      <c r="E59" s="30" t="inlineStr">
        <is>
          <t>Electrical Equipments/HVDC</t>
        </is>
      </c>
      <c r="F59" s="30" t="n">
        <v>2</v>
      </c>
      <c r="G59" s="30" t="inlineStr">
        <is>
          <t>No</t>
        </is>
      </c>
      <c r="H59" s="30" t="inlineStr">
        <is>
          <t>Yes</t>
        </is>
      </c>
      <c r="I59" s="30" t="n">
        <v>19</v>
      </c>
      <c r="J59" s="30" t="n">
        <v>30</v>
      </c>
    </row>
    <row r="60">
      <c r="A60" s="30">
        <f>IF(B60=0,"",ROW()-1)</f>
        <v/>
      </c>
      <c r="B60" s="31">
        <f>IFERROR(INDEX('Monit Non Financial'!$B$2:$B$400, MATCH(C60, 'Monit Non Financial'!$C$2:$C$400, 0)), IFERROR(INDEX('Monit Banks NBFC'!$B$2:$B$100, MATCH(C60, 'Monit Banks NBFC'!$C$2:$C$100, 0)), 0))</f>
        <v/>
      </c>
      <c r="C60" s="30" t="inlineStr">
        <is>
          <t>FIEMIND</t>
        </is>
      </c>
      <c r="D60" s="30" t="inlineStr">
        <is>
          <t>Fiem Industries Limited</t>
        </is>
      </c>
      <c r="E60" s="30" t="inlineStr">
        <is>
          <t>Auto Ancillaries - 2&amp;3 Wheelers</t>
        </is>
      </c>
      <c r="F60" s="30" t="n">
        <v>2</v>
      </c>
      <c r="G60" s="30" t="inlineStr">
        <is>
          <t>No</t>
        </is>
      </c>
      <c r="H60" s="30" t="inlineStr">
        <is>
          <t>Yes</t>
        </is>
      </c>
      <c r="I60" s="30" t="n">
        <v>19</v>
      </c>
      <c r="J60" s="30" t="n">
        <v>11</v>
      </c>
    </row>
    <row r="61">
      <c r="A61" s="30">
        <f>IF(B61=0,"",ROW()-1)</f>
        <v/>
      </c>
      <c r="B61" s="31">
        <f>IFERROR(INDEX('Monit Non Financial'!$B$2:$B$400, MATCH(C61, 'Monit Non Financial'!$C$2:$C$400, 0)), IFERROR(INDEX('Monit Banks NBFC'!$B$2:$B$100, MATCH(C61, 'Monit Banks NBFC'!$C$2:$C$100, 0)), 0))</f>
        <v/>
      </c>
      <c r="C61" s="30" t="inlineStr">
        <is>
          <t>APOLLO</t>
        </is>
      </c>
      <c r="D61" s="30" t="inlineStr">
        <is>
          <t>Apollo Micro Systems Ltd</t>
        </is>
      </c>
      <c r="E61" s="30" t="inlineStr">
        <is>
          <t>Aerospace &amp; Defence - Equipments</t>
        </is>
      </c>
      <c r="F61" s="30" t="n">
        <v>2</v>
      </c>
      <c r="G61" s="30" t="inlineStr">
        <is>
          <t>No</t>
        </is>
      </c>
      <c r="H61" s="30" t="inlineStr">
        <is>
          <t>Yes</t>
        </is>
      </c>
      <c r="I61" s="30" t="n">
        <v>27</v>
      </c>
      <c r="J61" s="30" t="n">
        <v>30</v>
      </c>
    </row>
    <row r="62">
      <c r="A62" s="30">
        <f>IF(B62=0,"",ROW()-1)</f>
        <v/>
      </c>
      <c r="B62" s="31">
        <f>IFERROR(INDEX('Monit Non Financial'!$B$2:$B$400, MATCH(C62, 'Monit Non Financial'!$C$2:$C$400, 0)), IFERROR(INDEX('Monit Banks NBFC'!$B$2:$B$100, MATCH(C62, 'Monit Banks NBFC'!$C$2:$C$100, 0)), 0))</f>
        <v/>
      </c>
      <c r="C62" s="30" t="inlineStr">
        <is>
          <t>SHILPAMED</t>
        </is>
      </c>
      <c r="D62" s="30" t="inlineStr">
        <is>
          <t>Shilpa Medicare Limited</t>
        </is>
      </c>
      <c r="E62" s="30" t="inlineStr">
        <is>
          <t>Pharma - API &amp; CRAMS</t>
        </is>
      </c>
      <c r="F62" s="30" t="n">
        <v>2</v>
      </c>
      <c r="G62" s="30" t="inlineStr">
        <is>
          <t>No</t>
        </is>
      </c>
      <c r="H62" s="30" t="inlineStr">
        <is>
          <t>Yes</t>
        </is>
      </c>
      <c r="I62" s="30" t="n">
        <v>22</v>
      </c>
      <c r="J62" s="30" t="n">
        <v>30</v>
      </c>
    </row>
    <row r="63">
      <c r="A63" s="30">
        <f>IF(B63=0,"",ROW()-1)</f>
        <v/>
      </c>
      <c r="B63" s="31">
        <f>IFERROR(INDEX('Monit Non Financial'!$B$2:$B$400, MATCH(C63, 'Monit Non Financial'!$C$2:$C$400, 0)), IFERROR(INDEX('Monit Banks NBFC'!$B$2:$B$100, MATCH(C63, 'Monit Banks NBFC'!$C$2:$C$100, 0)), 0))</f>
        <v/>
      </c>
      <c r="C63" s="30" t="inlineStr">
        <is>
          <t>LAURUSLABS</t>
        </is>
      </c>
      <c r="D63" s="30" t="inlineStr">
        <is>
          <t>Laurus Labs Limited</t>
        </is>
      </c>
      <c r="E63" s="30" t="inlineStr">
        <is>
          <t>Pharma - API &amp; CRAMS</t>
        </is>
      </c>
      <c r="F63" s="30" t="n">
        <v>2</v>
      </c>
      <c r="G63" s="30" t="inlineStr">
        <is>
          <t>52W Breakout</t>
        </is>
      </c>
      <c r="H63" s="30" t="inlineStr">
        <is>
          <t>Yes</t>
        </is>
      </c>
      <c r="I63" s="30" t="n">
        <v>14</v>
      </c>
      <c r="J63" s="30" t="n">
        <v>28</v>
      </c>
    </row>
    <row r="64">
      <c r="A64" s="30">
        <f>IF(B64=0,"",ROW()-1)</f>
        <v/>
      </c>
      <c r="B64" s="31">
        <f>IFERROR(INDEX('Monit Non Financial'!$B$2:$B$400, MATCH(C64, 'Monit Non Financial'!$C$2:$C$400, 0)), IFERROR(INDEX('Monit Banks NBFC'!$B$2:$B$100, MATCH(C64, 'Monit Banks NBFC'!$C$2:$C$100, 0)), 0))</f>
        <v/>
      </c>
      <c r="C64" s="30" t="inlineStr">
        <is>
          <t>SIS</t>
        </is>
      </c>
      <c r="D64" s="30" t="inlineStr">
        <is>
          <t>Security &amp; Intelligence Services India</t>
        </is>
      </c>
      <c r="E64" s="30" t="inlineStr">
        <is>
          <t>Facility Management</t>
        </is>
      </c>
      <c r="F64" s="30" t="n">
        <v>2</v>
      </c>
      <c r="G64" s="30" t="inlineStr">
        <is>
          <t>No</t>
        </is>
      </c>
      <c r="H64" s="30" t="inlineStr">
        <is>
          <t>Yes</t>
        </is>
      </c>
      <c r="I64" s="30" t="n">
        <v>20</v>
      </c>
      <c r="J64" s="30" t="n">
        <v>30</v>
      </c>
    </row>
    <row r="65">
      <c r="A65" s="30">
        <f>IF(B65=0,"",ROW()-1)</f>
        <v/>
      </c>
      <c r="B65" s="31">
        <f>IFERROR(INDEX('Monit Non Financial'!$B$2:$B$400, MATCH(C65, 'Monit Non Financial'!$C$2:$C$400, 0)), IFERROR(INDEX('Monit Banks NBFC'!$B$2:$B$100, MATCH(C65, 'Monit Banks NBFC'!$C$2:$C$100, 0)), 0))</f>
        <v/>
      </c>
      <c r="C65" s="30" t="inlineStr">
        <is>
          <t>MINDACORP</t>
        </is>
      </c>
      <c r="D65" s="30" t="inlineStr">
        <is>
          <t>Minda Corporation Limited</t>
        </is>
      </c>
      <c r="E65" s="30" t="inlineStr">
        <is>
          <t>Auto Ancillaries - Diversified</t>
        </is>
      </c>
      <c r="F65" s="30" t="n">
        <v>2</v>
      </c>
      <c r="G65" s="30" t="inlineStr">
        <is>
          <t>No</t>
        </is>
      </c>
      <c r="H65" s="30" t="inlineStr">
        <is>
          <t>Yes</t>
        </is>
      </c>
      <c r="I65" s="30" t="n">
        <v>26</v>
      </c>
      <c r="J65" s="30" t="n">
        <v>11</v>
      </c>
    </row>
    <row r="66">
      <c r="A66" s="30">
        <f>IF(B66=0,"",ROW()-1)</f>
        <v/>
      </c>
      <c r="B66" s="31">
        <f>IFERROR(INDEX('Monit Non Financial'!$B$2:$B$400, MATCH(C66, 'Monit Non Financial'!$C$2:$C$400, 0)), IFERROR(INDEX('Monit Banks NBFC'!$B$2:$B$100, MATCH(C66, 'Monit Banks NBFC'!$C$2:$C$100, 0)), 0))</f>
        <v/>
      </c>
      <c r="C66" s="30" t="inlineStr">
        <is>
          <t>WOCKPHARMA</t>
        </is>
      </c>
      <c r="D66" s="30" t="inlineStr">
        <is>
          <t>Wockhardt Limited</t>
        </is>
      </c>
      <c r="E66" s="30" t="inlineStr">
        <is>
          <t>Pharma - Formulators</t>
        </is>
      </c>
      <c r="F66" s="30" t="n">
        <v>2</v>
      </c>
      <c r="G66" s="30" t="inlineStr">
        <is>
          <t>No</t>
        </is>
      </c>
      <c r="H66" s="30" t="inlineStr">
        <is>
          <t>Yes</t>
        </is>
      </c>
      <c r="I66" s="30" t="n">
        <v>19</v>
      </c>
      <c r="J66" s="30" t="n">
        <v>24</v>
      </c>
    </row>
    <row r="67">
      <c r="A67" s="30">
        <f>IF(B67=0,"",ROW()-1)</f>
        <v/>
      </c>
      <c r="B67" s="31">
        <f>IFERROR(INDEX('Monit Non Financial'!$B$2:$B$400, MATCH(C67, 'Monit Non Financial'!$C$2:$C$400, 0)), IFERROR(INDEX('Monit Banks NBFC'!$B$2:$B$100, MATCH(C67, 'Monit Banks NBFC'!$C$2:$C$100, 0)), 0))</f>
        <v/>
      </c>
      <c r="C67" s="30" t="inlineStr">
        <is>
          <t>IDEAFORGE</t>
        </is>
      </c>
      <c r="D67" s="30" t="inlineStr">
        <is>
          <t>Ideaforge Technology Ltd</t>
        </is>
      </c>
      <c r="E67" s="30" t="inlineStr">
        <is>
          <t>Aerospace &amp; Defence - Equipments</t>
        </is>
      </c>
      <c r="F67" s="30" t="n">
        <v>2</v>
      </c>
      <c r="G67" s="30" t="inlineStr">
        <is>
          <t>No</t>
        </is>
      </c>
      <c r="H67" s="30" t="inlineStr">
        <is>
          <t>Yes</t>
        </is>
      </c>
      <c r="I67" s="30" t="n">
        <v>19</v>
      </c>
      <c r="J67" s="30" t="n">
        <v>29</v>
      </c>
    </row>
    <row r="68">
      <c r="A68" s="30">
        <f>IF(B68=0,"",ROW()-1)</f>
        <v/>
      </c>
      <c r="B68" s="31">
        <f>IFERROR(INDEX('Monit Non Financial'!$B$2:$B$400, MATCH(C68, 'Monit Non Financial'!$C$2:$C$400, 0)), IFERROR(INDEX('Monit Banks NBFC'!$B$2:$B$100, MATCH(C68, 'Monit Banks NBFC'!$C$2:$C$100, 0)), 0))</f>
        <v/>
      </c>
      <c r="C68" s="30" t="inlineStr">
        <is>
          <t>JNKINDIA</t>
        </is>
      </c>
      <c r="D68" s="30" t="inlineStr">
        <is>
          <t>JNK India Ltd</t>
        </is>
      </c>
      <c r="E68" s="30" t="inlineStr">
        <is>
          <t>Capital Goods - Engineering Heavy</t>
        </is>
      </c>
      <c r="F68" s="30" t="n">
        <v>2</v>
      </c>
      <c r="G68" s="30" t="inlineStr">
        <is>
          <t>No</t>
        </is>
      </c>
      <c r="H68" s="30" t="inlineStr">
        <is>
          <t>Yes</t>
        </is>
      </c>
      <c r="I68" s="30" t="n">
        <v>25</v>
      </c>
      <c r="J68" s="30" t="n">
        <v>24</v>
      </c>
    </row>
    <row r="69">
      <c r="A69" s="30">
        <f>IF(B69=0,"",ROW()-1)</f>
        <v/>
      </c>
      <c r="B69" s="31">
        <f>IFERROR(INDEX('Monit Non Financial'!$B$2:$B$400, MATCH(C69, 'Monit Non Financial'!$C$2:$C$400, 0)), IFERROR(INDEX('Monit Banks NBFC'!$B$2:$B$100, MATCH(C69, 'Monit Banks NBFC'!$C$2:$C$100, 0)), 0))</f>
        <v/>
      </c>
      <c r="C69" s="30" t="inlineStr">
        <is>
          <t>SANGHVIMOV</t>
        </is>
      </c>
      <c r="D69" s="30" t="inlineStr">
        <is>
          <t>Sanghvi Movers Limited</t>
        </is>
      </c>
      <c r="E69" s="30" t="inlineStr">
        <is>
          <t>Capital Goods - EPC/Cranes</t>
        </is>
      </c>
      <c r="F69" s="30" t="n">
        <v>2</v>
      </c>
      <c r="G69" s="30" t="inlineStr">
        <is>
          <t>No</t>
        </is>
      </c>
      <c r="H69" s="30" t="inlineStr">
        <is>
          <t>Yes</t>
        </is>
      </c>
      <c r="I69" s="30" t="n">
        <v>19</v>
      </c>
      <c r="J69" s="30" t="n">
        <v>15</v>
      </c>
    </row>
    <row r="70">
      <c r="A70" s="30">
        <f>IF(B70=0,"",ROW()-1)</f>
        <v/>
      </c>
      <c r="B70" s="31">
        <f>IFERROR(INDEX('Monit Non Financial'!$B$2:$B$400, MATCH(C70, 'Monit Non Financial'!$C$2:$C$400, 0)), IFERROR(INDEX('Monit Banks NBFC'!$B$2:$B$100, MATCH(C70, 'Monit Banks NBFC'!$C$2:$C$100, 0)), 0))</f>
        <v/>
      </c>
      <c r="C70" s="30" t="inlineStr">
        <is>
          <t>PTCIL</t>
        </is>
      </c>
      <c r="D70" s="30" t="inlineStr">
        <is>
          <t>PTC Industries Ltd</t>
        </is>
      </c>
      <c r="E70" s="30" t="inlineStr">
        <is>
          <t>Castings - Steel/Alloy</t>
        </is>
      </c>
      <c r="F70" s="30" t="n">
        <v>2</v>
      </c>
      <c r="G70" s="30" t="inlineStr">
        <is>
          <t>No</t>
        </is>
      </c>
      <c r="H70" s="30" t="inlineStr">
        <is>
          <t>Yes</t>
        </is>
      </c>
      <c r="I70" s="30" t="n">
        <v>26</v>
      </c>
      <c r="J70" s="30" t="n">
        <v>9</v>
      </c>
    </row>
    <row r="71">
      <c r="A71" s="30">
        <f>IF(B71=0,"",ROW()-1)</f>
        <v/>
      </c>
      <c r="B71" s="31">
        <f>IFERROR(INDEX('Monit Non Financial'!$B$2:$B$400, MATCH(C71, 'Monit Non Financial'!$C$2:$C$400, 0)), IFERROR(INDEX('Monit Banks NBFC'!$B$2:$B$100, MATCH(C71, 'Monit Banks NBFC'!$C$2:$C$100, 0)), 0))</f>
        <v/>
      </c>
      <c r="C71" s="30" t="inlineStr">
        <is>
          <t>RAIN</t>
        </is>
      </c>
      <c r="D71" s="30" t="inlineStr">
        <is>
          <t>Rain Industries Limited</t>
        </is>
      </c>
      <c r="E71" s="30" t="inlineStr">
        <is>
          <t>Cement</t>
        </is>
      </c>
      <c r="F71" s="30" t="n">
        <v>2</v>
      </c>
      <c r="G71" s="30" t="inlineStr">
        <is>
          <t>No</t>
        </is>
      </c>
      <c r="H71" s="30" t="inlineStr">
        <is>
          <t>Yes</t>
        </is>
      </c>
      <c r="I71" s="30" t="n">
        <v>25</v>
      </c>
      <c r="J71" s="30" t="n">
        <v>21</v>
      </c>
    </row>
    <row r="72">
      <c r="A72" s="30">
        <f>IF(B72=0,"",ROW()-1)</f>
        <v/>
      </c>
      <c r="B72" s="31">
        <f>IFERROR(INDEX('Monit Non Financial'!$B$2:$B$400, MATCH(C72, 'Monit Non Financial'!$C$2:$C$400, 0)), IFERROR(INDEX('Monit Banks NBFC'!$B$2:$B$100, MATCH(C72, 'Monit Banks NBFC'!$C$2:$C$100, 0)), 0))</f>
        <v/>
      </c>
      <c r="C72" s="30" t="inlineStr">
        <is>
          <t>PREMIERENE</t>
        </is>
      </c>
      <c r="D72" s="30" t="inlineStr">
        <is>
          <t>Premier Energies Ltd</t>
        </is>
      </c>
      <c r="E72" s="30" t="inlineStr">
        <is>
          <t>Capital Goods - Solar</t>
        </is>
      </c>
      <c r="F72" s="30" t="n">
        <v>2</v>
      </c>
      <c r="G72" s="30" t="inlineStr">
        <is>
          <t>No</t>
        </is>
      </c>
      <c r="H72" s="30" t="inlineStr">
        <is>
          <t>Yes</t>
        </is>
      </c>
      <c r="I72" s="30" t="n">
        <v>21</v>
      </c>
      <c r="J72" s="30" t="n">
        <v>21</v>
      </c>
    </row>
    <row r="73">
      <c r="A73" s="30">
        <f>IF(B73=0,"",ROW()-1)</f>
        <v/>
      </c>
      <c r="B73" s="31">
        <f>IFERROR(INDEX('Monit Non Financial'!$B$2:$B$400, MATCH(C73, 'Monit Non Financial'!$C$2:$C$400, 0)), IFERROR(INDEX('Monit Banks NBFC'!$B$2:$B$100, MATCH(C73, 'Monit Banks NBFC'!$C$2:$C$100, 0)), 0))</f>
        <v/>
      </c>
      <c r="C73" s="30" t="inlineStr">
        <is>
          <t>SASKEN</t>
        </is>
      </c>
      <c r="D73" s="30" t="inlineStr">
        <is>
          <t>Sasken Communication Technologies Limited</t>
        </is>
      </c>
      <c r="E73" s="30" t="inlineStr">
        <is>
          <t>IT - Software</t>
        </is>
      </c>
      <c r="F73" s="30" t="n">
        <v>2</v>
      </c>
      <c r="G73" s="30" t="inlineStr">
        <is>
          <t>No</t>
        </is>
      </c>
      <c r="H73" s="30" t="inlineStr">
        <is>
          <t>Yes</t>
        </is>
      </c>
      <c r="I73" s="30" t="n">
        <v>22</v>
      </c>
      <c r="J73" s="30" t="n">
        <v>24</v>
      </c>
    </row>
    <row r="74">
      <c r="A74" s="30">
        <f>IF(B74=0,"",ROW()-1)</f>
        <v/>
      </c>
      <c r="B74" s="31">
        <f>IFERROR(INDEX('Monit Non Financial'!$B$2:$B$400, MATCH(C74, 'Monit Non Financial'!$C$2:$C$400, 0)), IFERROR(INDEX('Monit Banks NBFC'!$B$2:$B$100, MATCH(C74, 'Monit Banks NBFC'!$C$2:$C$100, 0)), 0))</f>
        <v/>
      </c>
      <c r="C74" s="30" t="inlineStr">
        <is>
          <t>JAYBARMARU</t>
        </is>
      </c>
      <c r="D74" s="30" t="inlineStr">
        <is>
          <t>Jay Bharat Maruti Limited</t>
        </is>
      </c>
      <c r="E74" s="30" t="inlineStr">
        <is>
          <t>Auto Ancillaries - Diversified</t>
        </is>
      </c>
      <c r="F74" s="30" t="n">
        <v>2</v>
      </c>
      <c r="G74" s="30" t="inlineStr">
        <is>
          <t>No</t>
        </is>
      </c>
      <c r="H74" s="30" t="inlineStr">
        <is>
          <t>Yes</t>
        </is>
      </c>
      <c r="I74" s="30" t="n">
        <v>25</v>
      </c>
      <c r="J74" s="30" t="n">
        <v>15</v>
      </c>
    </row>
    <row r="75">
      <c r="A75" s="30">
        <f>IF(B75=0,"",ROW()-1)</f>
        <v/>
      </c>
      <c r="B75" s="31">
        <f>IFERROR(INDEX('Monit Non Financial'!$B$2:$B$400, MATCH(C75, 'Monit Non Financial'!$C$2:$C$400, 0)), IFERROR(INDEX('Monit Banks NBFC'!$B$2:$B$100, MATCH(C75, 'Monit Banks NBFC'!$C$2:$C$100, 0)), 0))</f>
        <v/>
      </c>
      <c r="C75" s="30" t="inlineStr">
        <is>
          <t>SOTL</t>
        </is>
      </c>
      <c r="D75" s="30" t="inlineStr">
        <is>
          <t>Savita Oil Technologies Limited</t>
        </is>
      </c>
      <c r="E75" s="30" t="inlineStr">
        <is>
          <t>Petrochem - Others</t>
        </is>
      </c>
      <c r="F75" s="30" t="n">
        <v>2</v>
      </c>
      <c r="G75" s="30" t="inlineStr">
        <is>
          <t>No</t>
        </is>
      </c>
      <c r="H75" s="30" t="inlineStr">
        <is>
          <t>Yes</t>
        </is>
      </c>
      <c r="I75" s="30" t="n">
        <v>24</v>
      </c>
      <c r="J75" s="30" t="n">
        <v>24</v>
      </c>
    </row>
    <row r="76">
      <c r="A76" s="30">
        <f>IF(B76=0,"",ROW()-1)</f>
        <v/>
      </c>
      <c r="B76" s="31">
        <f>IFERROR(INDEX('Monit Non Financial'!$B$2:$B$400, MATCH(C76, 'Monit Non Financial'!$C$2:$C$400, 0)), IFERROR(INDEX('Monit Banks NBFC'!$B$2:$B$100, MATCH(C76, 'Monit Banks NBFC'!$C$2:$C$100, 0)), 0))</f>
        <v/>
      </c>
      <c r="C76" s="30" t="inlineStr">
        <is>
          <t>INDNIPPON</t>
        </is>
      </c>
      <c r="D76" s="30" t="inlineStr">
        <is>
          <t>India Nippon Electricals Limited</t>
        </is>
      </c>
      <c r="E76" s="30" t="inlineStr">
        <is>
          <t>Auto Ancillaries - Engine Parts</t>
        </is>
      </c>
      <c r="F76" s="30" t="n">
        <v>2</v>
      </c>
      <c r="G76" s="30" t="inlineStr">
        <is>
          <t>No</t>
        </is>
      </c>
      <c r="H76" s="30" t="inlineStr">
        <is>
          <t>Yes</t>
        </is>
      </c>
      <c r="I76" s="30" t="n">
        <v>23</v>
      </c>
      <c r="J76" s="30" t="n">
        <v>6</v>
      </c>
    </row>
    <row r="77">
      <c r="A77" s="30">
        <f>IF(B77=0,"",ROW()-1)</f>
        <v/>
      </c>
      <c r="B77" s="31">
        <f>IFERROR(INDEX('Monit Non Financial'!$B$2:$B$400, MATCH(C77, 'Monit Non Financial'!$C$2:$C$400, 0)), IFERROR(INDEX('Monit Banks NBFC'!$B$2:$B$100, MATCH(C77, 'Monit Banks NBFC'!$C$2:$C$100, 0)), 0))</f>
        <v/>
      </c>
      <c r="C77" s="30" t="inlineStr">
        <is>
          <t>DIACABS</t>
        </is>
      </c>
      <c r="D77" s="30" t="inlineStr">
        <is>
          <t>Diamond Power Infrastructure Ltd</t>
        </is>
      </c>
      <c r="E77" s="30" t="inlineStr">
        <is>
          <t>Cables - Power</t>
        </is>
      </c>
      <c r="F77" s="30" t="n">
        <v>2</v>
      </c>
      <c r="G77" s="30" t="inlineStr">
        <is>
          <t>No</t>
        </is>
      </c>
      <c r="H77" s="30" t="inlineStr">
        <is>
          <t>Yes</t>
        </is>
      </c>
      <c r="I77" s="30" t="n">
        <v>19</v>
      </c>
      <c r="J77" s="30" t="n">
        <v>29</v>
      </c>
    </row>
    <row r="78">
      <c r="A78" s="30">
        <f>IF(B78=0,"",ROW()-1)</f>
        <v/>
      </c>
      <c r="B78" s="31">
        <f>IFERROR(INDEX('Monit Non Financial'!$B$2:$B$400, MATCH(C78, 'Monit Non Financial'!$C$2:$C$400, 0)), IFERROR(INDEX('Monit Banks NBFC'!$B$2:$B$100, MATCH(C78, 'Monit Banks NBFC'!$C$2:$C$100, 0)), 0))</f>
        <v/>
      </c>
      <c r="C78" s="30" t="inlineStr">
        <is>
          <t>VIYASH</t>
        </is>
      </c>
      <c r="D78" s="30" t="inlineStr">
        <is>
          <t>Viyash Scientific Ltd</t>
        </is>
      </c>
      <c r="E78" s="30" t="inlineStr">
        <is>
          <t>Pharma - Animal</t>
        </is>
      </c>
      <c r="F78" s="30" t="n">
        <v>2</v>
      </c>
      <c r="G78" s="30" t="inlineStr">
        <is>
          <t>No</t>
        </is>
      </c>
      <c r="H78" s="30" t="inlineStr">
        <is>
          <t>Yes</t>
        </is>
      </c>
      <c r="I78" s="30" t="n">
        <v>19</v>
      </c>
      <c r="J78" s="30" t="n">
        <v>24</v>
      </c>
    </row>
    <row r="79">
      <c r="A79" s="30">
        <f>IF(B79=0,"",ROW()-1)</f>
        <v/>
      </c>
      <c r="B79" s="31">
        <f>IFERROR(INDEX('Monit Non Financial'!$B$2:$B$400, MATCH(C79, 'Monit Non Financial'!$C$2:$C$400, 0)), IFERROR(INDEX('Monit Banks NBFC'!$B$2:$B$100, MATCH(C79, 'Monit Banks NBFC'!$C$2:$C$100, 0)), 0))</f>
        <v/>
      </c>
      <c r="C79" s="30" t="inlineStr">
        <is>
          <t>KINGFA</t>
        </is>
      </c>
      <c r="D79" s="30" t="inlineStr">
        <is>
          <t>Kingfa Science &amp; Technology (india) Limited</t>
        </is>
      </c>
      <c r="E79" s="30" t="inlineStr">
        <is>
          <t>Plastics - Plastic &amp; Plastic Products</t>
        </is>
      </c>
      <c r="F79" s="30" t="n">
        <v>2</v>
      </c>
      <c r="G79" s="30" t="inlineStr">
        <is>
          <t>No</t>
        </is>
      </c>
      <c r="H79" s="30" t="inlineStr">
        <is>
          <t>Yes</t>
        </is>
      </c>
      <c r="I79" s="30" t="n">
        <v>20</v>
      </c>
      <c r="J79" s="30" t="n">
        <v>30</v>
      </c>
    </row>
    <row r="80">
      <c r="A80" s="30">
        <f>IF(B80=0,"",ROW()-1)</f>
        <v/>
      </c>
      <c r="B80" s="31">
        <f>IFERROR(INDEX('Monit Non Financial'!$B$2:$B$400, MATCH(C80, 'Monit Non Financial'!$C$2:$C$400, 0)), IFERROR(INDEX('Monit Banks NBFC'!$B$2:$B$100, MATCH(C80, 'Monit Banks NBFC'!$C$2:$C$100, 0)), 0))</f>
        <v/>
      </c>
      <c r="C80" s="30" t="inlineStr">
        <is>
          <t>ANTELOPUS</t>
        </is>
      </c>
      <c r="D80" s="30" t="inlineStr">
        <is>
          <t>Antelopus Selan Energy Ltd</t>
        </is>
      </c>
      <c r="E80" s="30" t="inlineStr">
        <is>
          <t>Oil Drilling &amp; Exploration</t>
        </is>
      </c>
      <c r="F80" s="30" t="n">
        <v>2</v>
      </c>
      <c r="G80" s="30" t="inlineStr">
        <is>
          <t>No</t>
        </is>
      </c>
      <c r="H80" s="30" t="inlineStr">
        <is>
          <t>Yes</t>
        </is>
      </c>
      <c r="I80" s="30" t="n">
        <v>21</v>
      </c>
      <c r="J80" s="30" t="n">
        <v>27</v>
      </c>
    </row>
    <row r="81">
      <c r="A81" s="30">
        <f>IF(B81=0,"",ROW()-1)</f>
        <v/>
      </c>
      <c r="B81" s="31">
        <f>IFERROR(INDEX('Monit Non Financial'!$B$2:$B$400, MATCH(C81, 'Monit Non Financial'!$C$2:$C$400, 0)), IFERROR(INDEX('Monit Banks NBFC'!$B$2:$B$100, MATCH(C81, 'Monit Banks NBFC'!$C$2:$C$100, 0)), 0))</f>
        <v/>
      </c>
      <c r="C81" s="30" t="inlineStr">
        <is>
          <t>CEIGALL</t>
        </is>
      </c>
      <c r="D81" s="30" t="inlineStr">
        <is>
          <t>Ceigall India Ltd</t>
        </is>
      </c>
      <c r="E81" s="30" t="inlineStr">
        <is>
          <t>Construction - Civil/Turnkey</t>
        </is>
      </c>
      <c r="F81" s="30" t="n">
        <v>2</v>
      </c>
      <c r="G81" s="30" t="inlineStr">
        <is>
          <t>No</t>
        </is>
      </c>
      <c r="H81" s="30" t="inlineStr">
        <is>
          <t>Yes</t>
        </is>
      </c>
      <c r="I81" s="30" t="n">
        <v>19</v>
      </c>
      <c r="J81" s="30" t="n">
        <v>24</v>
      </c>
    </row>
    <row r="82">
      <c r="A82" s="30">
        <f>IF(B82=0,"",ROW()-1)</f>
        <v/>
      </c>
      <c r="B82" s="31">
        <f>IFERROR(INDEX('Monit Non Financial'!$B$2:$B$400, MATCH(C82, 'Monit Non Financial'!$C$2:$C$400, 0)), IFERROR(INDEX('Monit Banks NBFC'!$B$2:$B$100, MATCH(C82, 'Monit Banks NBFC'!$C$2:$C$100, 0)), 0))</f>
        <v/>
      </c>
      <c r="C82" s="30" t="inlineStr">
        <is>
          <t>V2RETAIL</t>
        </is>
      </c>
      <c r="D82" s="30" t="inlineStr">
        <is>
          <t>V2 Retail Limited</t>
        </is>
      </c>
      <c r="E82" s="30" t="inlineStr">
        <is>
          <t>Textiles - Readymade Apparel</t>
        </is>
      </c>
      <c r="F82" s="30" t="n">
        <v>2</v>
      </c>
      <c r="G82" s="30" t="inlineStr">
        <is>
          <t>No</t>
        </is>
      </c>
      <c r="H82" s="30" t="inlineStr">
        <is>
          <t>Yes</t>
        </is>
      </c>
      <c r="I82" s="30" t="n">
        <v>23</v>
      </c>
      <c r="J82" s="30" t="n">
        <v>24</v>
      </c>
    </row>
    <row r="83">
      <c r="A83" s="30">
        <f>IF(B83=0,"",ROW()-1)</f>
        <v/>
      </c>
      <c r="B83" s="31">
        <f>IFERROR(INDEX('Monit Non Financial'!$B$2:$B$400, MATCH(C83, 'Monit Non Financial'!$C$2:$C$400, 0)), IFERROR(INDEX('Monit Banks NBFC'!$B$2:$B$100, MATCH(C83, 'Monit Banks NBFC'!$C$2:$C$100, 0)), 0))</f>
        <v/>
      </c>
      <c r="C83" s="30" t="inlineStr">
        <is>
          <t>BBOX</t>
        </is>
      </c>
      <c r="D83" s="30" t="inlineStr">
        <is>
          <t>Black Box Ltd</t>
        </is>
      </c>
      <c r="E83" s="30" t="inlineStr">
        <is>
          <t>Data Centre</t>
        </is>
      </c>
      <c r="F83" s="30" t="n">
        <v>2</v>
      </c>
      <c r="G83" s="30" t="inlineStr">
        <is>
          <t>52W Breakout</t>
        </is>
      </c>
      <c r="H83" s="30" t="inlineStr">
        <is>
          <t>Yes</t>
        </is>
      </c>
      <c r="I83" s="30" t="n">
        <v>15</v>
      </c>
      <c r="J83" s="30" t="n">
        <v>30</v>
      </c>
    </row>
    <row r="84">
      <c r="A84" s="30">
        <f>IF(B84=0,"",ROW()-1)</f>
        <v/>
      </c>
      <c r="B84" s="31">
        <f>IFERROR(INDEX('Monit Non Financial'!$B$2:$B$400, MATCH(C84, 'Monit Non Financial'!$C$2:$C$400, 0)), IFERROR(INDEX('Monit Banks NBFC'!$B$2:$B$100, MATCH(C84, 'Monit Banks NBFC'!$C$2:$C$100, 0)), 0))</f>
        <v/>
      </c>
      <c r="C84" s="30" t="inlineStr">
        <is>
          <t>VADILALIND</t>
        </is>
      </c>
      <c r="D84" s="30" t="inlineStr">
        <is>
          <t>Vadilal Industries Limited</t>
        </is>
      </c>
      <c r="E84" s="30" t="inlineStr">
        <is>
          <t>FMCG - Dairy Products</t>
        </is>
      </c>
      <c r="F84" s="30" t="n">
        <v>2</v>
      </c>
      <c r="G84" s="30" t="inlineStr">
        <is>
          <t>No</t>
        </is>
      </c>
      <c r="H84" s="30" t="inlineStr">
        <is>
          <t>Yes</t>
        </is>
      </c>
      <c r="I84" s="30" t="n">
        <v>20</v>
      </c>
      <c r="J84" s="30" t="n">
        <v>3</v>
      </c>
    </row>
    <row r="85">
      <c r="A85" s="30">
        <f>IF(B85=0,"",ROW()-1)</f>
        <v/>
      </c>
      <c r="B85" s="31">
        <f>IFERROR(INDEX('Monit Non Financial'!$B$2:$B$400, MATCH(C85, 'Monit Non Financial'!$C$2:$C$400, 0)), IFERROR(INDEX('Monit Banks NBFC'!$B$2:$B$100, MATCH(C85, 'Monit Banks NBFC'!$C$2:$C$100, 0)), 0))</f>
        <v/>
      </c>
      <c r="C85" s="30" t="inlineStr">
        <is>
          <t>NSLNISP</t>
        </is>
      </c>
      <c r="D85" s="30" t="inlineStr">
        <is>
          <t>NMDC Steel Ltd</t>
        </is>
      </c>
      <c r="E85" s="30" t="inlineStr">
        <is>
          <t>Steel</t>
        </is>
      </c>
      <c r="F85" s="30" t="n">
        <v>2</v>
      </c>
      <c r="G85" s="30" t="inlineStr">
        <is>
          <t>No</t>
        </is>
      </c>
      <c r="H85" s="30" t="inlineStr">
        <is>
          <t>Yes</t>
        </is>
      </c>
      <c r="I85" s="30" t="n">
        <v>25</v>
      </c>
      <c r="J85" s="30" t="n">
        <v>26</v>
      </c>
    </row>
    <row r="86">
      <c r="A86" s="30">
        <f>IF(B86=0,"",ROW()-1)</f>
        <v/>
      </c>
      <c r="B86" s="31">
        <f>IFERROR(INDEX('Monit Non Financial'!$B$2:$B$400, MATCH(C86, 'Monit Non Financial'!$C$2:$C$400, 0)), IFERROR(INDEX('Monit Banks NBFC'!$B$2:$B$100, MATCH(C86, 'Monit Banks NBFC'!$C$2:$C$100, 0)), 0))</f>
        <v/>
      </c>
      <c r="C86" s="30" t="inlineStr">
        <is>
          <t>AEROFLEX</t>
        </is>
      </c>
      <c r="D86" s="30" t="inlineStr">
        <is>
          <t>Aeroflex Industries Ltd</t>
        </is>
      </c>
      <c r="E86" s="30" t="inlineStr">
        <is>
          <t>Stainless Steel</t>
        </is>
      </c>
      <c r="F86" s="30" t="n">
        <v>2</v>
      </c>
      <c r="G86" s="30" t="inlineStr">
        <is>
          <t>No</t>
        </is>
      </c>
      <c r="H86" s="30" t="inlineStr">
        <is>
          <t>Yes</t>
        </is>
      </c>
      <c r="I86" s="30" t="n">
        <v>20</v>
      </c>
      <c r="J86" s="30" t="n">
        <v>26</v>
      </c>
    </row>
    <row r="87">
      <c r="A87" s="30">
        <f>IF(B87=0,"",ROW()-1)</f>
        <v/>
      </c>
      <c r="B87" s="31">
        <f>IFERROR(INDEX('Monit Non Financial'!$B$2:$B$400, MATCH(C87, 'Monit Non Financial'!$C$2:$C$400, 0)), IFERROR(INDEX('Monit Banks NBFC'!$B$2:$B$100, MATCH(C87, 'Monit Banks NBFC'!$C$2:$C$100, 0)), 0))</f>
        <v/>
      </c>
      <c r="C87" s="30" t="inlineStr">
        <is>
          <t>YASHO</t>
        </is>
      </c>
      <c r="D87" s="30" t="inlineStr">
        <is>
          <t>Yasho Industries Ltd</t>
        </is>
      </c>
      <c r="E87" s="30" t="inlineStr">
        <is>
          <t>Speciality Chemicals</t>
        </is>
      </c>
      <c r="F87" s="30" t="n">
        <v>2</v>
      </c>
      <c r="G87" s="30" t="inlineStr">
        <is>
          <t>No</t>
        </is>
      </c>
      <c r="H87" s="30" t="inlineStr">
        <is>
          <t>Yes</t>
        </is>
      </c>
      <c r="I87" s="30" t="n">
        <v>22</v>
      </c>
      <c r="J87" s="30" t="n">
        <v>14</v>
      </c>
    </row>
    <row r="88">
      <c r="A88" s="30">
        <f>IF(B88=0,"",ROW()-1)</f>
        <v/>
      </c>
      <c r="B88" s="31">
        <f>IFERROR(INDEX('Monit Non Financial'!$B$2:$B$400, MATCH(C88, 'Monit Non Financial'!$C$2:$C$400, 0)), IFERROR(INDEX('Monit Banks NBFC'!$B$2:$B$100, MATCH(C88, 'Monit Banks NBFC'!$C$2:$C$100, 0)), 0))</f>
        <v/>
      </c>
      <c r="C88" s="30" t="inlineStr">
        <is>
          <t>CRAFTSMAN</t>
        </is>
      </c>
      <c r="D88" s="30" t="inlineStr">
        <is>
          <t>Craftsman Automation Ltd</t>
        </is>
      </c>
      <c r="E88" s="30" t="inlineStr">
        <is>
          <t>Auto &amp; Auto Ancl - CV</t>
        </is>
      </c>
      <c r="F88" s="30" t="n">
        <v>2</v>
      </c>
      <c r="G88" s="30" t="inlineStr">
        <is>
          <t>No</t>
        </is>
      </c>
      <c r="H88" s="30" t="inlineStr">
        <is>
          <t>Yes</t>
        </is>
      </c>
      <c r="I88" s="30" t="n">
        <v>19</v>
      </c>
      <c r="J88" s="30" t="n">
        <v>30</v>
      </c>
    </row>
    <row r="89">
      <c r="A89" s="30">
        <f>IF(B89=0,"",ROW()-1)</f>
        <v/>
      </c>
      <c r="B89" s="31">
        <f>IFERROR(INDEX('Monit Non Financial'!$B$2:$B$400, MATCH(C89, 'Monit Non Financial'!$C$2:$C$400, 0)), IFERROR(INDEX('Monit Banks NBFC'!$B$2:$B$100, MATCH(C89, 'Monit Banks NBFC'!$C$2:$C$100, 0)), 0))</f>
        <v/>
      </c>
      <c r="C89" s="30" t="inlineStr">
        <is>
          <t>LLOYDSME</t>
        </is>
      </c>
      <c r="D89" s="30" t="inlineStr">
        <is>
          <t>Lloyds Metals &amp; Energy Ltd</t>
        </is>
      </c>
      <c r="E89" s="30" t="inlineStr">
        <is>
          <t>Mining/Minerals - Iron Ore</t>
        </is>
      </c>
      <c r="F89" s="30" t="n">
        <v>2</v>
      </c>
      <c r="G89" s="30" t="inlineStr">
        <is>
          <t>No</t>
        </is>
      </c>
      <c r="H89" s="30" t="inlineStr">
        <is>
          <t>Yes</t>
        </is>
      </c>
      <c r="I89" s="30" t="n">
        <v>21</v>
      </c>
      <c r="J89" s="30" t="n">
        <v>28</v>
      </c>
    </row>
    <row r="90">
      <c r="A90" s="30">
        <f>IF(B90=0,"",ROW()-1)</f>
        <v/>
      </c>
      <c r="B90" s="31">
        <f>IFERROR(INDEX('Monit Non Financial'!$B$2:$B$400, MATCH(C90, 'Monit Non Financial'!$C$2:$C$400, 0)), IFERROR(INDEX('Monit Banks NBFC'!$B$2:$B$100, MATCH(C90, 'Monit Banks NBFC'!$C$2:$C$100, 0)), 0))</f>
        <v/>
      </c>
      <c r="C90" s="30" t="inlineStr">
        <is>
          <t>KRISHANA</t>
        </is>
      </c>
      <c r="D90" s="30" t="inlineStr">
        <is>
          <t>Krishana Phoschem Ltd</t>
        </is>
      </c>
      <c r="E90" s="30" t="inlineStr">
        <is>
          <t>Fertilisers</t>
        </is>
      </c>
      <c r="F90" s="30" t="n">
        <v>2</v>
      </c>
      <c r="G90" s="30" t="inlineStr">
        <is>
          <t>No</t>
        </is>
      </c>
      <c r="H90" s="30" t="inlineStr">
        <is>
          <t>Yes</t>
        </is>
      </c>
      <c r="I90" s="30" t="n">
        <v>24</v>
      </c>
      <c r="J90" s="30" t="n">
        <v>22</v>
      </c>
    </row>
    <row r="91">
      <c r="A91" s="30">
        <f>IF(B91=0,"",ROW()-1)</f>
        <v/>
      </c>
      <c r="B91" s="31">
        <f>IFERROR(INDEX('Monit Non Financial'!$B$2:$B$400, MATCH(C91, 'Monit Non Financial'!$C$2:$C$400, 0)), IFERROR(INDEX('Monit Banks NBFC'!$B$2:$B$100, MATCH(C91, 'Monit Banks NBFC'!$C$2:$C$100, 0)), 0))</f>
        <v/>
      </c>
      <c r="C91" s="30" t="inlineStr">
        <is>
          <t>VEDL</t>
        </is>
      </c>
      <c r="D91" s="30" t="inlineStr">
        <is>
          <t>Vedanta Limited</t>
        </is>
      </c>
      <c r="E91" s="30" t="inlineStr">
        <is>
          <t>Mining/Minerals</t>
        </is>
      </c>
      <c r="F91" s="30" t="n">
        <v>2</v>
      </c>
      <c r="G91" s="30" t="inlineStr">
        <is>
          <t>No</t>
        </is>
      </c>
      <c r="H91" s="30" t="inlineStr">
        <is>
          <t>Yes</t>
        </is>
      </c>
      <c r="I91" s="30" t="n">
        <v>20</v>
      </c>
      <c r="J91" s="30" t="n">
        <v>26</v>
      </c>
    </row>
    <row r="92">
      <c r="A92" s="30">
        <f>IF(B92=0,"",ROW()-1)</f>
        <v/>
      </c>
      <c r="B92" s="31">
        <f>IFERROR(INDEX('Monit Non Financial'!$B$2:$B$400, MATCH(C92, 'Monit Non Financial'!$C$2:$C$400, 0)), IFERROR(INDEX('Monit Banks NBFC'!$B$2:$B$100, MATCH(C92, 'Monit Banks NBFC'!$C$2:$C$100, 0)), 0))</f>
        <v/>
      </c>
      <c r="C92" s="30" t="inlineStr">
        <is>
          <t>BALAMINES</t>
        </is>
      </c>
      <c r="D92" s="30" t="inlineStr">
        <is>
          <t>Balaji Amines Limited</t>
        </is>
      </c>
      <c r="E92" s="30" t="inlineStr">
        <is>
          <t>Chemicals - Organic</t>
        </is>
      </c>
      <c r="F92" s="30" t="n">
        <v>2</v>
      </c>
      <c r="G92" s="30" t="inlineStr">
        <is>
          <t>No</t>
        </is>
      </c>
      <c r="H92" s="30" t="inlineStr">
        <is>
          <t>Yes</t>
        </is>
      </c>
      <c r="I92" s="30" t="n">
        <v>20</v>
      </c>
      <c r="J92" s="30" t="n">
        <v>17</v>
      </c>
    </row>
  </sheetData>
  <autoFilter ref="A1:J92"/>
  <conditionalFormatting sqref="F2:F9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2026-06-03T15:09:56Z</dcterms:created>
  <dcterms:modified xmlns:dcterms="http://purl.org/dc/terms/" xmlns:xsi="http://www.w3.org/2001/XMLSchema-instance" xsi:type="dcterms:W3CDTF">2026-06-03T15:10:46Z</dcterms:modified>
</cp:coreProperties>
</file>