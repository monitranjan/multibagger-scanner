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Universe'!$A$1:$J$325</definedName>
    <definedName name="_xlnm._FilterDatabase" localSheetId="3" hidden="1">'Confluence Overlap'!$A$1:$K$94</definedName>
    <definedName name="_xlnm._FilterDatabase" localSheetId="4" hidden="1">'Monit Non Financial'!$A$1:$CE$280</definedName>
    <definedName name="_xlnm._FilterDatabase" localSheetId="5" hidden="1">'Monit Banks NBFC'!$A$1:$CA$46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Financial'!$A$1:$CG$84</definedName>
    <definedName name="_xlnm._FilterDatabase" localSheetId="9" hidden="1">'Scan Match Banks NBFC'!$A$1:$CC$18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22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25" customWidth="1" min="3" max="3"/>
    <col width="42" customWidth="1" min="4" max="4"/>
    <col width="22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21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504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69</v>
      </c>
      <c r="G6" s="19" t="n">
        <v>42968.86</v>
      </c>
      <c r="H6" s="18" t="inlineStr">
        <is>
          <t>Potential Leader</t>
        </is>
      </c>
      <c r="J6" s="18" t="inlineStr">
        <is>
          <t>plastic products</t>
        </is>
      </c>
      <c r="K6" s="16" t="n">
        <v>15</v>
      </c>
      <c r="L6" s="16" t="n">
        <v>7</v>
      </c>
      <c r="M6" s="20" t="inlineStr">
        <is>
          <t>114.3%</t>
        </is>
      </c>
    </row>
    <row r="7">
      <c r="A7" s="16" t="n">
        <v>2</v>
      </c>
      <c r="B7" s="17" t="n">
        <v>498</v>
      </c>
      <c r="C7" s="17" t="inlineStr">
        <is>
          <t>STYLAMIND</t>
        </is>
      </c>
      <c r="D7" s="18" t="inlineStr">
        <is>
          <t>Stylam Industries Ltd</t>
        </is>
      </c>
      <c r="E7" s="18" t="inlineStr">
        <is>
          <t>building materials</t>
        </is>
      </c>
      <c r="F7" s="16" t="n">
        <v>68</v>
      </c>
      <c r="G7" s="19" t="n">
        <v>5949.96</v>
      </c>
      <c r="H7" s="18" t="inlineStr">
        <is>
          <t>Potential Leader</t>
        </is>
      </c>
      <c r="J7" s="18" t="inlineStr">
        <is>
          <t>energy</t>
        </is>
      </c>
      <c r="K7" s="16" t="n">
        <v>37</v>
      </c>
      <c r="L7" s="16" t="n">
        <v>28</v>
      </c>
      <c r="M7" s="20" t="inlineStr">
        <is>
          <t>32.1%</t>
        </is>
      </c>
    </row>
    <row r="8">
      <c r="A8" s="16" t="n">
        <v>3</v>
      </c>
      <c r="B8" s="17" t="n">
        <v>486</v>
      </c>
      <c r="C8" s="17" t="inlineStr">
        <is>
          <t>SHILPAMED</t>
        </is>
      </c>
      <c r="D8" s="18" t="inlineStr">
        <is>
          <t>Shilpa Medicare Limited</t>
        </is>
      </c>
      <c r="E8" s="18" t="inlineStr">
        <is>
          <t>healthcare</t>
        </is>
      </c>
      <c r="F8" s="16" t="n">
        <v>66</v>
      </c>
      <c r="G8" s="19" t="n">
        <v>12517.24</v>
      </c>
      <c r="H8" s="18" t="inlineStr">
        <is>
          <t>Potential Leader</t>
        </is>
      </c>
      <c r="J8" s="18" t="inlineStr">
        <is>
          <t>media</t>
        </is>
      </c>
      <c r="K8" s="16" t="n">
        <v>14</v>
      </c>
      <c r="L8" s="16" t="n">
        <v>11</v>
      </c>
      <c r="M8" s="20" t="inlineStr">
        <is>
          <t>27.3%</t>
        </is>
      </c>
    </row>
    <row r="9">
      <c r="A9" s="16" t="n">
        <v>4</v>
      </c>
      <c r="B9" s="17" t="n">
        <v>462</v>
      </c>
      <c r="C9" s="17" t="inlineStr">
        <is>
          <t>NINSYS</t>
        </is>
      </c>
      <c r="D9" s="18" t="inlineStr">
        <is>
          <t>NINtec Systems Ltd</t>
        </is>
      </c>
      <c r="E9" s="18" t="inlineStr">
        <is>
          <t>i.t</t>
        </is>
      </c>
      <c r="F9" s="16" t="n">
        <v>62</v>
      </c>
      <c r="G9" s="19" t="n">
        <v>1662.55</v>
      </c>
      <c r="H9" s="18" t="inlineStr">
        <is>
          <t>Potential Leader</t>
        </is>
      </c>
      <c r="J9" s="18" t="inlineStr">
        <is>
          <t>telecom</t>
        </is>
      </c>
      <c r="K9" s="16" t="n">
        <v>17</v>
      </c>
      <c r="L9" s="16" t="n">
        <v>15</v>
      </c>
      <c r="M9" s="20" t="inlineStr">
        <is>
          <t>13.3%</t>
        </is>
      </c>
    </row>
    <row r="10">
      <c r="A10" s="16" t="n">
        <v>5</v>
      </c>
      <c r="B10" s="17" t="n">
        <v>456</v>
      </c>
      <c r="C10" s="17" t="inlineStr">
        <is>
          <t>TALBROAUTO</t>
        </is>
      </c>
      <c r="D10" s="18" t="inlineStr">
        <is>
          <t>Talbros Automotive Components Limited</t>
        </is>
      </c>
      <c r="E10" s="18" t="inlineStr">
        <is>
          <t>auto</t>
        </is>
      </c>
      <c r="F10" s="16" t="n">
        <v>61</v>
      </c>
      <c r="G10" s="19" t="n">
        <v>2545.36</v>
      </c>
      <c r="H10" s="18" t="inlineStr">
        <is>
          <t>Potential Leader</t>
        </is>
      </c>
      <c r="J10" s="18" t="inlineStr">
        <is>
          <t>fmcg</t>
        </is>
      </c>
      <c r="K10" s="16" t="n">
        <v>110</v>
      </c>
      <c r="L10" s="16" t="n">
        <v>98</v>
      </c>
      <c r="M10" s="20" t="inlineStr">
        <is>
          <t>12.2%</t>
        </is>
      </c>
    </row>
    <row r="11">
      <c r="A11" s="16" t="n">
        <v>6</v>
      </c>
      <c r="B11" s="17" t="n">
        <v>432</v>
      </c>
      <c r="C11" s="17" t="inlineStr">
        <is>
          <t>ADANIENT</t>
        </is>
      </c>
      <c r="D11" s="18" t="inlineStr">
        <is>
          <t>Adani Enterprises Limited</t>
        </is>
      </c>
      <c r="E11" s="18" t="inlineStr">
        <is>
          <t>services</t>
        </is>
      </c>
      <c r="F11" s="16" t="n">
        <v>57</v>
      </c>
      <c r="G11" s="19" t="n">
        <v>430849.29</v>
      </c>
      <c r="H11" s="18" t="inlineStr">
        <is>
          <t>Potential Leader</t>
        </is>
      </c>
      <c r="J11" s="18" t="inlineStr">
        <is>
          <t>telecom-service</t>
        </is>
      </c>
      <c r="K11" s="16" t="n">
        <v>11</v>
      </c>
      <c r="L11" s="16" t="n">
        <v>10</v>
      </c>
      <c r="M11" s="20" t="inlineStr">
        <is>
          <t>10.0%</t>
        </is>
      </c>
    </row>
    <row r="12">
      <c r="A12" s="16" t="n">
        <v>7</v>
      </c>
      <c r="B12" s="17" t="n">
        <v>396</v>
      </c>
      <c r="C12" s="17" t="inlineStr">
        <is>
          <t>BLSE</t>
        </is>
      </c>
      <c r="D12" s="18" t="inlineStr">
        <is>
          <t>BLS E-Services Ltd</t>
        </is>
      </c>
      <c r="E12" s="18" t="inlineStr">
        <is>
          <t>i.t</t>
        </is>
      </c>
      <c r="F12" s="16" t="n">
        <v>51</v>
      </c>
      <c r="G12" s="19" t="n">
        <v>2439.04</v>
      </c>
      <c r="H12" s="18" t="inlineStr">
        <is>
          <t>Potential Leader</t>
        </is>
      </c>
      <c r="J12" s="18" t="inlineStr">
        <is>
          <t>chemicals</t>
        </is>
      </c>
      <c r="K12" s="16" t="n">
        <v>122</v>
      </c>
      <c r="L12" s="16" t="n">
        <v>114</v>
      </c>
      <c r="M12" s="20" t="inlineStr">
        <is>
          <t>7.0%</t>
        </is>
      </c>
    </row>
    <row r="13">
      <c r="A13" s="16" t="n">
        <v>8</v>
      </c>
      <c r="B13" s="17" t="n">
        <v>396</v>
      </c>
      <c r="C13" s="17" t="inlineStr">
        <is>
          <t>CEMPRO</t>
        </is>
      </c>
      <c r="D13" s="18" t="inlineStr">
        <is>
          <t>Cemindia Projects Ltd</t>
        </is>
      </c>
      <c r="E13" s="18" t="inlineStr">
        <is>
          <t>realty</t>
        </is>
      </c>
      <c r="F13" s="16" t="n">
        <v>51</v>
      </c>
      <c r="G13" s="19" t="n">
        <v>28166.29</v>
      </c>
      <c r="H13" s="18" t="inlineStr">
        <is>
          <t>Potential Leader</t>
        </is>
      </c>
      <c r="J13" s="18" t="inlineStr">
        <is>
          <t>i.t</t>
        </is>
      </c>
      <c r="K13" s="16" t="n">
        <v>80</v>
      </c>
      <c r="L13" s="16" t="n">
        <v>78</v>
      </c>
      <c r="M13" s="20" t="inlineStr">
        <is>
          <t>2.6%</t>
        </is>
      </c>
    </row>
    <row r="14">
      <c r="A14" s="16" t="n">
        <v>9</v>
      </c>
      <c r="B14" s="17" t="n">
        <v>390</v>
      </c>
      <c r="C14" s="17" t="inlineStr">
        <is>
          <t>LAURUSLABS</t>
        </is>
      </c>
      <c r="D14" s="18" t="inlineStr">
        <is>
          <t>Laurus Labs Limited</t>
        </is>
      </c>
      <c r="E14" s="18" t="inlineStr">
        <is>
          <t>healthcare</t>
        </is>
      </c>
      <c r="F14" s="16" t="n">
        <v>50</v>
      </c>
      <c r="G14" s="19" t="n">
        <v>86009.95</v>
      </c>
      <c r="H14" s="18" t="inlineStr">
        <is>
          <t>Potential Leader</t>
        </is>
      </c>
      <c r="J14" s="18" t="inlineStr">
        <is>
          <t>textiles</t>
        </is>
      </c>
      <c r="K14" s="16" t="n">
        <v>80</v>
      </c>
      <c r="L14" s="16" t="n">
        <v>80</v>
      </c>
      <c r="M14" s="20" t="inlineStr">
        <is>
          <t>0.0%</t>
        </is>
      </c>
    </row>
    <row r="15">
      <c r="A15" s="16" t="n">
        <v>10</v>
      </c>
      <c r="B15" s="17" t="n">
        <v>342</v>
      </c>
      <c r="C15" s="17" t="inlineStr">
        <is>
          <t>PAISALO</t>
        </is>
      </c>
      <c r="D15" s="18" t="inlineStr">
        <is>
          <t>Paisalo Digital Ltd</t>
        </is>
      </c>
      <c r="E15" s="18" t="inlineStr">
        <is>
          <t>financials</t>
        </is>
      </c>
      <c r="F15" s="16" t="n">
        <v>42</v>
      </c>
      <c r="G15" s="19" t="n">
        <v>6564.93</v>
      </c>
      <c r="H15" s="18" t="inlineStr">
        <is>
          <t>Potential Leader</t>
        </is>
      </c>
      <c r="J15" s="18" t="inlineStr">
        <is>
          <t>transportation</t>
        </is>
      </c>
      <c r="K15" s="16" t="n">
        <v>43</v>
      </c>
      <c r="L15" s="16" t="n">
        <v>43</v>
      </c>
      <c r="M15" s="20" t="inlineStr">
        <is>
          <t>0.0%</t>
        </is>
      </c>
    </row>
    <row r="16">
      <c r="A16" s="16" t="n">
        <v>11</v>
      </c>
      <c r="B16" s="17" t="n">
        <v>330</v>
      </c>
      <c r="C16" s="17" t="inlineStr">
        <is>
          <t>RPEL</t>
        </is>
      </c>
      <c r="D16" s="18" t="inlineStr">
        <is>
          <t>Raghav Productivity Enhancers Ltd</t>
        </is>
      </c>
      <c r="E16" s="18" t="inlineStr">
        <is>
          <t>building materials</t>
        </is>
      </c>
      <c r="F16" s="16" t="n">
        <v>40</v>
      </c>
      <c r="G16" s="19" t="n">
        <v>5827.95</v>
      </c>
      <c r="H16" s="18" t="inlineStr">
        <is>
          <t>Potential Leader</t>
        </is>
      </c>
      <c r="J16" s="18" t="inlineStr">
        <is>
          <t>building materials</t>
        </is>
      </c>
      <c r="K16" s="16" t="n">
        <v>68</v>
      </c>
      <c r="L16" s="16" t="n">
        <v>68</v>
      </c>
      <c r="M16" s="20" t="inlineStr">
        <is>
          <t>0.0%</t>
        </is>
      </c>
    </row>
    <row r="17">
      <c r="A17" s="16" t="n">
        <v>12</v>
      </c>
      <c r="B17" s="17" t="n">
        <v>324</v>
      </c>
      <c r="C17" s="17" t="inlineStr">
        <is>
          <t>YASHO</t>
        </is>
      </c>
      <c r="D17" s="18" t="inlineStr">
        <is>
          <t>Yasho Industries Ltd</t>
        </is>
      </c>
      <c r="E17" s="18" t="inlineStr">
        <is>
          <t>chemicals</t>
        </is>
      </c>
      <c r="F17" s="16" t="n">
        <v>39</v>
      </c>
      <c r="G17" s="19" t="n">
        <v>3793.55</v>
      </c>
      <c r="H17" s="18" t="inlineStr">
        <is>
          <t>Potential Leader</t>
        </is>
      </c>
      <c r="J17" s="18" t="inlineStr">
        <is>
          <t>auto</t>
        </is>
      </c>
      <c r="K17" s="16" t="n">
        <v>160</v>
      </c>
      <c r="L17" s="16" t="n">
        <v>160</v>
      </c>
      <c r="M17" s="20" t="inlineStr">
        <is>
          <t>0.0%</t>
        </is>
      </c>
    </row>
    <row r="18">
      <c r="A18" s="16" t="n">
        <v>13</v>
      </c>
      <c r="B18" s="17" t="n">
        <v>318</v>
      </c>
      <c r="C18" s="17" t="inlineStr">
        <is>
          <t>ASTRAMICRO</t>
        </is>
      </c>
      <c r="D18" s="18" t="inlineStr">
        <is>
          <t>Astra Microwave Products Limited</t>
        </is>
      </c>
      <c r="E18" s="18" t="inlineStr">
        <is>
          <t>aerospace &amp; defence</t>
        </is>
      </c>
      <c r="F18" s="16" t="n">
        <v>38</v>
      </c>
      <c r="G18" s="19" t="n">
        <v>16587.84</v>
      </c>
      <c r="H18" s="18" t="inlineStr">
        <is>
          <t>Potential Leader</t>
        </is>
      </c>
      <c r="J18" s="18" t="inlineStr">
        <is>
          <t>bank</t>
        </is>
      </c>
      <c r="K18" s="16" t="n">
        <v>88</v>
      </c>
      <c r="L18" s="16" t="n">
        <v>90</v>
      </c>
      <c r="M18" s="21" t="inlineStr">
        <is>
          <t>-2.2%</t>
        </is>
      </c>
    </row>
    <row r="19">
      <c r="A19" s="16" t="n">
        <v>14</v>
      </c>
      <c r="B19" s="17" t="n">
        <v>318</v>
      </c>
      <c r="C19" s="17" t="inlineStr">
        <is>
          <t>CUPID</t>
        </is>
      </c>
      <c r="D19" s="18" t="inlineStr">
        <is>
          <t>Cupid Limited</t>
        </is>
      </c>
      <c r="E19" s="18" t="inlineStr">
        <is>
          <t>fmcg</t>
        </is>
      </c>
      <c r="F19" s="16" t="n">
        <v>38</v>
      </c>
      <c r="G19" s="19" t="n">
        <v>28405.96</v>
      </c>
      <c r="H19" s="18" t="inlineStr">
        <is>
          <t>Potential Leader</t>
        </is>
      </c>
      <c r="J19" s="18" t="inlineStr">
        <is>
          <t>consumer discretionary</t>
        </is>
      </c>
      <c r="K19" s="16" t="n">
        <v>151</v>
      </c>
      <c r="L19" s="16" t="n">
        <v>161</v>
      </c>
      <c r="M19" s="21" t="inlineStr">
        <is>
          <t>-6.2%</t>
        </is>
      </c>
    </row>
    <row r="20">
      <c r="A20" s="16" t="n">
        <v>15</v>
      </c>
      <c r="B20" s="17" t="n">
        <v>312</v>
      </c>
      <c r="C20" s="17" t="inlineStr">
        <is>
          <t>PGHL</t>
        </is>
      </c>
      <c r="D20" s="18" t="inlineStr">
        <is>
          <t>Procter &amp; Gamble Health Ltd</t>
        </is>
      </c>
      <c r="E20" s="18" t="inlineStr">
        <is>
          <t>healthcare</t>
        </is>
      </c>
      <c r="F20" s="16" t="n">
        <v>37</v>
      </c>
      <c r="G20" s="19" t="n">
        <v>11253.55</v>
      </c>
      <c r="H20" s="18" t="inlineStr">
        <is>
          <t>Potential Leader</t>
        </is>
      </c>
      <c r="J20" s="18" t="inlineStr">
        <is>
          <t>financials</t>
        </is>
      </c>
      <c r="K20" s="16" t="n">
        <v>193</v>
      </c>
      <c r="L20" s="16" t="n">
        <v>206</v>
      </c>
      <c r="M20" s="21" t="inlineStr">
        <is>
          <t>-6.3%</t>
        </is>
      </c>
    </row>
    <row r="21">
      <c r="A21" s="16" t="n">
        <v>16</v>
      </c>
      <c r="B21" s="17" t="n">
        <v>306</v>
      </c>
      <c r="C21" s="17" t="inlineStr">
        <is>
          <t>IBULLSLTD</t>
        </is>
      </c>
      <c r="D21" s="18" t="inlineStr">
        <is>
          <t>Indiabulls Limited</t>
        </is>
      </c>
      <c r="E21" s="18" t="inlineStr">
        <is>
          <t>miscellaneous</t>
        </is>
      </c>
      <c r="F21" s="16" t="n">
        <v>36</v>
      </c>
      <c r="G21" s="19" t="n">
        <v>6746.36</v>
      </c>
      <c r="H21" s="18" t="inlineStr">
        <is>
          <t>Potential Leader</t>
        </is>
      </c>
    </row>
    <row r="22">
      <c r="A22" s="16" t="n">
        <v>17</v>
      </c>
      <c r="B22" s="17" t="n">
        <v>300</v>
      </c>
      <c r="C22" s="17" t="inlineStr">
        <is>
          <t>HESTERBIO</t>
        </is>
      </c>
      <c r="D22" s="18" t="inlineStr">
        <is>
          <t>Hester Biosciences Limited</t>
        </is>
      </c>
      <c r="E22" s="18" t="inlineStr">
        <is>
          <t>healthcare</t>
        </is>
      </c>
      <c r="F22" s="16" t="n">
        <v>35</v>
      </c>
      <c r="G22" s="19" t="n">
        <v>2084.18</v>
      </c>
      <c r="H22" s="18" t="inlineStr">
        <is>
          <t>Potential Leader</t>
        </is>
      </c>
    </row>
    <row r="23">
      <c r="A23" s="16" t="n">
        <v>18</v>
      </c>
      <c r="B23" s="17" t="n">
        <v>300</v>
      </c>
      <c r="C23" s="17" t="inlineStr">
        <is>
          <t>RUBYMILLS</t>
        </is>
      </c>
      <c r="D23" s="18" t="inlineStr">
        <is>
          <t>The Ruby Mills Limited</t>
        </is>
      </c>
      <c r="E23" s="18" t="inlineStr">
        <is>
          <t>textiles</t>
        </is>
      </c>
      <c r="F23" s="16" t="n">
        <v>35</v>
      </c>
      <c r="G23" s="19" t="n">
        <v>1377.23</v>
      </c>
      <c r="H23" s="18" t="inlineStr">
        <is>
          <t>Potential Leader</t>
        </is>
      </c>
    </row>
    <row r="24">
      <c r="A24" s="16" t="n">
        <v>19</v>
      </c>
      <c r="B24" s="17" t="n">
        <v>288</v>
      </c>
      <c r="C24" s="17" t="inlineStr">
        <is>
          <t>SKMEGGPROD</t>
        </is>
      </c>
      <c r="D24" s="18" t="inlineStr">
        <is>
          <t>Skm Egg Products Export (india) Limited</t>
        </is>
      </c>
      <c r="E24" s="18" t="inlineStr">
        <is>
          <t>fmcg</t>
        </is>
      </c>
      <c r="F24" s="16" t="n">
        <v>33</v>
      </c>
      <c r="G24" s="19" t="n">
        <v>1651.94</v>
      </c>
      <c r="H24" s="18" t="inlineStr">
        <is>
          <t>Potential Leader</t>
        </is>
      </c>
    </row>
    <row r="25">
      <c r="A25" s="16" t="n">
        <v>20</v>
      </c>
      <c r="B25" s="17" t="n">
        <v>288</v>
      </c>
      <c r="C25" s="17" t="inlineStr">
        <is>
          <t>SPECTRUM</t>
        </is>
      </c>
      <c r="D25" s="18" t="inlineStr">
        <is>
          <t>Spectrum Electrical Industries Ltd</t>
        </is>
      </c>
      <c r="E25" s="18" t="inlineStr">
        <is>
          <t>industrials</t>
        </is>
      </c>
      <c r="F25" s="16" t="n">
        <v>33</v>
      </c>
      <c r="G25" s="19" t="n">
        <v>3350.98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SPECIALITY</t>
        </is>
      </c>
      <c r="B30" s="18" t="inlineStr">
        <is>
          <t>Speciality Restaurants Limited</t>
        </is>
      </c>
      <c r="C30" s="18" t="inlineStr">
        <is>
          <t>services</t>
        </is>
      </c>
      <c r="D30" s="16" t="n">
        <v>10</v>
      </c>
      <c r="E30" s="16" t="n">
        <v>1</v>
      </c>
      <c r="F30" s="19" t="n">
        <v>634.6799999999999</v>
      </c>
      <c r="J30" s="17" t="inlineStr">
        <is>
          <t>SCPL</t>
        </is>
      </c>
      <c r="K30" s="18" t="inlineStr">
        <is>
          <t>fmcg</t>
        </is>
      </c>
      <c r="L30" s="19" t="n">
        <v>305</v>
      </c>
      <c r="M30" s="19" t="n">
        <v>575.14</v>
      </c>
      <c r="N30" s="16" t="n">
        <v>12</v>
      </c>
    </row>
    <row r="31">
      <c r="A31" s="17" t="inlineStr">
        <is>
          <t>KICL</t>
        </is>
      </c>
      <c r="B31" s="18" t="inlineStr">
        <is>
          <t>Kalyani Investment Company Limited</t>
        </is>
      </c>
      <c r="C31" s="18" t="inlineStr">
        <is>
          <t>financials</t>
        </is>
      </c>
      <c r="D31" s="16" t="n">
        <v>10</v>
      </c>
      <c r="E31" s="16" t="n">
        <v>1</v>
      </c>
      <c r="F31" s="19" t="n">
        <v>2430.17</v>
      </c>
      <c r="J31" s="17" t="inlineStr">
        <is>
          <t>SATIN</t>
        </is>
      </c>
      <c r="K31" s="18" t="inlineStr">
        <is>
          <t>Financial Services</t>
        </is>
      </c>
      <c r="L31" s="19" t="n">
        <v>302</v>
      </c>
      <c r="M31" s="19" t="n">
        <v>2770.05</v>
      </c>
      <c r="N31" s="16" t="n">
        <v>26</v>
      </c>
    </row>
    <row r="32">
      <c r="A32" s="17" t="inlineStr">
        <is>
          <t>RELTD</t>
        </is>
      </c>
      <c r="B32" s="18" t="inlineStr">
        <is>
          <t>Ravindra Energy Ltd</t>
        </is>
      </c>
      <c r="C32" s="18" t="inlineStr">
        <is>
          <t>industrials</t>
        </is>
      </c>
      <c r="D32" s="16" t="n">
        <v>10</v>
      </c>
      <c r="E32" s="16" t="n">
        <v>2</v>
      </c>
      <c r="F32" s="19" t="n">
        <v>3499.63</v>
      </c>
      <c r="J32" s="17" t="inlineStr">
        <is>
          <t>RPEL</t>
        </is>
      </c>
      <c r="K32" s="18" t="inlineStr">
        <is>
          <t>building materials</t>
        </is>
      </c>
      <c r="L32" s="19" t="n">
        <v>295</v>
      </c>
      <c r="M32" s="19" t="n">
        <v>5827.95</v>
      </c>
      <c r="N32" s="16" t="n">
        <v>30</v>
      </c>
    </row>
    <row r="33">
      <c r="A33" s="17" t="inlineStr">
        <is>
          <t>GREAVESCOT</t>
        </is>
      </c>
      <c r="B33" s="18" t="inlineStr">
        <is>
          <t>Greaves Cotton Limited</t>
        </is>
      </c>
      <c r="C33" s="18" t="inlineStr">
        <is>
          <t>industrials</t>
        </is>
      </c>
      <c r="D33" s="16" t="n">
        <v>10</v>
      </c>
      <c r="E33" s="16" t="n">
        <v>2</v>
      </c>
      <c r="F33" s="19" t="n">
        <v>5779.76</v>
      </c>
      <c r="J33" s="17" t="inlineStr">
        <is>
          <t>KTKBANK</t>
        </is>
      </c>
      <c r="K33" s="18" t="inlineStr">
        <is>
          <t>bank</t>
        </is>
      </c>
      <c r="L33" s="19" t="n">
        <v>295</v>
      </c>
      <c r="M33" s="19" t="n">
        <v>10638.86</v>
      </c>
      <c r="N33" s="16" t="n">
        <v>18</v>
      </c>
    </row>
    <row r="34">
      <c r="A34" s="17" t="inlineStr">
        <is>
          <t>MAHLIFE</t>
        </is>
      </c>
      <c r="B34" s="18" t="inlineStr">
        <is>
          <t>Mahindra Lifespace Developers Limited</t>
        </is>
      </c>
      <c r="C34" s="18" t="inlineStr">
        <is>
          <t>realty</t>
        </is>
      </c>
      <c r="D34" s="16" t="n">
        <v>10</v>
      </c>
      <c r="E34" s="16" t="n">
        <v>1</v>
      </c>
      <c r="F34" s="19" t="n">
        <v>7876.61</v>
      </c>
      <c r="J34" s="17" t="inlineStr">
        <is>
          <t>SURYODAY</t>
        </is>
      </c>
      <c r="K34" s="18" t="inlineStr">
        <is>
          <t>Financial Services</t>
        </is>
      </c>
      <c r="L34" s="19" t="n">
        <v>292</v>
      </c>
      <c r="M34" s="19" t="n">
        <v>1926.72</v>
      </c>
      <c r="N34" s="16" t="n">
        <v>28</v>
      </c>
    </row>
    <row r="35">
      <c r="A35" s="17" t="inlineStr">
        <is>
          <t>KANORICHEM</t>
        </is>
      </c>
      <c r="B35" s="18" t="inlineStr">
        <is>
          <t>Kanoria Chemicals &amp; Industries Limited</t>
        </is>
      </c>
      <c r="C35" s="18" t="inlineStr">
        <is>
          <t>chemicals</t>
        </is>
      </c>
      <c r="D35" s="16" t="n">
        <v>10</v>
      </c>
      <c r="E35" s="16" t="n">
        <v>2</v>
      </c>
      <c r="F35" s="19" t="n">
        <v>665.0599999999999</v>
      </c>
      <c r="J35" s="17" t="inlineStr">
        <is>
          <t>IBULLSLTD</t>
        </is>
      </c>
      <c r="K35" s="18" t="inlineStr">
        <is>
          <t>miscellaneous</t>
        </is>
      </c>
      <c r="L35" s="19" t="n">
        <v>290</v>
      </c>
      <c r="M35" s="19" t="n">
        <v>6746.36</v>
      </c>
      <c r="N35" s="16" t="n">
        <v>30</v>
      </c>
    </row>
    <row r="36">
      <c r="A36" s="17" t="inlineStr">
        <is>
          <t>CARTRADE</t>
        </is>
      </c>
      <c r="B36" s="18" t="inlineStr">
        <is>
          <t>Cartrade Tech Ltd</t>
        </is>
      </c>
      <c r="C36" s="18" t="inlineStr">
        <is>
          <t>consumer discretionary</t>
        </is>
      </c>
      <c r="D36" s="16" t="n">
        <v>9</v>
      </c>
      <c r="E36" s="16" t="n">
        <v>0</v>
      </c>
      <c r="F36" s="19" t="n">
        <v>13091.08</v>
      </c>
      <c r="J36" s="17" t="inlineStr">
        <is>
          <t>PAISALO</t>
        </is>
      </c>
      <c r="K36" s="18" t="inlineStr">
        <is>
          <t>financials</t>
        </is>
      </c>
      <c r="L36" s="19" t="n">
        <v>287</v>
      </c>
      <c r="M36" s="19" t="n">
        <v>6564.93</v>
      </c>
      <c r="N36" s="16" t="n">
        <v>30</v>
      </c>
    </row>
    <row r="37">
      <c r="A37" s="17" t="inlineStr">
        <is>
          <t>PDSL</t>
        </is>
      </c>
      <c r="B37" s="18" t="inlineStr">
        <is>
          <t>PDS Limited</t>
        </is>
      </c>
      <c r="C37" s="18" t="inlineStr">
        <is>
          <t>Industrials</t>
        </is>
      </c>
      <c r="D37" s="16" t="n">
        <v>9</v>
      </c>
      <c r="E37" s="16" t="n">
        <v>1</v>
      </c>
      <c r="F37" s="19" t="n">
        <v>5055.7</v>
      </c>
      <c r="J37" s="17" t="inlineStr">
        <is>
          <t>TINNARUBR</t>
        </is>
      </c>
      <c r="K37" s="18" t="inlineStr">
        <is>
          <t>fmcg</t>
        </is>
      </c>
      <c r="L37" s="19" t="n">
        <v>287</v>
      </c>
      <c r="M37" s="19" t="n">
        <v>2069.83</v>
      </c>
      <c r="N37" s="16" t="n">
        <v>23</v>
      </c>
    </row>
    <row r="38">
      <c r="A38" s="17" t="inlineStr">
        <is>
          <t>SUNDRMFAST</t>
        </is>
      </c>
      <c r="B38" s="18" t="inlineStr">
        <is>
          <t>Sundram Fasteners Limited</t>
        </is>
      </c>
      <c r="C38" s="18" t="inlineStr">
        <is>
          <t>auto</t>
        </is>
      </c>
      <c r="D38" s="16" t="n">
        <v>9</v>
      </c>
      <c r="E38" s="16" t="n">
        <v>0</v>
      </c>
      <c r="F38" s="19" t="n">
        <v>20276.34</v>
      </c>
      <c r="J38" s="17" t="inlineStr">
        <is>
          <t>TMB</t>
        </is>
      </c>
      <c r="K38" s="18" t="inlineStr">
        <is>
          <t>bank</t>
        </is>
      </c>
      <c r="L38" s="19" t="n">
        <v>287</v>
      </c>
      <c r="M38" s="19" t="n">
        <v>12960.27</v>
      </c>
      <c r="N38" s="16" t="n">
        <v>23</v>
      </c>
    </row>
    <row r="39">
      <c r="A39" s="17" t="inlineStr">
        <is>
          <t>ORIENTHOT</t>
        </is>
      </c>
      <c r="B39" s="18" t="inlineStr">
        <is>
          <t>Oriental Hotels Limited</t>
        </is>
      </c>
      <c r="C39" s="18" t="inlineStr">
        <is>
          <t>Consumer Cyclical</t>
        </is>
      </c>
      <c r="D39" s="16" t="n">
        <v>9</v>
      </c>
      <c r="E39" s="16" t="n">
        <v>0</v>
      </c>
      <c r="F39" s="19" t="n">
        <v>2419.84</v>
      </c>
      <c r="J39" s="17" t="inlineStr">
        <is>
          <t>UJJIVANSFB</t>
        </is>
      </c>
      <c r="K39" s="18" t="inlineStr">
        <is>
          <t>bank</t>
        </is>
      </c>
      <c r="L39" s="19" t="n">
        <v>287</v>
      </c>
      <c r="M39" s="19" t="n">
        <v>12766.71</v>
      </c>
      <c r="N39" s="16" t="n">
        <v>11</v>
      </c>
    </row>
    <row r="40">
      <c r="A40" s="17" t="inlineStr">
        <is>
          <t>5PAISA</t>
        </is>
      </c>
      <c r="B40" s="18" t="inlineStr">
        <is>
          <t>5paisa Capital Limited</t>
        </is>
      </c>
      <c r="C40" s="18" t="inlineStr">
        <is>
          <t>Financial Services</t>
        </is>
      </c>
      <c r="D40" s="16" t="n">
        <v>8</v>
      </c>
      <c r="E40" s="16" t="n">
        <v>0</v>
      </c>
      <c r="F40" s="19" t="n">
        <v>1734.3</v>
      </c>
      <c r="J40" s="17" t="inlineStr">
        <is>
          <t>TFCILTD</t>
        </is>
      </c>
      <c r="K40" s="18" t="inlineStr">
        <is>
          <t>financials</t>
        </is>
      </c>
      <c r="L40" s="19" t="n">
        <v>287</v>
      </c>
      <c r="M40" s="19" t="n">
        <v>3852.43</v>
      </c>
      <c r="N40" s="16" t="n">
        <v>11</v>
      </c>
    </row>
    <row r="41">
      <c r="A41" s="17" t="inlineStr">
        <is>
          <t>RAMCOIND</t>
        </is>
      </c>
      <c r="B41" s="18" t="inlineStr">
        <is>
          <t>Ramco Industries Limited</t>
        </is>
      </c>
      <c r="C41" s="18" t="inlineStr">
        <is>
          <t>Industrials</t>
        </is>
      </c>
      <c r="D41" s="16" t="n">
        <v>7</v>
      </c>
      <c r="E41" s="16" t="n">
        <v>0</v>
      </c>
      <c r="F41" s="19" t="n">
        <v>2956.09</v>
      </c>
      <c r="J41" s="17" t="inlineStr">
        <is>
          <t>INDIAGLYCO</t>
        </is>
      </c>
      <c r="K41" s="18" t="inlineStr">
        <is>
          <t>fmcg</t>
        </is>
      </c>
      <c r="L41" s="19" t="n">
        <v>287</v>
      </c>
      <c r="M41" s="19" t="n">
        <v>7734.55</v>
      </c>
      <c r="N41" s="16" t="n">
        <v>4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69.23</v>
      </c>
      <c r="D47" s="28" t="n">
        <v>263</v>
      </c>
      <c r="E47" s="17" t="inlineStr">
        <is>
          <t>SWANDEF</t>
        </is>
      </c>
      <c r="F47" s="18" t="inlineStr">
        <is>
          <t>Swan Defence and Heavy Industries Ltd</t>
        </is>
      </c>
      <c r="G47" s="18" t="inlineStr">
        <is>
          <t>transportation</t>
        </is>
      </c>
      <c r="H47" s="19" t="n">
        <v>12231.21</v>
      </c>
    </row>
    <row r="48">
      <c r="A48" s="16" t="n">
        <v>2</v>
      </c>
      <c r="B48" s="27" t="n">
        <v>99</v>
      </c>
      <c r="C48" s="28" t="n">
        <v>67.23</v>
      </c>
      <c r="D48" s="28" t="n">
        <v>277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28405.96</v>
      </c>
    </row>
    <row r="49">
      <c r="A49" s="16" t="n">
        <v>3</v>
      </c>
      <c r="B49" s="27" t="n">
        <v>98</v>
      </c>
      <c r="C49" s="28" t="n">
        <v>56</v>
      </c>
      <c r="D49" s="28" t="n">
        <v>255</v>
      </c>
      <c r="E49" s="17" t="inlineStr">
        <is>
          <t>HFCL</t>
        </is>
      </c>
      <c r="F49" s="18" t="inlineStr">
        <is>
          <t>HFCL Ltd</t>
        </is>
      </c>
      <c r="G49" s="18" t="inlineStr">
        <is>
          <t>telecom</t>
        </is>
      </c>
      <c r="H49" s="19" t="n">
        <v>33362.54</v>
      </c>
    </row>
    <row r="50">
      <c r="A50" s="16" t="n">
        <v>4</v>
      </c>
      <c r="B50" s="27" t="n">
        <v>98</v>
      </c>
      <c r="C50" s="28" t="n">
        <v>55.9</v>
      </c>
      <c r="D50" s="28" t="n">
        <v>270</v>
      </c>
      <c r="E50" s="17" t="inlineStr">
        <is>
          <t>CEMPRO</t>
        </is>
      </c>
      <c r="F50" s="18" t="inlineStr">
        <is>
          <t>Cemindia Projects Ltd</t>
        </is>
      </c>
      <c r="G50" s="18" t="inlineStr">
        <is>
          <t>realty</t>
        </is>
      </c>
      <c r="H50" s="19" t="n">
        <v>28166.29</v>
      </c>
    </row>
    <row r="51">
      <c r="A51" s="16" t="n">
        <v>5</v>
      </c>
      <c r="B51" s="27" t="n">
        <v>98</v>
      </c>
      <c r="C51" s="28" t="n">
        <v>46.9</v>
      </c>
      <c r="D51" s="28" t="n">
        <v>275</v>
      </c>
      <c r="E51" s="17" t="inlineStr">
        <is>
          <t>THANGAMAYL</t>
        </is>
      </c>
      <c r="F51" s="18" t="inlineStr">
        <is>
          <t>Thangamayil Jewellery Limited</t>
        </is>
      </c>
      <c r="G51" s="18" t="inlineStr">
        <is>
          <t>consumer discretionary</t>
        </is>
      </c>
      <c r="H51" s="19" t="n">
        <v>20057.23</v>
      </c>
    </row>
    <row r="52">
      <c r="A52" s="16" t="n">
        <v>6</v>
      </c>
      <c r="B52" s="27" t="n">
        <v>98</v>
      </c>
      <c r="C52" s="28" t="n">
        <v>45.77</v>
      </c>
      <c r="D52" s="28" t="n">
        <v>273</v>
      </c>
      <c r="E52" s="17" t="inlineStr">
        <is>
          <t>HITECHCORP</t>
        </is>
      </c>
      <c r="F52" s="18" t="inlineStr">
        <is>
          <t>Hitech Corporation</t>
        </is>
      </c>
      <c r="G52" s="18" t="inlineStr">
        <is>
          <t>industrials</t>
        </is>
      </c>
      <c r="H52" s="19" t="n">
        <v>549.1900000000001</v>
      </c>
    </row>
    <row r="53">
      <c r="A53" s="16" t="n">
        <v>7</v>
      </c>
      <c r="B53" s="27" t="n">
        <v>97</v>
      </c>
      <c r="C53" s="28" t="n">
        <v>45.72</v>
      </c>
      <c r="D53" s="28" t="n">
        <v>273</v>
      </c>
      <c r="E53" s="17" t="inlineStr">
        <is>
          <t>ATHERENERG</t>
        </is>
      </c>
      <c r="F53" s="18" t="inlineStr">
        <is>
          <t>Ather Energy Ltd</t>
        </is>
      </c>
      <c r="G53" s="18" t="inlineStr">
        <is>
          <t>auto</t>
        </is>
      </c>
      <c r="H53" s="19" t="n">
        <v>49361.31</v>
      </c>
    </row>
    <row r="54">
      <c r="A54" s="16" t="n">
        <v>8</v>
      </c>
      <c r="B54" s="27" t="n">
        <v>97</v>
      </c>
      <c r="C54" s="28" t="n">
        <v>44.19</v>
      </c>
      <c r="D54" s="28" t="n">
        <v>220</v>
      </c>
      <c r="E54" s="17" t="inlineStr">
        <is>
          <t>STALLION</t>
        </is>
      </c>
      <c r="F54" s="18" t="inlineStr">
        <is>
          <t>STALLION</t>
        </is>
      </c>
      <c r="G54" s="18" t="inlineStr">
        <is>
          <t>Basic Materials</t>
        </is>
      </c>
      <c r="H54" s="19" t="n">
        <v>2909.46</v>
      </c>
    </row>
    <row r="55">
      <c r="A55" s="16" t="n">
        <v>9</v>
      </c>
      <c r="B55" s="27" t="n">
        <v>97</v>
      </c>
      <c r="C55" s="28" t="n">
        <v>42.81</v>
      </c>
      <c r="D55" s="28" t="n">
        <v>258</v>
      </c>
      <c r="E55" s="17" t="inlineStr">
        <is>
          <t>YASHO</t>
        </is>
      </c>
      <c r="F55" s="18" t="inlineStr">
        <is>
          <t>Yasho Industries Ltd</t>
        </is>
      </c>
      <c r="G55" s="18" t="inlineStr">
        <is>
          <t>chemicals</t>
        </is>
      </c>
      <c r="H55" s="19" t="n">
        <v>3793.55</v>
      </c>
    </row>
    <row r="56">
      <c r="A56" s="16" t="n">
        <v>10</v>
      </c>
      <c r="B56" s="27" t="n">
        <v>97</v>
      </c>
      <c r="C56" s="28" t="n">
        <v>41.84</v>
      </c>
      <c r="D56" s="28" t="n">
        <v>270</v>
      </c>
      <c r="E56" s="17" t="inlineStr">
        <is>
          <t>RAMCOSYS</t>
        </is>
      </c>
      <c r="F56" s="18" t="inlineStr">
        <is>
          <t>Ramco Systems Limited</t>
        </is>
      </c>
      <c r="G56" s="18" t="inlineStr">
        <is>
          <t>i.t</t>
        </is>
      </c>
      <c r="H56" s="19" t="n">
        <v>2993.19</v>
      </c>
    </row>
    <row r="57">
      <c r="A57" s="16" t="n">
        <v>11</v>
      </c>
      <c r="B57" s="27" t="n">
        <v>96</v>
      </c>
      <c r="C57" s="28" t="n">
        <v>40.17</v>
      </c>
      <c r="D57" s="28" t="n">
        <v>253</v>
      </c>
      <c r="E57" s="17" t="inlineStr">
        <is>
          <t>SETL</t>
        </is>
      </c>
      <c r="F57" s="18" t="inlineStr">
        <is>
          <t>Standard Enginnering Technology Ltd</t>
        </is>
      </c>
      <c r="G57" s="18" t="inlineStr">
        <is>
          <t>industrials</t>
        </is>
      </c>
      <c r="H57" s="19" t="n">
        <v>5778.28</v>
      </c>
    </row>
    <row r="58">
      <c r="A58" s="16" t="n">
        <v>12</v>
      </c>
      <c r="B58" s="27" t="n">
        <v>96</v>
      </c>
      <c r="C58" s="28" t="n">
        <v>39.83</v>
      </c>
      <c r="D58" s="28" t="n">
        <v>295</v>
      </c>
      <c r="E58" s="17" t="inlineStr">
        <is>
          <t>TIMEX</t>
        </is>
      </c>
      <c r="F58" s="18" t="inlineStr">
        <is>
          <t>Timex Group India Limited</t>
        </is>
      </c>
      <c r="G58" s="18" t="inlineStr">
        <is>
          <t>Consumer Cyclical</t>
        </is>
      </c>
      <c r="H58" s="19" t="n">
        <v>5615.85</v>
      </c>
    </row>
    <row r="59">
      <c r="A59" s="16" t="n">
        <v>13</v>
      </c>
      <c r="B59" s="27" t="n">
        <v>96</v>
      </c>
      <c r="C59" s="28" t="n">
        <v>38.83</v>
      </c>
      <c r="D59" s="28" t="n">
        <v>282</v>
      </c>
      <c r="E59" s="17" t="inlineStr">
        <is>
          <t>ACUTAAS</t>
        </is>
      </c>
      <c r="F59" s="18" t="inlineStr">
        <is>
          <t>Acutaas Chemicals Ltd</t>
        </is>
      </c>
      <c r="G59" s="18" t="inlineStr">
        <is>
          <t>healthcare</t>
        </is>
      </c>
      <c r="H59" s="19" t="n">
        <v>30104.01</v>
      </c>
    </row>
    <row r="60">
      <c r="A60" s="16" t="n">
        <v>14</v>
      </c>
      <c r="B60" s="27" t="n">
        <v>95</v>
      </c>
      <c r="C60" s="28" t="n">
        <v>36.9</v>
      </c>
      <c r="D60" s="28" t="n">
        <v>290</v>
      </c>
      <c r="E60" s="17" t="inlineStr">
        <is>
          <t>IBULLSLTD</t>
        </is>
      </c>
      <c r="F60" s="18" t="inlineStr">
        <is>
          <t>Indiabulls Limited</t>
        </is>
      </c>
      <c r="G60" s="18" t="inlineStr">
        <is>
          <t>miscellaneous</t>
        </is>
      </c>
      <c r="H60" s="19" t="n">
        <v>6746.36</v>
      </c>
    </row>
    <row r="61">
      <c r="A61" s="16" t="n">
        <v>15</v>
      </c>
      <c r="B61" s="27" t="n">
        <v>95</v>
      </c>
      <c r="C61" s="28" t="n">
        <v>36.71</v>
      </c>
      <c r="D61" s="28" t="n">
        <v>280</v>
      </c>
      <c r="E61" s="17" t="inlineStr">
        <is>
          <t>SKMEGGPROD</t>
        </is>
      </c>
      <c r="F61" s="18" t="inlineStr">
        <is>
          <t>Skm Egg Products Export (india) Limited</t>
        </is>
      </c>
      <c r="G61" s="18" t="inlineStr">
        <is>
          <t>fmcg</t>
        </is>
      </c>
      <c r="H61" s="19" t="n">
        <v>1651.94</v>
      </c>
    </row>
    <row r="62">
      <c r="A62" s="16" t="n">
        <v>16</v>
      </c>
      <c r="B62" s="27" t="n">
        <v>95</v>
      </c>
      <c r="C62" s="28" t="n">
        <v>35.9</v>
      </c>
      <c r="D62" s="28" t="n">
        <v>288</v>
      </c>
      <c r="E62" s="17" t="inlineStr">
        <is>
          <t>AEGISLOG</t>
        </is>
      </c>
      <c r="F62" s="18" t="inlineStr">
        <is>
          <t>Aegis Logistics Ltd</t>
        </is>
      </c>
      <c r="G62" s="18" t="inlineStr">
        <is>
          <t>services</t>
        </is>
      </c>
      <c r="H62" s="19" t="n">
        <v>46103.85</v>
      </c>
    </row>
    <row r="63">
      <c r="A63" s="16" t="n">
        <v>17</v>
      </c>
      <c r="B63" s="27" t="n">
        <v>95</v>
      </c>
      <c r="C63" s="28" t="n">
        <v>35.85</v>
      </c>
      <c r="D63" s="28" t="n">
        <v>253</v>
      </c>
      <c r="E63" s="17" t="inlineStr">
        <is>
          <t>TIRUPATIFL</t>
        </is>
      </c>
      <c r="F63" s="18" t="inlineStr">
        <is>
          <t>Tirupati Forge Ltd</t>
        </is>
      </c>
      <c r="G63" s="18" t="inlineStr">
        <is>
          <t>industrials</t>
        </is>
      </c>
      <c r="H63" s="19" t="n">
        <v>994.12</v>
      </c>
    </row>
    <row r="64">
      <c r="A64" s="16" t="n">
        <v>18</v>
      </c>
      <c r="B64" s="29" t="n">
        <v>94</v>
      </c>
      <c r="C64" s="28" t="n">
        <v>35.76</v>
      </c>
      <c r="D64" s="28" t="n">
        <v>265</v>
      </c>
      <c r="E64" s="17" t="inlineStr">
        <is>
          <t>NINSYS</t>
        </is>
      </c>
      <c r="F64" s="18" t="inlineStr">
        <is>
          <t>NINtec Systems Ltd</t>
        </is>
      </c>
      <c r="G64" s="18" t="inlineStr">
        <is>
          <t>i.t</t>
        </is>
      </c>
      <c r="H64" s="19" t="n">
        <v>1662.55</v>
      </c>
    </row>
    <row r="65">
      <c r="A65" s="16" t="n">
        <v>19</v>
      </c>
      <c r="B65" s="29" t="n">
        <v>94</v>
      </c>
      <c r="C65" s="28" t="n">
        <v>35.69</v>
      </c>
      <c r="D65" s="28" t="n">
        <v>295</v>
      </c>
      <c r="E65" s="17" t="inlineStr">
        <is>
          <t>RPEL</t>
        </is>
      </c>
      <c r="F65" s="18" t="inlineStr">
        <is>
          <t>Raghav Productivity Enhancers Ltd</t>
        </is>
      </c>
      <c r="G65" s="18" t="inlineStr">
        <is>
          <t>building materials</t>
        </is>
      </c>
      <c r="H65" s="19" t="n">
        <v>5827.95</v>
      </c>
    </row>
    <row r="66">
      <c r="A66" s="16" t="n">
        <v>20</v>
      </c>
      <c r="B66" s="29" t="n">
        <v>94</v>
      </c>
      <c r="C66" s="28" t="n">
        <v>35.56</v>
      </c>
      <c r="D66" s="28" t="n">
        <v>272</v>
      </c>
      <c r="E66" s="17" t="inlineStr">
        <is>
          <t>KPL</t>
        </is>
      </c>
      <c r="F66" s="18" t="inlineStr">
        <is>
          <t>Kwality Pharmaceuticals Limited</t>
        </is>
      </c>
      <c r="G66" s="18" t="inlineStr">
        <is>
          <t>Healthcare</t>
        </is>
      </c>
      <c r="H66" s="19" t="n">
        <v>2798.56</v>
      </c>
    </row>
    <row r="67">
      <c r="A67" s="16" t="n">
        <v>21</v>
      </c>
      <c r="B67" s="29" t="n">
        <v>94</v>
      </c>
      <c r="C67" s="28" t="n">
        <v>35.09</v>
      </c>
      <c r="D67" s="28" t="n">
        <v>270</v>
      </c>
      <c r="E67" s="17" t="inlineStr">
        <is>
          <t>E2E</t>
        </is>
      </c>
      <c r="F67" s="18" t="inlineStr">
        <is>
          <t>E2E Networks Ltd</t>
        </is>
      </c>
      <c r="G67" s="18" t="inlineStr">
        <is>
          <t>i.t</t>
        </is>
      </c>
      <c r="H67" s="19" t="n">
        <v>9176.42</v>
      </c>
    </row>
    <row r="68">
      <c r="A68" s="16" t="n">
        <v>22</v>
      </c>
      <c r="B68" s="29" t="n">
        <v>93</v>
      </c>
      <c r="C68" s="28" t="n">
        <v>34.98</v>
      </c>
      <c r="D68" s="28" t="n">
        <v>305</v>
      </c>
      <c r="E68" s="17" t="inlineStr">
        <is>
          <t>SCPL</t>
        </is>
      </c>
      <c r="F68" s="18" t="inlineStr">
        <is>
          <t>Sheetal Cool Products Ltd</t>
        </is>
      </c>
      <c r="G68" s="18" t="inlineStr">
        <is>
          <t>fmcg</t>
        </is>
      </c>
      <c r="H68" s="19" t="n">
        <v>575.14</v>
      </c>
    </row>
    <row r="69">
      <c r="A69" s="16" t="n">
        <v>23</v>
      </c>
      <c r="B69" s="29" t="n">
        <v>93</v>
      </c>
      <c r="C69" s="28" t="n">
        <v>34.94</v>
      </c>
      <c r="D69" s="28" t="n">
        <v>250</v>
      </c>
      <c r="E69" s="17" t="inlineStr">
        <is>
          <t>RPTECH</t>
        </is>
      </c>
      <c r="F69" s="18" t="inlineStr">
        <is>
          <t>Rashi Peripherals Ltd</t>
        </is>
      </c>
      <c r="G69" s="18" t="inlineStr">
        <is>
          <t>services</t>
        </is>
      </c>
      <c r="H69" s="19" t="n">
        <v>4901.29</v>
      </c>
    </row>
    <row r="70">
      <c r="A70" s="16" t="n">
        <v>24</v>
      </c>
      <c r="B70" s="29" t="n">
        <v>93</v>
      </c>
      <c r="C70" s="28" t="n">
        <v>34.73</v>
      </c>
      <c r="D70" s="28" t="n">
        <v>278</v>
      </c>
      <c r="E70" s="17" t="inlineStr">
        <is>
          <t>KANORICHEM</t>
        </is>
      </c>
      <c r="F70" s="18" t="inlineStr">
        <is>
          <t>Kanoria Chemicals &amp; Industries Limited</t>
        </is>
      </c>
      <c r="G70" s="18" t="inlineStr">
        <is>
          <t>chemicals</t>
        </is>
      </c>
      <c r="H70" s="19" t="n">
        <v>665.0599999999999</v>
      </c>
    </row>
    <row r="71">
      <c r="A71" s="16" t="n">
        <v>25</v>
      </c>
      <c r="B71" s="29" t="n">
        <v>92</v>
      </c>
      <c r="C71" s="28" t="n">
        <v>34.49</v>
      </c>
      <c r="D71" s="28" t="n">
        <v>252</v>
      </c>
      <c r="E71" s="17" t="inlineStr">
        <is>
          <t>AVALON</t>
        </is>
      </c>
      <c r="F71" s="18" t="inlineStr">
        <is>
          <t>Avalon Technologies Limited</t>
        </is>
      </c>
      <c r="G71" s="18" t="inlineStr">
        <is>
          <t>Technology</t>
        </is>
      </c>
      <c r="H71" s="19" t="n">
        <v>11649.97</v>
      </c>
    </row>
    <row r="72">
      <c r="A72" s="16" t="n">
        <v>26</v>
      </c>
      <c r="B72" s="29" t="n">
        <v>92</v>
      </c>
      <c r="C72" s="28" t="n">
        <v>33.91</v>
      </c>
      <c r="D72" s="28" t="n">
        <v>225</v>
      </c>
      <c r="E72" s="17" t="inlineStr">
        <is>
          <t>INDSWFTLAB</t>
        </is>
      </c>
      <c r="F72" s="18" t="inlineStr">
        <is>
          <t>Ind-swift Laboratories Limited</t>
        </is>
      </c>
      <c r="G72" s="18" t="inlineStr">
        <is>
          <t>healthcare</t>
        </is>
      </c>
      <c r="H72" s="19" t="n">
        <v>2063.24</v>
      </c>
    </row>
    <row r="73">
      <c r="A73" s="16" t="n">
        <v>27</v>
      </c>
      <c r="B73" s="29" t="n">
        <v>92</v>
      </c>
      <c r="C73" s="28" t="n">
        <v>33.46</v>
      </c>
      <c r="D73" s="28" t="n">
        <v>265</v>
      </c>
      <c r="E73" s="17" t="inlineStr">
        <is>
          <t>KMEW</t>
        </is>
      </c>
      <c r="F73" s="18" t="inlineStr">
        <is>
          <t>Knowledge Marine &amp; Engineering Works Ltd</t>
        </is>
      </c>
      <c r="G73" s="18" t="inlineStr">
        <is>
          <t>transportation</t>
        </is>
      </c>
      <c r="H73" s="19" t="n">
        <v>5993.21</v>
      </c>
    </row>
    <row r="74">
      <c r="A74" s="16" t="n">
        <v>28</v>
      </c>
      <c r="B74" s="29" t="n">
        <v>92</v>
      </c>
      <c r="C74" s="28" t="n">
        <v>33.4</v>
      </c>
      <c r="D74" s="28" t="n">
        <v>268</v>
      </c>
      <c r="E74" s="17" t="inlineStr">
        <is>
          <t>RUBYMILLS</t>
        </is>
      </c>
      <c r="F74" s="18" t="inlineStr">
        <is>
          <t>The Ruby Mills Limited</t>
        </is>
      </c>
      <c r="G74" s="18" t="inlineStr">
        <is>
          <t>textiles</t>
        </is>
      </c>
      <c r="H74" s="19" t="n">
        <v>1377.23</v>
      </c>
    </row>
    <row r="75">
      <c r="A75" s="16" t="n">
        <v>29</v>
      </c>
      <c r="B75" s="29" t="n">
        <v>91</v>
      </c>
      <c r="C75" s="28" t="n">
        <v>33.17</v>
      </c>
      <c r="D75" s="28" t="n">
        <v>250</v>
      </c>
      <c r="E75" s="17" t="inlineStr">
        <is>
          <t>SKYGOLD</t>
        </is>
      </c>
      <c r="F75" s="18" t="inlineStr">
        <is>
          <t>Sky Gold Ltd</t>
        </is>
      </c>
      <c r="G75" s="18" t="inlineStr">
        <is>
          <t>consumer discretionary</t>
        </is>
      </c>
      <c r="H75" s="19" t="n">
        <v>10156.63</v>
      </c>
    </row>
    <row r="76">
      <c r="A76" s="16" t="n">
        <v>30</v>
      </c>
      <c r="B76" s="29" t="n">
        <v>91</v>
      </c>
      <c r="C76" s="28" t="n">
        <v>32.82</v>
      </c>
      <c r="D76" s="28" t="n">
        <v>250</v>
      </c>
      <c r="E76" s="17" t="inlineStr">
        <is>
          <t>KERNEX</t>
        </is>
      </c>
      <c r="F76" s="18" t="inlineStr">
        <is>
          <t>Kernex Microsystems (india) Limited</t>
        </is>
      </c>
      <c r="G76" s="18" t="inlineStr">
        <is>
          <t>consumer discretionary</t>
        </is>
      </c>
      <c r="H76" s="19" t="n">
        <v>3581.52</v>
      </c>
    </row>
    <row r="77">
      <c r="A77" s="16" t="n">
        <v>31</v>
      </c>
      <c r="B77" s="29" t="n">
        <v>91</v>
      </c>
      <c r="C77" s="28" t="n">
        <v>32.24</v>
      </c>
      <c r="D77" s="28" t="n">
        <v>287</v>
      </c>
      <c r="E77" s="17" t="inlineStr">
        <is>
          <t>PAISALO</t>
        </is>
      </c>
      <c r="F77" s="18" t="inlineStr">
        <is>
          <t>Paisalo Digital Ltd</t>
        </is>
      </c>
      <c r="G77" s="18" t="inlineStr">
        <is>
          <t>financials</t>
        </is>
      </c>
      <c r="H77" s="19" t="n">
        <v>6564.93</v>
      </c>
    </row>
    <row r="78">
      <c r="A78" s="16" t="n">
        <v>32</v>
      </c>
      <c r="B78" s="29" t="n">
        <v>91</v>
      </c>
      <c r="C78" s="28" t="n">
        <v>31.76</v>
      </c>
      <c r="D78" s="28" t="n">
        <v>252</v>
      </c>
      <c r="E78" s="17" t="inlineStr">
        <is>
          <t>APOLLO</t>
        </is>
      </c>
      <c r="F78" s="18" t="inlineStr">
        <is>
          <t>Apollo Micro Systems Limited</t>
        </is>
      </c>
      <c r="G78" s="18" t="inlineStr">
        <is>
          <t>Industrials</t>
        </is>
      </c>
      <c r="H78" s="19" t="n">
        <v>15046.06</v>
      </c>
    </row>
    <row r="79">
      <c r="A79" s="16" t="n">
        <v>33</v>
      </c>
      <c r="B79" s="29" t="n">
        <v>90</v>
      </c>
      <c r="C79" s="28" t="n">
        <v>31.54</v>
      </c>
      <c r="D79" s="28" t="n">
        <v>178</v>
      </c>
      <c r="E79" s="17" t="inlineStr">
        <is>
          <t>BALAMINES</t>
        </is>
      </c>
      <c r="F79" s="18" t="inlineStr">
        <is>
          <t>Balaji Amines Limited</t>
        </is>
      </c>
      <c r="G79" s="18" t="inlineStr">
        <is>
          <t>chemicals</t>
        </is>
      </c>
      <c r="H79" s="19" t="n">
        <v>7667.7</v>
      </c>
    </row>
    <row r="80">
      <c r="A80" s="16" t="n">
        <v>34</v>
      </c>
      <c r="B80" s="29" t="n">
        <v>90</v>
      </c>
      <c r="C80" s="28" t="n">
        <v>31.34</v>
      </c>
      <c r="D80" s="28" t="n">
        <v>267</v>
      </c>
      <c r="E80" s="17" t="inlineStr">
        <is>
          <t>NGLFINE</t>
        </is>
      </c>
      <c r="F80" s="18" t="inlineStr">
        <is>
          <t>NGL Fine Chem Ltd</t>
        </is>
      </c>
      <c r="G80" s="18" t="inlineStr">
        <is>
          <t>healthcare</t>
        </is>
      </c>
      <c r="H80" s="19" t="n">
        <v>2000.07</v>
      </c>
    </row>
    <row r="81">
      <c r="A81" s="16" t="n">
        <v>35</v>
      </c>
      <c r="B81" s="29" t="n">
        <v>90</v>
      </c>
      <c r="C81" s="28" t="n">
        <v>31.19</v>
      </c>
      <c r="D81" s="28" t="n">
        <v>250</v>
      </c>
      <c r="E81" s="17" t="inlineStr">
        <is>
          <t>CYIENTDLM</t>
        </is>
      </c>
      <c r="F81" s="18" t="inlineStr">
        <is>
          <t>Cyient DLM Ltd</t>
        </is>
      </c>
      <c r="G81" s="18" t="inlineStr">
        <is>
          <t>consumer discretionary</t>
        </is>
      </c>
      <c r="H81" s="19" t="n">
        <v>4944.4</v>
      </c>
    </row>
    <row r="82">
      <c r="A82" s="16" t="n">
        <v>36</v>
      </c>
      <c r="B82" s="29" t="n">
        <v>90</v>
      </c>
      <c r="C82" s="28" t="n">
        <v>30.32</v>
      </c>
      <c r="D82" s="28" t="n">
        <v>252</v>
      </c>
      <c r="E82" s="17" t="inlineStr">
        <is>
          <t>NOVARTIND</t>
        </is>
      </c>
      <c r="F82" s="18" t="inlineStr">
        <is>
          <t>Novartis India Ltd</t>
        </is>
      </c>
      <c r="G82" s="18" t="inlineStr">
        <is>
          <t>healthcare</t>
        </is>
      </c>
      <c r="H82" s="19" t="n">
        <v>4202.13</v>
      </c>
    </row>
    <row r="83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EMAMIPAP</t>
        </is>
      </c>
      <c r="B2" s="31" t="inlineStr">
        <is>
          <t>Emami Paper Mills Ltd</t>
        </is>
      </c>
      <c r="C2" s="31" t="inlineStr">
        <is>
          <t>building materials</t>
        </is>
      </c>
      <c r="D2" s="31" t="inlineStr">
        <is>
          <t>paper</t>
        </is>
      </c>
      <c r="E2" s="31" t="inlineStr">
        <is>
          <t>smallcap</t>
        </is>
      </c>
      <c r="F2" s="31" t="n">
        <v>598.09</v>
      </c>
      <c r="G2" s="31" t="n">
        <v>118.63</v>
      </c>
      <c r="H2" s="31" t="n">
        <v>20</v>
      </c>
      <c r="I2" s="31" t="n">
        <v>1427994</v>
      </c>
      <c r="J2" s="31" t="inlineStr">
        <is>
          <t>533208</t>
        </is>
      </c>
    </row>
    <row r="3">
      <c r="A3" s="31" t="inlineStr">
        <is>
          <t>MPSLTD</t>
        </is>
      </c>
      <c r="B3" s="31" t="inlineStr">
        <is>
          <t>Mps Limited</t>
        </is>
      </c>
      <c r="C3" s="31" t="inlineStr">
        <is>
          <t>i.t</t>
        </is>
      </c>
      <c r="D3" s="31" t="inlineStr">
        <is>
          <t>computers - software - medium / small</t>
        </is>
      </c>
      <c r="E3" s="31" t="inlineStr">
        <is>
          <t>smallcap</t>
        </is>
      </c>
      <c r="F3" s="31" t="n">
        <v>3655.68</v>
      </c>
      <c r="G3" s="31" t="n">
        <v>2564.5</v>
      </c>
      <c r="H3" s="31" t="n">
        <v>20</v>
      </c>
      <c r="I3" s="31" t="n">
        <v>1207996</v>
      </c>
      <c r="J3" s="31" t="inlineStr">
        <is>
          <t>532440</t>
        </is>
      </c>
    </row>
    <row r="4">
      <c r="A4" s="31" t="inlineStr">
        <is>
          <t>DATAPATTNS</t>
        </is>
      </c>
      <c r="B4" s="31" t="inlineStr">
        <is>
          <t>Data Patterns (India) Ltd</t>
        </is>
      </c>
      <c r="C4" s="31" t="inlineStr">
        <is>
          <t>aerospace &amp; defence</t>
        </is>
      </c>
      <c r="D4" s="31" t="inlineStr">
        <is>
          <t>electronics - components</t>
        </is>
      </c>
      <c r="E4" s="31" t="inlineStr">
        <is>
          <t>largecap</t>
        </is>
      </c>
      <c r="F4" s="31" t="n">
        <v>23759.04</v>
      </c>
      <c r="G4" s="31" t="n">
        <v>4782.8</v>
      </c>
      <c r="H4" s="31" t="n">
        <v>12.7</v>
      </c>
      <c r="I4" s="31" t="n">
        <v>6972637</v>
      </c>
      <c r="J4" s="31" t="inlineStr">
        <is>
          <t>543428</t>
        </is>
      </c>
    </row>
    <row r="5">
      <c r="A5" s="31" t="inlineStr">
        <is>
          <t>CYIENTDLM</t>
        </is>
      </c>
      <c r="B5" s="31" t="inlineStr">
        <is>
          <t>Cyient DLM Ltd</t>
        </is>
      </c>
      <c r="C5" s="31" t="inlineStr">
        <is>
          <t>consumer discretionary</t>
        </is>
      </c>
      <c r="D5" s="31" t="inlineStr">
        <is>
          <t>electronics - components</t>
        </is>
      </c>
      <c r="E5" s="31" t="inlineStr">
        <is>
          <t>smallcap</t>
        </is>
      </c>
      <c r="F5" s="31" t="n">
        <v>4944.4</v>
      </c>
      <c r="G5" s="31" t="n">
        <v>698.15</v>
      </c>
      <c r="H5" s="31" t="n">
        <v>12.06</v>
      </c>
      <c r="I5" s="31" t="n">
        <v>12932202</v>
      </c>
      <c r="J5" s="31" t="inlineStr">
        <is>
          <t>543933</t>
        </is>
      </c>
    </row>
    <row r="6">
      <c r="A6" s="31" t="inlineStr">
        <is>
          <t>UFLEX</t>
        </is>
      </c>
      <c r="B6" s="31" t="inlineStr">
        <is>
          <t>Uflex Limited</t>
        </is>
      </c>
      <c r="C6" s="31" t="inlineStr">
        <is>
          <t>industrials</t>
        </is>
      </c>
      <c r="D6" s="31" t="inlineStr">
        <is>
          <t>packaging</t>
        </is>
      </c>
      <c r="E6" s="31" t="inlineStr">
        <is>
          <t>smallcap</t>
        </is>
      </c>
      <c r="F6" s="31" t="n">
        <v>3175.14</v>
      </c>
      <c r="G6" s="31" t="n">
        <v>490.7</v>
      </c>
      <c r="H6" s="31" t="n">
        <v>11.6</v>
      </c>
      <c r="I6" s="31" t="n">
        <v>11738381</v>
      </c>
      <c r="J6" s="31" t="inlineStr">
        <is>
          <t>500148</t>
        </is>
      </c>
    </row>
    <row r="7">
      <c r="A7" s="31" t="inlineStr">
        <is>
          <t>HUHTAMAKI</t>
        </is>
      </c>
      <c r="B7" s="31" t="inlineStr">
        <is>
          <t>Huhtamaki India Ltd</t>
        </is>
      </c>
      <c r="C7" s="31" t="inlineStr">
        <is>
          <t>industrials</t>
        </is>
      </c>
      <c r="D7" s="31" t="inlineStr">
        <is>
          <t>packaging</t>
        </is>
      </c>
      <c r="E7" s="31" t="inlineStr">
        <is>
          <t>smallcap</t>
        </is>
      </c>
      <c r="F7" s="31" t="n">
        <v>1995.21</v>
      </c>
      <c r="G7" s="31" t="n">
        <v>291.98</v>
      </c>
      <c r="H7" s="31" t="n">
        <v>10.52</v>
      </c>
      <c r="I7" s="31" t="n">
        <v>24962728</v>
      </c>
      <c r="J7" s="31" t="inlineStr">
        <is>
          <t>509820</t>
        </is>
      </c>
    </row>
    <row r="8">
      <c r="A8" s="31" t="inlineStr">
        <is>
          <t>PREMIERPOL</t>
        </is>
      </c>
      <c r="B8" s="31" t="inlineStr">
        <is>
          <t>Premier Polyfilm Limited</t>
        </is>
      </c>
      <c r="C8" s="31" t="inlineStr">
        <is>
          <t>plastic products</t>
        </is>
      </c>
      <c r="D8" s="31" t="inlineStr">
        <is>
          <t>plastics products</t>
        </is>
      </c>
      <c r="E8" s="31" t="inlineStr">
        <is>
          <t>smallcap</t>
        </is>
      </c>
      <c r="F8" s="31" t="n">
        <v>754.88</v>
      </c>
      <c r="G8" s="31" t="n">
        <v>79.48</v>
      </c>
      <c r="H8" s="31" t="n">
        <v>10.28</v>
      </c>
      <c r="I8" s="31" t="n">
        <v>1761176</v>
      </c>
      <c r="J8" s="31" t="inlineStr">
        <is>
          <t>514354</t>
        </is>
      </c>
    </row>
    <row r="9">
      <c r="A9" s="31" t="inlineStr">
        <is>
          <t>ASIANHOTNR</t>
        </is>
      </c>
      <c r="B9" s="31" t="inlineStr">
        <is>
          <t>Asian Hotels (north) Limited</t>
        </is>
      </c>
      <c r="C9" s="31" t="inlineStr">
        <is>
          <t>services</t>
        </is>
      </c>
      <c r="D9" s="31" t="inlineStr">
        <is>
          <t>hotels</t>
        </is>
      </c>
      <c r="E9" s="31" t="inlineStr">
        <is>
          <t>smallcap</t>
        </is>
      </c>
      <c r="F9" s="31" t="n">
        <v>1255.76</v>
      </c>
      <c r="G9" s="31" t="n">
        <v>324</v>
      </c>
      <c r="H9" s="31" t="n">
        <v>10</v>
      </c>
      <c r="I9" s="31" t="n">
        <v>28791</v>
      </c>
      <c r="J9" s="31" t="inlineStr">
        <is>
          <t>500023</t>
        </is>
      </c>
    </row>
    <row r="10">
      <c r="A10" s="31" t="inlineStr">
        <is>
          <t>M&amp;MFIN</t>
        </is>
      </c>
      <c r="B10" s="31" t="inlineStr">
        <is>
          <t>Mahindra &amp; Mahindra Financial Services Limited</t>
        </is>
      </c>
      <c r="C10" s="31" t="inlineStr">
        <is>
          <t>financials</t>
        </is>
      </c>
      <c r="D10" s="31" t="inlineStr">
        <is>
          <t>finance &amp; investments</t>
        </is>
      </c>
      <c r="E10" s="31" t="inlineStr">
        <is>
          <t>largecap</t>
        </is>
      </c>
      <c r="F10" s="31" t="n">
        <v>48628.14</v>
      </c>
      <c r="G10" s="31" t="n">
        <v>378.15</v>
      </c>
      <c r="H10" s="31" t="n">
        <v>8.09</v>
      </c>
      <c r="I10" s="31" t="n">
        <v>54586010</v>
      </c>
      <c r="J10" s="31" t="inlineStr">
        <is>
          <t>532720</t>
        </is>
      </c>
    </row>
    <row r="11">
      <c r="A11" s="31" t="inlineStr">
        <is>
          <t>SCPL</t>
        </is>
      </c>
      <c r="B11" s="31" t="inlineStr">
        <is>
          <t>Sheetal Cool Products Ltd</t>
        </is>
      </c>
      <c r="C11" s="31" t="inlineStr">
        <is>
          <t>fmcg</t>
        </is>
      </c>
      <c r="D11" s="31" t="inlineStr">
        <is>
          <t>food - processing - indian</t>
        </is>
      </c>
      <c r="E11" s="31" t="inlineStr">
        <is>
          <t>smallcap</t>
        </is>
      </c>
      <c r="F11" s="31" t="n">
        <v>575.14</v>
      </c>
      <c r="G11" s="31" t="n">
        <v>582.6</v>
      </c>
      <c r="H11" s="31" t="n">
        <v>6.36</v>
      </c>
      <c r="I11" s="31" t="n">
        <v>323584</v>
      </c>
      <c r="J11" s="31" t="inlineStr">
        <is>
          <t>540757</t>
        </is>
      </c>
    </row>
    <row r="12">
      <c r="A12" s="31" t="inlineStr">
        <is>
          <t>SANATHAN</t>
        </is>
      </c>
      <c r="B12" s="31" t="inlineStr">
        <is>
          <t>Sanathan Textiles Ltd</t>
        </is>
      </c>
      <c r="C12" s="31" t="inlineStr">
        <is>
          <t>textiles</t>
        </is>
      </c>
      <c r="D12" s="31" t="inlineStr">
        <is>
          <t>textiles - cotton/blended</t>
        </is>
      </c>
      <c r="E12" s="31" t="inlineStr">
        <is>
          <t>smallcap</t>
        </is>
      </c>
      <c r="F12" s="31" t="n">
        <v>3944.62</v>
      </c>
      <c r="G12" s="31" t="n">
        <v>495.6</v>
      </c>
      <c r="H12" s="31" t="n">
        <v>6.04</v>
      </c>
      <c r="I12" s="31" t="n">
        <v>96141</v>
      </c>
      <c r="J12" s="31" t="inlineStr">
        <is>
          <t>544314</t>
        </is>
      </c>
    </row>
    <row r="13">
      <c r="A13" s="31" t="inlineStr">
        <is>
          <t>TIRUPATIFL</t>
        </is>
      </c>
      <c r="B13" s="31" t="inlineStr">
        <is>
          <t>Tirupati Forge Ltd</t>
        </is>
      </c>
      <c r="C13" s="31" t="inlineStr">
        <is>
          <t>industrials</t>
        </is>
      </c>
      <c r="D13" s="31" t="inlineStr">
        <is>
          <t>castings &amp; forgings</t>
        </is>
      </c>
      <c r="E13" s="31" t="inlineStr">
        <is>
          <t>smallcap</t>
        </is>
      </c>
      <c r="F13" s="31" t="n">
        <v>994.12</v>
      </c>
      <c r="G13" s="31" t="n">
        <v>81.55</v>
      </c>
      <c r="H13" s="31" t="n">
        <v>5.98</v>
      </c>
      <c r="I13" s="31" t="n">
        <v>3364682</v>
      </c>
      <c r="J13" s="31" t="inlineStr">
        <is>
          <t>535021</t>
        </is>
      </c>
    </row>
    <row r="14">
      <c r="A14" s="31" t="inlineStr">
        <is>
          <t>PNGJL</t>
        </is>
      </c>
      <c r="B14" s="31" t="inlineStr">
        <is>
          <t>P N Gadgil Jewellers Ltd</t>
        </is>
      </c>
      <c r="C14" s="31" t="inlineStr">
        <is>
          <t>consumer discretionary</t>
        </is>
      </c>
      <c r="D14" s="31" t="inlineStr">
        <is>
          <t>diamond cutting / jewellery</t>
        </is>
      </c>
      <c r="E14" s="31" t="inlineStr">
        <is>
          <t>midcap</t>
        </is>
      </c>
      <c r="F14" s="31" t="n">
        <v>8152.68</v>
      </c>
      <c r="G14" s="31" t="n">
        <v>636.6</v>
      </c>
      <c r="H14" s="31" t="n">
        <v>5.97</v>
      </c>
      <c r="I14" s="31" t="n">
        <v>2511882</v>
      </c>
      <c r="J14" s="31" t="n"/>
    </row>
    <row r="15">
      <c r="A15" s="31" t="inlineStr">
        <is>
          <t>BAJAJ-AUTO</t>
        </is>
      </c>
      <c r="B15" s="31" t="inlineStr">
        <is>
          <t>Bajaj Auto Limited</t>
        </is>
      </c>
      <c r="C15" s="31" t="inlineStr">
        <is>
          <t>auto</t>
        </is>
      </c>
      <c r="D15" s="31" t="inlineStr">
        <is>
          <t>automobiles - scooters and 3 - wheelers</t>
        </is>
      </c>
      <c r="E15" s="31" t="inlineStr">
        <is>
          <t>largecap</t>
        </is>
      </c>
      <c r="F15" s="31" t="n">
        <v>290775.58</v>
      </c>
      <c r="G15" s="31" t="n">
        <v>10998.5</v>
      </c>
      <c r="H15" s="31" t="n">
        <v>5.72</v>
      </c>
      <c r="I15" s="31" t="n">
        <v>1448948</v>
      </c>
      <c r="J15" s="31" t="inlineStr">
        <is>
          <t>532977</t>
        </is>
      </c>
    </row>
    <row r="16">
      <c r="A16" s="31" t="inlineStr">
        <is>
          <t>WSTCSTPAPR</t>
        </is>
      </c>
      <c r="B16" s="31" t="inlineStr">
        <is>
          <t>West Coast Paper Mills Limited</t>
        </is>
      </c>
      <c r="C16" s="31" t="inlineStr">
        <is>
          <t>building materials</t>
        </is>
      </c>
      <c r="D16" s="31" t="inlineStr">
        <is>
          <t>paper</t>
        </is>
      </c>
      <c r="E16" s="31" t="inlineStr">
        <is>
          <t>smallcap</t>
        </is>
      </c>
      <c r="F16" s="31" t="n">
        <v>3432.23</v>
      </c>
      <c r="G16" s="31" t="n">
        <v>549</v>
      </c>
      <c r="H16" s="31" t="n">
        <v>5.65</v>
      </c>
      <c r="I16" s="31" t="n">
        <v>706849</v>
      </c>
      <c r="J16" s="31" t="inlineStr">
        <is>
          <t>500444</t>
        </is>
      </c>
    </row>
    <row r="17">
      <c r="A17" s="31" t="inlineStr">
        <is>
          <t>CONSOFINVT</t>
        </is>
      </c>
      <c r="B17" s="31" t="inlineStr">
        <is>
          <t>Consolidated Finvest &amp; Holdings Limited</t>
        </is>
      </c>
      <c r="C17" s="31" t="inlineStr">
        <is>
          <t>financials</t>
        </is>
      </c>
      <c r="D17" s="31" t="inlineStr">
        <is>
          <t>finance &amp; investments</t>
        </is>
      </c>
      <c r="E17" s="31" t="inlineStr">
        <is>
          <t>smallcap</t>
        </is>
      </c>
      <c r="F17" s="31" t="n">
        <v>898.58</v>
      </c>
      <c r="G17" s="31" t="n">
        <v>291.95</v>
      </c>
      <c r="H17" s="31" t="n">
        <v>5.03</v>
      </c>
      <c r="I17" s="31" t="n">
        <v>85070</v>
      </c>
      <c r="J17" s="31" t="inlineStr">
        <is>
          <t>500226</t>
        </is>
      </c>
    </row>
    <row r="18">
      <c r="A18" s="31" t="inlineStr">
        <is>
          <t>E2E</t>
        </is>
      </c>
      <c r="B18" s="31" t="inlineStr">
        <is>
          <t>E2E Networks Ltd</t>
        </is>
      </c>
      <c r="C18" s="31" t="inlineStr">
        <is>
          <t>i.t</t>
        </is>
      </c>
      <c r="D18" s="31" t="inlineStr">
        <is>
          <t>computers - software - medium / small</t>
        </is>
      </c>
      <c r="E18" s="31" t="inlineStr">
        <is>
          <t>midcap</t>
        </is>
      </c>
      <c r="F18" s="31" t="n">
        <v>9176.42</v>
      </c>
      <c r="G18" s="31" t="n">
        <v>468.7</v>
      </c>
      <c r="H18" s="31" t="n">
        <v>5</v>
      </c>
      <c r="I18" s="31" t="n">
        <v>121637</v>
      </c>
      <c r="J18" s="31" t="inlineStr">
        <is>
          <t>535080</t>
        </is>
      </c>
    </row>
    <row r="19">
      <c r="A19" s="31" t="inlineStr">
        <is>
          <t>ICEMAKE</t>
        </is>
      </c>
      <c r="B19" s="31" t="inlineStr">
        <is>
          <t>ICE Make Refrigeration Ltd</t>
        </is>
      </c>
      <c r="C19" s="31" t="inlineStr">
        <is>
          <t>industrials</t>
        </is>
      </c>
      <c r="D19" s="31" t="inlineStr">
        <is>
          <t>engineering</t>
        </is>
      </c>
      <c r="E19" s="31" t="inlineStr">
        <is>
          <t>smallcap</t>
        </is>
      </c>
      <c r="F19" s="31" t="n">
        <v>1323.45</v>
      </c>
      <c r="G19" s="31" t="n">
        <v>878.9</v>
      </c>
      <c r="H19" s="31" t="n">
        <v>4.79</v>
      </c>
      <c r="I19" s="31" t="n">
        <v>229621</v>
      </c>
      <c r="J19" s="31" t="inlineStr">
        <is>
          <t>535034</t>
        </is>
      </c>
    </row>
    <row r="20">
      <c r="A20" s="31" t="inlineStr">
        <is>
          <t>TVSHLTD</t>
        </is>
      </c>
      <c r="B20" s="31" t="inlineStr">
        <is>
          <t>TVS Holdings Ltd</t>
        </is>
      </c>
      <c r="C20" s="31" t="inlineStr">
        <is>
          <t>financials</t>
        </is>
      </c>
      <c r="D20" s="31" t="inlineStr">
        <is>
          <t>finance &amp; investments</t>
        </is>
      </c>
      <c r="E20" s="31" t="inlineStr">
        <is>
          <t>largecap</t>
        </is>
      </c>
      <c r="F20" s="31" t="n">
        <v>28802.42</v>
      </c>
      <c r="G20" s="31" t="n">
        <v>14847</v>
      </c>
      <c r="H20" s="31" t="n">
        <v>4.29</v>
      </c>
      <c r="I20" s="31" t="n">
        <v>93079</v>
      </c>
      <c r="J20" s="31" t="inlineStr">
        <is>
          <t>520056</t>
        </is>
      </c>
    </row>
    <row r="21">
      <c r="A21" s="31" t="inlineStr">
        <is>
          <t>STYLAMIND</t>
        </is>
      </c>
      <c r="B21" s="31" t="inlineStr">
        <is>
          <t>Stylam Industries Ltd</t>
        </is>
      </c>
      <c r="C21" s="31" t="inlineStr">
        <is>
          <t>building materials</t>
        </is>
      </c>
      <c r="D21" s="31" t="inlineStr">
        <is>
          <t>miscellaneous</t>
        </is>
      </c>
      <c r="E21" s="31" t="inlineStr">
        <is>
          <t>midcap</t>
        </is>
      </c>
      <c r="F21" s="31" t="n">
        <v>5949.96</v>
      </c>
      <c r="G21" s="31" t="n">
        <v>3659</v>
      </c>
      <c r="H21" s="31" t="n">
        <v>4.22</v>
      </c>
      <c r="I21" s="31" t="n">
        <v>1979903</v>
      </c>
      <c r="J21" s="31" t="inlineStr">
        <is>
          <t>526951</t>
        </is>
      </c>
    </row>
    <row r="22">
      <c r="A22" s="31" t="inlineStr">
        <is>
          <t>NRAIL</t>
        </is>
      </c>
      <c r="B22" s="31" t="inlineStr">
        <is>
          <t>N R Agarwal Industries Ltd</t>
        </is>
      </c>
      <c r="C22" s="31" t="inlineStr">
        <is>
          <t>building materials</t>
        </is>
      </c>
      <c r="D22" s="31" t="inlineStr">
        <is>
          <t>paper</t>
        </is>
      </c>
      <c r="E22" s="31" t="inlineStr">
        <is>
          <t>smallcap</t>
        </is>
      </c>
      <c r="F22" s="31" t="n">
        <v>733.61</v>
      </c>
      <c r="G22" s="31" t="n">
        <v>449.05</v>
      </c>
      <c r="H22" s="31" t="n">
        <v>4.18</v>
      </c>
      <c r="I22" s="31" t="n">
        <v>13416</v>
      </c>
      <c r="J22" s="31" t="inlineStr">
        <is>
          <t>516082</t>
        </is>
      </c>
    </row>
    <row r="23">
      <c r="A23" s="31" t="inlineStr">
        <is>
          <t>POLYPLEX</t>
        </is>
      </c>
      <c r="B23" s="31" t="inlineStr">
        <is>
          <t>Polyplex Corporation Limited</t>
        </is>
      </c>
      <c r="C23" s="31" t="inlineStr">
        <is>
          <t>industrials</t>
        </is>
      </c>
      <c r="D23" s="31" t="inlineStr">
        <is>
          <t>packaging</t>
        </is>
      </c>
      <c r="E23" s="31" t="inlineStr">
        <is>
          <t>smallcap</t>
        </is>
      </c>
      <c r="F23" s="31" t="n">
        <v>3365.12</v>
      </c>
      <c r="G23" s="31" t="n">
        <v>1115.05</v>
      </c>
      <c r="H23" s="31" t="n">
        <v>4.02</v>
      </c>
      <c r="I23" s="31" t="n">
        <v>270620</v>
      </c>
      <c r="J23" s="31" t="inlineStr">
        <is>
          <t>524051</t>
        </is>
      </c>
    </row>
    <row r="24">
      <c r="A24" s="31" t="inlineStr">
        <is>
          <t>GANDHAR</t>
        </is>
      </c>
      <c r="B24" s="31" t="inlineStr">
        <is>
          <t>Gandhar Oil Refinery (India) Ltd</t>
        </is>
      </c>
      <c r="C24" s="31" t="inlineStr">
        <is>
          <t>energy</t>
        </is>
      </c>
      <c r="D24" s="31" t="inlineStr">
        <is>
          <t>refineries</t>
        </is>
      </c>
      <c r="E24" s="31" t="inlineStr">
        <is>
          <t>smallcap</t>
        </is>
      </c>
      <c r="F24" s="31" t="n">
        <v>2223.53</v>
      </c>
      <c r="G24" s="31" t="n">
        <v>236.19</v>
      </c>
      <c r="H24" s="31" t="n">
        <v>3.97</v>
      </c>
      <c r="I24" s="31" t="n">
        <v>6966378</v>
      </c>
      <c r="J24" s="31" t="inlineStr">
        <is>
          <t>544029</t>
        </is>
      </c>
    </row>
    <row r="25">
      <c r="A25" s="31" t="inlineStr">
        <is>
          <t>CHENNPETRO</t>
        </is>
      </c>
      <c r="B25" s="31" t="inlineStr">
        <is>
          <t>Chennai Petroleum Corporation Limited</t>
        </is>
      </c>
      <c r="C25" s="31" t="inlineStr">
        <is>
          <t>energy</t>
        </is>
      </c>
      <c r="D25" s="31" t="inlineStr">
        <is>
          <t>refineries</t>
        </is>
      </c>
      <c r="E25" s="31" t="inlineStr">
        <is>
          <t>midcap</t>
        </is>
      </c>
      <c r="F25" s="31" t="n">
        <v>18734.54</v>
      </c>
      <c r="G25" s="31" t="n">
        <v>1307.8</v>
      </c>
      <c r="H25" s="31" t="n">
        <v>3.95</v>
      </c>
      <c r="I25" s="31" t="n">
        <v>2966128</v>
      </c>
      <c r="J25" s="31" t="inlineStr">
        <is>
          <t>500110</t>
        </is>
      </c>
    </row>
    <row r="26">
      <c r="A26" s="31" t="inlineStr">
        <is>
          <t>SWANDEF</t>
        </is>
      </c>
      <c r="B26" s="31" t="inlineStr">
        <is>
          <t>Swan Defence and Heavy Industries Ltd</t>
        </is>
      </c>
      <c r="C26" s="31" t="inlineStr">
        <is>
          <t>transportation</t>
        </is>
      </c>
      <c r="D26" s="31" t="inlineStr">
        <is>
          <t>miscellaneous</t>
        </is>
      </c>
      <c r="E26" s="31" t="inlineStr">
        <is>
          <t>midcap</t>
        </is>
      </c>
      <c r="F26" s="31" t="n">
        <v>12231.21</v>
      </c>
      <c r="G26" s="31" t="n">
        <v>2412</v>
      </c>
      <c r="H26" s="31" t="n">
        <v>3.89</v>
      </c>
      <c r="I26" s="31" t="n">
        <v>19555</v>
      </c>
      <c r="J26" s="31" t="inlineStr">
        <is>
          <t>533107</t>
        </is>
      </c>
    </row>
    <row r="27">
      <c r="A27" s="31" t="inlineStr">
        <is>
          <t>GANESHBE</t>
        </is>
      </c>
      <c r="B27" s="31" t="inlineStr">
        <is>
          <t>Ganesh Benzoplast Ltd</t>
        </is>
      </c>
      <c r="C27" s="31" t="inlineStr">
        <is>
          <t>miscellaneous</t>
        </is>
      </c>
      <c r="D27" s="31" t="inlineStr">
        <is>
          <t>miscellaneous</t>
        </is>
      </c>
      <c r="E27" s="31" t="inlineStr">
        <is>
          <t>smallcap</t>
        </is>
      </c>
      <c r="F27" s="31" t="n">
        <v>758.7</v>
      </c>
      <c r="G27" s="31" t="n">
        <v>109.32</v>
      </c>
      <c r="H27" s="31" t="n">
        <v>3.73</v>
      </c>
      <c r="I27" s="31" t="n">
        <v>11607281</v>
      </c>
      <c r="J27" s="31" t="inlineStr">
        <is>
          <t>500153</t>
        </is>
      </c>
    </row>
    <row r="28">
      <c r="A28" s="31" t="inlineStr">
        <is>
          <t>RRKABEL</t>
        </is>
      </c>
      <c r="B28" s="31" t="inlineStr">
        <is>
          <t>R R Kabel Ltd</t>
        </is>
      </c>
      <c r="C28" s="31" t="inlineStr">
        <is>
          <t>industrials</t>
        </is>
      </c>
      <c r="D28" s="31" t="inlineStr">
        <is>
          <t>cables - power</t>
        </is>
      </c>
      <c r="E28" s="31" t="inlineStr">
        <is>
          <t>largecap</t>
        </is>
      </c>
      <c r="F28" s="31" t="n">
        <v>26527.77</v>
      </c>
      <c r="G28" s="31" t="n">
        <v>2432.4</v>
      </c>
      <c r="H28" s="31" t="n">
        <v>3.71</v>
      </c>
      <c r="I28" s="31" t="n">
        <v>1393150</v>
      </c>
      <c r="J28" s="31" t="inlineStr">
        <is>
          <t>543981</t>
        </is>
      </c>
    </row>
    <row r="29">
      <c r="A29" s="31" t="inlineStr">
        <is>
          <t>SENCO</t>
        </is>
      </c>
      <c r="B29" s="31" t="inlineStr">
        <is>
          <t>Senco Gold Ltd</t>
        </is>
      </c>
      <c r="C29" s="31" t="inlineStr">
        <is>
          <t>consumer discretionary</t>
        </is>
      </c>
      <c r="D29" s="31" t="inlineStr">
        <is>
          <t>diamond cutting / jewellery</t>
        </is>
      </c>
      <c r="E29" s="31" t="inlineStr">
        <is>
          <t>midcap</t>
        </is>
      </c>
      <c r="F29" s="31" t="n">
        <v>6188.62</v>
      </c>
      <c r="G29" s="31" t="n">
        <v>391.65</v>
      </c>
      <c r="H29" s="31" t="n">
        <v>3.67</v>
      </c>
      <c r="I29" s="31" t="n">
        <v>5477340</v>
      </c>
      <c r="J29" s="31" t="inlineStr">
        <is>
          <t>543936</t>
        </is>
      </c>
    </row>
    <row r="30">
      <c r="A30" s="31" t="inlineStr">
        <is>
          <t>JKPAPER</t>
        </is>
      </c>
      <c r="B30" s="31" t="inlineStr">
        <is>
          <t>Jk Paper Limited</t>
        </is>
      </c>
      <c r="C30" s="31" t="inlineStr">
        <is>
          <t>building materials</t>
        </is>
      </c>
      <c r="D30" s="31" t="inlineStr">
        <is>
          <t>paper</t>
        </is>
      </c>
      <c r="E30" s="31" t="inlineStr">
        <is>
          <t>midcap</t>
        </is>
      </c>
      <c r="F30" s="31" t="n">
        <v>6816.68</v>
      </c>
      <c r="G30" s="31" t="n">
        <v>389.3</v>
      </c>
      <c r="H30" s="31" t="n">
        <v>3.55</v>
      </c>
      <c r="I30" s="31" t="n">
        <v>6783849</v>
      </c>
      <c r="J30" s="31" t="inlineStr">
        <is>
          <t>532162</t>
        </is>
      </c>
    </row>
    <row r="31">
      <c r="A31" s="31" t="inlineStr">
        <is>
          <t>UNIVPHOTO</t>
        </is>
      </c>
      <c r="B31" s="31" t="inlineStr">
        <is>
          <t>Universus Photo Imagings Ltd</t>
        </is>
      </c>
      <c r="C31" s="31" t="inlineStr">
        <is>
          <t>consumer discretionary</t>
        </is>
      </c>
      <c r="D31" s="31" t="inlineStr">
        <is>
          <t>photographic and allied products</t>
        </is>
      </c>
      <c r="E31" s="31" t="inlineStr">
        <is>
          <t>smallcap</t>
        </is>
      </c>
      <c r="F31" s="31" t="n">
        <v>502.56</v>
      </c>
      <c r="G31" s="31" t="n">
        <v>475</v>
      </c>
      <c r="H31" s="31" t="n">
        <v>3.46</v>
      </c>
      <c r="I31" s="31" t="n">
        <v>3245</v>
      </c>
      <c r="J31" s="31" t="inlineStr">
        <is>
          <t>542933</t>
        </is>
      </c>
    </row>
    <row r="32">
      <c r="A32" s="31" t="inlineStr">
        <is>
          <t>KALYANKJIL</t>
        </is>
      </c>
      <c r="B32" s="31" t="inlineStr">
        <is>
          <t>Kalyan Jewellers India Ltd</t>
        </is>
      </c>
      <c r="C32" s="31" t="inlineStr">
        <is>
          <t>consumer discretionary</t>
        </is>
      </c>
      <c r="D32" s="31" t="inlineStr">
        <is>
          <t>diamond cutting / jewellery</t>
        </is>
      </c>
      <c r="E32" s="31" t="inlineStr">
        <is>
          <t>largecap</t>
        </is>
      </c>
      <c r="F32" s="31" t="n">
        <v>59589.11</v>
      </c>
      <c r="G32" s="31" t="n">
        <v>596.1</v>
      </c>
      <c r="H32" s="31" t="n">
        <v>3.31</v>
      </c>
      <c r="I32" s="31" t="n">
        <v>32800326</v>
      </c>
      <c r="J32" s="31" t="inlineStr">
        <is>
          <t>543278</t>
        </is>
      </c>
    </row>
    <row r="33">
      <c r="A33" s="31" t="inlineStr">
        <is>
          <t>GPTHEALTH</t>
        </is>
      </c>
      <c r="B33" s="31" t="inlineStr">
        <is>
          <t>GPT Healthcare Ltd</t>
        </is>
      </c>
      <c r="C33" s="31" t="inlineStr">
        <is>
          <t>healthcare</t>
        </is>
      </c>
      <c r="D33" s="31" t="inlineStr">
        <is>
          <t>healthcare</t>
        </is>
      </c>
      <c r="E33" s="31" t="inlineStr">
        <is>
          <t>smallcap</t>
        </is>
      </c>
      <c r="F33" s="31" t="n">
        <v>1239.27</v>
      </c>
      <c r="G33" s="31" t="n">
        <v>156</v>
      </c>
      <c r="H33" s="31" t="n">
        <v>3.29</v>
      </c>
      <c r="I33" s="31" t="n">
        <v>139718</v>
      </c>
      <c r="J33" s="31" t="inlineStr">
        <is>
          <t>544131</t>
        </is>
      </c>
    </row>
    <row r="34">
      <c r="A34" s="31" t="inlineStr">
        <is>
          <t>CARTRADE</t>
        </is>
      </c>
      <c r="B34" s="31" t="inlineStr">
        <is>
          <t>Cartrade Tech Ltd</t>
        </is>
      </c>
      <c r="C34" s="31" t="inlineStr">
        <is>
          <t>consumer discretionary</t>
        </is>
      </c>
      <c r="D34" s="31" t="inlineStr">
        <is>
          <t>miscellaneous</t>
        </is>
      </c>
      <c r="E34" s="31" t="inlineStr">
        <is>
          <t>midcap</t>
        </is>
      </c>
      <c r="F34" s="31" t="n">
        <v>13091.08</v>
      </c>
      <c r="G34" s="31" t="n">
        <v>2809.7</v>
      </c>
      <c r="H34" s="31" t="n">
        <v>3.07</v>
      </c>
      <c r="I34" s="31" t="n">
        <v>303522</v>
      </c>
      <c r="J34" s="31" t="inlineStr">
        <is>
          <t>543333</t>
        </is>
      </c>
    </row>
    <row r="35">
      <c r="A35" s="31" t="inlineStr">
        <is>
          <t>TVSMOTOR</t>
        </is>
      </c>
      <c r="B35" s="31" t="inlineStr">
        <is>
          <t>Tvs Motor Company Limited</t>
        </is>
      </c>
      <c r="C35" s="31" t="inlineStr">
        <is>
          <t>auto</t>
        </is>
      </c>
      <c r="D35" s="31" t="inlineStr">
        <is>
          <t>automobiles - motorcycles / mopeds</t>
        </is>
      </c>
      <c r="E35" s="31" t="inlineStr">
        <is>
          <t>largecap</t>
        </is>
      </c>
      <c r="F35" s="31" t="n">
        <v>180153.03</v>
      </c>
      <c r="G35" s="31" t="n">
        <v>3907.6</v>
      </c>
      <c r="H35" s="31" t="n">
        <v>3.05</v>
      </c>
      <c r="I35" s="31" t="n">
        <v>3225280</v>
      </c>
      <c r="J35" s="31" t="inlineStr">
        <is>
          <t>532343</t>
        </is>
      </c>
    </row>
    <row r="36">
      <c r="A36" s="31" t="inlineStr">
        <is>
          <t>NILKAMAL</t>
        </is>
      </c>
      <c r="B36" s="31" t="inlineStr">
        <is>
          <t>Nilkamal Limited</t>
        </is>
      </c>
      <c r="C36" s="31" t="inlineStr">
        <is>
          <t>plastic products</t>
        </is>
      </c>
      <c r="D36" s="31" t="inlineStr">
        <is>
          <t>plastics products</t>
        </is>
      </c>
      <c r="E36" s="31" t="inlineStr">
        <is>
          <t>smallcap</t>
        </is>
      </c>
      <c r="F36" s="31" t="n">
        <v>2323.44</v>
      </c>
      <c r="G36" s="31" t="n">
        <v>1604.3</v>
      </c>
      <c r="H36" s="31" t="n">
        <v>3.04</v>
      </c>
      <c r="I36" s="31" t="n">
        <v>134237</v>
      </c>
      <c r="J36" s="31" t="inlineStr">
        <is>
          <t>523385</t>
        </is>
      </c>
    </row>
    <row r="37">
      <c r="A37" s="31" t="inlineStr">
        <is>
          <t>KERNEX</t>
        </is>
      </c>
      <c r="B37" s="31" t="inlineStr">
        <is>
          <t>Kernex Microsystems (india) Limited</t>
        </is>
      </c>
      <c r="C37" s="31" t="inlineStr">
        <is>
          <t>consumer discretionary</t>
        </is>
      </c>
      <c r="D37" s="31" t="inlineStr">
        <is>
          <t>electronics - components</t>
        </is>
      </c>
      <c r="E37" s="31" t="inlineStr">
        <is>
          <t>smallcap</t>
        </is>
      </c>
      <c r="F37" s="31" t="n">
        <v>3581.52</v>
      </c>
      <c r="G37" s="31" t="n">
        <v>2195.6</v>
      </c>
      <c r="H37" s="31" t="n">
        <v>3.01</v>
      </c>
      <c r="I37" s="31" t="n">
        <v>176577</v>
      </c>
      <c r="J37" s="31" t="inlineStr">
        <is>
          <t>532686</t>
        </is>
      </c>
    </row>
    <row r="38">
      <c r="A38" s="31" t="inlineStr">
        <is>
          <t>RITCO</t>
        </is>
      </c>
      <c r="B38" s="31" t="inlineStr">
        <is>
          <t>Ritco Logistics Ltd</t>
        </is>
      </c>
      <c r="C38" s="31" t="inlineStr">
        <is>
          <t>transportation</t>
        </is>
      </c>
      <c r="D38" s="31" t="inlineStr">
        <is>
          <t>miscellaneous</t>
        </is>
      </c>
      <c r="E38" s="31" t="inlineStr">
        <is>
          <t>smallcap</t>
        </is>
      </c>
      <c r="F38" s="31" t="n">
        <v>800.86</v>
      </c>
      <c r="G38" s="31" t="n">
        <v>288.1</v>
      </c>
      <c r="H38" s="31" t="n">
        <v>2.97</v>
      </c>
      <c r="I38" s="31" t="n">
        <v>213986</v>
      </c>
      <c r="J38" s="31" t="inlineStr">
        <is>
          <t>542383</t>
        </is>
      </c>
    </row>
    <row r="39">
      <c r="A39" s="31" t="inlineStr">
        <is>
          <t>AEGISLOG</t>
        </is>
      </c>
      <c r="B39" s="31" t="inlineStr">
        <is>
          <t>Aegis Logistics Ltd</t>
        </is>
      </c>
      <c r="C39" s="31" t="inlineStr">
        <is>
          <t>services</t>
        </is>
      </c>
      <c r="D39" s="31" t="inlineStr">
        <is>
          <t>trading</t>
        </is>
      </c>
      <c r="E39" s="31" t="inlineStr">
        <is>
          <t>largecap</t>
        </is>
      </c>
      <c r="F39" s="31" t="n">
        <v>46103.85</v>
      </c>
      <c r="G39" s="31" t="n">
        <v>1351.3</v>
      </c>
      <c r="H39" s="31" t="n">
        <v>2.88</v>
      </c>
      <c r="I39" s="31" t="n">
        <v>1774539</v>
      </c>
      <c r="J39" s="31" t="inlineStr">
        <is>
          <t>500003</t>
        </is>
      </c>
    </row>
    <row r="40">
      <c r="A40" s="31" t="inlineStr">
        <is>
          <t>NESTLEIND</t>
        </is>
      </c>
      <c r="B40" s="31" t="inlineStr">
        <is>
          <t>Nestle India Limited</t>
        </is>
      </c>
      <c r="C40" s="31" t="inlineStr">
        <is>
          <t>fmcg</t>
        </is>
      </c>
      <c r="D40" s="31" t="inlineStr">
        <is>
          <t>food - processing - mnc</t>
        </is>
      </c>
      <c r="E40" s="31" t="inlineStr">
        <is>
          <t>largecap</t>
        </is>
      </c>
      <c r="F40" s="31" t="n">
        <v>279971.96</v>
      </c>
      <c r="G40" s="31" t="n">
        <v>1493.6</v>
      </c>
      <c r="H40" s="31" t="n">
        <v>2.87</v>
      </c>
      <c r="I40" s="31" t="n">
        <v>6542499</v>
      </c>
      <c r="J40" s="31" t="inlineStr">
        <is>
          <t>500790</t>
        </is>
      </c>
    </row>
    <row r="41">
      <c r="A41" s="31" t="inlineStr">
        <is>
          <t>MAHLOG</t>
        </is>
      </c>
      <c r="B41" s="31" t="inlineStr">
        <is>
          <t>Mahindra Logistics Ltd</t>
        </is>
      </c>
      <c r="C41" s="31" t="inlineStr">
        <is>
          <t>transportation</t>
        </is>
      </c>
      <c r="D41" s="31" t="inlineStr">
        <is>
          <t>miscellaneous</t>
        </is>
      </c>
      <c r="E41" s="31" t="inlineStr">
        <is>
          <t>smallcap</t>
        </is>
      </c>
      <c r="F41" s="31" t="n">
        <v>3881.09</v>
      </c>
      <c r="G41" s="31" t="n">
        <v>402.15</v>
      </c>
      <c r="H41" s="31" t="n">
        <v>2.81</v>
      </c>
      <c r="I41" s="31" t="n">
        <v>1039486</v>
      </c>
      <c r="J41" s="31" t="inlineStr">
        <is>
          <t>540768</t>
        </is>
      </c>
    </row>
    <row r="42">
      <c r="A42" s="31" t="inlineStr">
        <is>
          <t>KAPSTON</t>
        </is>
      </c>
      <c r="B42" s="31" t="inlineStr">
        <is>
          <t>Kapston Services Ltd</t>
        </is>
      </c>
      <c r="C42" s="31" t="inlineStr">
        <is>
          <t>miscellaneous</t>
        </is>
      </c>
      <c r="D42" s="31" t="inlineStr">
        <is>
          <t>miscellaneous</t>
        </is>
      </c>
      <c r="E42" s="31" t="inlineStr">
        <is>
          <t>smallcap</t>
        </is>
      </c>
      <c r="F42" s="31" t="n">
        <v>1375.38</v>
      </c>
      <c r="G42" s="31" t="n">
        <v>464</v>
      </c>
      <c r="H42" s="31" t="n">
        <v>2.67</v>
      </c>
      <c r="I42" s="31" t="n">
        <v>75879</v>
      </c>
      <c r="J42" s="31" t="inlineStr">
        <is>
          <t>535064</t>
        </is>
      </c>
    </row>
    <row r="43">
      <c r="A43" s="31" t="inlineStr">
        <is>
          <t>CENTENKA</t>
        </is>
      </c>
      <c r="B43" s="31" t="inlineStr">
        <is>
          <t>Century Enka Limited</t>
        </is>
      </c>
      <c r="C43" s="31" t="inlineStr">
        <is>
          <t>textiles</t>
        </is>
      </c>
      <c r="D43" s="31" t="inlineStr">
        <is>
          <t>textiles - manmade</t>
        </is>
      </c>
      <c r="E43" s="31" t="inlineStr">
        <is>
          <t>smallcap</t>
        </is>
      </c>
      <c r="F43" s="31" t="n">
        <v>1189.44</v>
      </c>
      <c r="G43" s="31" t="n">
        <v>558.65</v>
      </c>
      <c r="H43" s="31" t="n">
        <v>2.63</v>
      </c>
      <c r="I43" s="31" t="n">
        <v>71078</v>
      </c>
      <c r="J43" s="31" t="inlineStr">
        <is>
          <t>500280</t>
        </is>
      </c>
    </row>
    <row r="44">
      <c r="A44" s="31" t="inlineStr">
        <is>
          <t>SHAREINDIA</t>
        </is>
      </c>
      <c r="B44" s="31" t="inlineStr">
        <is>
          <t>Share India Securities Ltd</t>
        </is>
      </c>
      <c r="C44" s="31" t="inlineStr">
        <is>
          <t>financials</t>
        </is>
      </c>
      <c r="D44" s="31" t="inlineStr">
        <is>
          <t>finance &amp; investments</t>
        </is>
      </c>
      <c r="E44" s="31" t="inlineStr">
        <is>
          <t>smallcap</t>
        </is>
      </c>
      <c r="F44" s="31" t="n">
        <v>4067.53</v>
      </c>
      <c r="G44" s="31" t="n">
        <v>190.73</v>
      </c>
      <c r="H44" s="31" t="n">
        <v>2.61</v>
      </c>
      <c r="I44" s="31" t="n">
        <v>3799960</v>
      </c>
      <c r="J44" s="31" t="inlineStr">
        <is>
          <t>540725</t>
        </is>
      </c>
    </row>
    <row r="45">
      <c r="A45" s="31" t="inlineStr">
        <is>
          <t>DIVGIITTS</t>
        </is>
      </c>
      <c r="B45" s="31" t="inlineStr">
        <is>
          <t>Divgi Torqtransfer Systems Ltd</t>
        </is>
      </c>
      <c r="C45" s="31" t="inlineStr">
        <is>
          <t>auto</t>
        </is>
      </c>
      <c r="D45" s="31" t="inlineStr">
        <is>
          <t>auto ancillaries</t>
        </is>
      </c>
      <c r="E45" s="31" t="inlineStr">
        <is>
          <t>smallcap</t>
        </is>
      </c>
      <c r="F45" s="31" t="n">
        <v>2833.05</v>
      </c>
      <c r="G45" s="31" t="n">
        <v>950.1</v>
      </c>
      <c r="H45" s="31" t="n">
        <v>2.56</v>
      </c>
      <c r="I45" s="31" t="n">
        <v>37709</v>
      </c>
      <c r="J45" s="31" t="inlineStr">
        <is>
          <t>543812</t>
        </is>
      </c>
    </row>
    <row r="46">
      <c r="A46" s="31" t="inlineStr">
        <is>
          <t>RAMCOSYS</t>
        </is>
      </c>
      <c r="B46" s="31" t="inlineStr">
        <is>
          <t>Ramco Systems Limited</t>
        </is>
      </c>
      <c r="C46" s="31" t="inlineStr">
        <is>
          <t>i.t</t>
        </is>
      </c>
      <c r="D46" s="31" t="inlineStr">
        <is>
          <t>computers - software - medium / small</t>
        </is>
      </c>
      <c r="E46" s="31" t="inlineStr">
        <is>
          <t>smallcap</t>
        </is>
      </c>
      <c r="F46" s="31" t="n">
        <v>2993.19</v>
      </c>
      <c r="G46" s="31" t="n">
        <v>816.45</v>
      </c>
      <c r="H46" s="31" t="n">
        <v>2.52</v>
      </c>
      <c r="I46" s="31" t="n">
        <v>1202360</v>
      </c>
      <c r="J46" s="31" t="inlineStr">
        <is>
          <t>532370</t>
        </is>
      </c>
    </row>
    <row r="47">
      <c r="A47" s="31" t="inlineStr">
        <is>
          <t>AEGISVOPAK</t>
        </is>
      </c>
      <c r="B47" s="31" t="inlineStr">
        <is>
          <t>Aegis Vopak Terminals Ltd</t>
        </is>
      </c>
      <c r="C47" s="31" t="inlineStr">
        <is>
          <t>transportation</t>
        </is>
      </c>
      <c r="D47" s="31" t="inlineStr">
        <is>
          <t>miscellaneous</t>
        </is>
      </c>
      <c r="E47" s="31" t="inlineStr">
        <is>
          <t>largecap</t>
        </is>
      </c>
      <c r="F47" s="31" t="n">
        <v>31960.01</v>
      </c>
      <c r="G47" s="31" t="n">
        <v>295.66</v>
      </c>
      <c r="H47" s="31" t="n">
        <v>2.5</v>
      </c>
      <c r="I47" s="31" t="n">
        <v>4360173</v>
      </c>
      <c r="J47" s="31" t="inlineStr">
        <is>
          <t>544407</t>
        </is>
      </c>
    </row>
    <row r="48">
      <c r="A48" s="31" t="inlineStr">
        <is>
          <t>BHAGERIA</t>
        </is>
      </c>
      <c r="B48" s="31" t="inlineStr">
        <is>
          <t>Bhageria Industries Limited</t>
        </is>
      </c>
      <c r="C48" s="31" t="inlineStr">
        <is>
          <t>chemicals</t>
        </is>
      </c>
      <c r="D48" s="31" t="inlineStr">
        <is>
          <t>dyes and pigments</t>
        </is>
      </c>
      <c r="E48" s="31" t="inlineStr">
        <is>
          <t>smallcap</t>
        </is>
      </c>
      <c r="F48" s="31" t="n">
        <v>928.62</v>
      </c>
      <c r="G48" s="31" t="n">
        <v>217.9</v>
      </c>
      <c r="H48" s="31" t="n">
        <v>2.41</v>
      </c>
      <c r="I48" s="31" t="n">
        <v>52553</v>
      </c>
      <c r="J48" s="31" t="inlineStr">
        <is>
          <t>530803</t>
        </is>
      </c>
    </row>
    <row r="49">
      <c r="A49" s="31" t="inlineStr">
        <is>
          <t>SKYGOLD</t>
        </is>
      </c>
      <c r="B49" s="31" t="inlineStr">
        <is>
          <t>Sky Gold Ltd</t>
        </is>
      </c>
      <c r="C49" s="31" t="inlineStr">
        <is>
          <t>consumer discretionary</t>
        </is>
      </c>
      <c r="D49" s="31" t="inlineStr">
        <is>
          <t>diamond cutting / jewellery</t>
        </is>
      </c>
      <c r="E49" s="31" t="inlineStr">
        <is>
          <t>midcap</t>
        </is>
      </c>
      <c r="F49" s="31" t="n">
        <v>10156.63</v>
      </c>
      <c r="G49" s="31" t="n">
        <v>671.25</v>
      </c>
      <c r="H49" s="31" t="n">
        <v>2.36</v>
      </c>
      <c r="I49" s="31" t="n">
        <v>1416347</v>
      </c>
      <c r="J49" s="31" t="inlineStr">
        <is>
          <t>541967</t>
        </is>
      </c>
    </row>
    <row r="50">
      <c r="A50" s="31" t="inlineStr">
        <is>
          <t>YASHO</t>
        </is>
      </c>
      <c r="B50" s="31" t="inlineStr">
        <is>
          <t>Yasho Industries Ltd</t>
        </is>
      </c>
      <c r="C50" s="31" t="inlineStr">
        <is>
          <t>chemicals</t>
        </is>
      </c>
      <c r="D50" s="31" t="inlineStr">
        <is>
          <t>chemicals</t>
        </is>
      </c>
      <c r="E50" s="31" t="inlineStr">
        <is>
          <t>smallcap</t>
        </is>
      </c>
      <c r="F50" s="31" t="n">
        <v>3793.55</v>
      </c>
      <c r="G50" s="31" t="n">
        <v>3220</v>
      </c>
      <c r="H50" s="31" t="n">
        <v>2.3</v>
      </c>
      <c r="I50" s="31" t="n">
        <v>21841</v>
      </c>
      <c r="J50" s="31" t="inlineStr">
        <is>
          <t>541167</t>
        </is>
      </c>
    </row>
    <row r="51">
      <c r="A51" s="31" t="inlineStr">
        <is>
          <t>IBULLSLTD</t>
        </is>
      </c>
      <c r="B51" s="31" t="inlineStr">
        <is>
          <t>Indiabulls Limited</t>
        </is>
      </c>
      <c r="C51" s="31" t="inlineStr">
        <is>
          <t>miscellaneous</t>
        </is>
      </c>
      <c r="D51" s="31" t="inlineStr">
        <is>
          <t>diversified - medium / small</t>
        </is>
      </c>
      <c r="E51" s="31" t="inlineStr">
        <is>
          <t>midcap</t>
        </is>
      </c>
      <c r="F51" s="31" t="n">
        <v>6746.36</v>
      </c>
      <c r="G51" s="31" t="n">
        <v>29.59</v>
      </c>
      <c r="H51" s="31" t="n">
        <v>2.18</v>
      </c>
      <c r="I51" s="31" t="n">
        <v>8943979</v>
      </c>
      <c r="J51" s="31" t="inlineStr">
        <is>
          <t>533520</t>
        </is>
      </c>
    </row>
    <row r="52">
      <c r="A52" s="31" t="inlineStr">
        <is>
          <t>POONAWALLA</t>
        </is>
      </c>
      <c r="B52" s="31" t="inlineStr">
        <is>
          <t>Poonawalla Fincorp Ltd</t>
        </is>
      </c>
      <c r="C52" s="31" t="inlineStr">
        <is>
          <t>financials</t>
        </is>
      </c>
      <c r="D52" s="31" t="inlineStr">
        <is>
          <t>finance &amp; investments</t>
        </is>
      </c>
      <c r="E52" s="31" t="inlineStr">
        <is>
          <t>largecap</t>
        </is>
      </c>
      <c r="F52" s="31" t="n">
        <v>40784.7</v>
      </c>
      <c r="G52" s="31" t="n">
        <v>473</v>
      </c>
      <c r="H52" s="31" t="n">
        <v>2.12</v>
      </c>
      <c r="I52" s="31" t="n">
        <v>1437205</v>
      </c>
      <c r="J52" s="31" t="inlineStr">
        <is>
          <t>524000</t>
        </is>
      </c>
    </row>
    <row r="53">
      <c r="A53" s="31" t="inlineStr">
        <is>
          <t>GREENPLY</t>
        </is>
      </c>
      <c r="B53" s="31" t="inlineStr">
        <is>
          <t>Greenply Industries Limited</t>
        </is>
      </c>
      <c r="C53" s="31" t="inlineStr">
        <is>
          <t>building materials</t>
        </is>
      </c>
      <c r="D53" s="31" t="inlineStr">
        <is>
          <t>miscellaneous</t>
        </is>
      </c>
      <c r="E53" s="31" t="inlineStr">
        <is>
          <t>smallcap</t>
        </is>
      </c>
      <c r="F53" s="31" t="n">
        <v>4036.83</v>
      </c>
      <c r="G53" s="31" t="n">
        <v>329.65</v>
      </c>
      <c r="H53" s="31" t="n">
        <v>2</v>
      </c>
      <c r="I53" s="31" t="n">
        <v>300754</v>
      </c>
      <c r="J53" s="31" t="inlineStr">
        <is>
          <t>526797</t>
        </is>
      </c>
    </row>
    <row r="54">
      <c r="A54" s="31" t="inlineStr">
        <is>
          <t>ENTERO</t>
        </is>
      </c>
      <c r="B54" s="31" t="inlineStr">
        <is>
          <t>Entero Healthcare Solutions Ltd</t>
        </is>
      </c>
      <c r="C54" s="31" t="inlineStr">
        <is>
          <t>healthcare</t>
        </is>
      </c>
      <c r="D54" s="31" t="inlineStr">
        <is>
          <t>trading</t>
        </is>
      </c>
      <c r="E54" s="31" t="inlineStr">
        <is>
          <t>midcap</t>
        </is>
      </c>
      <c r="F54" s="31" t="n">
        <v>5297.89</v>
      </c>
      <c r="G54" s="31" t="n">
        <v>1241</v>
      </c>
      <c r="H54" s="31" t="n">
        <v>1.92</v>
      </c>
      <c r="I54" s="31" t="n">
        <v>104859</v>
      </c>
      <c r="J54" s="31" t="inlineStr">
        <is>
          <t>544122</t>
        </is>
      </c>
    </row>
    <row r="55">
      <c r="A55" s="31" t="inlineStr">
        <is>
          <t>IRISDOREME</t>
        </is>
      </c>
      <c r="B55" s="31" t="inlineStr">
        <is>
          <t>Iris Clothings Ltd</t>
        </is>
      </c>
      <c r="C55" s="31" t="inlineStr">
        <is>
          <t>consumer discretionary</t>
        </is>
      </c>
      <c r="D55" s="31" t="inlineStr">
        <is>
          <t>textiles - products</t>
        </is>
      </c>
      <c r="E55" s="31" t="inlineStr">
        <is>
          <t>smallcap</t>
        </is>
      </c>
      <c r="F55" s="31" t="n">
        <v>876.1</v>
      </c>
      <c r="G55" s="31" t="n">
        <v>46.89</v>
      </c>
      <c r="H55" s="31" t="n">
        <v>1.87</v>
      </c>
      <c r="I55" s="31" t="n">
        <v>184335</v>
      </c>
      <c r="J55" s="31" t="inlineStr">
        <is>
          <t>535123</t>
        </is>
      </c>
    </row>
    <row r="56">
      <c r="A56" s="31" t="inlineStr">
        <is>
          <t>SPECIALITY</t>
        </is>
      </c>
      <c r="B56" s="31" t="inlineStr">
        <is>
          <t>Speciality Restaurants Limited</t>
        </is>
      </c>
      <c r="C56" s="31" t="inlineStr">
        <is>
          <t>services</t>
        </is>
      </c>
      <c r="D56" s="31" t="inlineStr">
        <is>
          <t>hotels</t>
        </is>
      </c>
      <c r="E56" s="31" t="inlineStr">
        <is>
          <t>smallcap</t>
        </is>
      </c>
      <c r="F56" s="31" t="n">
        <v>634.6799999999999</v>
      </c>
      <c r="G56" s="31" t="n">
        <v>134</v>
      </c>
      <c r="H56" s="31" t="n">
        <v>1.84</v>
      </c>
      <c r="I56" s="31" t="n">
        <v>22724</v>
      </c>
      <c r="J56" s="31" t="inlineStr">
        <is>
          <t>534425</t>
        </is>
      </c>
    </row>
    <row r="57">
      <c r="A57" s="31" t="inlineStr">
        <is>
          <t>3MINDIA</t>
        </is>
      </c>
      <c r="B57" s="31" t="inlineStr">
        <is>
          <t>3m India Limited</t>
        </is>
      </c>
      <c r="C57" s="31" t="inlineStr">
        <is>
          <t>miscellaneous</t>
        </is>
      </c>
      <c r="D57" s="31" t="inlineStr">
        <is>
          <t>diversified - large</t>
        </is>
      </c>
      <c r="E57" s="31" t="inlineStr">
        <is>
          <t>largecap</t>
        </is>
      </c>
      <c r="F57" s="31" t="n">
        <v>39619.25</v>
      </c>
      <c r="G57" s="31" t="n">
        <v>35800</v>
      </c>
      <c r="H57" s="31" t="n">
        <v>1.79</v>
      </c>
      <c r="I57" s="31" t="n">
        <v>5695</v>
      </c>
      <c r="J57" s="31" t="inlineStr">
        <is>
          <t>523395</t>
        </is>
      </c>
    </row>
    <row r="58">
      <c r="A58" s="31" t="inlineStr">
        <is>
          <t>TBZ</t>
        </is>
      </c>
      <c r="B58" s="31" t="inlineStr">
        <is>
          <t>Tribhovandas Bhimji Zaveri Limited</t>
        </is>
      </c>
      <c r="C58" s="31" t="inlineStr">
        <is>
          <t>consumer discretionary</t>
        </is>
      </c>
      <c r="D58" s="31" t="inlineStr">
        <is>
          <t>diamond cutting / jewellery</t>
        </is>
      </c>
      <c r="E58" s="31" t="inlineStr">
        <is>
          <t>smallcap</t>
        </is>
      </c>
      <c r="F58" s="31" t="n">
        <v>1733.19</v>
      </c>
      <c r="G58" s="31" t="n">
        <v>264.37</v>
      </c>
      <c r="H58" s="31" t="n">
        <v>1.79</v>
      </c>
      <c r="I58" s="31" t="n">
        <v>2154747</v>
      </c>
      <c r="J58" s="31" t="inlineStr">
        <is>
          <t>534369</t>
        </is>
      </c>
    </row>
    <row r="59">
      <c r="A59" s="31" t="inlineStr">
        <is>
          <t>KANORICHEM</t>
        </is>
      </c>
      <c r="B59" s="31" t="inlineStr">
        <is>
          <t>Kanoria Chemicals &amp; Industries Limited</t>
        </is>
      </c>
      <c r="C59" s="31" t="inlineStr">
        <is>
          <t>chemicals</t>
        </is>
      </c>
      <c r="D59" s="31" t="inlineStr">
        <is>
          <t>chemicals</t>
        </is>
      </c>
      <c r="E59" s="31" t="inlineStr">
        <is>
          <t>smallcap</t>
        </is>
      </c>
      <c r="F59" s="31" t="n">
        <v>665.0599999999999</v>
      </c>
      <c r="G59" s="31" t="n">
        <v>154.9</v>
      </c>
      <c r="H59" s="31" t="n">
        <v>1.77</v>
      </c>
      <c r="I59" s="31" t="n">
        <v>33156</v>
      </c>
      <c r="J59" s="31" t="inlineStr">
        <is>
          <t>506525</t>
        </is>
      </c>
    </row>
    <row r="60">
      <c r="A60" s="31" t="inlineStr">
        <is>
          <t>THELEELA</t>
        </is>
      </c>
      <c r="B60" s="31" t="inlineStr">
        <is>
          <t>Leela Palaces Hotels &amp; Resorts Ltd</t>
        </is>
      </c>
      <c r="C60" s="31" t="inlineStr">
        <is>
          <t>services</t>
        </is>
      </c>
      <c r="D60" s="31" t="inlineStr">
        <is>
          <t>hotels</t>
        </is>
      </c>
      <c r="E60" s="31" t="inlineStr">
        <is>
          <t>midcap</t>
        </is>
      </c>
      <c r="F60" s="31" t="n">
        <v>16285.46</v>
      </c>
      <c r="G60" s="31" t="n">
        <v>496</v>
      </c>
      <c r="H60" s="31" t="n">
        <v>1.71</v>
      </c>
      <c r="I60" s="31" t="n">
        <v>411094</v>
      </c>
      <c r="J60" s="31" t="inlineStr">
        <is>
          <t>544408</t>
        </is>
      </c>
    </row>
    <row r="61">
      <c r="A61" s="31" t="inlineStr">
        <is>
          <t>BOSCHLTD</t>
        </is>
      </c>
      <c r="B61" s="31" t="inlineStr">
        <is>
          <t>Bosch Limited</t>
        </is>
      </c>
      <c r="C61" s="31" t="inlineStr">
        <is>
          <t>auto</t>
        </is>
      </c>
      <c r="D61" s="31" t="inlineStr">
        <is>
          <t>auto ancillaries</t>
        </is>
      </c>
      <c r="E61" s="31" t="inlineStr">
        <is>
          <t>largecap</t>
        </is>
      </c>
      <c r="F61" s="31" t="n">
        <v>120550.56</v>
      </c>
      <c r="G61" s="31" t="n">
        <v>41560</v>
      </c>
      <c r="H61" s="31" t="n">
        <v>1.69</v>
      </c>
      <c r="I61" s="31" t="n">
        <v>15755</v>
      </c>
      <c r="J61" s="31" t="inlineStr">
        <is>
          <t>500530</t>
        </is>
      </c>
    </row>
    <row r="62">
      <c r="A62" s="31" t="inlineStr">
        <is>
          <t>SMCGLOBAL</t>
        </is>
      </c>
      <c r="B62" s="31" t="inlineStr">
        <is>
          <t>SMC Global Securities Ltd</t>
        </is>
      </c>
      <c r="C62" s="31" t="inlineStr">
        <is>
          <t>financials</t>
        </is>
      </c>
      <c r="D62" s="31" t="inlineStr">
        <is>
          <t>finance &amp; investments</t>
        </is>
      </c>
      <c r="E62" s="31" t="inlineStr">
        <is>
          <t>smallcap</t>
        </is>
      </c>
      <c r="F62" s="31" t="n">
        <v>1655.94</v>
      </c>
      <c r="G62" s="31" t="n">
        <v>80.29000000000001</v>
      </c>
      <c r="H62" s="31" t="n">
        <v>1.53</v>
      </c>
      <c r="I62" s="31" t="n">
        <v>475289</v>
      </c>
      <c r="J62" s="31" t="inlineStr">
        <is>
          <t>543263</t>
        </is>
      </c>
    </row>
    <row r="63">
      <c r="A63" s="31" t="inlineStr">
        <is>
          <t>SOUTHBANK</t>
        </is>
      </c>
      <c r="B63" s="31" t="inlineStr">
        <is>
          <t>The South Indian Bank Limited</t>
        </is>
      </c>
      <c r="C63" s="31" t="inlineStr">
        <is>
          <t>bank</t>
        </is>
      </c>
      <c r="D63" s="31" t="inlineStr">
        <is>
          <t>banks - private sector</t>
        </is>
      </c>
      <c r="E63" s="31" t="inlineStr">
        <is>
          <t>midcap</t>
        </is>
      </c>
      <c r="F63" s="31" t="n">
        <v>12378.22</v>
      </c>
      <c r="G63" s="31" t="n">
        <v>48</v>
      </c>
      <c r="H63" s="31" t="n">
        <v>1.52</v>
      </c>
      <c r="I63" s="31" t="n">
        <v>24456012</v>
      </c>
      <c r="J63" s="31" t="inlineStr">
        <is>
          <t>532218</t>
        </is>
      </c>
    </row>
    <row r="64">
      <c r="A64" s="31" t="inlineStr">
        <is>
          <t>ARROWGREEN</t>
        </is>
      </c>
      <c r="B64" s="31" t="inlineStr">
        <is>
          <t>Arrow Greentech Limited</t>
        </is>
      </c>
      <c r="C64" s="31" t="inlineStr">
        <is>
          <t>plastic products</t>
        </is>
      </c>
      <c r="D64" s="31" t="inlineStr">
        <is>
          <t>plastics products</t>
        </is>
      </c>
      <c r="E64" s="31" t="inlineStr">
        <is>
          <t>smallcap</t>
        </is>
      </c>
      <c r="F64" s="31" t="n">
        <v>1057.14</v>
      </c>
      <c r="G64" s="31" t="n">
        <v>711</v>
      </c>
      <c r="H64" s="31" t="n">
        <v>1.48</v>
      </c>
      <c r="I64" s="31" t="n">
        <v>16165</v>
      </c>
      <c r="J64" s="31" t="inlineStr">
        <is>
          <t>516064</t>
        </is>
      </c>
    </row>
    <row r="65">
      <c r="A65" s="31" t="inlineStr">
        <is>
          <t>ANTELOPUS</t>
        </is>
      </c>
      <c r="B65" s="31" t="inlineStr">
        <is>
          <t>Antelopus Selan Energy Ltd</t>
        </is>
      </c>
      <c r="C65" s="31" t="inlineStr">
        <is>
          <t>energy</t>
        </is>
      </c>
      <c r="D65" s="31" t="inlineStr">
        <is>
          <t>oil drilling / allied services</t>
        </is>
      </c>
      <c r="E65" s="31" t="inlineStr">
        <is>
          <t>smallcap</t>
        </is>
      </c>
      <c r="F65" s="31" t="n">
        <v>3053.68</v>
      </c>
      <c r="G65" s="31" t="n">
        <v>881.2</v>
      </c>
      <c r="H65" s="31" t="n">
        <v>1.47</v>
      </c>
      <c r="I65" s="31" t="n">
        <v>180012</v>
      </c>
      <c r="J65" s="31" t="inlineStr">
        <is>
          <t>530075</t>
        </is>
      </c>
    </row>
    <row r="66">
      <c r="A66" s="31" t="inlineStr">
        <is>
          <t>HCG</t>
        </is>
      </c>
      <c r="B66" s="31" t="inlineStr">
        <is>
          <t>Healthcare Global Enterprises Limited</t>
        </is>
      </c>
      <c r="C66" s="31" t="inlineStr">
        <is>
          <t>healthcare</t>
        </is>
      </c>
      <c r="D66" s="31" t="inlineStr">
        <is>
          <t>healthcare</t>
        </is>
      </c>
      <c r="E66" s="31" t="inlineStr">
        <is>
          <t>midcap</t>
        </is>
      </c>
      <c r="F66" s="31" t="n">
        <v>9872.610000000001</v>
      </c>
      <c r="G66" s="31" t="n">
        <v>670.95</v>
      </c>
      <c r="H66" s="31" t="n">
        <v>1.47</v>
      </c>
      <c r="I66" s="31" t="n">
        <v>111257</v>
      </c>
      <c r="J66" s="31" t="inlineStr">
        <is>
          <t>539787</t>
        </is>
      </c>
    </row>
    <row r="67">
      <c r="A67" s="31" t="inlineStr">
        <is>
          <t>GNA</t>
        </is>
      </c>
      <c r="B67" s="31" t="inlineStr">
        <is>
          <t>Gna Axles Limited</t>
        </is>
      </c>
      <c r="C67" s="31" t="inlineStr">
        <is>
          <t>auto</t>
        </is>
      </c>
      <c r="D67" s="31" t="inlineStr">
        <is>
          <t>auto ancillaries</t>
        </is>
      </c>
      <c r="E67" s="31" t="inlineStr">
        <is>
          <t>smallcap</t>
        </is>
      </c>
      <c r="F67" s="31" t="n">
        <v>2188.61</v>
      </c>
      <c r="G67" s="31" t="n">
        <v>517.25</v>
      </c>
      <c r="H67" s="31" t="n">
        <v>1.46</v>
      </c>
      <c r="I67" s="31" t="n">
        <v>753012</v>
      </c>
      <c r="J67" s="31" t="inlineStr">
        <is>
          <t>540124</t>
        </is>
      </c>
    </row>
    <row r="68">
      <c r="A68" s="31" t="inlineStr">
        <is>
          <t>RADICO</t>
        </is>
      </c>
      <c r="B68" s="31" t="inlineStr">
        <is>
          <t>Radico Khaitan Limited</t>
        </is>
      </c>
      <c r="C68" s="31" t="inlineStr">
        <is>
          <t>fmcg</t>
        </is>
      </c>
      <c r="D68" s="31" t="inlineStr">
        <is>
          <t>breweries &amp; distilleries</t>
        </is>
      </c>
      <c r="E68" s="31" t="inlineStr">
        <is>
          <t>largecap</t>
        </is>
      </c>
      <c r="F68" s="31" t="n">
        <v>54756.49</v>
      </c>
      <c r="G68" s="31" t="n">
        <v>4147.5</v>
      </c>
      <c r="H68" s="31" t="n">
        <v>1.45</v>
      </c>
      <c r="I68" s="31" t="n">
        <v>252712</v>
      </c>
      <c r="J68" s="31" t="inlineStr">
        <is>
          <t>532497</t>
        </is>
      </c>
    </row>
    <row r="69">
      <c r="A69" s="31" t="inlineStr">
        <is>
          <t>PAISALO</t>
        </is>
      </c>
      <c r="B69" s="31" t="inlineStr">
        <is>
          <t>Paisalo Digital Ltd</t>
        </is>
      </c>
      <c r="C69" s="31" t="inlineStr">
        <is>
          <t>financials</t>
        </is>
      </c>
      <c r="D69" s="31" t="inlineStr">
        <is>
          <t>finance &amp; investments</t>
        </is>
      </c>
      <c r="E69" s="31" t="inlineStr">
        <is>
          <t>midcap</t>
        </is>
      </c>
      <c r="F69" s="31" t="n">
        <v>6564.93</v>
      </c>
      <c r="G69" s="31" t="n">
        <v>73.23</v>
      </c>
      <c r="H69" s="31" t="n">
        <v>1.45</v>
      </c>
      <c r="I69" s="31" t="n">
        <v>10991378</v>
      </c>
      <c r="J69" s="31" t="inlineStr">
        <is>
          <t>532900</t>
        </is>
      </c>
    </row>
    <row r="70">
      <c r="A70" s="31" t="inlineStr">
        <is>
          <t>SHAILY</t>
        </is>
      </c>
      <c r="B70" s="31" t="inlineStr">
        <is>
          <t>Shaily Engineering Plastics Ltd</t>
        </is>
      </c>
      <c r="C70" s="31" t="inlineStr">
        <is>
          <t>plastic products</t>
        </is>
      </c>
      <c r="D70" s="31" t="inlineStr">
        <is>
          <t>plastics products</t>
        </is>
      </c>
      <c r="E70" s="31" t="inlineStr">
        <is>
          <t>midcap</t>
        </is>
      </c>
      <c r="F70" s="31" t="n">
        <v>13075.14</v>
      </c>
      <c r="G70" s="31" t="n">
        <v>2884.5</v>
      </c>
      <c r="H70" s="31" t="n">
        <v>1.38</v>
      </c>
      <c r="I70" s="31" t="n">
        <v>119285</v>
      </c>
      <c r="J70" s="31" t="inlineStr">
        <is>
          <t>501423</t>
        </is>
      </c>
    </row>
    <row r="71">
      <c r="A71" s="31" t="inlineStr">
        <is>
          <t>GANESHHOU</t>
        </is>
      </c>
      <c r="B71" s="31" t="inlineStr">
        <is>
          <t>Ganesh Housing Ltd</t>
        </is>
      </c>
      <c r="C71" s="31" t="inlineStr">
        <is>
          <t>realty</t>
        </is>
      </c>
      <c r="D71" s="31" t="inlineStr">
        <is>
          <t>construction</t>
        </is>
      </c>
      <c r="E71" s="31" t="inlineStr">
        <is>
          <t>midcap</t>
        </is>
      </c>
      <c r="F71" s="31" t="n">
        <v>6745.18</v>
      </c>
      <c r="G71" s="31" t="n">
        <v>820</v>
      </c>
      <c r="H71" s="31" t="n">
        <v>1.37</v>
      </c>
      <c r="I71" s="31" t="n">
        <v>80507</v>
      </c>
      <c r="J71" s="31" t="inlineStr">
        <is>
          <t>526367</t>
        </is>
      </c>
    </row>
    <row r="72">
      <c r="A72" s="31" t="inlineStr">
        <is>
          <t>OIL</t>
        </is>
      </c>
      <c r="B72" s="31" t="inlineStr">
        <is>
          <t>Oil India Limited</t>
        </is>
      </c>
      <c r="C72" s="31" t="inlineStr">
        <is>
          <t>energy</t>
        </is>
      </c>
      <c r="D72" s="31" t="inlineStr">
        <is>
          <t>oil drilling / allied services</t>
        </is>
      </c>
      <c r="E72" s="31" t="inlineStr">
        <is>
          <t>largecap</t>
        </is>
      </c>
      <c r="F72" s="31" t="n">
        <v>72408.45</v>
      </c>
      <c r="G72" s="31" t="n">
        <v>451.15</v>
      </c>
      <c r="H72" s="31" t="n">
        <v>1.35</v>
      </c>
      <c r="I72" s="31" t="n">
        <v>2534069</v>
      </c>
      <c r="J72" s="31" t="inlineStr">
        <is>
          <t>533106</t>
        </is>
      </c>
    </row>
    <row r="73">
      <c r="A73" s="31" t="inlineStr">
        <is>
          <t>MAHLIFE</t>
        </is>
      </c>
      <c r="B73" s="31" t="inlineStr">
        <is>
          <t>Mahindra Lifespace Developers Limited</t>
        </is>
      </c>
      <c r="C73" s="31" t="inlineStr">
        <is>
          <t>realty</t>
        </is>
      </c>
      <c r="D73" s="31" t="inlineStr">
        <is>
          <t>construction</t>
        </is>
      </c>
      <c r="E73" s="31" t="inlineStr">
        <is>
          <t>midcap</t>
        </is>
      </c>
      <c r="F73" s="31" t="n">
        <v>7876.61</v>
      </c>
      <c r="G73" s="31" t="n">
        <v>374.1</v>
      </c>
      <c r="H73" s="31" t="n">
        <v>1.33</v>
      </c>
      <c r="I73" s="31" t="n">
        <v>168313</v>
      </c>
      <c r="J73" s="31" t="inlineStr">
        <is>
          <t>532313</t>
        </is>
      </c>
    </row>
    <row r="74">
      <c r="A74" s="31" t="inlineStr">
        <is>
          <t>HONASA</t>
        </is>
      </c>
      <c r="B74" s="31" t="inlineStr">
        <is>
          <t>Honasa Consumer Ltd</t>
        </is>
      </c>
      <c r="C74" s="31" t="inlineStr">
        <is>
          <t>services</t>
        </is>
      </c>
      <c r="D74" s="31" t="inlineStr">
        <is>
          <t>trading</t>
        </is>
      </c>
      <c r="E74" s="31" t="inlineStr">
        <is>
          <t>midcap</t>
        </is>
      </c>
      <c r="F74" s="31" t="n">
        <v>14706.95</v>
      </c>
      <c r="G74" s="31" t="n">
        <v>457</v>
      </c>
      <c r="H74" s="31" t="n">
        <v>1.31</v>
      </c>
      <c r="I74" s="31" t="n">
        <v>667197</v>
      </c>
      <c r="J74" s="31" t="inlineStr">
        <is>
          <t>544014</t>
        </is>
      </c>
    </row>
    <row r="75">
      <c r="A75" s="31" t="inlineStr">
        <is>
          <t>RUBYMILLS</t>
        </is>
      </c>
      <c r="B75" s="31" t="inlineStr">
        <is>
          <t>The Ruby Mills Limited</t>
        </is>
      </c>
      <c r="C75" s="31" t="inlineStr">
        <is>
          <t>textiles</t>
        </is>
      </c>
      <c r="D75" s="31" t="inlineStr">
        <is>
          <t>textiles - composite</t>
        </is>
      </c>
      <c r="E75" s="31" t="inlineStr">
        <is>
          <t>smallcap</t>
        </is>
      </c>
      <c r="F75" s="31" t="n">
        <v>1377.23</v>
      </c>
      <c r="G75" s="31" t="n">
        <v>417.2</v>
      </c>
      <c r="H75" s="31" t="n">
        <v>1.3</v>
      </c>
      <c r="I75" s="31" t="n">
        <v>39230</v>
      </c>
      <c r="J75" s="31" t="inlineStr">
        <is>
          <t>503169</t>
        </is>
      </c>
    </row>
    <row r="76">
      <c r="A76" s="31" t="inlineStr">
        <is>
          <t>SUYOG</t>
        </is>
      </c>
      <c r="B76" s="31" t="inlineStr">
        <is>
          <t>Suyog Telematics Ltd</t>
        </is>
      </c>
      <c r="C76" s="31" t="inlineStr">
        <is>
          <t>telecom</t>
        </is>
      </c>
      <c r="D76" s="31" t="inlineStr">
        <is>
          <t>transmisson line towers / equipment</t>
        </is>
      </c>
      <c r="E76" s="31" t="inlineStr">
        <is>
          <t>smallcap</t>
        </is>
      </c>
      <c r="F76" s="31" t="n">
        <v>985.8200000000001</v>
      </c>
      <c r="G76" s="31" t="n">
        <v>851.9</v>
      </c>
      <c r="H76" s="31" t="n">
        <v>1.25</v>
      </c>
      <c r="I76" s="31" t="n">
        <v>14281</v>
      </c>
      <c r="J76" s="31" t="inlineStr">
        <is>
          <t>537259</t>
        </is>
      </c>
    </row>
    <row r="77">
      <c r="A77" s="31" t="inlineStr">
        <is>
          <t>SPORTKING</t>
        </is>
      </c>
      <c r="B77" s="31" t="inlineStr">
        <is>
          <t>Sportking India Ltd</t>
        </is>
      </c>
      <c r="C77" s="31" t="inlineStr">
        <is>
          <t>textiles</t>
        </is>
      </c>
      <c r="D77" s="31" t="inlineStr">
        <is>
          <t>textiles - spinning - synthetic / blended</t>
        </is>
      </c>
      <c r="E77" s="31" t="inlineStr">
        <is>
          <t>smallcap</t>
        </is>
      </c>
      <c r="F77" s="31" t="n">
        <v>2521.87</v>
      </c>
      <c r="G77" s="31" t="n">
        <v>200.92</v>
      </c>
      <c r="H77" s="31" t="n">
        <v>1.24</v>
      </c>
      <c r="I77" s="31" t="n">
        <v>382014</v>
      </c>
      <c r="J77" s="31" t="inlineStr">
        <is>
          <t>539221</t>
        </is>
      </c>
    </row>
    <row r="78">
      <c r="A78" s="31" t="inlineStr">
        <is>
          <t>ANANTRAJ</t>
        </is>
      </c>
      <c r="B78" s="31" t="inlineStr">
        <is>
          <t>Anant Raj Limited</t>
        </is>
      </c>
      <c r="C78" s="31" t="inlineStr">
        <is>
          <t>realty</t>
        </is>
      </c>
      <c r="D78" s="31" t="inlineStr">
        <is>
          <t>construction</t>
        </is>
      </c>
      <c r="E78" s="31" t="inlineStr">
        <is>
          <t>largecap</t>
        </is>
      </c>
      <c r="F78" s="31" t="n">
        <v>21911.11</v>
      </c>
      <c r="G78" s="31" t="n">
        <v>616.35</v>
      </c>
      <c r="H78" s="31" t="n">
        <v>1.23</v>
      </c>
      <c r="I78" s="31" t="n">
        <v>7842392</v>
      </c>
      <c r="J78" s="31" t="inlineStr">
        <is>
          <t>515055</t>
        </is>
      </c>
    </row>
    <row r="79">
      <c r="A79" s="31" t="inlineStr">
        <is>
          <t>OPTIEMUS</t>
        </is>
      </c>
      <c r="B79" s="31" t="inlineStr">
        <is>
          <t>Optiemus Infracom Ltd</t>
        </is>
      </c>
      <c r="C79" s="31" t="inlineStr">
        <is>
          <t>telecom</t>
        </is>
      </c>
      <c r="D79" s="31" t="inlineStr">
        <is>
          <t>trading</t>
        </is>
      </c>
      <c r="E79" s="31" t="inlineStr">
        <is>
          <t>midcap</t>
        </is>
      </c>
      <c r="F79" s="31" t="n">
        <v>5368.78</v>
      </c>
      <c r="G79" s="31" t="n">
        <v>612.1</v>
      </c>
      <c r="H79" s="31" t="n">
        <v>1.12</v>
      </c>
      <c r="I79" s="31" t="n">
        <v>606196</v>
      </c>
      <c r="J79" s="31" t="inlineStr">
        <is>
          <t>530135</t>
        </is>
      </c>
    </row>
    <row r="80">
      <c r="A80" s="31" t="inlineStr">
        <is>
          <t>BALRAMCHIN</t>
        </is>
      </c>
      <c r="B80" s="31" t="inlineStr">
        <is>
          <t>Balrampur Chini Mills Limited</t>
        </is>
      </c>
      <c r="C80" s="31" t="inlineStr">
        <is>
          <t>fmcg</t>
        </is>
      </c>
      <c r="D80" s="31" t="inlineStr">
        <is>
          <t>sugar</t>
        </is>
      </c>
      <c r="E80" s="31" t="inlineStr">
        <is>
          <t>midcap</t>
        </is>
      </c>
      <c r="F80" s="31" t="n">
        <v>13053.14</v>
      </c>
      <c r="G80" s="31" t="n">
        <v>624.75</v>
      </c>
      <c r="H80" s="31" t="n">
        <v>1.12</v>
      </c>
      <c r="I80" s="31" t="n">
        <v>455682</v>
      </c>
      <c r="J80" s="31" t="inlineStr">
        <is>
          <t>500038</t>
        </is>
      </c>
    </row>
    <row r="81">
      <c r="A81" s="31" t="inlineStr">
        <is>
          <t>INDIACEM</t>
        </is>
      </c>
      <c r="B81" s="31" t="inlineStr">
        <is>
          <t>The India Cements Limited</t>
        </is>
      </c>
      <c r="C81" s="31" t="inlineStr">
        <is>
          <t>building materials</t>
        </is>
      </c>
      <c r="D81" s="31" t="inlineStr">
        <is>
          <t>cement - south india</t>
        </is>
      </c>
      <c r="E81" s="31" t="inlineStr">
        <is>
          <t>midcap</t>
        </is>
      </c>
      <c r="F81" s="31" t="n">
        <v>12557.03</v>
      </c>
      <c r="G81" s="31" t="n">
        <v>409.65</v>
      </c>
      <c r="H81" s="31" t="n">
        <v>1.1</v>
      </c>
      <c r="I81" s="31" t="n">
        <v>776701</v>
      </c>
      <c r="J81" s="31" t="inlineStr">
        <is>
          <t>530005</t>
        </is>
      </c>
    </row>
    <row r="82">
      <c r="A82" s="31" t="inlineStr">
        <is>
          <t>PIDILITIND</t>
        </is>
      </c>
      <c r="B82" s="31" t="inlineStr">
        <is>
          <t>Pidilite Industries Limited</t>
        </is>
      </c>
      <c r="C82" s="31" t="inlineStr">
        <is>
          <t>chemicals</t>
        </is>
      </c>
      <c r="D82" s="31" t="inlineStr">
        <is>
          <t>chemicals</t>
        </is>
      </c>
      <c r="E82" s="31" t="inlineStr">
        <is>
          <t>largecap</t>
        </is>
      </c>
      <c r="F82" s="31" t="n">
        <v>161957.15</v>
      </c>
      <c r="G82" s="31" t="n">
        <v>1608.6</v>
      </c>
      <c r="H82" s="31" t="n">
        <v>1.09</v>
      </c>
      <c r="I82" s="31" t="n">
        <v>1518928</v>
      </c>
      <c r="J82" s="31" t="inlineStr">
        <is>
          <t>500331</t>
        </is>
      </c>
    </row>
    <row r="83">
      <c r="A83" s="31" t="inlineStr">
        <is>
          <t>MARICO</t>
        </is>
      </c>
      <c r="B83" s="31" t="inlineStr">
        <is>
          <t>Marico Limited</t>
        </is>
      </c>
      <c r="C83" s="31" t="inlineStr">
        <is>
          <t>fmcg</t>
        </is>
      </c>
      <c r="D83" s="31" t="inlineStr">
        <is>
          <t>solvent extraction</t>
        </is>
      </c>
      <c r="E83" s="31" t="inlineStr">
        <is>
          <t>largecap</t>
        </is>
      </c>
      <c r="F83" s="31" t="n">
        <v>110823.77</v>
      </c>
      <c r="G83" s="31" t="n">
        <v>862.65</v>
      </c>
      <c r="H83" s="31" t="n">
        <v>1.07</v>
      </c>
      <c r="I83" s="31" t="n">
        <v>1248595</v>
      </c>
      <c r="J83" s="31" t="inlineStr">
        <is>
          <t>531642</t>
        </is>
      </c>
    </row>
    <row r="84">
      <c r="A84" s="31" t="inlineStr">
        <is>
          <t>EIFFL</t>
        </is>
      </c>
      <c r="B84" s="31" t="inlineStr">
        <is>
          <t>Euro India Fresh Foods Ltd</t>
        </is>
      </c>
      <c r="C84" s="31" t="inlineStr">
        <is>
          <t>fmcg</t>
        </is>
      </c>
      <c r="D84" s="31" t="inlineStr">
        <is>
          <t>food - processing - indian</t>
        </is>
      </c>
      <c r="E84" s="31" t="inlineStr">
        <is>
          <t>smallcap</t>
        </is>
      </c>
      <c r="F84" s="31" t="n">
        <v>809.84</v>
      </c>
      <c r="G84" s="31" t="n">
        <v>329.95</v>
      </c>
      <c r="H84" s="31" t="n">
        <v>1.04</v>
      </c>
      <c r="I84" s="31" t="n">
        <v>20211</v>
      </c>
      <c r="J84" s="31" t="inlineStr">
        <is>
          <t>538412</t>
        </is>
      </c>
    </row>
    <row r="85">
      <c r="A85" s="31" t="inlineStr">
        <is>
          <t>EXIDEIND</t>
        </is>
      </c>
      <c r="B85" s="31" t="inlineStr">
        <is>
          <t>Exide Industries Limited</t>
        </is>
      </c>
      <c r="C85" s="31" t="inlineStr">
        <is>
          <t>auto</t>
        </is>
      </c>
      <c r="D85" s="31" t="inlineStr">
        <is>
          <t>auto ancillaries</t>
        </is>
      </c>
      <c r="E85" s="31" t="inlineStr">
        <is>
          <t>largecap</t>
        </is>
      </c>
      <c r="F85" s="31" t="n">
        <v>37693.25</v>
      </c>
      <c r="G85" s="31" t="n">
        <v>447.85</v>
      </c>
      <c r="H85" s="31" t="n">
        <v>0.99</v>
      </c>
      <c r="I85" s="31" t="n">
        <v>4528772</v>
      </c>
      <c r="J85" s="31" t="inlineStr">
        <is>
          <t>500086</t>
        </is>
      </c>
    </row>
    <row r="86">
      <c r="A86" s="31" t="inlineStr">
        <is>
          <t>HINDOILEXP</t>
        </is>
      </c>
      <c r="B86" s="31" t="inlineStr">
        <is>
          <t>Hindustan Oil Exploration Company Limited</t>
        </is>
      </c>
      <c r="C86" s="31" t="inlineStr">
        <is>
          <t>energy</t>
        </is>
      </c>
      <c r="D86" s="31" t="inlineStr">
        <is>
          <t>oil drilling / allied services</t>
        </is>
      </c>
      <c r="E86" s="31" t="inlineStr">
        <is>
          <t>smallcap</t>
        </is>
      </c>
      <c r="F86" s="31" t="n">
        <v>2148.29</v>
      </c>
      <c r="G86" s="31" t="n">
        <v>164.06</v>
      </c>
      <c r="H86" s="31" t="n">
        <v>0.99</v>
      </c>
      <c r="I86" s="31" t="n">
        <v>460667</v>
      </c>
      <c r="J86" s="31" t="inlineStr">
        <is>
          <t>500186</t>
        </is>
      </c>
    </row>
    <row r="87">
      <c r="A87" s="31" t="inlineStr">
        <is>
          <t>IIFLCAPS</t>
        </is>
      </c>
      <c r="B87" s="31" t="inlineStr">
        <is>
          <t>IIFL Capital Services Ltd</t>
        </is>
      </c>
      <c r="C87" s="31" t="inlineStr">
        <is>
          <t>financials</t>
        </is>
      </c>
      <c r="D87" s="31" t="inlineStr">
        <is>
          <t>finance &amp; investments</t>
        </is>
      </c>
      <c r="E87" s="31" t="inlineStr">
        <is>
          <t>midcap</t>
        </is>
      </c>
      <c r="F87" s="31" t="n">
        <v>10582.55</v>
      </c>
      <c r="G87" s="31" t="n">
        <v>343.1</v>
      </c>
      <c r="H87" s="31" t="n">
        <v>0.97</v>
      </c>
      <c r="I87" s="31" t="n">
        <v>1118334</v>
      </c>
      <c r="J87" s="31" t="inlineStr">
        <is>
          <t>542773</t>
        </is>
      </c>
    </row>
    <row r="88">
      <c r="A88" s="31" t="inlineStr">
        <is>
          <t>UNITDSPR</t>
        </is>
      </c>
      <c r="B88" s="31" t="inlineStr">
        <is>
          <t>United Spirits Ltd</t>
        </is>
      </c>
      <c r="C88" s="31" t="inlineStr">
        <is>
          <t>fmcg</t>
        </is>
      </c>
      <c r="D88" s="31" t="inlineStr">
        <is>
          <t>breweries &amp; distilleries</t>
        </is>
      </c>
      <c r="E88" s="31" t="inlineStr">
        <is>
          <t>largecap</t>
        </is>
      </c>
      <c r="F88" s="31" t="n">
        <v>101159.96</v>
      </c>
      <c r="G88" s="31" t="n">
        <v>1404.2</v>
      </c>
      <c r="H88" s="31" t="n">
        <v>0.96</v>
      </c>
      <c r="I88" s="31" t="n">
        <v>666195</v>
      </c>
      <c r="J88" s="31" t="inlineStr">
        <is>
          <t>532432</t>
        </is>
      </c>
    </row>
    <row r="89">
      <c r="A89" s="31" t="inlineStr">
        <is>
          <t>AETHER</t>
        </is>
      </c>
      <c r="B89" s="31" t="inlineStr">
        <is>
          <t>Aether Industries Ltd</t>
        </is>
      </c>
      <c r="C89" s="31" t="inlineStr">
        <is>
          <t>chemicals</t>
        </is>
      </c>
      <c r="D89" s="31" t="inlineStr">
        <is>
          <t>chemicals</t>
        </is>
      </c>
      <c r="E89" s="31" t="inlineStr">
        <is>
          <t>midcap</t>
        </is>
      </c>
      <c r="F89" s="31" t="n">
        <v>19239.34</v>
      </c>
      <c r="G89" s="31" t="n">
        <v>1462.8</v>
      </c>
      <c r="H89" s="31" t="n">
        <v>0.9</v>
      </c>
      <c r="I89" s="31" t="n">
        <v>181795</v>
      </c>
      <c r="J89" s="31" t="inlineStr">
        <is>
          <t>543534</t>
        </is>
      </c>
    </row>
    <row r="90">
      <c r="A90" s="31" t="inlineStr">
        <is>
          <t>SILVERTUC</t>
        </is>
      </c>
      <c r="B90" s="31" t="inlineStr">
        <is>
          <t>Silver Touch Technologies Ltd</t>
        </is>
      </c>
      <c r="C90" s="31" t="inlineStr">
        <is>
          <t>i.t</t>
        </is>
      </c>
      <c r="D90" s="31" t="inlineStr">
        <is>
          <t>computers - software - medium / small</t>
        </is>
      </c>
      <c r="E90" s="31" t="inlineStr">
        <is>
          <t>smallcap</t>
        </is>
      </c>
      <c r="F90" s="31" t="n">
        <v>2462.78</v>
      </c>
      <c r="G90" s="31" t="n">
        <v>195.93</v>
      </c>
      <c r="H90" s="31" t="n">
        <v>0.89</v>
      </c>
      <c r="I90" s="31" t="n">
        <v>304264</v>
      </c>
      <c r="J90" s="31" t="inlineStr">
        <is>
          <t>535031</t>
        </is>
      </c>
    </row>
    <row r="91">
      <c r="A91" s="31" t="inlineStr">
        <is>
          <t>MANBA</t>
        </is>
      </c>
      <c r="B91" s="31" t="inlineStr">
        <is>
          <t>Manba Finance Ltd</t>
        </is>
      </c>
      <c r="C91" s="31" t="inlineStr">
        <is>
          <t>financials</t>
        </is>
      </c>
      <c r="D91" s="31" t="inlineStr">
        <is>
          <t>finance &amp; investments</t>
        </is>
      </c>
      <c r="E91" s="31" t="inlineStr">
        <is>
          <t>smallcap</t>
        </is>
      </c>
      <c r="F91" s="31" t="n">
        <v>702.5</v>
      </c>
      <c r="G91" s="31" t="n">
        <v>141</v>
      </c>
      <c r="H91" s="31" t="n">
        <v>0.84</v>
      </c>
      <c r="I91" s="31" t="n">
        <v>195805</v>
      </c>
      <c r="J91" s="31" t="inlineStr">
        <is>
          <t>544262</t>
        </is>
      </c>
    </row>
    <row r="92">
      <c r="A92" s="31" t="inlineStr">
        <is>
          <t>SJS</t>
        </is>
      </c>
      <c r="B92" s="31" t="inlineStr">
        <is>
          <t>S J S Enterprises Ltd</t>
        </is>
      </c>
      <c r="C92" s="31" t="inlineStr">
        <is>
          <t>auto</t>
        </is>
      </c>
      <c r="D92" s="31" t="inlineStr">
        <is>
          <t>plastics products</t>
        </is>
      </c>
      <c r="E92" s="31" t="inlineStr">
        <is>
          <t>midcap</t>
        </is>
      </c>
      <c r="F92" s="31" t="n">
        <v>7121.2</v>
      </c>
      <c r="G92" s="31" t="n">
        <v>2244.1</v>
      </c>
      <c r="H92" s="31" t="n">
        <v>0.83</v>
      </c>
      <c r="I92" s="31" t="n">
        <v>80609</v>
      </c>
      <c r="J92" s="31" t="inlineStr">
        <is>
          <t>543387</t>
        </is>
      </c>
    </row>
    <row r="93">
      <c r="A93" s="31" t="inlineStr">
        <is>
          <t>ARVINDFASN</t>
        </is>
      </c>
      <c r="B93" s="31" t="inlineStr">
        <is>
          <t>Arvind Fashions Ltd</t>
        </is>
      </c>
      <c r="C93" s="31" t="inlineStr">
        <is>
          <t>consumer discretionary</t>
        </is>
      </c>
      <c r="D93" s="31" t="inlineStr">
        <is>
          <t>trading</t>
        </is>
      </c>
      <c r="E93" s="31" t="inlineStr">
        <is>
          <t>midcap</t>
        </is>
      </c>
      <c r="F93" s="31" t="n">
        <v>6295.82</v>
      </c>
      <c r="G93" s="31" t="n">
        <v>474.95</v>
      </c>
      <c r="H93" s="31" t="n">
        <v>0.83</v>
      </c>
      <c r="I93" s="31" t="n">
        <v>991956</v>
      </c>
      <c r="J93" s="31" t="inlineStr">
        <is>
          <t>542484</t>
        </is>
      </c>
    </row>
    <row r="94">
      <c r="A94" s="31" t="inlineStr">
        <is>
          <t>SICALLOG</t>
        </is>
      </c>
      <c r="B94" s="31" t="inlineStr">
        <is>
          <t>Sical Logistics Ltd</t>
        </is>
      </c>
      <c r="C94" s="31" t="inlineStr">
        <is>
          <t>transportation</t>
        </is>
      </c>
      <c r="D94" s="31" t="inlineStr">
        <is>
          <t>miscellaneous</t>
        </is>
      </c>
      <c r="E94" s="31" t="inlineStr">
        <is>
          <t>smallcap</t>
        </is>
      </c>
      <c r="F94" s="31" t="n">
        <v>785.48</v>
      </c>
      <c r="G94" s="31" t="n">
        <v>99.26000000000001</v>
      </c>
      <c r="H94" s="31" t="n">
        <v>0.82</v>
      </c>
      <c r="I94" s="31" t="n">
        <v>247368</v>
      </c>
      <c r="J94" s="31" t="inlineStr">
        <is>
          <t>520086</t>
        </is>
      </c>
    </row>
    <row r="95">
      <c r="A95" s="31" t="inlineStr">
        <is>
          <t>MEDANTA</t>
        </is>
      </c>
      <c r="B95" s="31" t="inlineStr">
        <is>
          <t>Global Health Ltd</t>
        </is>
      </c>
      <c r="C95" s="31" t="inlineStr">
        <is>
          <t>healthcare</t>
        </is>
      </c>
      <c r="D95" s="31" t="inlineStr">
        <is>
          <t>healthcare</t>
        </is>
      </c>
      <c r="E95" s="31" t="inlineStr">
        <is>
          <t>largecap</t>
        </is>
      </c>
      <c r="F95" s="31" t="n">
        <v>36087.8</v>
      </c>
      <c r="G95" s="31" t="n">
        <v>1353.4</v>
      </c>
      <c r="H95" s="31" t="n">
        <v>0.8</v>
      </c>
      <c r="I95" s="31" t="n">
        <v>491307</v>
      </c>
      <c r="J95" s="31" t="inlineStr">
        <is>
          <t>543654</t>
        </is>
      </c>
    </row>
    <row r="96">
      <c r="A96" s="31" t="inlineStr">
        <is>
          <t>BUTTERFLY</t>
        </is>
      </c>
      <c r="B96" s="31" t="inlineStr">
        <is>
          <t>Butterfly Gandhimathi Appliances Limited</t>
        </is>
      </c>
      <c r="C96" s="31" t="inlineStr">
        <is>
          <t>consumer discretionary</t>
        </is>
      </c>
      <c r="D96" s="31" t="inlineStr">
        <is>
          <t>domestic appliances</t>
        </is>
      </c>
      <c r="E96" s="31" t="inlineStr">
        <is>
          <t>smallcap</t>
        </is>
      </c>
      <c r="F96" s="31" t="n">
        <v>1354.29</v>
      </c>
      <c r="G96" s="31" t="n">
        <v>763.4</v>
      </c>
      <c r="H96" s="31" t="n">
        <v>0.79</v>
      </c>
      <c r="I96" s="31" t="n">
        <v>22806</v>
      </c>
      <c r="J96" s="31" t="inlineStr">
        <is>
          <t>517421</t>
        </is>
      </c>
    </row>
    <row r="97">
      <c r="A97" s="31" t="inlineStr">
        <is>
          <t>DIVISLAB</t>
        </is>
      </c>
      <c r="B97" s="31" t="inlineStr">
        <is>
          <t>Divi's Laboratories Limited</t>
        </is>
      </c>
      <c r="C97" s="31" t="inlineStr">
        <is>
          <t>healthcare</t>
        </is>
      </c>
      <c r="D97" s="31" t="inlineStr">
        <is>
          <t>pharmaceuticals - indian - bulk drugs</t>
        </is>
      </c>
      <c r="E97" s="31" t="inlineStr">
        <is>
          <t>largecap</t>
        </is>
      </c>
      <c r="F97" s="31" t="n">
        <v>194588.47</v>
      </c>
      <c r="G97" s="31" t="n">
        <v>7386.5</v>
      </c>
      <c r="H97" s="31" t="n">
        <v>0.77</v>
      </c>
      <c r="I97" s="31" t="n">
        <v>371324</v>
      </c>
      <c r="J97" s="31" t="inlineStr">
        <is>
          <t>532488</t>
        </is>
      </c>
    </row>
    <row r="98">
      <c r="A98" s="31" t="inlineStr">
        <is>
          <t>MANGLMCEM</t>
        </is>
      </c>
      <c r="B98" s="31" t="inlineStr">
        <is>
          <t>Mangalam Cement Limited</t>
        </is>
      </c>
      <c r="C98" s="31" t="inlineStr">
        <is>
          <t>building materials</t>
        </is>
      </c>
      <c r="D98" s="31" t="inlineStr">
        <is>
          <t>cement - north india</t>
        </is>
      </c>
      <c r="E98" s="31" t="inlineStr">
        <is>
          <t>smallcap</t>
        </is>
      </c>
      <c r="F98" s="31" t="n">
        <v>2695.01</v>
      </c>
      <c r="G98" s="31" t="n">
        <v>987.5</v>
      </c>
      <c r="H98" s="31" t="n">
        <v>0.76</v>
      </c>
      <c r="I98" s="31" t="n">
        <v>77381</v>
      </c>
      <c r="J98" s="31" t="inlineStr">
        <is>
          <t>502157</t>
        </is>
      </c>
    </row>
    <row r="99">
      <c r="A99" s="31" t="inlineStr">
        <is>
          <t>BHEL</t>
        </is>
      </c>
      <c r="B99" s="31" t="inlineStr">
        <is>
          <t>Bharat Heavy Electricals Limited</t>
        </is>
      </c>
      <c r="C99" s="31" t="inlineStr">
        <is>
          <t>industrials</t>
        </is>
      </c>
      <c r="D99" s="31" t="inlineStr">
        <is>
          <t>electric equipment</t>
        </is>
      </c>
      <c r="E99" s="31" t="inlineStr">
        <is>
          <t>largecap</t>
        </is>
      </c>
      <c r="F99" s="31" t="n">
        <v>143913.68</v>
      </c>
      <c r="G99" s="31" t="n">
        <v>416.45</v>
      </c>
      <c r="H99" s="31" t="n">
        <v>0.76</v>
      </c>
      <c r="I99" s="31" t="n">
        <v>11714567</v>
      </c>
      <c r="J99" s="31" t="inlineStr">
        <is>
          <t>500103</t>
        </is>
      </c>
    </row>
    <row r="100">
      <c r="A100" s="31" t="inlineStr">
        <is>
          <t>NELCO</t>
        </is>
      </c>
      <c r="B100" s="31" t="inlineStr">
        <is>
          <t>Nelco Limited</t>
        </is>
      </c>
      <c r="C100" s="31" t="inlineStr">
        <is>
          <t>telecom</t>
        </is>
      </c>
      <c r="D100" s="31" t="inlineStr">
        <is>
          <t>telecommunications - service provider</t>
        </is>
      </c>
      <c r="E100" s="31" t="inlineStr">
        <is>
          <t>smallcap</t>
        </is>
      </c>
      <c r="F100" s="31" t="n">
        <v>2118.69</v>
      </c>
      <c r="G100" s="31" t="n">
        <v>934.95</v>
      </c>
      <c r="H100" s="31" t="n">
        <v>0.6899999999999999</v>
      </c>
      <c r="I100" s="31" t="n">
        <v>304249</v>
      </c>
      <c r="J100" s="31" t="inlineStr">
        <is>
          <t>504112</t>
        </is>
      </c>
    </row>
    <row r="101">
      <c r="A101" s="31" t="inlineStr">
        <is>
          <t>RBZJEWEL</t>
        </is>
      </c>
      <c r="B101" s="31" t="inlineStr">
        <is>
          <t>RBZ Jewellers Ltd</t>
        </is>
      </c>
      <c r="C101" s="31" t="inlineStr">
        <is>
          <t>consumer discretionary</t>
        </is>
      </c>
      <c r="D101" s="31" t="inlineStr">
        <is>
          <t>diamond cutting / jewellery</t>
        </is>
      </c>
      <c r="E101" s="31" t="inlineStr">
        <is>
          <t>smallcap</t>
        </is>
      </c>
      <c r="F101" s="31" t="n">
        <v>584.4400000000001</v>
      </c>
      <c r="G101" s="31" t="n">
        <v>147</v>
      </c>
      <c r="H101" s="31" t="n">
        <v>0.61</v>
      </c>
      <c r="I101" s="31" t="n">
        <v>96429</v>
      </c>
      <c r="J101" s="31" t="inlineStr">
        <is>
          <t>544060</t>
        </is>
      </c>
    </row>
    <row r="102">
      <c r="A102" s="31" t="inlineStr">
        <is>
          <t>FILATEX</t>
        </is>
      </c>
      <c r="B102" s="31" t="inlineStr">
        <is>
          <t>Filatex India Limited</t>
        </is>
      </c>
      <c r="C102" s="31" t="inlineStr">
        <is>
          <t>textiles</t>
        </is>
      </c>
      <c r="D102" s="31" t="inlineStr">
        <is>
          <t>textiles - manmade</t>
        </is>
      </c>
      <c r="E102" s="31" t="inlineStr">
        <is>
          <t>smallcap</t>
        </is>
      </c>
      <c r="F102" s="31" t="n">
        <v>3166.14</v>
      </c>
      <c r="G102" s="31" t="n">
        <v>71.73</v>
      </c>
      <c r="H102" s="31" t="n">
        <v>0.6</v>
      </c>
      <c r="I102" s="31" t="n">
        <v>3155942</v>
      </c>
      <c r="J102" s="31" t="inlineStr">
        <is>
          <t>526227</t>
        </is>
      </c>
    </row>
    <row r="103">
      <c r="A103" s="31" t="inlineStr">
        <is>
          <t>MMP</t>
        </is>
      </c>
      <c r="B103" s="31" t="inlineStr">
        <is>
          <t>MMP Industries Ltd</t>
        </is>
      </c>
      <c r="C103" s="31" t="inlineStr">
        <is>
          <t>metals &amp; mining</t>
        </is>
      </c>
      <c r="D103" s="31" t="inlineStr">
        <is>
          <t>aluminium and aluminium products</t>
        </is>
      </c>
      <c r="E103" s="31" t="inlineStr">
        <is>
          <t>smallcap</t>
        </is>
      </c>
      <c r="F103" s="31" t="n">
        <v>537.92</v>
      </c>
      <c r="G103" s="31" t="n">
        <v>286</v>
      </c>
      <c r="H103" s="31" t="n">
        <v>0.6</v>
      </c>
      <c r="I103" s="31" t="n">
        <v>53626</v>
      </c>
      <c r="J103" s="31" t="inlineStr">
        <is>
          <t>535071</t>
        </is>
      </c>
    </row>
    <row r="104">
      <c r="A104" s="31" t="inlineStr">
        <is>
          <t>STEELCAS</t>
        </is>
      </c>
      <c r="B104" s="31" t="inlineStr">
        <is>
          <t>Steelcast Ltd</t>
        </is>
      </c>
      <c r="C104" s="31" t="inlineStr">
        <is>
          <t>industrials</t>
        </is>
      </c>
      <c r="D104" s="31" t="inlineStr">
        <is>
          <t>castings &amp; forgings</t>
        </is>
      </c>
      <c r="E104" s="31" t="inlineStr">
        <is>
          <t>smallcap</t>
        </is>
      </c>
      <c r="F104" s="31" t="n">
        <v>3105.83</v>
      </c>
      <c r="G104" s="31" t="n">
        <v>308.7</v>
      </c>
      <c r="H104" s="31" t="n">
        <v>0.59</v>
      </c>
      <c r="I104" s="31" t="n">
        <v>36366</v>
      </c>
      <c r="J104" s="31" t="inlineStr">
        <is>
          <t>513517</t>
        </is>
      </c>
    </row>
    <row r="105">
      <c r="A105" s="31" t="inlineStr">
        <is>
          <t>NGLFINE</t>
        </is>
      </c>
      <c r="B105" s="31" t="inlineStr">
        <is>
          <t>NGL Fine Chem Ltd</t>
        </is>
      </c>
      <c r="C105" s="31" t="inlineStr">
        <is>
          <t>healthcare</t>
        </is>
      </c>
      <c r="D105" s="31" t="inlineStr">
        <is>
          <t>pharmaceuticals - indian - bulk drugs</t>
        </is>
      </c>
      <c r="E105" s="31" t="inlineStr">
        <is>
          <t>smallcap</t>
        </is>
      </c>
      <c r="F105" s="31" t="n">
        <v>2000.07</v>
      </c>
      <c r="G105" s="31" t="n">
        <v>3256.2</v>
      </c>
      <c r="H105" s="31" t="n">
        <v>0.58</v>
      </c>
      <c r="I105" s="31" t="n">
        <v>6920</v>
      </c>
      <c r="J105" s="31" t="inlineStr">
        <is>
          <t>524774</t>
        </is>
      </c>
    </row>
    <row r="106">
      <c r="A106" s="31" t="inlineStr">
        <is>
          <t>BALAMINES</t>
        </is>
      </c>
      <c r="B106" s="31" t="inlineStr">
        <is>
          <t>Balaji Amines Limited</t>
        </is>
      </c>
      <c r="C106" s="31" t="inlineStr">
        <is>
          <t>chemicals</t>
        </is>
      </c>
      <c r="D106" s="31" t="inlineStr">
        <is>
          <t>chemicals</t>
        </is>
      </c>
      <c r="E106" s="31" t="inlineStr">
        <is>
          <t>midcap</t>
        </is>
      </c>
      <c r="F106" s="31" t="n">
        <v>7667.7</v>
      </c>
      <c r="G106" s="31" t="n">
        <v>2380.3</v>
      </c>
      <c r="H106" s="31" t="n">
        <v>0.58</v>
      </c>
      <c r="I106" s="31" t="n">
        <v>213501</v>
      </c>
      <c r="J106" s="31" t="inlineStr">
        <is>
          <t>530999</t>
        </is>
      </c>
    </row>
    <row r="107">
      <c r="A107" s="31" t="inlineStr">
        <is>
          <t>SBC</t>
        </is>
      </c>
      <c r="B107" s="31" t="inlineStr">
        <is>
          <t>SBC Exports Ltd</t>
        </is>
      </c>
      <c r="C107" s="31" t="inlineStr">
        <is>
          <t>textiles</t>
        </is>
      </c>
      <c r="D107" s="31" t="inlineStr">
        <is>
          <t>textiles - products</t>
        </is>
      </c>
      <c r="E107" s="31" t="inlineStr">
        <is>
          <t>smallcap</t>
        </is>
      </c>
      <c r="F107" s="31" t="n">
        <v>1994.28</v>
      </c>
      <c r="G107" s="31" t="n">
        <v>42.12</v>
      </c>
      <c r="H107" s="31" t="n">
        <v>0.57</v>
      </c>
      <c r="I107" s="31" t="n">
        <v>8829919</v>
      </c>
      <c r="J107" s="31" t="inlineStr">
        <is>
          <t>542725</t>
        </is>
      </c>
    </row>
    <row r="108">
      <c r="A108" s="31" t="inlineStr">
        <is>
          <t>ASTRAMICRO</t>
        </is>
      </c>
      <c r="B108" s="31" t="inlineStr">
        <is>
          <t>Astra Microwave Products Limited</t>
        </is>
      </c>
      <c r="C108" s="31" t="inlineStr">
        <is>
          <t>aerospace &amp; defence</t>
        </is>
      </c>
      <c r="D108" s="31" t="inlineStr">
        <is>
          <t>telecommunications - equipment</t>
        </is>
      </c>
      <c r="E108" s="31" t="inlineStr">
        <is>
          <t>midcap</t>
        </is>
      </c>
      <c r="F108" s="31" t="n">
        <v>16587.84</v>
      </c>
      <c r="G108" s="31" t="n">
        <v>1757.1</v>
      </c>
      <c r="H108" s="31" t="n">
        <v>0.57</v>
      </c>
      <c r="I108" s="31" t="n">
        <v>226518</v>
      </c>
      <c r="J108" s="31" t="inlineStr">
        <is>
          <t>532493</t>
        </is>
      </c>
    </row>
    <row r="109">
      <c r="A109" s="31" t="inlineStr">
        <is>
          <t>KRISHANA</t>
        </is>
      </c>
      <c r="B109" s="31" t="inlineStr">
        <is>
          <t>Krishana Phoschem Ltd</t>
        </is>
      </c>
      <c r="C109" s="31" t="inlineStr">
        <is>
          <t>chemicals</t>
        </is>
      </c>
      <c r="D109" s="31" t="inlineStr">
        <is>
          <t>fertilizers</t>
        </is>
      </c>
      <c r="E109" s="31" t="inlineStr">
        <is>
          <t>smallcap</t>
        </is>
      </c>
      <c r="F109" s="31" t="n">
        <v>883.21</v>
      </c>
      <c r="G109" s="31" t="n">
        <v>143.65</v>
      </c>
      <c r="H109" s="31" t="n">
        <v>0.5600000000000001</v>
      </c>
      <c r="I109" s="31" t="n">
        <v>3031428</v>
      </c>
      <c r="J109" s="31" t="inlineStr">
        <is>
          <t>538405</t>
        </is>
      </c>
    </row>
    <row r="110">
      <c r="A110" s="31" t="inlineStr">
        <is>
          <t>INDUSINDBK</t>
        </is>
      </c>
      <c r="B110" s="31" t="inlineStr">
        <is>
          <t>Indusind Bank Limited</t>
        </is>
      </c>
      <c r="C110" s="31" t="inlineStr">
        <is>
          <t>bank</t>
        </is>
      </c>
      <c r="D110" s="31" t="inlineStr">
        <is>
          <t>banks - private sector</t>
        </is>
      </c>
      <c r="E110" s="31" t="inlineStr">
        <is>
          <t>largecap</t>
        </is>
      </c>
      <c r="F110" s="31" t="n">
        <v>82856.87</v>
      </c>
      <c r="G110" s="31" t="n">
        <v>1069.3</v>
      </c>
      <c r="H110" s="31" t="n">
        <v>0.55</v>
      </c>
      <c r="I110" s="31" t="n">
        <v>5069159</v>
      </c>
      <c r="J110" s="31" t="inlineStr">
        <is>
          <t>532187</t>
        </is>
      </c>
    </row>
    <row r="111">
      <c r="A111" s="31" t="inlineStr">
        <is>
          <t>FIEMIND</t>
        </is>
      </c>
      <c r="B111" s="31" t="inlineStr">
        <is>
          <t>Fiem Industries Limited</t>
        </is>
      </c>
      <c r="C111" s="31" t="inlineStr">
        <is>
          <t>auto</t>
        </is>
      </c>
      <c r="D111" s="31" t="inlineStr">
        <is>
          <t>auto ancillaries</t>
        </is>
      </c>
      <c r="E111" s="31" t="inlineStr">
        <is>
          <t>midcap</t>
        </is>
      </c>
      <c r="F111" s="31" t="n">
        <v>6136.43</v>
      </c>
      <c r="G111" s="31" t="n">
        <v>2343.6</v>
      </c>
      <c r="H111" s="31" t="n">
        <v>0.52</v>
      </c>
      <c r="I111" s="31" t="n">
        <v>35845</v>
      </c>
      <c r="J111" s="31" t="inlineStr">
        <is>
          <t>532768</t>
        </is>
      </c>
    </row>
    <row r="112">
      <c r="A112" s="31" t="inlineStr">
        <is>
          <t>OCCLLTD</t>
        </is>
      </c>
      <c r="B112" s="31" t="inlineStr">
        <is>
          <t>OCCL Ltd</t>
        </is>
      </c>
      <c r="C112" s="31" t="inlineStr">
        <is>
          <t>chemicals</t>
        </is>
      </c>
      <c r="D112" s="31" t="inlineStr">
        <is>
          <t>chemicals</t>
        </is>
      </c>
      <c r="E112" s="31" t="inlineStr">
        <is>
          <t>smallcap</t>
        </is>
      </c>
      <c r="F112" s="31" t="n">
        <v>680.8200000000001</v>
      </c>
      <c r="G112" s="31" t="n">
        <v>137</v>
      </c>
      <c r="H112" s="31" t="n">
        <v>0.51</v>
      </c>
      <c r="I112" s="31" t="n">
        <v>45791</v>
      </c>
      <c r="J112" s="31" t="inlineStr">
        <is>
          <t>544278</t>
        </is>
      </c>
    </row>
    <row r="113">
      <c r="A113" s="31" t="inlineStr">
        <is>
          <t>ARIHANT</t>
        </is>
      </c>
      <c r="B113" s="31" t="inlineStr">
        <is>
          <t>Arihant Foundations &amp; Housing Limited</t>
        </is>
      </c>
      <c r="C113" s="31" t="inlineStr">
        <is>
          <t>realty</t>
        </is>
      </c>
      <c r="D113" s="31" t="inlineStr">
        <is>
          <t>construction</t>
        </is>
      </c>
      <c r="E113" s="31" t="inlineStr">
        <is>
          <t>smallcap</t>
        </is>
      </c>
      <c r="F113" s="31" t="n">
        <v>911.71</v>
      </c>
      <c r="G113" s="31" t="n">
        <v>919.4</v>
      </c>
      <c r="H113" s="31" t="n">
        <v>0.5</v>
      </c>
      <c r="I113" s="31" t="n">
        <v>6564</v>
      </c>
      <c r="J113" s="31" t="inlineStr">
        <is>
          <t>531381</t>
        </is>
      </c>
    </row>
    <row r="114">
      <c r="A114" s="31" t="inlineStr">
        <is>
          <t>TITAN</t>
        </is>
      </c>
      <c r="B114" s="31" t="inlineStr">
        <is>
          <t>Titan Company Limited</t>
        </is>
      </c>
      <c r="C114" s="31" t="inlineStr">
        <is>
          <t>consumer discretionary</t>
        </is>
      </c>
      <c r="D114" s="31" t="inlineStr">
        <is>
          <t>diamond cutting / jewellery</t>
        </is>
      </c>
      <c r="E114" s="31" t="inlineStr">
        <is>
          <t>largecap</t>
        </is>
      </c>
      <c r="F114" s="31" t="n">
        <v>416256.3</v>
      </c>
      <c r="G114" s="31" t="n">
        <v>4711.6</v>
      </c>
      <c r="H114" s="31" t="n">
        <v>0.49</v>
      </c>
      <c r="I114" s="31" t="n">
        <v>996484</v>
      </c>
      <c r="J114" s="31" t="inlineStr">
        <is>
          <t>500114</t>
        </is>
      </c>
    </row>
    <row r="115">
      <c r="A115" s="31" t="inlineStr">
        <is>
          <t>SANGAMIND</t>
        </is>
      </c>
      <c r="B115" s="31" t="inlineStr">
        <is>
          <t>Sangam (india) Limited</t>
        </is>
      </c>
      <c r="C115" s="31" t="inlineStr">
        <is>
          <t>textiles</t>
        </is>
      </c>
      <c r="D115" s="31" t="inlineStr">
        <is>
          <t>textiles - spinning - synthetic / blended</t>
        </is>
      </c>
      <c r="E115" s="31" t="inlineStr">
        <is>
          <t>smallcap</t>
        </is>
      </c>
      <c r="F115" s="31" t="n">
        <v>3110.01</v>
      </c>
      <c r="G115" s="31" t="n">
        <v>621.9</v>
      </c>
      <c r="H115" s="31" t="n">
        <v>0.48</v>
      </c>
      <c r="I115" s="31" t="n">
        <v>52154</v>
      </c>
      <c r="J115" s="31" t="inlineStr">
        <is>
          <t>514234</t>
        </is>
      </c>
    </row>
    <row r="116">
      <c r="A116" s="31" t="inlineStr">
        <is>
          <t>SCHAEFFLER</t>
        </is>
      </c>
      <c r="B116" s="31" t="inlineStr">
        <is>
          <t>Schaeffler India Ltd</t>
        </is>
      </c>
      <c r="C116" s="31" t="inlineStr">
        <is>
          <t>industrials</t>
        </is>
      </c>
      <c r="D116" s="31" t="inlineStr">
        <is>
          <t>bearings</t>
        </is>
      </c>
      <c r="E116" s="31" t="inlineStr">
        <is>
          <t>largecap</t>
        </is>
      </c>
      <c r="F116" s="31" t="n">
        <v>65336.5</v>
      </c>
      <c r="G116" s="31" t="n">
        <v>4199.2</v>
      </c>
      <c r="H116" s="31" t="n">
        <v>0.46</v>
      </c>
      <c r="I116" s="31" t="n">
        <v>62994</v>
      </c>
      <c r="J116" s="31" t="inlineStr">
        <is>
          <t>505790</t>
        </is>
      </c>
    </row>
    <row r="117">
      <c r="A117" s="31" t="inlineStr">
        <is>
          <t>HITECHCORP</t>
        </is>
      </c>
      <c r="B117" s="31" t="inlineStr">
        <is>
          <t>Hitech Corporation</t>
        </is>
      </c>
      <c r="C117" s="31" t="inlineStr">
        <is>
          <t>industrials</t>
        </is>
      </c>
      <c r="D117" s="31" t="inlineStr">
        <is>
          <t>packaging</t>
        </is>
      </c>
      <c r="E117" s="31" t="inlineStr">
        <is>
          <t>smallcap</t>
        </is>
      </c>
      <c r="F117" s="31" t="n">
        <v>549.1900000000001</v>
      </c>
      <c r="G117" s="31" t="n">
        <v>321.2</v>
      </c>
      <c r="H117" s="31" t="n">
        <v>0.45</v>
      </c>
      <c r="I117" s="31" t="n">
        <v>13164</v>
      </c>
      <c r="J117" s="31" t="inlineStr">
        <is>
          <t>526217</t>
        </is>
      </c>
    </row>
    <row r="118">
      <c r="A118" s="31" t="inlineStr">
        <is>
          <t>THANGAMAYL</t>
        </is>
      </c>
      <c r="B118" s="31" t="inlineStr">
        <is>
          <t>Thangamayil Jewellery Limited</t>
        </is>
      </c>
      <c r="C118" s="31" t="inlineStr">
        <is>
          <t>consumer discretionary</t>
        </is>
      </c>
      <c r="D118" s="31" t="inlineStr">
        <is>
          <t>diamond cutting / jewellery</t>
        </is>
      </c>
      <c r="E118" s="31" t="inlineStr">
        <is>
          <t>largecap</t>
        </is>
      </c>
      <c r="F118" s="31" t="n">
        <v>20057.23</v>
      </c>
      <c r="G118" s="31" t="n">
        <v>6476</v>
      </c>
      <c r="H118" s="31" t="n">
        <v>0.36</v>
      </c>
      <c r="I118" s="31" t="n">
        <v>103921</v>
      </c>
      <c r="J118" s="31" t="inlineStr">
        <is>
          <t>533158</t>
        </is>
      </c>
    </row>
    <row r="119">
      <c r="A119" s="31" t="inlineStr">
        <is>
          <t>ABBOTINDIA</t>
        </is>
      </c>
      <c r="B119" s="31" t="inlineStr">
        <is>
          <t>Abbott India Limited</t>
        </is>
      </c>
      <c r="C119" s="31" t="inlineStr">
        <is>
          <t>healthcare</t>
        </is>
      </c>
      <c r="D119" s="31" t="inlineStr">
        <is>
          <t>pharmaceuticals - multinational</t>
        </is>
      </c>
      <c r="E119" s="31" t="inlineStr">
        <is>
          <t>largecap</t>
        </is>
      </c>
      <c r="F119" s="31" t="n">
        <v>61197.99</v>
      </c>
      <c r="G119" s="31" t="n">
        <v>28900</v>
      </c>
      <c r="H119" s="31" t="n">
        <v>0.35</v>
      </c>
      <c r="I119" s="31" t="n">
        <v>21903</v>
      </c>
      <c r="J119" s="31" t="inlineStr">
        <is>
          <t>500488</t>
        </is>
      </c>
    </row>
    <row r="120">
      <c r="A120" s="31" t="inlineStr">
        <is>
          <t>KAMDHENU</t>
        </is>
      </c>
      <c r="B120" s="31" t="inlineStr">
        <is>
          <t>Kamdhenu Limited</t>
        </is>
      </c>
      <c r="C120" s="31" t="inlineStr">
        <is>
          <t>metals &amp; mining</t>
        </is>
      </c>
      <c r="D120" s="31" t="inlineStr">
        <is>
          <t>steel - medium / small</t>
        </is>
      </c>
      <c r="E120" s="31" t="inlineStr">
        <is>
          <t>smallcap</t>
        </is>
      </c>
      <c r="F120" s="31" t="n">
        <v>945.15</v>
      </c>
      <c r="G120" s="31" t="n">
        <v>33.64</v>
      </c>
      <c r="H120" s="31" t="n">
        <v>0.33</v>
      </c>
      <c r="I120" s="31" t="n">
        <v>445658</v>
      </c>
      <c r="J120" s="31" t="inlineStr">
        <is>
          <t>532741</t>
        </is>
      </c>
    </row>
    <row r="121">
      <c r="A121" s="31" t="inlineStr">
        <is>
          <t>RPEL</t>
        </is>
      </c>
      <c r="B121" s="31" t="inlineStr">
        <is>
          <t>Raghav Productivity Enhancers Ltd</t>
        </is>
      </c>
      <c r="C121" s="31" t="inlineStr">
        <is>
          <t>building materials</t>
        </is>
      </c>
      <c r="D121" s="31" t="inlineStr">
        <is>
          <t>refractories / intermediates</t>
        </is>
      </c>
      <c r="E121" s="31" t="inlineStr">
        <is>
          <t>midcap</t>
        </is>
      </c>
      <c r="F121" s="31" t="n">
        <v>5827.95</v>
      </c>
      <c r="G121" s="31" t="n">
        <v>1273</v>
      </c>
      <c r="H121" s="31" t="n">
        <v>0.31</v>
      </c>
      <c r="I121" s="31" t="n">
        <v>33666</v>
      </c>
      <c r="J121" s="31" t="inlineStr">
        <is>
          <t>539837</t>
        </is>
      </c>
    </row>
    <row r="122">
      <c r="A122" s="31" t="inlineStr">
        <is>
          <t>TTKPRESTIG</t>
        </is>
      </c>
      <c r="B122" s="31" t="inlineStr">
        <is>
          <t>Ttk Prestige Limited</t>
        </is>
      </c>
      <c r="C122" s="31" t="inlineStr">
        <is>
          <t>consumer discretionary</t>
        </is>
      </c>
      <c r="D122" s="31" t="inlineStr">
        <is>
          <t>domestic appliances</t>
        </is>
      </c>
      <c r="E122" s="31" t="inlineStr">
        <is>
          <t>midcap</t>
        </is>
      </c>
      <c r="F122" s="31" t="n">
        <v>8986.040000000001</v>
      </c>
      <c r="G122" s="31" t="n">
        <v>658</v>
      </c>
      <c r="H122" s="31" t="n">
        <v>0.28</v>
      </c>
      <c r="I122" s="31" t="n">
        <v>34981</v>
      </c>
      <c r="J122" s="31" t="inlineStr">
        <is>
          <t>517506</t>
        </is>
      </c>
    </row>
    <row r="123">
      <c r="A123" s="31" t="inlineStr">
        <is>
          <t>TBOTEK</t>
        </is>
      </c>
      <c r="B123" s="31" t="inlineStr">
        <is>
          <t>TBO Tek Ltd</t>
        </is>
      </c>
      <c r="C123" s="31" t="inlineStr">
        <is>
          <t>i.t</t>
        </is>
      </c>
      <c r="D123" s="31" t="inlineStr">
        <is>
          <t>travel agencies</t>
        </is>
      </c>
      <c r="E123" s="31" t="inlineStr">
        <is>
          <t>midcap</t>
        </is>
      </c>
      <c r="F123" s="31" t="n">
        <v>15909.2</v>
      </c>
      <c r="G123" s="31" t="n">
        <v>1469.1</v>
      </c>
      <c r="H123" s="31" t="n">
        <v>0.27</v>
      </c>
      <c r="I123" s="31" t="n">
        <v>54854</v>
      </c>
      <c r="J123" s="31" t="inlineStr">
        <is>
          <t>544174</t>
        </is>
      </c>
    </row>
    <row r="124">
      <c r="A124" s="31" t="inlineStr">
        <is>
          <t>INGERRAND</t>
        </is>
      </c>
      <c r="B124" s="31" t="inlineStr">
        <is>
          <t>Ingersoll Rand (india) Limited</t>
        </is>
      </c>
      <c r="C124" s="31" t="inlineStr">
        <is>
          <t>industrials</t>
        </is>
      </c>
      <c r="D124" s="31" t="inlineStr">
        <is>
          <t>compressors / drilling equipment</t>
        </is>
      </c>
      <c r="E124" s="31" t="inlineStr">
        <is>
          <t>midcap</t>
        </is>
      </c>
      <c r="F124" s="31" t="n">
        <v>14295.57</v>
      </c>
      <c r="G124" s="31" t="n">
        <v>4540.4</v>
      </c>
      <c r="H124" s="31" t="n">
        <v>0.26</v>
      </c>
      <c r="I124" s="31" t="n">
        <v>7789</v>
      </c>
      <c r="J124" s="31" t="inlineStr">
        <is>
          <t>500210</t>
        </is>
      </c>
    </row>
    <row r="125">
      <c r="A125" s="31" t="inlineStr">
        <is>
          <t>METROPOLIS</t>
        </is>
      </c>
      <c r="B125" s="31" t="inlineStr">
        <is>
          <t>Metropolis Healthcare Ltd</t>
        </is>
      </c>
      <c r="C125" s="31" t="inlineStr">
        <is>
          <t>healthcare</t>
        </is>
      </c>
      <c r="D125" s="31" t="inlineStr">
        <is>
          <t>healthcare</t>
        </is>
      </c>
      <c r="E125" s="31" t="inlineStr">
        <is>
          <t>midcap</t>
        </is>
      </c>
      <c r="F125" s="31" t="n">
        <v>11792.8</v>
      </c>
      <c r="G125" s="31" t="n">
        <v>570.1</v>
      </c>
      <c r="H125" s="31" t="n">
        <v>0.23</v>
      </c>
      <c r="I125" s="31" t="n">
        <v>118458</v>
      </c>
      <c r="J125" s="31" t="inlineStr">
        <is>
          <t>542650</t>
        </is>
      </c>
    </row>
    <row r="126">
      <c r="A126" s="31" t="inlineStr">
        <is>
          <t>RPGLIFE</t>
        </is>
      </c>
      <c r="B126" s="31" t="inlineStr">
        <is>
          <t>Rpg Life Sciences Limited</t>
        </is>
      </c>
      <c r="C126" s="31" t="inlineStr">
        <is>
          <t>healthcare</t>
        </is>
      </c>
      <c r="D126" s="31" t="inlineStr">
        <is>
          <t>pharmaceuticals - indian - bulk drugs &amp; formln</t>
        </is>
      </c>
      <c r="E126" s="31" t="inlineStr">
        <is>
          <t>smallcap</t>
        </is>
      </c>
      <c r="F126" s="31" t="n">
        <v>4958.23</v>
      </c>
      <c r="G126" s="31" t="n">
        <v>3004.9</v>
      </c>
      <c r="H126" s="31" t="n">
        <v>0.23</v>
      </c>
      <c r="I126" s="31" t="n">
        <v>35064</v>
      </c>
      <c r="J126" s="31" t="inlineStr">
        <is>
          <t>532983</t>
        </is>
      </c>
    </row>
    <row r="127">
      <c r="A127" s="31" t="inlineStr">
        <is>
          <t>RPTECH</t>
        </is>
      </c>
      <c r="B127" s="31" t="inlineStr">
        <is>
          <t>Rashi Peripherals Ltd</t>
        </is>
      </c>
      <c r="C127" s="31" t="inlineStr">
        <is>
          <t>services</t>
        </is>
      </c>
      <c r="D127" s="31" t="inlineStr">
        <is>
          <t>trading</t>
        </is>
      </c>
      <c r="E127" s="31" t="inlineStr">
        <is>
          <t>smallcap</t>
        </is>
      </c>
      <c r="F127" s="31" t="n">
        <v>4901.29</v>
      </c>
      <c r="G127" s="31" t="n">
        <v>745.15</v>
      </c>
      <c r="H127" s="31" t="n">
        <v>0.19</v>
      </c>
      <c r="I127" s="31" t="n">
        <v>116082</v>
      </c>
      <c r="J127" s="31" t="n"/>
    </row>
    <row r="128">
      <c r="A128" s="31" t="inlineStr">
        <is>
          <t>AKUMS</t>
        </is>
      </c>
      <c r="B128" s="31" t="inlineStr">
        <is>
          <t>Akums Drugs &amp; Pharmaceuticals Ltd</t>
        </is>
      </c>
      <c r="C128" s="31" t="inlineStr">
        <is>
          <t>healthcare</t>
        </is>
      </c>
      <c r="D128" s="31" t="inlineStr">
        <is>
          <t>pharmaceuticals - indian - bulk drugs &amp; formln</t>
        </is>
      </c>
      <c r="E128" s="31" t="inlineStr">
        <is>
          <t>midcap</t>
        </is>
      </c>
      <c r="F128" s="31" t="n">
        <v>10939.67</v>
      </c>
      <c r="G128" s="31" t="n">
        <v>696.35</v>
      </c>
      <c r="H128" s="31" t="n">
        <v>0.19</v>
      </c>
      <c r="I128" s="31" t="n">
        <v>282509</v>
      </c>
      <c r="J128" s="31" t="inlineStr">
        <is>
          <t>544222</t>
        </is>
      </c>
    </row>
    <row r="129">
      <c r="A129" s="31" t="inlineStr">
        <is>
          <t>CRAFTSMAN</t>
        </is>
      </c>
      <c r="B129" s="31" t="inlineStr">
        <is>
          <t>Craftsman Automation Ltd</t>
        </is>
      </c>
      <c r="C129" s="31" t="inlineStr">
        <is>
          <t>auto</t>
        </is>
      </c>
      <c r="D129" s="31" t="inlineStr">
        <is>
          <t>auto ancillaries</t>
        </is>
      </c>
      <c r="E129" s="31" t="inlineStr">
        <is>
          <t>largecap</t>
        </is>
      </c>
      <c r="F129" s="31" t="n">
        <v>24594.32</v>
      </c>
      <c r="G129" s="31" t="n">
        <v>9420</v>
      </c>
      <c r="H129" s="31" t="n">
        <v>0.18</v>
      </c>
      <c r="I129" s="31" t="n">
        <v>46413</v>
      </c>
      <c r="J129" s="31" t="inlineStr">
        <is>
          <t>543276</t>
        </is>
      </c>
    </row>
    <row r="130">
      <c r="A130" s="31" t="inlineStr">
        <is>
          <t>SSWL</t>
        </is>
      </c>
      <c r="B130" s="31" t="inlineStr">
        <is>
          <t>Steel Strips Wheels Limited</t>
        </is>
      </c>
      <c r="C130" s="31" t="inlineStr">
        <is>
          <t>auto</t>
        </is>
      </c>
      <c r="D130" s="31" t="inlineStr">
        <is>
          <t>auto ancillaries</t>
        </is>
      </c>
      <c r="E130" s="31" t="inlineStr">
        <is>
          <t>smallcap</t>
        </is>
      </c>
      <c r="F130" s="31" t="n">
        <v>4390.05</v>
      </c>
      <c r="G130" s="31" t="n">
        <v>279.69</v>
      </c>
      <c r="H130" s="31" t="n">
        <v>0.14</v>
      </c>
      <c r="I130" s="31" t="n">
        <v>1589909</v>
      </c>
      <c r="J130" s="31" t="inlineStr">
        <is>
          <t>513262</t>
        </is>
      </c>
    </row>
    <row r="131">
      <c r="A131" s="31" t="inlineStr">
        <is>
          <t>APOLLOHOSP</t>
        </is>
      </c>
      <c r="B131" s="31" t="inlineStr">
        <is>
          <t>Apollo Hospitals Enterprise Limited</t>
        </is>
      </c>
      <c r="C131" s="31" t="inlineStr">
        <is>
          <t>healthcare</t>
        </is>
      </c>
      <c r="D131" s="31" t="inlineStr">
        <is>
          <t>healthcare</t>
        </is>
      </c>
      <c r="E131" s="31" t="inlineStr">
        <is>
          <t>largecap</t>
        </is>
      </c>
      <c r="F131" s="31" t="n">
        <v>128349.37</v>
      </c>
      <c r="G131" s="31" t="n">
        <v>8938</v>
      </c>
      <c r="H131" s="31" t="n">
        <v>0.13</v>
      </c>
      <c r="I131" s="31" t="n">
        <v>158333</v>
      </c>
      <c r="J131" s="31" t="inlineStr">
        <is>
          <t>508869</t>
        </is>
      </c>
    </row>
    <row r="132">
      <c r="A132" s="31" t="inlineStr">
        <is>
          <t>PANACHE</t>
        </is>
      </c>
      <c r="B132" s="31" t="inlineStr">
        <is>
          <t>Panache Digilife Ltd</t>
        </is>
      </c>
      <c r="C132" s="31" t="inlineStr">
        <is>
          <t>i.t</t>
        </is>
      </c>
      <c r="D132" s="31" t="inlineStr">
        <is>
          <t>computers - hardware</t>
        </is>
      </c>
      <c r="E132" s="31" t="inlineStr">
        <is>
          <t>smallcap</t>
        </is>
      </c>
      <c r="F132" s="31" t="n">
        <v>700.37</v>
      </c>
      <c r="G132" s="31" t="n">
        <v>437.9</v>
      </c>
      <c r="H132" s="31" t="n">
        <v>0.13</v>
      </c>
      <c r="I132" s="31" t="n">
        <v>2717</v>
      </c>
      <c r="J132" s="31" t="inlineStr">
        <is>
          <t>538424</t>
        </is>
      </c>
    </row>
    <row r="133">
      <c r="A133" s="31" t="inlineStr">
        <is>
          <t>SKMEGGPROD</t>
        </is>
      </c>
      <c r="B133" s="31" t="inlineStr">
        <is>
          <t>Skm Egg Products Export (india) Limited</t>
        </is>
      </c>
      <c r="C133" s="31" t="inlineStr">
        <is>
          <t>fmcg</t>
        </is>
      </c>
      <c r="D133" s="31" t="inlineStr">
        <is>
          <t>food - processing - indian</t>
        </is>
      </c>
      <c r="E133" s="31" t="inlineStr">
        <is>
          <t>smallcap</t>
        </is>
      </c>
      <c r="F133" s="31" t="n">
        <v>1651.94</v>
      </c>
      <c r="G133" s="31" t="n">
        <v>314.05</v>
      </c>
      <c r="H133" s="31" t="n">
        <v>0.11</v>
      </c>
      <c r="I133" s="31" t="n">
        <v>267316</v>
      </c>
      <c r="J133" s="31" t="inlineStr">
        <is>
          <t>532143</t>
        </is>
      </c>
    </row>
    <row r="134">
      <c r="A134" s="31" t="inlineStr">
        <is>
          <t>ASKAUTOLTD</t>
        </is>
      </c>
      <c r="B134" s="31" t="inlineStr">
        <is>
          <t>ASK Automotive Ltd</t>
        </is>
      </c>
      <c r="C134" s="31" t="inlineStr">
        <is>
          <t>auto</t>
        </is>
      </c>
      <c r="D134" s="31" t="inlineStr">
        <is>
          <t>auto ancillaries</t>
        </is>
      </c>
      <c r="E134" s="31" t="inlineStr">
        <is>
          <t>midcap</t>
        </is>
      </c>
      <c r="F134" s="31" t="n">
        <v>9561.42</v>
      </c>
      <c r="G134" s="31" t="n">
        <v>485.3</v>
      </c>
      <c r="H134" s="31" t="n">
        <v>0.06</v>
      </c>
      <c r="I134" s="31" t="n">
        <v>564115</v>
      </c>
      <c r="J134" s="31" t="inlineStr">
        <is>
          <t>544022</t>
        </is>
      </c>
    </row>
    <row r="135">
      <c r="A135" s="31" t="inlineStr">
        <is>
          <t>GOODLUCK</t>
        </is>
      </c>
      <c r="B135" s="31" t="inlineStr">
        <is>
          <t>Goodluck India Limited</t>
        </is>
      </c>
      <c r="C135" s="31" t="inlineStr">
        <is>
          <t>metals &amp; mining</t>
        </is>
      </c>
      <c r="D135" s="31" t="inlineStr">
        <is>
          <t>steel - medium / small</t>
        </is>
      </c>
      <c r="E135" s="31" t="inlineStr">
        <is>
          <t>midcap</t>
        </is>
      </c>
      <c r="F135" s="31" t="n">
        <v>5165.6</v>
      </c>
      <c r="G135" s="31" t="n">
        <v>1554.6</v>
      </c>
      <c r="H135" s="31" t="n">
        <v>0.03</v>
      </c>
      <c r="I135" s="31" t="n">
        <v>69272</v>
      </c>
      <c r="J135" s="31" t="inlineStr">
        <is>
          <t>530655</t>
        </is>
      </c>
    </row>
    <row r="136">
      <c r="A136" s="31" t="inlineStr">
        <is>
          <t>DIACABS</t>
        </is>
      </c>
      <c r="B136" s="31" t="inlineStr">
        <is>
          <t>Diamond Power Infrastructure Ltd</t>
        </is>
      </c>
      <c r="C136" s="31" t="inlineStr">
        <is>
          <t>industrials</t>
        </is>
      </c>
      <c r="D136" s="31" t="inlineStr">
        <is>
          <t>cables - power</t>
        </is>
      </c>
      <c r="E136" s="31" t="inlineStr">
        <is>
          <t>midcap</t>
        </is>
      </c>
      <c r="F136" s="31" t="n">
        <v>14179.21</v>
      </c>
      <c r="G136" s="31" t="n">
        <v>269.14</v>
      </c>
      <c r="H136" s="31" t="n">
        <v>0.03</v>
      </c>
      <c r="I136" s="31" t="n">
        <v>9492628</v>
      </c>
      <c r="J136" s="31" t="inlineStr">
        <is>
          <t>522163</t>
        </is>
      </c>
    </row>
    <row r="137">
      <c r="A137" s="31" t="inlineStr">
        <is>
          <t>BHARTIARTL</t>
        </is>
      </c>
      <c r="B137" s="31" t="inlineStr">
        <is>
          <t>Bharti Airtel Limited</t>
        </is>
      </c>
      <c r="C137" s="31" t="inlineStr">
        <is>
          <t>telecom-service</t>
        </is>
      </c>
      <c r="D137" s="31" t="inlineStr">
        <is>
          <t>telecommunications - service provider</t>
        </is>
      </c>
      <c r="E137" s="31" t="inlineStr">
        <is>
          <t>largecap</t>
        </is>
      </c>
      <c r="F137" s="31" t="n">
        <v>1216026.51</v>
      </c>
      <c r="G137" s="31" t="n">
        <v>1949</v>
      </c>
      <c r="H137" s="31" t="n">
        <v>0.03</v>
      </c>
      <c r="I137" s="31" t="n">
        <v>6589709</v>
      </c>
      <c r="J137" s="31" t="inlineStr">
        <is>
          <t>532454</t>
        </is>
      </c>
    </row>
    <row r="138">
      <c r="A138" s="31" t="inlineStr">
        <is>
          <t>KAJARIACER</t>
        </is>
      </c>
      <c r="B138" s="31" t="inlineStr">
        <is>
          <t>Kajaria Ceramics Limited</t>
        </is>
      </c>
      <c r="C138" s="31" t="inlineStr">
        <is>
          <t>building materials</t>
        </is>
      </c>
      <c r="D138" s="31" t="inlineStr">
        <is>
          <t>ceramics - tiles / sanitaryware</t>
        </is>
      </c>
      <c r="E138" s="31" t="inlineStr">
        <is>
          <t>midcap</t>
        </is>
      </c>
      <c r="F138" s="31" t="n">
        <v>19579.34</v>
      </c>
      <c r="G138" s="31" t="n">
        <v>1229.6</v>
      </c>
      <c r="H138" s="31" t="n">
        <v>0.02</v>
      </c>
      <c r="I138" s="31" t="n">
        <v>304502</v>
      </c>
      <c r="J138" s="31" t="inlineStr">
        <is>
          <t>500233</t>
        </is>
      </c>
    </row>
    <row r="139">
      <c r="A139" s="31" t="inlineStr">
        <is>
          <t>WELINV</t>
        </is>
      </c>
      <c r="B139" s="31" t="inlineStr">
        <is>
          <t>Welspun Investments And Commercials Limited</t>
        </is>
      </c>
      <c r="C139" s="31" t="inlineStr">
        <is>
          <t>financials</t>
        </is>
      </c>
      <c r="D139" s="31" t="inlineStr">
        <is>
          <t>finance &amp; investments</t>
        </is>
      </c>
      <c r="E139" s="31" t="inlineStr">
        <is>
          <t>smallcap</t>
        </is>
      </c>
      <c r="F139" s="31" t="n">
        <v>691.35</v>
      </c>
      <c r="G139" s="31" t="n">
        <v>1891.9</v>
      </c>
      <c r="H139" s="31" t="n">
        <v>0.01</v>
      </c>
      <c r="I139" s="31" t="n">
        <v>147</v>
      </c>
      <c r="J139" s="31" t="inlineStr">
        <is>
          <t>533252</t>
        </is>
      </c>
    </row>
    <row r="140">
      <c r="A140" s="31" t="inlineStr">
        <is>
          <t>VSSL</t>
        </is>
      </c>
      <c r="B140" s="31" t="inlineStr">
        <is>
          <t>Vardhman Special Steels Limited</t>
        </is>
      </c>
      <c r="C140" s="31" t="inlineStr">
        <is>
          <t>metals &amp; mining</t>
        </is>
      </c>
      <c r="D140" s="31" t="inlineStr">
        <is>
          <t>steel - medium / small</t>
        </is>
      </c>
      <c r="E140" s="31" t="inlineStr">
        <is>
          <t>smallcap</t>
        </is>
      </c>
      <c r="F140" s="31" t="n">
        <v>2932.96</v>
      </c>
      <c r="G140" s="31" t="n">
        <v>303.3</v>
      </c>
      <c r="H140" s="31" t="n">
        <v>-0.02</v>
      </c>
      <c r="I140" s="31" t="n">
        <v>1647664</v>
      </c>
      <c r="J140" s="31" t="inlineStr">
        <is>
          <t>534392</t>
        </is>
      </c>
    </row>
    <row r="141">
      <c r="A141" s="31" t="inlineStr">
        <is>
          <t>CCL</t>
        </is>
      </c>
      <c r="B141" s="31" t="inlineStr">
        <is>
          <t>Ccl Products (india) Limited</t>
        </is>
      </c>
      <c r="C141" s="31" t="inlineStr">
        <is>
          <t>fmcg</t>
        </is>
      </c>
      <c r="D141" s="31" t="inlineStr">
        <is>
          <t>tea</t>
        </is>
      </c>
      <c r="E141" s="31" t="inlineStr">
        <is>
          <t>midcap</t>
        </is>
      </c>
      <c r="F141" s="31" t="n">
        <v>16092.78</v>
      </c>
      <c r="G141" s="31" t="n">
        <v>1205</v>
      </c>
      <c r="H141" s="31" t="n">
        <v>-0.02</v>
      </c>
      <c r="I141" s="31" t="n">
        <v>81493</v>
      </c>
      <c r="J141" s="31" t="inlineStr">
        <is>
          <t>519600</t>
        </is>
      </c>
    </row>
    <row r="142">
      <c r="A142" s="31" t="inlineStr">
        <is>
          <t>TEXINFRA</t>
        </is>
      </c>
      <c r="B142" s="31" t="inlineStr">
        <is>
          <t>Texmaco Infrastructure &amp; Holdings Limited</t>
        </is>
      </c>
      <c r="C142" s="31" t="inlineStr">
        <is>
          <t>realty</t>
        </is>
      </c>
      <c r="D142" s="31" t="inlineStr">
        <is>
          <t>construction</t>
        </is>
      </c>
      <c r="E142" s="31" t="inlineStr">
        <is>
          <t>smallcap</t>
        </is>
      </c>
      <c r="F142" s="31" t="n">
        <v>1452.79</v>
      </c>
      <c r="G142" s="31" t="n">
        <v>113.99</v>
      </c>
      <c r="H142" s="31" t="n">
        <v>-0.02</v>
      </c>
      <c r="I142" s="31" t="n">
        <v>94111</v>
      </c>
      <c r="J142" s="31" t="inlineStr">
        <is>
          <t>505400</t>
        </is>
      </c>
    </row>
    <row r="143">
      <c r="A143" s="31" t="inlineStr">
        <is>
          <t>HFCL</t>
        </is>
      </c>
      <c r="B143" s="31" t="inlineStr">
        <is>
          <t>HFCL Ltd</t>
        </is>
      </c>
      <c r="C143" s="31" t="inlineStr">
        <is>
          <t>telecom</t>
        </is>
      </c>
      <c r="D143" s="31" t="inlineStr">
        <is>
          <t>cables - telephone</t>
        </is>
      </c>
      <c r="E143" s="31" t="inlineStr">
        <is>
          <t>largecap</t>
        </is>
      </c>
      <c r="F143" s="31" t="n">
        <v>33362.54</v>
      </c>
      <c r="G143" s="31" t="n">
        <v>217.9</v>
      </c>
      <c r="H143" s="31" t="n">
        <v>-0.03</v>
      </c>
      <c r="I143" s="31" t="n">
        <v>55935312</v>
      </c>
      <c r="J143" s="31" t="inlineStr">
        <is>
          <t>500183</t>
        </is>
      </c>
    </row>
    <row r="144">
      <c r="A144" s="31" t="inlineStr">
        <is>
          <t>RGL</t>
        </is>
      </c>
      <c r="B144" s="31" t="inlineStr">
        <is>
          <t>Renaissance Global Ltd</t>
        </is>
      </c>
      <c r="C144" s="31" t="inlineStr">
        <is>
          <t>consumer discretionary</t>
        </is>
      </c>
      <c r="D144" s="31" t="inlineStr">
        <is>
          <t>diamond cutting / jewellery</t>
        </is>
      </c>
      <c r="E144" s="31" t="inlineStr">
        <is>
          <t>smallcap</t>
        </is>
      </c>
      <c r="F144" s="31" t="n">
        <v>1285.12</v>
      </c>
      <c r="G144" s="31" t="n">
        <v>119.7</v>
      </c>
      <c r="H144" s="31" t="n">
        <v>-0.03</v>
      </c>
      <c r="I144" s="31" t="n">
        <v>277443</v>
      </c>
      <c r="J144" s="31" t="inlineStr">
        <is>
          <t>532923</t>
        </is>
      </c>
    </row>
    <row r="145">
      <c r="A145" s="31" t="inlineStr">
        <is>
          <t>JSWSTEEL</t>
        </is>
      </c>
      <c r="B145" s="31" t="inlineStr">
        <is>
          <t>Jsw Steel Limited</t>
        </is>
      </c>
      <c r="C145" s="31" t="inlineStr">
        <is>
          <t>metals &amp; mining</t>
        </is>
      </c>
      <c r="D145" s="31" t="inlineStr">
        <is>
          <t>steel - large</t>
        </is>
      </c>
      <c r="E145" s="31" t="inlineStr">
        <is>
          <t>largecap</t>
        </is>
      </c>
      <c r="F145" s="31" t="n">
        <v>309936.84</v>
      </c>
      <c r="G145" s="31" t="n">
        <v>1266.9</v>
      </c>
      <c r="H145" s="31" t="n">
        <v>-0.04</v>
      </c>
      <c r="I145" s="31" t="n">
        <v>3988786</v>
      </c>
      <c r="J145" s="31" t="inlineStr">
        <is>
          <t>500228</t>
        </is>
      </c>
    </row>
    <row r="146">
      <c r="A146" s="31" t="inlineStr">
        <is>
          <t>CIEINDIA</t>
        </is>
      </c>
      <c r="B146" s="31" t="inlineStr">
        <is>
          <t>CIE Automotive India Ltd</t>
        </is>
      </c>
      <c r="C146" s="31" t="inlineStr">
        <is>
          <t>industrials</t>
        </is>
      </c>
      <c r="D146" s="31" t="inlineStr">
        <is>
          <t>castings &amp; forgings</t>
        </is>
      </c>
      <c r="E146" s="31" t="inlineStr">
        <is>
          <t>midcap</t>
        </is>
      </c>
      <c r="F146" s="31" t="n">
        <v>17932.46</v>
      </c>
      <c r="G146" s="31" t="n">
        <v>472.5</v>
      </c>
      <c r="H146" s="31" t="n">
        <v>-0.04</v>
      </c>
      <c r="I146" s="31" t="n">
        <v>223826</v>
      </c>
      <c r="J146" s="31" t="inlineStr">
        <is>
          <t>532756</t>
        </is>
      </c>
    </row>
    <row r="147">
      <c r="A147" s="31" t="inlineStr">
        <is>
          <t>NHPC</t>
        </is>
      </c>
      <c r="B147" s="31" t="inlineStr">
        <is>
          <t>Nhpc Limited</t>
        </is>
      </c>
      <c r="C147" s="31" t="inlineStr">
        <is>
          <t>power &amp; utilities</t>
        </is>
      </c>
      <c r="D147" s="31" t="inlineStr">
        <is>
          <t>power generation and supply</t>
        </is>
      </c>
      <c r="E147" s="31" t="inlineStr">
        <is>
          <t>largecap</t>
        </is>
      </c>
      <c r="F147" s="31" t="n">
        <v>80671.67</v>
      </c>
      <c r="G147" s="31" t="n">
        <v>80.28</v>
      </c>
      <c r="H147" s="31" t="n">
        <v>-0.04</v>
      </c>
      <c r="I147" s="31" t="n">
        <v>9932886</v>
      </c>
      <c r="J147" s="31" t="inlineStr">
        <is>
          <t>533098</t>
        </is>
      </c>
    </row>
    <row r="148">
      <c r="A148" s="31" t="inlineStr">
        <is>
          <t>VAIBHAVGBL</t>
        </is>
      </c>
      <c r="B148" s="31" t="inlineStr">
        <is>
          <t>Vaibhav Global Limited</t>
        </is>
      </c>
      <c r="C148" s="31" t="inlineStr">
        <is>
          <t>consumer discretionary</t>
        </is>
      </c>
      <c r="D148" s="31" t="inlineStr">
        <is>
          <t>diamond cutting / jewellery</t>
        </is>
      </c>
      <c r="E148" s="31" t="inlineStr">
        <is>
          <t>smallcap</t>
        </is>
      </c>
      <c r="F148" s="31" t="n">
        <v>4312.18</v>
      </c>
      <c r="G148" s="31" t="n">
        <v>258</v>
      </c>
      <c r="H148" s="31" t="n">
        <v>-0.04</v>
      </c>
      <c r="I148" s="31" t="n">
        <v>1085069</v>
      </c>
      <c r="J148" s="31" t="inlineStr">
        <is>
          <t>532156</t>
        </is>
      </c>
    </row>
    <row r="149">
      <c r="A149" s="31" t="inlineStr">
        <is>
          <t>LALPATHLAB</t>
        </is>
      </c>
      <c r="B149" s="31" t="inlineStr">
        <is>
          <t>Dr. Lal Path Labs Ltd.</t>
        </is>
      </c>
      <c r="C149" s="31" t="inlineStr">
        <is>
          <t>healthcare</t>
        </is>
      </c>
      <c r="D149" s="31" t="inlineStr">
        <is>
          <t>healthcare</t>
        </is>
      </c>
      <c r="E149" s="31" t="inlineStr">
        <is>
          <t>largecap</t>
        </is>
      </c>
      <c r="F149" s="31" t="n">
        <v>28486.03</v>
      </c>
      <c r="G149" s="31" t="n">
        <v>1699</v>
      </c>
      <c r="H149" s="31" t="n">
        <v>-0.06</v>
      </c>
      <c r="I149" s="31" t="n">
        <v>181603</v>
      </c>
      <c r="J149" s="31" t="inlineStr">
        <is>
          <t>539524</t>
        </is>
      </c>
    </row>
    <row r="150">
      <c r="A150" s="31" t="inlineStr">
        <is>
          <t>PRIVISCL</t>
        </is>
      </c>
      <c r="B150" s="31" t="inlineStr">
        <is>
          <t>Privi Speciality Chemicals Ltd</t>
        </is>
      </c>
      <c r="C150" s="31" t="inlineStr">
        <is>
          <t>chemicals</t>
        </is>
      </c>
      <c r="D150" s="31" t="inlineStr">
        <is>
          <t>chemicals</t>
        </is>
      </c>
      <c r="E150" s="31" t="inlineStr">
        <is>
          <t>midcap</t>
        </is>
      </c>
      <c r="F150" s="31" t="n">
        <v>14353.2</v>
      </c>
      <c r="G150" s="31" t="n">
        <v>3672</v>
      </c>
      <c r="H150" s="31" t="n">
        <v>-0.07000000000000001</v>
      </c>
      <c r="I150" s="31" t="n">
        <v>107769</v>
      </c>
      <c r="J150" s="31" t="inlineStr">
        <is>
          <t>530117</t>
        </is>
      </c>
    </row>
    <row r="151">
      <c r="A151" s="31" t="inlineStr">
        <is>
          <t>PANSARI</t>
        </is>
      </c>
      <c r="B151" s="31" t="inlineStr">
        <is>
          <t>Pansari Developers Ltd</t>
        </is>
      </c>
      <c r="C151" s="31" t="inlineStr">
        <is>
          <t>realty</t>
        </is>
      </c>
      <c r="D151" s="31" t="inlineStr">
        <is>
          <t>construction</t>
        </is>
      </c>
      <c r="E151" s="31" t="inlineStr">
        <is>
          <t>smallcap</t>
        </is>
      </c>
      <c r="F151" s="31" t="n">
        <v>637.33</v>
      </c>
      <c r="G151" s="31" t="n">
        <v>365</v>
      </c>
      <c r="H151" s="31" t="n">
        <v>-0.08</v>
      </c>
      <c r="I151" s="31" t="n">
        <v>3747</v>
      </c>
      <c r="J151" s="31" t="inlineStr">
        <is>
          <t>538381</t>
        </is>
      </c>
    </row>
    <row r="152">
      <c r="A152" s="31" t="inlineStr">
        <is>
          <t>JSL</t>
        </is>
      </c>
      <c r="B152" s="31" t="inlineStr">
        <is>
          <t>Jindal Stainless Limited</t>
        </is>
      </c>
      <c r="C152" s="31" t="inlineStr">
        <is>
          <t>metals &amp; mining</t>
        </is>
      </c>
      <c r="D152" s="31" t="inlineStr">
        <is>
          <t>steel - large</t>
        </is>
      </c>
      <c r="E152" s="31" t="inlineStr">
        <is>
          <t>largecap</t>
        </is>
      </c>
      <c r="F152" s="31" t="n">
        <v>60928.73</v>
      </c>
      <c r="G152" s="31" t="n">
        <v>738.4</v>
      </c>
      <c r="H152" s="31" t="n">
        <v>-0.09</v>
      </c>
      <c r="I152" s="31" t="n">
        <v>181606</v>
      </c>
      <c r="J152" s="31" t="inlineStr">
        <is>
          <t>532508</t>
        </is>
      </c>
    </row>
    <row r="153">
      <c r="A153" s="31" t="inlineStr">
        <is>
          <t>JLHL</t>
        </is>
      </c>
      <c r="B153" s="31" t="inlineStr">
        <is>
          <t>Jupiter Life Line Hospitals Ltd</t>
        </is>
      </c>
      <c r="C153" s="31" t="inlineStr">
        <is>
          <t>healthcare</t>
        </is>
      </c>
      <c r="D153" s="31" t="inlineStr">
        <is>
          <t>healthcare</t>
        </is>
      </c>
      <c r="E153" s="31" t="inlineStr">
        <is>
          <t>midcap</t>
        </is>
      </c>
      <c r="F153" s="31" t="n">
        <v>10274.85</v>
      </c>
      <c r="G153" s="31" t="n">
        <v>1565.3</v>
      </c>
      <c r="H153" s="31" t="n">
        <v>-0.11</v>
      </c>
      <c r="I153" s="31" t="n">
        <v>43703</v>
      </c>
      <c r="J153" s="31" t="inlineStr">
        <is>
          <t>543980</t>
        </is>
      </c>
    </row>
    <row r="154">
      <c r="A154" s="31" t="inlineStr">
        <is>
          <t>NOVARTIND</t>
        </is>
      </c>
      <c r="B154" s="31" t="inlineStr">
        <is>
          <t>Novartis India Ltd</t>
        </is>
      </c>
      <c r="C154" s="31" t="inlineStr">
        <is>
          <t>healthcare</t>
        </is>
      </c>
      <c r="D154" s="31" t="inlineStr">
        <is>
          <t>pharmaceuticals - multinational</t>
        </is>
      </c>
      <c r="E154" s="31" t="inlineStr">
        <is>
          <t>smallcap</t>
        </is>
      </c>
      <c r="F154" s="31" t="n">
        <v>4202.13</v>
      </c>
      <c r="G154" s="31" t="n">
        <v>1699.8</v>
      </c>
      <c r="H154" s="31" t="n">
        <v>-0.12</v>
      </c>
      <c r="I154" s="31" t="n">
        <v>24408</v>
      </c>
      <c r="J154" s="31" t="inlineStr">
        <is>
          <t>500672</t>
        </is>
      </c>
    </row>
    <row r="155">
      <c r="A155" s="31" t="inlineStr">
        <is>
          <t>TORNTPHARM</t>
        </is>
      </c>
      <c r="B155" s="31" t="inlineStr">
        <is>
          <t>Torrent Pharmaceuticals Limited</t>
        </is>
      </c>
      <c r="C155" s="31" t="inlineStr">
        <is>
          <t>healthcare</t>
        </is>
      </c>
      <c r="D155" s="31" t="inlineStr">
        <is>
          <t>pharmaceuticals - indian - formulations</t>
        </is>
      </c>
      <c r="E155" s="31" t="inlineStr">
        <is>
          <t>largecap</t>
        </is>
      </c>
      <c r="F155" s="31" t="n">
        <v>170600.19</v>
      </c>
      <c r="G155" s="31" t="n">
        <v>5033.4</v>
      </c>
      <c r="H155" s="31" t="n">
        <v>-0.14</v>
      </c>
      <c r="I155" s="31" t="n">
        <v>290321</v>
      </c>
      <c r="J155" s="31" t="inlineStr">
        <is>
          <t>500420</t>
        </is>
      </c>
    </row>
    <row r="156">
      <c r="A156" s="31" t="inlineStr">
        <is>
          <t>HAL</t>
        </is>
      </c>
      <c r="B156" s="31" t="inlineStr">
        <is>
          <t>Hindustan Aeronautics Ltd</t>
        </is>
      </c>
      <c r="C156" s="31" t="inlineStr">
        <is>
          <t>aerospace &amp; defence</t>
        </is>
      </c>
      <c r="D156" s="31" t="inlineStr">
        <is>
          <t>engineering</t>
        </is>
      </c>
      <c r="E156" s="31" t="inlineStr">
        <is>
          <t>largecap</t>
        </is>
      </c>
      <c r="F156" s="31" t="n">
        <v>306412.64</v>
      </c>
      <c r="G156" s="31" t="n">
        <v>4574.8</v>
      </c>
      <c r="H156" s="31" t="n">
        <v>-0.15</v>
      </c>
      <c r="I156" s="31" t="n">
        <v>976586</v>
      </c>
      <c r="J156" s="31" t="inlineStr">
        <is>
          <t>541154</t>
        </is>
      </c>
    </row>
    <row r="157">
      <c r="A157" s="31" t="inlineStr">
        <is>
          <t>RAINBOW</t>
        </is>
      </c>
      <c r="B157" s="31" t="inlineStr">
        <is>
          <t>Rainbow Childrens Medicare Ltd</t>
        </is>
      </c>
      <c r="C157" s="31" t="inlineStr">
        <is>
          <t>healthcare</t>
        </is>
      </c>
      <c r="D157" s="31" t="inlineStr">
        <is>
          <t>healthcare</t>
        </is>
      </c>
      <c r="E157" s="31" t="inlineStr">
        <is>
          <t>midcap</t>
        </is>
      </c>
      <c r="F157" s="31" t="n">
        <v>15068.33</v>
      </c>
      <c r="G157" s="31" t="n">
        <v>1481.2</v>
      </c>
      <c r="H157" s="31" t="n">
        <v>-0.17</v>
      </c>
      <c r="I157" s="31" t="n">
        <v>77426</v>
      </c>
      <c r="J157" s="31" t="inlineStr">
        <is>
          <t>543524</t>
        </is>
      </c>
    </row>
    <row r="158">
      <c r="A158" s="31" t="inlineStr">
        <is>
          <t>HMVL</t>
        </is>
      </c>
      <c r="B158" s="31" t="inlineStr">
        <is>
          <t>Hindustan Media Ventures Limited</t>
        </is>
      </c>
      <c r="C158" s="31" t="inlineStr">
        <is>
          <t>media</t>
        </is>
      </c>
      <c r="D158" s="31" t="inlineStr">
        <is>
          <t>entertainment / electronic media software</t>
        </is>
      </c>
      <c r="E158" s="31" t="inlineStr">
        <is>
          <t>smallcap</t>
        </is>
      </c>
      <c r="F158" s="31" t="n">
        <v>674.61</v>
      </c>
      <c r="G158" s="31" t="n">
        <v>91.39</v>
      </c>
      <c r="H158" s="31" t="n">
        <v>-0.2</v>
      </c>
      <c r="I158" s="31" t="n">
        <v>54558</v>
      </c>
      <c r="J158" s="31" t="inlineStr">
        <is>
          <t>533217</t>
        </is>
      </c>
    </row>
    <row r="159">
      <c r="A159" s="31" t="inlineStr">
        <is>
          <t>GANDHITUBE</t>
        </is>
      </c>
      <c r="B159" s="31" t="inlineStr">
        <is>
          <t>Gandhi Special Tubes Limited</t>
        </is>
      </c>
      <c r="C159" s="31" t="inlineStr">
        <is>
          <t>metals &amp; mining</t>
        </is>
      </c>
      <c r="D159" s="31" t="inlineStr">
        <is>
          <t>steel - medium / small</t>
        </is>
      </c>
      <c r="E159" s="31" t="inlineStr">
        <is>
          <t>smallcap</t>
        </is>
      </c>
      <c r="F159" s="31" t="n">
        <v>1059.41</v>
      </c>
      <c r="G159" s="31" t="n">
        <v>870.1</v>
      </c>
      <c r="H159" s="31" t="n">
        <v>-0.2</v>
      </c>
      <c r="I159" s="31" t="n">
        <v>3916</v>
      </c>
      <c r="J159" s="31" t="inlineStr">
        <is>
          <t>513108</t>
        </is>
      </c>
    </row>
    <row r="160">
      <c r="A160" s="31" t="inlineStr">
        <is>
          <t>AURUM</t>
        </is>
      </c>
      <c r="B160" s="31" t="inlineStr">
        <is>
          <t>Aurum Proptech Ltd</t>
        </is>
      </c>
      <c r="C160" s="31" t="inlineStr">
        <is>
          <t>i.t</t>
        </is>
      </c>
      <c r="D160" s="31" t="inlineStr">
        <is>
          <t>computers - software - medium / small</t>
        </is>
      </c>
      <c r="E160" s="31" t="inlineStr">
        <is>
          <t>smallcap</t>
        </is>
      </c>
      <c r="F160" s="31" t="n">
        <v>1750.34</v>
      </c>
      <c r="G160" s="31" t="n">
        <v>227.84</v>
      </c>
      <c r="H160" s="31" t="n">
        <v>-0.21</v>
      </c>
      <c r="I160" s="31" t="n">
        <v>162422</v>
      </c>
      <c r="J160" s="31" t="inlineStr">
        <is>
          <t>539289</t>
        </is>
      </c>
    </row>
    <row r="161">
      <c r="A161" s="31" t="inlineStr">
        <is>
          <t>GEOJITFSL</t>
        </is>
      </c>
      <c r="B161" s="31" t="inlineStr">
        <is>
          <t>Geojit Financial Services Ltd</t>
        </is>
      </c>
      <c r="C161" s="31" t="inlineStr">
        <is>
          <t>financials</t>
        </is>
      </c>
      <c r="D161" s="31" t="inlineStr">
        <is>
          <t>finance &amp; investments</t>
        </is>
      </c>
      <c r="E161" s="31" t="inlineStr">
        <is>
          <t>smallcap</t>
        </is>
      </c>
      <c r="F161" s="31" t="n">
        <v>2288.8</v>
      </c>
      <c r="G161" s="31" t="n">
        <v>81.8</v>
      </c>
      <c r="H161" s="31" t="n">
        <v>-0.24</v>
      </c>
      <c r="I161" s="31" t="n">
        <v>279485</v>
      </c>
      <c r="J161" s="31" t="inlineStr">
        <is>
          <t>532285</t>
        </is>
      </c>
    </row>
    <row r="162">
      <c r="A162" s="31" t="inlineStr">
        <is>
          <t>IIFL</t>
        </is>
      </c>
      <c r="B162" s="31" t="inlineStr">
        <is>
          <t>IIFL Finance Ltd</t>
        </is>
      </c>
      <c r="C162" s="31" t="inlineStr">
        <is>
          <t>financials</t>
        </is>
      </c>
      <c r="D162" s="31" t="inlineStr">
        <is>
          <t>finance &amp; investments</t>
        </is>
      </c>
      <c r="E162" s="31" t="inlineStr">
        <is>
          <t>largecap</t>
        </is>
      </c>
      <c r="F162" s="31" t="n">
        <v>24320.08</v>
      </c>
      <c r="G162" s="31" t="n">
        <v>570.35</v>
      </c>
      <c r="H162" s="31" t="n">
        <v>-0.25</v>
      </c>
      <c r="I162" s="31" t="n">
        <v>3378558</v>
      </c>
      <c r="J162" s="31" t="inlineStr">
        <is>
          <t>532636</t>
        </is>
      </c>
    </row>
    <row r="163">
      <c r="A163" s="31" t="inlineStr">
        <is>
          <t>SHRIRAMFIN</t>
        </is>
      </c>
      <c r="B163" s="31" t="inlineStr">
        <is>
          <t>Shriram Finance Ltd</t>
        </is>
      </c>
      <c r="C163" s="31" t="inlineStr">
        <is>
          <t>financials</t>
        </is>
      </c>
      <c r="D163" s="31" t="inlineStr">
        <is>
          <t>finance &amp; investments</t>
        </is>
      </c>
      <c r="E163" s="31" t="inlineStr">
        <is>
          <t>largecap</t>
        </is>
      </c>
      <c r="F163" s="31" t="n">
        <v>249737.66</v>
      </c>
      <c r="G163" s="31" t="n">
        <v>1058.8</v>
      </c>
      <c r="H163" s="31" t="n">
        <v>-0.25</v>
      </c>
      <c r="I163" s="31" t="n">
        <v>3460386</v>
      </c>
      <c r="J163" s="31" t="inlineStr">
        <is>
          <t>511218</t>
        </is>
      </c>
    </row>
    <row r="164">
      <c r="A164" s="31" t="inlineStr">
        <is>
          <t>KROSS</t>
        </is>
      </c>
      <c r="B164" s="31" t="inlineStr">
        <is>
          <t>Kross Ltd</t>
        </is>
      </c>
      <c r="C164" s="31" t="inlineStr">
        <is>
          <t>auto</t>
        </is>
      </c>
      <c r="D164" s="31" t="inlineStr">
        <is>
          <t>auto ancillaries</t>
        </is>
      </c>
      <c r="E164" s="31" t="inlineStr">
        <is>
          <t>smallcap</t>
        </is>
      </c>
      <c r="F164" s="31" t="n">
        <v>1362.63</v>
      </c>
      <c r="G164" s="31" t="n">
        <v>210.7</v>
      </c>
      <c r="H164" s="31" t="n">
        <v>-0.25</v>
      </c>
      <c r="I164" s="31" t="n">
        <v>1056158</v>
      </c>
      <c r="J164" s="31" t="inlineStr">
        <is>
          <t>544253</t>
        </is>
      </c>
    </row>
    <row r="165">
      <c r="A165" s="31" t="inlineStr">
        <is>
          <t>NAHARSPING</t>
        </is>
      </c>
      <c r="B165" s="31" t="inlineStr">
        <is>
          <t>Nahar Spinning Mills Limited</t>
        </is>
      </c>
      <c r="C165" s="31" t="inlineStr">
        <is>
          <t>textiles</t>
        </is>
      </c>
      <c r="D165" s="31" t="inlineStr">
        <is>
          <t>textiles - cotton/blended</t>
        </is>
      </c>
      <c r="E165" s="31" t="inlineStr">
        <is>
          <t>smallcap</t>
        </is>
      </c>
      <c r="F165" s="31" t="n">
        <v>1011.81</v>
      </c>
      <c r="G165" s="31" t="n">
        <v>279.7</v>
      </c>
      <c r="H165" s="31" t="n">
        <v>-0.3</v>
      </c>
      <c r="I165" s="31" t="n">
        <v>7091</v>
      </c>
      <c r="J165" s="31" t="inlineStr">
        <is>
          <t>500296</t>
        </is>
      </c>
    </row>
    <row r="166">
      <c r="A166" s="31" t="inlineStr">
        <is>
          <t>GRAVITA</t>
        </is>
      </c>
      <c r="B166" s="31" t="inlineStr">
        <is>
          <t>Gravita India Limited</t>
        </is>
      </c>
      <c r="C166" s="31" t="inlineStr">
        <is>
          <t>metals &amp; mining</t>
        </is>
      </c>
      <c r="D166" s="31" t="inlineStr">
        <is>
          <t>mining / minerals / metals</t>
        </is>
      </c>
      <c r="E166" s="31" t="inlineStr">
        <is>
          <t>midcap</t>
        </is>
      </c>
      <c r="F166" s="31" t="n">
        <v>13318.74</v>
      </c>
      <c r="G166" s="31" t="n">
        <v>1799</v>
      </c>
      <c r="H166" s="31" t="n">
        <v>-0.3</v>
      </c>
      <c r="I166" s="31" t="n">
        <v>229321</v>
      </c>
      <c r="J166" s="31" t="inlineStr">
        <is>
          <t>533282</t>
        </is>
      </c>
    </row>
    <row r="167">
      <c r="A167" s="31" t="inlineStr">
        <is>
          <t>ARE&amp;M</t>
        </is>
      </c>
      <c r="B167" s="31" t="inlineStr">
        <is>
          <t>Amara Raja Energy &amp; Mobility Ltd</t>
        </is>
      </c>
      <c r="C167" s="31" t="inlineStr">
        <is>
          <t>auto</t>
        </is>
      </c>
      <c r="D167" s="31" t="inlineStr">
        <is>
          <t>auto ancillaries</t>
        </is>
      </c>
      <c r="E167" s="31" t="inlineStr">
        <is>
          <t>midcap</t>
        </is>
      </c>
      <c r="F167" s="31" t="n">
        <v>16563.8</v>
      </c>
      <c r="G167" s="31" t="n">
        <v>902.15</v>
      </c>
      <c r="H167" s="31" t="n">
        <v>-0.31</v>
      </c>
      <c r="I167" s="31" t="n">
        <v>538622</v>
      </c>
      <c r="J167" s="31" t="inlineStr">
        <is>
          <t>500008</t>
        </is>
      </c>
    </row>
    <row r="168">
      <c r="A168" s="31" t="inlineStr">
        <is>
          <t>ACUTAAS</t>
        </is>
      </c>
      <c r="B168" s="31" t="inlineStr">
        <is>
          <t>Acutaas Chemicals Ltd</t>
        </is>
      </c>
      <c r="C168" s="31" t="inlineStr">
        <is>
          <t>healthcare</t>
        </is>
      </c>
      <c r="D168" s="31" t="inlineStr">
        <is>
          <t>pharmaceuticals - indian - bulk drugs</t>
        </is>
      </c>
      <c r="E168" s="31" t="inlineStr">
        <is>
          <t>largecap</t>
        </is>
      </c>
      <c r="F168" s="31" t="n">
        <v>30104.01</v>
      </c>
      <c r="G168" s="31" t="n">
        <v>3665</v>
      </c>
      <c r="H168" s="31" t="n">
        <v>-0.33</v>
      </c>
      <c r="I168" s="31" t="n">
        <v>161933</v>
      </c>
      <c r="J168" s="31" t="inlineStr">
        <is>
          <t>543349</t>
        </is>
      </c>
    </row>
    <row r="169">
      <c r="A169" s="31" t="inlineStr">
        <is>
          <t>KARURVYSYA</t>
        </is>
      </c>
      <c r="B169" s="31" t="inlineStr">
        <is>
          <t>Karur Vysya Bank Limited</t>
        </is>
      </c>
      <c r="C169" s="31" t="inlineStr">
        <is>
          <t>bank</t>
        </is>
      </c>
      <c r="D169" s="31" t="inlineStr">
        <is>
          <t>banks - private sector</t>
        </is>
      </c>
      <c r="E169" s="31" t="inlineStr">
        <is>
          <t>largecap</t>
        </is>
      </c>
      <c r="F169" s="31" t="n">
        <v>32894.97</v>
      </c>
      <c r="G169" s="31" t="n">
        <v>339.15</v>
      </c>
      <c r="H169" s="31" t="n">
        <v>-0.34</v>
      </c>
      <c r="I169" s="31" t="n">
        <v>16009675</v>
      </c>
      <c r="J169" s="31" t="inlineStr">
        <is>
          <t>590003</t>
        </is>
      </c>
    </row>
    <row r="170">
      <c r="A170" s="31" t="inlineStr">
        <is>
          <t>ABB</t>
        </is>
      </c>
      <c r="B170" s="31" t="inlineStr">
        <is>
          <t>Abb India Limited</t>
        </is>
      </c>
      <c r="C170" s="31" t="inlineStr">
        <is>
          <t>industrials</t>
        </is>
      </c>
      <c r="D170" s="31" t="inlineStr">
        <is>
          <t>electric equipment</t>
        </is>
      </c>
      <c r="E170" s="31" t="inlineStr">
        <is>
          <t>largecap</t>
        </is>
      </c>
      <c r="F170" s="31" t="n">
        <v>159609.39</v>
      </c>
      <c r="G170" s="31" t="n">
        <v>7506</v>
      </c>
      <c r="H170" s="31" t="n">
        <v>-0.35</v>
      </c>
      <c r="I170" s="31" t="n">
        <v>212131</v>
      </c>
      <c r="J170" s="31" t="inlineStr">
        <is>
          <t>500002</t>
        </is>
      </c>
    </row>
    <row r="171">
      <c r="A171" s="31" t="inlineStr">
        <is>
          <t>SPECTRUM</t>
        </is>
      </c>
      <c r="B171" s="31" t="inlineStr">
        <is>
          <t>Spectrum Electrical Industries Ltd</t>
        </is>
      </c>
      <c r="C171" s="31" t="inlineStr">
        <is>
          <t>industrials</t>
        </is>
      </c>
      <c r="D171" s="31" t="inlineStr">
        <is>
          <t>electric equipment</t>
        </is>
      </c>
      <c r="E171" s="31" t="inlineStr">
        <is>
          <t>smallcap</t>
        </is>
      </c>
      <c r="F171" s="31" t="n">
        <v>3350.98</v>
      </c>
      <c r="G171" s="31" t="n">
        <v>2125</v>
      </c>
      <c r="H171" s="31" t="n">
        <v>-0.35</v>
      </c>
      <c r="I171" s="31" t="n">
        <v>58170</v>
      </c>
      <c r="J171" s="31" t="inlineStr">
        <is>
          <t>535112</t>
        </is>
      </c>
    </row>
    <row r="172">
      <c r="A172" s="31" t="inlineStr">
        <is>
          <t>FLUOROCHEM</t>
        </is>
      </c>
      <c r="B172" s="31" t="inlineStr">
        <is>
          <t>Gujarat Fluorochemicals Ltd</t>
        </is>
      </c>
      <c r="C172" s="31" t="inlineStr">
        <is>
          <t>chemicals</t>
        </is>
      </c>
      <c r="D172" s="31" t="inlineStr">
        <is>
          <t>chemicals</t>
        </is>
      </c>
      <c r="E172" s="31" t="inlineStr">
        <is>
          <t>largecap</t>
        </is>
      </c>
      <c r="F172" s="31" t="n">
        <v>50608.99</v>
      </c>
      <c r="G172" s="31" t="n">
        <v>4590</v>
      </c>
      <c r="H172" s="31" t="n">
        <v>-0.37</v>
      </c>
      <c r="I172" s="31" t="n">
        <v>217738</v>
      </c>
      <c r="J172" s="31" t="inlineStr">
        <is>
          <t>542812</t>
        </is>
      </c>
    </row>
    <row r="173">
      <c r="A173" s="31" t="inlineStr">
        <is>
          <t>CHEVIOT</t>
        </is>
      </c>
      <c r="B173" s="31" t="inlineStr">
        <is>
          <t>Cheviot Company Ltd</t>
        </is>
      </c>
      <c r="C173" s="31" t="inlineStr">
        <is>
          <t>textiles</t>
        </is>
      </c>
      <c r="D173" s="31" t="inlineStr">
        <is>
          <t>textiles - jute - yarn / products</t>
        </is>
      </c>
      <c r="E173" s="31" t="inlineStr">
        <is>
          <t>smallcap</t>
        </is>
      </c>
      <c r="F173" s="31" t="n">
        <v>668.4299999999999</v>
      </c>
      <c r="G173" s="31" t="n">
        <v>1140</v>
      </c>
      <c r="H173" s="31" t="n">
        <v>-0.37</v>
      </c>
      <c r="I173" s="31" t="n">
        <v>1075</v>
      </c>
      <c r="J173" s="31" t="inlineStr">
        <is>
          <t>526817</t>
        </is>
      </c>
    </row>
    <row r="174">
      <c r="A174" s="31" t="inlineStr">
        <is>
          <t>NYKAA</t>
        </is>
      </c>
      <c r="B174" s="31" t="inlineStr">
        <is>
          <t>FSN E-Commerce Ventures Ltd</t>
        </is>
      </c>
      <c r="C174" s="31" t="inlineStr">
        <is>
          <t>i.t</t>
        </is>
      </c>
      <c r="D174" s="31" t="inlineStr">
        <is>
          <t>trading</t>
        </is>
      </c>
      <c r="E174" s="31" t="inlineStr">
        <is>
          <t>largecap</t>
        </is>
      </c>
      <c r="F174" s="31" t="n">
        <v>93899.53999999999</v>
      </c>
      <c r="G174" s="31" t="n">
        <v>326.6</v>
      </c>
      <c r="H174" s="31" t="n">
        <v>-0.41</v>
      </c>
      <c r="I174" s="31" t="n">
        <v>7608062</v>
      </c>
      <c r="J174" s="31" t="inlineStr">
        <is>
          <t>543384</t>
        </is>
      </c>
    </row>
    <row r="175">
      <c r="A175" s="31" t="inlineStr">
        <is>
          <t>ETHOSLTD</t>
        </is>
      </c>
      <c r="B175" s="31" t="inlineStr">
        <is>
          <t>Ethos Ltd</t>
        </is>
      </c>
      <c r="C175" s="31" t="inlineStr">
        <is>
          <t>consumer discretionary</t>
        </is>
      </c>
      <c r="D175" s="31" t="inlineStr">
        <is>
          <t>trading</t>
        </is>
      </c>
      <c r="E175" s="31" t="inlineStr">
        <is>
          <t>midcap</t>
        </is>
      </c>
      <c r="F175" s="31" t="n">
        <v>7043.7</v>
      </c>
      <c r="G175" s="31" t="n">
        <v>2621.3</v>
      </c>
      <c r="H175" s="31" t="n">
        <v>-0.42</v>
      </c>
      <c r="I175" s="31" t="n">
        <v>25591</v>
      </c>
      <c r="J175" s="31" t="inlineStr">
        <is>
          <t>543532</t>
        </is>
      </c>
    </row>
    <row r="176">
      <c r="A176" s="31" t="inlineStr">
        <is>
          <t>FCL</t>
        </is>
      </c>
      <c r="B176" s="31" t="inlineStr">
        <is>
          <t>Fineotex Chemical Limited</t>
        </is>
      </c>
      <c r="C176" s="31" t="inlineStr">
        <is>
          <t>chemicals</t>
        </is>
      </c>
      <c r="D176" s="31" t="inlineStr">
        <is>
          <t>chemicals</t>
        </is>
      </c>
      <c r="E176" s="31" t="inlineStr">
        <is>
          <t>smallcap</t>
        </is>
      </c>
      <c r="F176" s="31" t="n">
        <v>4663.83</v>
      </c>
      <c r="G176" s="31" t="n">
        <v>39.88</v>
      </c>
      <c r="H176" s="31" t="n">
        <v>-0.42</v>
      </c>
      <c r="I176" s="31" t="n">
        <v>10375259</v>
      </c>
      <c r="J176" s="31" t="inlineStr">
        <is>
          <t>533333</t>
        </is>
      </c>
    </row>
    <row r="177">
      <c r="A177" s="31" t="inlineStr">
        <is>
          <t>MANAPPURAM</t>
        </is>
      </c>
      <c r="B177" s="31" t="inlineStr">
        <is>
          <t>Manappuram Finance Limited</t>
        </is>
      </c>
      <c r="C177" s="31" t="inlineStr">
        <is>
          <t>financials</t>
        </is>
      </c>
      <c r="D177" s="31" t="inlineStr">
        <is>
          <t>finance &amp; investments</t>
        </is>
      </c>
      <c r="E177" s="31" t="inlineStr">
        <is>
          <t>largecap</t>
        </is>
      </c>
      <c r="F177" s="31" t="n">
        <v>33041.15</v>
      </c>
      <c r="G177" s="31" t="n">
        <v>350.2</v>
      </c>
      <c r="H177" s="31" t="n">
        <v>-0.44</v>
      </c>
      <c r="I177" s="31" t="n">
        <v>4714741</v>
      </c>
      <c r="J177" s="31" t="inlineStr">
        <is>
          <t>531213</t>
        </is>
      </c>
    </row>
    <row r="178">
      <c r="A178" s="31" t="inlineStr">
        <is>
          <t>MUNJALSHOW</t>
        </is>
      </c>
      <c r="B178" s="31" t="inlineStr">
        <is>
          <t>Munjal Showa Limited</t>
        </is>
      </c>
      <c r="C178" s="31" t="inlineStr">
        <is>
          <t>auto</t>
        </is>
      </c>
      <c r="D178" s="31" t="inlineStr">
        <is>
          <t>auto ancillaries</t>
        </is>
      </c>
      <c r="E178" s="31" t="inlineStr">
        <is>
          <t>smallcap</t>
        </is>
      </c>
      <c r="F178" s="31" t="n">
        <v>547.01</v>
      </c>
      <c r="G178" s="31" t="n">
        <v>136.15</v>
      </c>
      <c r="H178" s="31" t="n">
        <v>-0.45</v>
      </c>
      <c r="I178" s="31" t="n">
        <v>17296</v>
      </c>
      <c r="J178" s="31" t="inlineStr">
        <is>
          <t>520043</t>
        </is>
      </c>
    </row>
    <row r="179">
      <c r="A179" s="31" t="inlineStr">
        <is>
          <t>KECL</t>
        </is>
      </c>
      <c r="B179" s="31" t="inlineStr">
        <is>
          <t>Kirloskar Electric Company Limited</t>
        </is>
      </c>
      <c r="C179" s="31" t="inlineStr">
        <is>
          <t>industrials</t>
        </is>
      </c>
      <c r="D179" s="31" t="inlineStr">
        <is>
          <t>electric equipment</t>
        </is>
      </c>
      <c r="E179" s="31" t="inlineStr">
        <is>
          <t>smallcap</t>
        </is>
      </c>
      <c r="F179" s="31" t="n">
        <v>848.17</v>
      </c>
      <c r="G179" s="31" t="n">
        <v>127.1</v>
      </c>
      <c r="H179" s="31" t="n">
        <v>-0.48</v>
      </c>
      <c r="I179" s="31" t="n">
        <v>187318</v>
      </c>
      <c r="J179" s="31" t="inlineStr">
        <is>
          <t>533193</t>
        </is>
      </c>
    </row>
    <row r="180">
      <c r="A180" s="31" t="inlineStr">
        <is>
          <t>OAL</t>
        </is>
      </c>
      <c r="B180" s="31" t="inlineStr">
        <is>
          <t>Oriental Aromatics Ltd</t>
        </is>
      </c>
      <c r="C180" s="31" t="inlineStr">
        <is>
          <t>chemicals</t>
        </is>
      </c>
      <c r="D180" s="31" t="inlineStr">
        <is>
          <t>chemicals</t>
        </is>
      </c>
      <c r="E180" s="31" t="inlineStr">
        <is>
          <t>smallcap</t>
        </is>
      </c>
      <c r="F180" s="31" t="n">
        <v>1171.31</v>
      </c>
      <c r="G180" s="31" t="n">
        <v>346.35</v>
      </c>
      <c r="H180" s="31" t="n">
        <v>-0.49</v>
      </c>
      <c r="I180" s="31" t="n">
        <v>24777</v>
      </c>
      <c r="J180" s="31" t="inlineStr">
        <is>
          <t>500078</t>
        </is>
      </c>
    </row>
    <row r="181">
      <c r="A181" s="31" t="inlineStr">
        <is>
          <t>DEEPAKFERT</t>
        </is>
      </c>
      <c r="B181" s="31" t="inlineStr">
        <is>
          <t>Deepak Fertilizers And Petrochemicals Corporation Limited</t>
        </is>
      </c>
      <c r="C181" s="31" t="inlineStr">
        <is>
          <t>chemicals</t>
        </is>
      </c>
      <c r="D181" s="31" t="inlineStr">
        <is>
          <t>chemicals</t>
        </is>
      </c>
      <c r="E181" s="31" t="inlineStr">
        <is>
          <t>largecap</t>
        </is>
      </c>
      <c r="F181" s="31" t="n">
        <v>20282.63</v>
      </c>
      <c r="G181" s="31" t="n">
        <v>1598.9</v>
      </c>
      <c r="H181" s="31" t="n">
        <v>-0.49</v>
      </c>
      <c r="I181" s="31" t="n">
        <v>145306</v>
      </c>
      <c r="J181" s="31" t="inlineStr">
        <is>
          <t>500645</t>
        </is>
      </c>
    </row>
    <row r="182">
      <c r="A182" s="31" t="inlineStr">
        <is>
          <t>NUVAMA</t>
        </is>
      </c>
      <c r="B182" s="31" t="inlineStr">
        <is>
          <t>Nuvama Wealth Management Ltd</t>
        </is>
      </c>
      <c r="C182" s="31" t="inlineStr">
        <is>
          <t>financials</t>
        </is>
      </c>
      <c r="D182" s="31" t="inlineStr">
        <is>
          <t>finance &amp; investments</t>
        </is>
      </c>
      <c r="E182" s="31" t="inlineStr">
        <is>
          <t>largecap</t>
        </is>
      </c>
      <c r="F182" s="31" t="n">
        <v>34527.15</v>
      </c>
      <c r="G182" s="31" t="n">
        <v>1882.4</v>
      </c>
      <c r="H182" s="31" t="n">
        <v>-0.49</v>
      </c>
      <c r="I182" s="31" t="n">
        <v>96364</v>
      </c>
      <c r="J182" s="31" t="inlineStr">
        <is>
          <t>543988</t>
        </is>
      </c>
    </row>
    <row r="183">
      <c r="A183" s="31" t="inlineStr">
        <is>
          <t>INDOTECH</t>
        </is>
      </c>
      <c r="B183" s="31" t="inlineStr">
        <is>
          <t>Indo Tech Transformers Limited</t>
        </is>
      </c>
      <c r="C183" s="31" t="inlineStr">
        <is>
          <t>industrials</t>
        </is>
      </c>
      <c r="D183" s="31" t="inlineStr">
        <is>
          <t>electric equipment</t>
        </is>
      </c>
      <c r="E183" s="31" t="inlineStr">
        <is>
          <t>smallcap</t>
        </is>
      </c>
      <c r="F183" s="31" t="n">
        <v>3631.19</v>
      </c>
      <c r="G183" s="31" t="n">
        <v>3402</v>
      </c>
      <c r="H183" s="31" t="n">
        <v>-0.5</v>
      </c>
      <c r="I183" s="31" t="n">
        <v>11428</v>
      </c>
      <c r="J183" s="31" t="inlineStr">
        <is>
          <t>532717</t>
        </is>
      </c>
    </row>
    <row r="184">
      <c r="A184" s="31" t="inlineStr">
        <is>
          <t>ENDURANCE</t>
        </is>
      </c>
      <c r="B184" s="31" t="inlineStr">
        <is>
          <t>Endurance Technologies Limited</t>
        </is>
      </c>
      <c r="C184" s="31" t="inlineStr">
        <is>
          <t>auto</t>
        </is>
      </c>
      <c r="D184" s="31" t="inlineStr">
        <is>
          <t>auto ancillaries</t>
        </is>
      </c>
      <c r="E184" s="31" t="inlineStr">
        <is>
          <t>largecap</t>
        </is>
      </c>
      <c r="F184" s="31" t="n">
        <v>38710.42</v>
      </c>
      <c r="G184" s="31" t="n">
        <v>2738.2</v>
      </c>
      <c r="H184" s="31" t="n">
        <v>-0.5</v>
      </c>
      <c r="I184" s="31" t="n">
        <v>83719</v>
      </c>
      <c r="J184" s="31" t="inlineStr">
        <is>
          <t>540153</t>
        </is>
      </c>
    </row>
    <row r="185">
      <c r="A185" s="31" t="inlineStr">
        <is>
          <t>PANAMAPET</t>
        </is>
      </c>
      <c r="B185" s="31" t="inlineStr">
        <is>
          <t>Panama Petrochem Limited</t>
        </is>
      </c>
      <c r="C185" s="31" t="inlineStr">
        <is>
          <t>energy</t>
        </is>
      </c>
      <c r="D185" s="31" t="inlineStr">
        <is>
          <t>petrochemicals</t>
        </is>
      </c>
      <c r="E185" s="31" t="inlineStr">
        <is>
          <t>smallcap</t>
        </is>
      </c>
      <c r="F185" s="31" t="n">
        <v>2778.77</v>
      </c>
      <c r="G185" s="31" t="n">
        <v>457</v>
      </c>
      <c r="H185" s="31" t="n">
        <v>-0.51</v>
      </c>
      <c r="I185" s="31" t="n">
        <v>91471</v>
      </c>
      <c r="J185" s="31" t="inlineStr">
        <is>
          <t>524820</t>
        </is>
      </c>
    </row>
    <row r="186">
      <c r="A186" s="31" t="inlineStr">
        <is>
          <t>BIOCON</t>
        </is>
      </c>
      <c r="B186" s="31" t="inlineStr">
        <is>
          <t>Biocon Limited</t>
        </is>
      </c>
      <c r="C186" s="31" t="inlineStr">
        <is>
          <t>healthcare</t>
        </is>
      </c>
      <c r="D186" s="31" t="inlineStr">
        <is>
          <t>pharmaceuticals - indian - bulk drugs &amp; formln</t>
        </is>
      </c>
      <c r="E186" s="31" t="inlineStr">
        <is>
          <t>largecap</t>
        </is>
      </c>
      <c r="F186" s="31" t="n">
        <v>71755.42999999999</v>
      </c>
      <c r="G186" s="31" t="n">
        <v>437.95</v>
      </c>
      <c r="H186" s="31" t="n">
        <v>-0.53</v>
      </c>
      <c r="I186" s="31" t="n">
        <v>6102944</v>
      </c>
      <c r="J186" s="31" t="inlineStr">
        <is>
          <t>532523</t>
        </is>
      </c>
    </row>
    <row r="187">
      <c r="A187" s="31" t="inlineStr">
        <is>
          <t>MACPOWER</t>
        </is>
      </c>
      <c r="B187" s="31" t="inlineStr">
        <is>
          <t>Macpower CNC Machines Ltd</t>
        </is>
      </c>
      <c r="C187" s="31" t="inlineStr">
        <is>
          <t>industrials</t>
        </is>
      </c>
      <c r="D187" s="31" t="inlineStr">
        <is>
          <t>engineering</t>
        </is>
      </c>
      <c r="E187" s="31" t="inlineStr">
        <is>
          <t>smallcap</t>
        </is>
      </c>
      <c r="F187" s="31" t="n">
        <v>1348.76</v>
      </c>
      <c r="G187" s="31" t="n">
        <v>1340.9</v>
      </c>
      <c r="H187" s="31" t="n">
        <v>-0.54</v>
      </c>
      <c r="I187" s="31" t="n">
        <v>6068</v>
      </c>
      <c r="J187" s="31" t="inlineStr">
        <is>
          <t>535057</t>
        </is>
      </c>
    </row>
    <row r="188">
      <c r="A188" s="31" t="inlineStr">
        <is>
          <t>ANANDRATHI</t>
        </is>
      </c>
      <c r="B188" s="31" t="inlineStr">
        <is>
          <t>Anand Rathi Wealth Ltd</t>
        </is>
      </c>
      <c r="C188" s="31" t="inlineStr">
        <is>
          <t>financials</t>
        </is>
      </c>
      <c r="D188" s="31" t="inlineStr">
        <is>
          <t>finance &amp; investments</t>
        </is>
      </c>
      <c r="E188" s="31" t="inlineStr">
        <is>
          <t>largecap</t>
        </is>
      </c>
      <c r="F188" s="31" t="n">
        <v>34722.55</v>
      </c>
      <c r="G188" s="31" t="n">
        <v>2079.7</v>
      </c>
      <c r="H188" s="31" t="n">
        <v>-0.55</v>
      </c>
      <c r="I188" s="31" t="n">
        <v>214463</v>
      </c>
      <c r="J188" s="31" t="inlineStr">
        <is>
          <t>543415</t>
        </is>
      </c>
    </row>
    <row r="189">
      <c r="A189" s="31" t="inlineStr">
        <is>
          <t>MOSCHIP</t>
        </is>
      </c>
      <c r="B189" s="31" t="inlineStr">
        <is>
          <t>Moschip Technologies Ltd</t>
        </is>
      </c>
      <c r="C189" s="31" t="inlineStr">
        <is>
          <t>i.t</t>
        </is>
      </c>
      <c r="D189" s="31" t="inlineStr">
        <is>
          <t>computers - hardware</t>
        </is>
      </c>
      <c r="E189" s="31" t="inlineStr">
        <is>
          <t>smallcap</t>
        </is>
      </c>
      <c r="F189" s="31" t="n">
        <v>4769.95</v>
      </c>
      <c r="G189" s="31" t="n">
        <v>243.88</v>
      </c>
      <c r="H189" s="31" t="n">
        <v>-0.57</v>
      </c>
      <c r="I189" s="31" t="n">
        <v>4332919</v>
      </c>
      <c r="J189" s="31" t="inlineStr">
        <is>
          <t>532407</t>
        </is>
      </c>
    </row>
    <row r="190">
      <c r="A190" s="31" t="inlineStr">
        <is>
          <t>IPCALAB</t>
        </is>
      </c>
      <c r="B190" s="31" t="inlineStr">
        <is>
          <t>Ipca Laboratories Limited</t>
        </is>
      </c>
      <c r="C190" s="31" t="inlineStr">
        <is>
          <t>healthcare</t>
        </is>
      </c>
      <c r="D190" s="31" t="inlineStr">
        <is>
          <t>pharmaceuticals - indian - bulk drugs &amp; formln</t>
        </is>
      </c>
      <c r="E190" s="31" t="inlineStr">
        <is>
          <t>largecap</t>
        </is>
      </c>
      <c r="F190" s="31" t="n">
        <v>45641.39</v>
      </c>
      <c r="G190" s="31" t="n">
        <v>1788.5</v>
      </c>
      <c r="H190" s="31" t="n">
        <v>-0.58</v>
      </c>
      <c r="I190" s="31" t="n">
        <v>193001</v>
      </c>
      <c r="J190" s="31" t="inlineStr">
        <is>
          <t>524494</t>
        </is>
      </c>
    </row>
    <row r="191">
      <c r="A191" s="31" t="inlineStr">
        <is>
          <t>RISHABH</t>
        </is>
      </c>
      <c r="B191" s="31" t="inlineStr">
        <is>
          <t>Rishabh Instruments Ltd</t>
        </is>
      </c>
      <c r="C191" s="31" t="inlineStr">
        <is>
          <t>industrials</t>
        </is>
      </c>
      <c r="D191" s="31" t="inlineStr">
        <is>
          <t>electric equipment</t>
        </is>
      </c>
      <c r="E191" s="31" t="inlineStr">
        <is>
          <t>smallcap</t>
        </is>
      </c>
      <c r="F191" s="31" t="n">
        <v>2515.51</v>
      </c>
      <c r="G191" s="31" t="n">
        <v>648.7</v>
      </c>
      <c r="H191" s="31" t="n">
        <v>-0.6</v>
      </c>
      <c r="I191" s="31" t="n">
        <v>164693</v>
      </c>
      <c r="J191" s="31" t="inlineStr">
        <is>
          <t>543977</t>
        </is>
      </c>
    </row>
    <row r="192">
      <c r="A192" s="31" t="inlineStr">
        <is>
          <t>SETL</t>
        </is>
      </c>
      <c r="B192" s="31" t="inlineStr">
        <is>
          <t>Standard Enginnering Technology Ltd</t>
        </is>
      </c>
      <c r="C192" s="31" t="inlineStr">
        <is>
          <t>industrials</t>
        </is>
      </c>
      <c r="D192" s="31" t="inlineStr">
        <is>
          <t>engineering</t>
        </is>
      </c>
      <c r="E192" s="31" t="inlineStr">
        <is>
          <t>midcap</t>
        </is>
      </c>
      <c r="F192" s="31" t="n">
        <v>5778.28</v>
      </c>
      <c r="G192" s="31" t="n">
        <v>287.85</v>
      </c>
      <c r="H192" s="31" t="n">
        <v>-0.62</v>
      </c>
      <c r="I192" s="31" t="n">
        <v>667256</v>
      </c>
      <c r="J192" s="31" t="inlineStr">
        <is>
          <t>544333</t>
        </is>
      </c>
    </row>
    <row r="193">
      <c r="A193" s="31" t="inlineStr">
        <is>
          <t>MMFL</t>
        </is>
      </c>
      <c r="B193" s="31" t="inlineStr">
        <is>
          <t>Mm Forgings Limited</t>
        </is>
      </c>
      <c r="C193" s="31" t="inlineStr">
        <is>
          <t>industrials</t>
        </is>
      </c>
      <c r="D193" s="31" t="inlineStr">
        <is>
          <t>castings &amp; forgings</t>
        </is>
      </c>
      <c r="E193" s="31" t="inlineStr">
        <is>
          <t>smallcap</t>
        </is>
      </c>
      <c r="F193" s="31" t="n">
        <v>2683.25</v>
      </c>
      <c r="G193" s="31" t="n">
        <v>552.1</v>
      </c>
      <c r="H193" s="31" t="n">
        <v>-0.66</v>
      </c>
      <c r="I193" s="31" t="n">
        <v>114175</v>
      </c>
      <c r="J193" s="31" t="inlineStr">
        <is>
          <t>522241</t>
        </is>
      </c>
    </row>
    <row r="194">
      <c r="A194" s="31" t="inlineStr">
        <is>
          <t>AARTIIND</t>
        </is>
      </c>
      <c r="B194" s="31" t="inlineStr">
        <is>
          <t>Aarti Industries Limited</t>
        </is>
      </c>
      <c r="C194" s="31" t="inlineStr">
        <is>
          <t>chemicals</t>
        </is>
      </c>
      <c r="D194" s="31" t="inlineStr">
        <is>
          <t>chemicals</t>
        </is>
      </c>
      <c r="E194" s="31" t="inlineStr">
        <is>
          <t>midcap</t>
        </is>
      </c>
      <c r="F194" s="31" t="n">
        <v>18118.2</v>
      </c>
      <c r="G194" s="31" t="n">
        <v>495.95</v>
      </c>
      <c r="H194" s="31" t="n">
        <v>-0.71</v>
      </c>
      <c r="I194" s="31" t="n">
        <v>875805</v>
      </c>
      <c r="J194" s="31" t="inlineStr">
        <is>
          <t>524208</t>
        </is>
      </c>
    </row>
    <row r="195">
      <c r="A195" s="31" t="inlineStr">
        <is>
          <t>RELTD</t>
        </is>
      </c>
      <c r="B195" s="31" t="inlineStr">
        <is>
          <t>Ravindra Energy Ltd</t>
        </is>
      </c>
      <c r="C195" s="31" t="inlineStr">
        <is>
          <t>industrials</t>
        </is>
      </c>
      <c r="D195" s="31" t="inlineStr">
        <is>
          <t>electric equipment</t>
        </is>
      </c>
      <c r="E195" s="31" t="inlineStr">
        <is>
          <t>smallcap</t>
        </is>
      </c>
      <c r="F195" s="31" t="n">
        <v>3499.63</v>
      </c>
      <c r="G195" s="31" t="n">
        <v>175</v>
      </c>
      <c r="H195" s="31" t="n">
        <v>-0.71</v>
      </c>
      <c r="I195" s="31" t="n">
        <v>172325</v>
      </c>
      <c r="J195" s="31" t="inlineStr">
        <is>
          <t>504341</t>
        </is>
      </c>
    </row>
    <row r="196">
      <c r="A196" s="31" t="inlineStr">
        <is>
          <t>HAPPYFORGE</t>
        </is>
      </c>
      <c r="B196" s="31" t="inlineStr">
        <is>
          <t>Happy Forgings Ltd</t>
        </is>
      </c>
      <c r="C196" s="31" t="inlineStr">
        <is>
          <t>industrials</t>
        </is>
      </c>
      <c r="D196" s="31" t="inlineStr">
        <is>
          <t>castings &amp; forgings</t>
        </is>
      </c>
      <c r="E196" s="31" t="inlineStr">
        <is>
          <t>midcap</t>
        </is>
      </c>
      <c r="F196" s="31" t="n">
        <v>15210.08</v>
      </c>
      <c r="G196" s="31" t="n">
        <v>1600</v>
      </c>
      <c r="H196" s="31" t="n">
        <v>-0.72</v>
      </c>
      <c r="I196" s="31" t="n">
        <v>30334</v>
      </c>
      <c r="J196" s="31" t="inlineStr">
        <is>
          <t>544057</t>
        </is>
      </c>
    </row>
    <row r="197">
      <c r="A197" s="31" t="inlineStr">
        <is>
          <t>DEEPAKNTR</t>
        </is>
      </c>
      <c r="B197" s="31" t="inlineStr">
        <is>
          <t>Deepak Nitrite Limited</t>
        </is>
      </c>
      <c r="C197" s="31" t="inlineStr">
        <is>
          <t>chemicals</t>
        </is>
      </c>
      <c r="D197" s="31" t="inlineStr">
        <is>
          <t>chemicals</t>
        </is>
      </c>
      <c r="E197" s="31" t="inlineStr">
        <is>
          <t>largecap</t>
        </is>
      </c>
      <c r="F197" s="31" t="n">
        <v>23300.02</v>
      </c>
      <c r="G197" s="31" t="n">
        <v>1696</v>
      </c>
      <c r="H197" s="31" t="n">
        <v>-0.72</v>
      </c>
      <c r="I197" s="31" t="n">
        <v>95795</v>
      </c>
      <c r="J197" s="31" t="inlineStr">
        <is>
          <t>506401</t>
        </is>
      </c>
    </row>
    <row r="198">
      <c r="A198" s="31" t="inlineStr">
        <is>
          <t>BHARATFORG</t>
        </is>
      </c>
      <c r="B198" s="31" t="inlineStr">
        <is>
          <t>Bharat Forge Limited</t>
        </is>
      </c>
      <c r="C198" s="31" t="inlineStr">
        <is>
          <t>industrials</t>
        </is>
      </c>
      <c r="D198" s="31" t="inlineStr">
        <is>
          <t>castings &amp; forgings</t>
        </is>
      </c>
      <c r="E198" s="31" t="inlineStr">
        <is>
          <t>largecap</t>
        </is>
      </c>
      <c r="F198" s="31" t="n">
        <v>105265.56</v>
      </c>
      <c r="G198" s="31" t="n">
        <v>2185.5</v>
      </c>
      <c r="H198" s="31" t="n">
        <v>-0.74</v>
      </c>
      <c r="I198" s="31" t="n">
        <v>796313</v>
      </c>
      <c r="J198" s="31" t="inlineStr">
        <is>
          <t>500493</t>
        </is>
      </c>
    </row>
    <row r="199">
      <c r="A199" s="31" t="inlineStr">
        <is>
          <t>EICHERMOT</t>
        </is>
      </c>
      <c r="B199" s="31" t="inlineStr">
        <is>
          <t>Eicher Motors Limited</t>
        </is>
      </c>
      <c r="C199" s="31" t="inlineStr">
        <is>
          <t>auto</t>
        </is>
      </c>
      <c r="D199" s="31" t="inlineStr">
        <is>
          <t>automobiles - motorcycles / mopeds</t>
        </is>
      </c>
      <c r="E199" s="31" t="inlineStr">
        <is>
          <t>largecap</t>
        </is>
      </c>
      <c r="F199" s="31" t="n">
        <v>210933.91</v>
      </c>
      <c r="G199" s="31" t="n">
        <v>7632</v>
      </c>
      <c r="H199" s="31" t="n">
        <v>-0.75</v>
      </c>
      <c r="I199" s="31" t="n">
        <v>409801</v>
      </c>
      <c r="J199" s="31" t="inlineStr">
        <is>
          <t>505200</t>
        </is>
      </c>
    </row>
    <row r="200">
      <c r="A200" s="31" t="inlineStr">
        <is>
          <t>HESTERBIO</t>
        </is>
      </c>
      <c r="B200" s="31" t="inlineStr">
        <is>
          <t>Hester Biosciences Limited</t>
        </is>
      </c>
      <c r="C200" s="31" t="inlineStr">
        <is>
          <t>healthcare</t>
        </is>
      </c>
      <c r="D200" s="31" t="inlineStr">
        <is>
          <t>pharmaceuticals - indian - formulations</t>
        </is>
      </c>
      <c r="E200" s="31" t="inlineStr">
        <is>
          <t>smallcap</t>
        </is>
      </c>
      <c r="F200" s="31" t="n">
        <v>2084.18</v>
      </c>
      <c r="G200" s="31" t="n">
        <v>2431.5</v>
      </c>
      <c r="H200" s="31" t="n">
        <v>-0.76</v>
      </c>
      <c r="I200" s="31" t="n">
        <v>7562</v>
      </c>
      <c r="J200" s="31" t="inlineStr">
        <is>
          <t>524669</t>
        </is>
      </c>
    </row>
    <row r="201">
      <c r="A201" s="31" t="inlineStr">
        <is>
          <t>SENORES</t>
        </is>
      </c>
      <c r="B201" s="31" t="inlineStr">
        <is>
          <t>Senores Pharmaceuticals Ltd</t>
        </is>
      </c>
      <c r="C201" s="31" t="inlineStr">
        <is>
          <t>healthcare</t>
        </is>
      </c>
      <c r="D201" s="31" t="inlineStr">
        <is>
          <t>pharmaceuticals - indian - formulations</t>
        </is>
      </c>
      <c r="E201" s="31" t="inlineStr">
        <is>
          <t>midcap</t>
        </is>
      </c>
      <c r="F201" s="31" t="n">
        <v>6465.92</v>
      </c>
      <c r="G201" s="31" t="n">
        <v>1393.4</v>
      </c>
      <c r="H201" s="31" t="n">
        <v>-0.76</v>
      </c>
      <c r="I201" s="31" t="n">
        <v>360744</v>
      </c>
      <c r="J201" s="31" t="inlineStr">
        <is>
          <t>544319</t>
        </is>
      </c>
    </row>
    <row r="202">
      <c r="A202" s="31" t="inlineStr">
        <is>
          <t>SIS</t>
        </is>
      </c>
      <c r="B202" s="31" t="inlineStr">
        <is>
          <t>Security &amp; Intelligence Services India</t>
        </is>
      </c>
      <c r="C202" s="31" t="inlineStr">
        <is>
          <t>miscellaneous</t>
        </is>
      </c>
      <c r="D202" s="31" t="inlineStr">
        <is>
          <t>miscellaneous</t>
        </is>
      </c>
      <c r="E202" s="31" t="inlineStr">
        <is>
          <t>midcap</t>
        </is>
      </c>
      <c r="F202" s="31" t="n">
        <v>6236.46</v>
      </c>
      <c r="G202" s="31" t="n">
        <v>438</v>
      </c>
      <c r="H202" s="31" t="n">
        <v>-0.78</v>
      </c>
      <c r="I202" s="31" t="n">
        <v>240919</v>
      </c>
      <c r="J202" s="31" t="inlineStr">
        <is>
          <t>540673</t>
        </is>
      </c>
    </row>
    <row r="203">
      <c r="A203" s="31" t="inlineStr">
        <is>
          <t>FEDERALBNK</t>
        </is>
      </c>
      <c r="B203" s="31" t="inlineStr">
        <is>
          <t>The Federal Bank  Limited</t>
        </is>
      </c>
      <c r="C203" s="31" t="inlineStr">
        <is>
          <t>bank</t>
        </is>
      </c>
      <c r="D203" s="31" t="inlineStr">
        <is>
          <t>banks - private sector</t>
        </is>
      </c>
      <c r="E203" s="31" t="inlineStr">
        <is>
          <t>largecap</t>
        </is>
      </c>
      <c r="F203" s="31" t="n">
        <v>87740.77</v>
      </c>
      <c r="G203" s="31" t="n">
        <v>353.25</v>
      </c>
      <c r="H203" s="31" t="n">
        <v>-0.79</v>
      </c>
      <c r="I203" s="31" t="n">
        <v>4288337</v>
      </c>
      <c r="J203" s="31" t="inlineStr">
        <is>
          <t>500469</t>
        </is>
      </c>
    </row>
    <row r="204">
      <c r="A204" s="31" t="inlineStr">
        <is>
          <t>BAJFINANCE</t>
        </is>
      </c>
      <c r="B204" s="31" t="inlineStr">
        <is>
          <t>Bajaj Finance Limited</t>
        </is>
      </c>
      <c r="C204" s="31" t="inlineStr">
        <is>
          <t>financials</t>
        </is>
      </c>
      <c r="D204" s="31" t="inlineStr">
        <is>
          <t>finance &amp; investments</t>
        </is>
      </c>
      <c r="E204" s="31" t="inlineStr">
        <is>
          <t>largecap</t>
        </is>
      </c>
      <c r="F204" s="31" t="n">
        <v>665679.03</v>
      </c>
      <c r="G204" s="31" t="n">
        <v>1060.3</v>
      </c>
      <c r="H204" s="31" t="n">
        <v>-0.83</v>
      </c>
      <c r="I204" s="31" t="n">
        <v>6757716</v>
      </c>
      <c r="J204" s="31" t="inlineStr">
        <is>
          <t>500034</t>
        </is>
      </c>
    </row>
    <row r="205">
      <c r="A205" s="31" t="inlineStr">
        <is>
          <t>WELCORP</t>
        </is>
      </c>
      <c r="B205" s="31" t="inlineStr">
        <is>
          <t>Welspun Corp Limited</t>
        </is>
      </c>
      <c r="C205" s="31" t="inlineStr">
        <is>
          <t>industrials</t>
        </is>
      </c>
      <c r="D205" s="31" t="inlineStr">
        <is>
          <t>steel - large</t>
        </is>
      </c>
      <c r="E205" s="31" t="inlineStr">
        <is>
          <t>largecap</t>
        </is>
      </c>
      <c r="F205" s="31" t="n">
        <v>42968.86</v>
      </c>
      <c r="G205" s="31" t="n">
        <v>1615</v>
      </c>
      <c r="H205" s="31" t="n">
        <v>-0.85</v>
      </c>
      <c r="I205" s="31" t="n">
        <v>340701</v>
      </c>
      <c r="J205" s="31" t="inlineStr">
        <is>
          <t>532144</t>
        </is>
      </c>
    </row>
    <row r="206">
      <c r="A206" s="31" t="inlineStr">
        <is>
          <t>SONACOMS</t>
        </is>
      </c>
      <c r="B206" s="31" t="inlineStr">
        <is>
          <t>Sona BLW Precision Forgings Ltd</t>
        </is>
      </c>
      <c r="C206" s="31" t="inlineStr">
        <is>
          <t>auto</t>
        </is>
      </c>
      <c r="D206" s="31" t="inlineStr">
        <is>
          <t>auto ancillaries</t>
        </is>
      </c>
      <c r="E206" s="31" t="inlineStr">
        <is>
          <t>largecap</t>
        </is>
      </c>
      <c r="F206" s="31" t="n">
        <v>45565.83</v>
      </c>
      <c r="G206" s="31" t="n">
        <v>726.5</v>
      </c>
      <c r="H206" s="31" t="n">
        <v>-0.85</v>
      </c>
      <c r="I206" s="31" t="n">
        <v>2080711</v>
      </c>
      <c r="J206" s="31" t="inlineStr">
        <is>
          <t>543300</t>
        </is>
      </c>
    </row>
    <row r="207">
      <c r="A207" s="31" t="inlineStr">
        <is>
          <t>APCOTEXIND</t>
        </is>
      </c>
      <c r="B207" s="31" t="inlineStr">
        <is>
          <t>Apcotex Industries Limited</t>
        </is>
      </c>
      <c r="C207" s="31" t="inlineStr">
        <is>
          <t>chemicals</t>
        </is>
      </c>
      <c r="D207" s="31" t="inlineStr">
        <is>
          <t>miscellaneous</t>
        </is>
      </c>
      <c r="E207" s="31" t="inlineStr">
        <is>
          <t>smallcap</t>
        </is>
      </c>
      <c r="F207" s="31" t="n">
        <v>2894.5</v>
      </c>
      <c r="G207" s="31" t="n">
        <v>553.5</v>
      </c>
      <c r="H207" s="31" t="n">
        <v>-0.86</v>
      </c>
      <c r="I207" s="31" t="n">
        <v>106623</v>
      </c>
      <c r="J207" s="31" t="inlineStr">
        <is>
          <t>523694</t>
        </is>
      </c>
    </row>
    <row r="208">
      <c r="A208" s="31" t="inlineStr">
        <is>
          <t>THYROCARE</t>
        </is>
      </c>
      <c r="B208" s="31" t="inlineStr">
        <is>
          <t>Thyrocare Technologies Limited</t>
        </is>
      </c>
      <c r="C208" s="31" t="inlineStr">
        <is>
          <t>healthcare</t>
        </is>
      </c>
      <c r="D208" s="31" t="inlineStr">
        <is>
          <t>healthcare</t>
        </is>
      </c>
      <c r="E208" s="31" t="inlineStr">
        <is>
          <t>midcap</t>
        </is>
      </c>
      <c r="F208" s="31" t="n">
        <v>8958.620000000001</v>
      </c>
      <c r="G208" s="31" t="n">
        <v>557.95</v>
      </c>
      <c r="H208" s="31" t="n">
        <v>-0.87</v>
      </c>
      <c r="I208" s="31" t="n">
        <v>380757</v>
      </c>
      <c r="J208" s="31" t="inlineStr">
        <is>
          <t>539871</t>
        </is>
      </c>
    </row>
    <row r="209">
      <c r="A209" s="31" t="inlineStr">
        <is>
          <t>UJJIVANSFB</t>
        </is>
      </c>
      <c r="B209" s="31" t="inlineStr">
        <is>
          <t>Ujjivan Small Finance Bank Ltd</t>
        </is>
      </c>
      <c r="C209" s="31" t="inlineStr">
        <is>
          <t>bank</t>
        </is>
      </c>
      <c r="D209" s="31" t="inlineStr">
        <is>
          <t>banks - private sector</t>
        </is>
      </c>
      <c r="E209" s="31" t="inlineStr">
        <is>
          <t>midcap</t>
        </is>
      </c>
      <c r="F209" s="31" t="n">
        <v>12766.71</v>
      </c>
      <c r="G209" s="31" t="n">
        <v>65.05</v>
      </c>
      <c r="H209" s="31" t="n">
        <v>-0.88</v>
      </c>
      <c r="I209" s="31" t="n">
        <v>8401094</v>
      </c>
      <c r="J209" s="31" t="inlineStr">
        <is>
          <t>542904</t>
        </is>
      </c>
    </row>
    <row r="210">
      <c r="A210" s="31" t="inlineStr">
        <is>
          <t>QUESS</t>
        </is>
      </c>
      <c r="B210" s="31" t="inlineStr">
        <is>
          <t>Quess Corp Limited</t>
        </is>
      </c>
      <c r="C210" s="31" t="inlineStr">
        <is>
          <t>miscellaneous</t>
        </is>
      </c>
      <c r="D210" s="31" t="inlineStr">
        <is>
          <t>diversified - large</t>
        </is>
      </c>
      <c r="E210" s="31" t="inlineStr">
        <is>
          <t>smallcap</t>
        </is>
      </c>
      <c r="F210" s="31" t="n">
        <v>4475.57</v>
      </c>
      <c r="G210" s="31" t="n">
        <v>297</v>
      </c>
      <c r="H210" s="31" t="n">
        <v>-0.88</v>
      </c>
      <c r="I210" s="31" t="n">
        <v>151374</v>
      </c>
      <c r="J210" s="31" t="inlineStr">
        <is>
          <t>539978</t>
        </is>
      </c>
    </row>
    <row r="211">
      <c r="A211" s="31" t="inlineStr">
        <is>
          <t>SUNPHARMA</t>
        </is>
      </c>
      <c r="B211" s="31" t="inlineStr">
        <is>
          <t>Sun Pharmaceuticals Industries Limited</t>
        </is>
      </c>
      <c r="C211" s="31" t="inlineStr">
        <is>
          <t>healthcare</t>
        </is>
      </c>
      <c r="D211" s="31" t="inlineStr">
        <is>
          <t>pharmaceuticals - indian - bulk drugs &amp; formln</t>
        </is>
      </c>
      <c r="E211" s="31" t="inlineStr">
        <is>
          <t>largecap</t>
        </is>
      </c>
      <c r="F211" s="31" t="n">
        <v>470725.53</v>
      </c>
      <c r="G211" s="31" t="n">
        <v>1944</v>
      </c>
      <c r="H211" s="31" t="n">
        <v>-0.91</v>
      </c>
      <c r="I211" s="31" t="n">
        <v>1718442</v>
      </c>
      <c r="J211" s="31" t="inlineStr">
        <is>
          <t>524715</t>
        </is>
      </c>
    </row>
    <row r="212">
      <c r="A212" s="31" t="inlineStr">
        <is>
          <t>ASAL</t>
        </is>
      </c>
      <c r="B212" s="31" t="inlineStr">
        <is>
          <t>Automotive Stampings And Assemblies Limited</t>
        </is>
      </c>
      <c r="C212" s="31" t="inlineStr">
        <is>
          <t>auto</t>
        </is>
      </c>
      <c r="D212" s="31" t="inlineStr">
        <is>
          <t>auto ancillaries</t>
        </is>
      </c>
      <c r="E212" s="31" t="inlineStr">
        <is>
          <t>smallcap</t>
        </is>
      </c>
      <c r="F212" s="31" t="n">
        <v>875</v>
      </c>
      <c r="G212" s="31" t="n">
        <v>546.45</v>
      </c>
      <c r="H212" s="31" t="n">
        <v>-0.92</v>
      </c>
      <c r="I212" s="31" t="n">
        <v>42154</v>
      </c>
      <c r="J212" s="31" t="inlineStr">
        <is>
          <t>520119</t>
        </is>
      </c>
    </row>
    <row r="213">
      <c r="A213" s="31" t="inlineStr">
        <is>
          <t>TALBROAUTO</t>
        </is>
      </c>
      <c r="B213" s="31" t="inlineStr">
        <is>
          <t>Talbros Automotive Components Limited</t>
        </is>
      </c>
      <c r="C213" s="31" t="inlineStr">
        <is>
          <t>auto</t>
        </is>
      </c>
      <c r="D213" s="31" t="inlineStr">
        <is>
          <t>auto ancillaries</t>
        </is>
      </c>
      <c r="E213" s="31" t="inlineStr">
        <is>
          <t>smallcap</t>
        </is>
      </c>
      <c r="F213" s="31" t="n">
        <v>2545.36</v>
      </c>
      <c r="G213" s="31" t="n">
        <v>408.5</v>
      </c>
      <c r="H213" s="31" t="n">
        <v>-0.93</v>
      </c>
      <c r="I213" s="31" t="n">
        <v>104682</v>
      </c>
      <c r="J213" s="31" t="inlineStr">
        <is>
          <t>505160</t>
        </is>
      </c>
    </row>
    <row r="214">
      <c r="A214" s="31" t="inlineStr">
        <is>
          <t>MRPL</t>
        </is>
      </c>
      <c r="B214" s="31" t="inlineStr">
        <is>
          <t>Mangalore Refinery And Petrochemicals Limited</t>
        </is>
      </c>
      <c r="C214" s="31" t="inlineStr">
        <is>
          <t>energy</t>
        </is>
      </c>
      <c r="D214" s="31" t="inlineStr">
        <is>
          <t>refineries</t>
        </is>
      </c>
      <c r="E214" s="31" t="inlineStr">
        <is>
          <t>largecap</t>
        </is>
      </c>
      <c r="F214" s="31" t="n">
        <v>30900.07</v>
      </c>
      <c r="G214" s="31" t="n">
        <v>174.66</v>
      </c>
      <c r="H214" s="31" t="n">
        <v>-0.9399999999999999</v>
      </c>
      <c r="I214" s="31" t="n">
        <v>16106437</v>
      </c>
      <c r="J214" s="31" t="inlineStr">
        <is>
          <t>500109</t>
        </is>
      </c>
    </row>
    <row r="215">
      <c r="A215" s="31" t="inlineStr">
        <is>
          <t>CHOICEIN</t>
        </is>
      </c>
      <c r="B215" s="31" t="inlineStr">
        <is>
          <t>Choice International Ltd</t>
        </is>
      </c>
      <c r="C215" s="31" t="inlineStr">
        <is>
          <t>financials</t>
        </is>
      </c>
      <c r="D215" s="31" t="inlineStr">
        <is>
          <t>finance &amp; investments</t>
        </is>
      </c>
      <c r="E215" s="31" t="inlineStr">
        <is>
          <t>midcap</t>
        </is>
      </c>
      <c r="F215" s="31" t="n">
        <v>18198.61</v>
      </c>
      <c r="G215" s="31" t="n">
        <v>809.2</v>
      </c>
      <c r="H215" s="31" t="n">
        <v>-0.9399999999999999</v>
      </c>
      <c r="I215" s="31" t="n">
        <v>265602</v>
      </c>
      <c r="J215" s="31" t="inlineStr">
        <is>
          <t>531358</t>
        </is>
      </c>
    </row>
    <row r="216">
      <c r="A216" s="31" t="inlineStr">
        <is>
          <t>TMB</t>
        </is>
      </c>
      <c r="B216" s="31" t="inlineStr">
        <is>
          <t>Tamilnad Mercantile Bank Ltd</t>
        </is>
      </c>
      <c r="C216" s="31" t="inlineStr">
        <is>
          <t>bank</t>
        </is>
      </c>
      <c r="D216" s="31" t="inlineStr">
        <is>
          <t>banks - private sector</t>
        </is>
      </c>
      <c r="E216" s="31" t="inlineStr">
        <is>
          <t>midcap</t>
        </is>
      </c>
      <c r="F216" s="31" t="n">
        <v>12960.27</v>
      </c>
      <c r="G216" s="31" t="n">
        <v>810.65</v>
      </c>
      <c r="H216" s="31" t="n">
        <v>-0.95</v>
      </c>
      <c r="I216" s="31" t="n">
        <v>105660</v>
      </c>
      <c r="J216" s="31" t="inlineStr">
        <is>
          <t>543596</t>
        </is>
      </c>
    </row>
    <row r="217">
      <c r="A217" s="31" t="inlineStr">
        <is>
          <t>ITDC</t>
        </is>
      </c>
      <c r="B217" s="31" t="inlineStr">
        <is>
          <t>India Tourism Development Corporation Ltd</t>
        </is>
      </c>
      <c r="C217" s="31" t="inlineStr">
        <is>
          <t>services</t>
        </is>
      </c>
      <c r="D217" s="31" t="inlineStr">
        <is>
          <t>hotels</t>
        </is>
      </c>
      <c r="E217" s="31" t="inlineStr">
        <is>
          <t>midcap</t>
        </is>
      </c>
      <c r="F217" s="31" t="n">
        <v>6496.17</v>
      </c>
      <c r="G217" s="31" t="n">
        <v>750.15</v>
      </c>
      <c r="H217" s="31" t="n">
        <v>-0.96</v>
      </c>
      <c r="I217" s="31" t="n">
        <v>1158152</v>
      </c>
      <c r="J217" s="31" t="inlineStr">
        <is>
          <t>532189</t>
        </is>
      </c>
    </row>
    <row r="218">
      <c r="A218" s="31" t="inlineStr">
        <is>
          <t>LAURUSLABS</t>
        </is>
      </c>
      <c r="B218" s="31" t="inlineStr">
        <is>
          <t>Laurus Labs Limited</t>
        </is>
      </c>
      <c r="C218" s="31" t="inlineStr">
        <is>
          <t>healthcare</t>
        </is>
      </c>
      <c r="D218" s="31" t="inlineStr">
        <is>
          <t>pharmaceuticals - indian - bulk drugs &amp; formln</t>
        </is>
      </c>
      <c r="E218" s="31" t="inlineStr">
        <is>
          <t>largecap</t>
        </is>
      </c>
      <c r="F218" s="31" t="n">
        <v>86009.95</v>
      </c>
      <c r="G218" s="31" t="n">
        <v>1577.8</v>
      </c>
      <c r="H218" s="31" t="n">
        <v>-0.97</v>
      </c>
      <c r="I218" s="31" t="n">
        <v>1183090</v>
      </c>
      <c r="J218" s="31" t="inlineStr">
        <is>
          <t>540222</t>
        </is>
      </c>
    </row>
    <row r="219">
      <c r="A219" s="31" t="inlineStr">
        <is>
          <t>BHARTIHEXA</t>
        </is>
      </c>
      <c r="B219" s="31" t="inlineStr">
        <is>
          <t>Bharti Hexacom Ltd</t>
        </is>
      </c>
      <c r="C219" s="31" t="inlineStr">
        <is>
          <t>telecom-service</t>
        </is>
      </c>
      <c r="D219" s="31" t="inlineStr">
        <is>
          <t>telecommunications - service provider</t>
        </is>
      </c>
      <c r="E219" s="31" t="inlineStr">
        <is>
          <t>largecap</t>
        </is>
      </c>
      <c r="F219" s="31" t="n">
        <v>82555</v>
      </c>
      <c r="G219" s="31" t="n">
        <v>1635</v>
      </c>
      <c r="H219" s="31" t="n">
        <v>-0.98</v>
      </c>
      <c r="I219" s="31" t="n">
        <v>40608</v>
      </c>
      <c r="J219" s="31" t="inlineStr">
        <is>
          <t>544162</t>
        </is>
      </c>
    </row>
    <row r="220">
      <c r="A220" s="31" t="inlineStr">
        <is>
          <t>AVL</t>
        </is>
      </c>
      <c r="B220" s="31" t="inlineStr">
        <is>
          <t>Aditya Vision Ltd</t>
        </is>
      </c>
      <c r="C220" s="31" t="inlineStr">
        <is>
          <t>consumer discretionary</t>
        </is>
      </c>
      <c r="D220" s="31" t="inlineStr">
        <is>
          <t>trading</t>
        </is>
      </c>
      <c r="E220" s="31" t="inlineStr">
        <is>
          <t>midcap</t>
        </is>
      </c>
      <c r="F220" s="31" t="n">
        <v>8286.139999999999</v>
      </c>
      <c r="G220" s="31" t="n">
        <v>635.35</v>
      </c>
      <c r="H220" s="31" t="n">
        <v>-0.98</v>
      </c>
      <c r="I220" s="31" t="n">
        <v>96379</v>
      </c>
      <c r="J220" s="31" t="inlineStr">
        <is>
          <t>540205</t>
        </is>
      </c>
    </row>
    <row r="221">
      <c r="A221" s="31" t="inlineStr">
        <is>
          <t>ADANIENSOL</t>
        </is>
      </c>
      <c r="B221" s="31" t="inlineStr">
        <is>
          <t>Adani Energy Solutions Ltd</t>
        </is>
      </c>
      <c r="C221" s="31" t="inlineStr">
        <is>
          <t>power &amp; utilities</t>
        </is>
      </c>
      <c r="D221" s="31" t="inlineStr">
        <is>
          <t>power generation and supply</t>
        </is>
      </c>
      <c r="E221" s="31" t="inlineStr">
        <is>
          <t>largecap</t>
        </is>
      </c>
      <c r="F221" s="31" t="n">
        <v>209215.38</v>
      </c>
      <c r="G221" s="31" t="n">
        <v>1724.4</v>
      </c>
      <c r="H221" s="31" t="n">
        <v>-0.99</v>
      </c>
      <c r="I221" s="31" t="n">
        <v>2410541</v>
      </c>
      <c r="J221" s="31" t="inlineStr">
        <is>
          <t>539254</t>
        </is>
      </c>
    </row>
    <row r="222">
      <c r="A222" s="31" t="inlineStr">
        <is>
          <t>SOLARINDS</t>
        </is>
      </c>
      <c r="B222" s="31" t="inlineStr">
        <is>
          <t>Solar Industries India Limited</t>
        </is>
      </c>
      <c r="C222" s="31" t="inlineStr">
        <is>
          <t>aerospace &amp; defence</t>
        </is>
      </c>
      <c r="D222" s="31" t="inlineStr">
        <is>
          <t>chemicals</t>
        </is>
      </c>
      <c r="E222" s="31" t="inlineStr">
        <is>
          <t>largecap</t>
        </is>
      </c>
      <c r="F222" s="31" t="n">
        <v>172338.31</v>
      </c>
      <c r="G222" s="31" t="n">
        <v>18856</v>
      </c>
      <c r="H222" s="31" t="n">
        <v>-0.99</v>
      </c>
      <c r="I222" s="31" t="n">
        <v>80467</v>
      </c>
      <c r="J222" s="31" t="inlineStr">
        <is>
          <t>532725</t>
        </is>
      </c>
    </row>
    <row r="223">
      <c r="A223" s="31" t="inlineStr">
        <is>
          <t>KOPRAN</t>
        </is>
      </c>
      <c r="B223" s="31" t="inlineStr">
        <is>
          <t>Kopran Limited</t>
        </is>
      </c>
      <c r="C223" s="31" t="inlineStr">
        <is>
          <t>healthcare</t>
        </is>
      </c>
      <c r="D223" s="31" t="inlineStr">
        <is>
          <t>pharmaceuticals - indian - bulk drugs &amp; formln</t>
        </is>
      </c>
      <c r="E223" s="31" t="inlineStr">
        <is>
          <t>smallcap</t>
        </is>
      </c>
      <c r="F223" s="31" t="n">
        <v>985.0700000000001</v>
      </c>
      <c r="G223" s="31" t="n">
        <v>202</v>
      </c>
      <c r="H223" s="31" t="n">
        <v>-0.99</v>
      </c>
      <c r="I223" s="31" t="n">
        <v>140470</v>
      </c>
      <c r="J223" s="31" t="inlineStr">
        <is>
          <t>524280</t>
        </is>
      </c>
    </row>
    <row r="224">
      <c r="A224" s="31" t="inlineStr">
        <is>
          <t>PGHL</t>
        </is>
      </c>
      <c r="B224" s="31" t="inlineStr">
        <is>
          <t>Procter &amp; Gamble Health Ltd</t>
        </is>
      </c>
      <c r="C224" s="31" t="inlineStr">
        <is>
          <t>healthcare</t>
        </is>
      </c>
      <c r="D224" s="31" t="inlineStr">
        <is>
          <t>pharmaceuticals - multinational</t>
        </is>
      </c>
      <c r="E224" s="31" t="inlineStr">
        <is>
          <t>midcap</t>
        </is>
      </c>
      <c r="F224" s="31" t="n">
        <v>11253.55</v>
      </c>
      <c r="G224" s="31" t="n">
        <v>6712</v>
      </c>
      <c r="H224" s="31" t="n">
        <v>-1</v>
      </c>
      <c r="I224" s="31" t="n">
        <v>5616</v>
      </c>
      <c r="J224" s="31" t="inlineStr">
        <is>
          <t>500126</t>
        </is>
      </c>
    </row>
    <row r="225">
      <c r="A225" s="31" t="inlineStr">
        <is>
          <t>TECHM</t>
        </is>
      </c>
      <c r="B225" s="31" t="inlineStr">
        <is>
          <t>Tech Mahindra Limited</t>
        </is>
      </c>
      <c r="C225" s="31" t="inlineStr">
        <is>
          <t>i.t</t>
        </is>
      </c>
      <c r="D225" s="31" t="inlineStr">
        <is>
          <t>computers - software - large</t>
        </is>
      </c>
      <c r="E225" s="31" t="inlineStr">
        <is>
          <t>largecap</t>
        </is>
      </c>
      <c r="F225" s="31" t="n">
        <v>154452.38</v>
      </c>
      <c r="G225" s="31" t="n">
        <v>1560.6</v>
      </c>
      <c r="H225" s="31" t="n">
        <v>-1</v>
      </c>
      <c r="I225" s="31" t="n">
        <v>975928</v>
      </c>
      <c r="J225" s="31" t="inlineStr">
        <is>
          <t>532755</t>
        </is>
      </c>
    </row>
    <row r="226">
      <c r="A226" s="31" t="inlineStr">
        <is>
          <t>HEG</t>
        </is>
      </c>
      <c r="B226" s="31" t="inlineStr">
        <is>
          <t>Heg Limited</t>
        </is>
      </c>
      <c r="C226" s="31" t="inlineStr">
        <is>
          <t>industrials</t>
        </is>
      </c>
      <c r="D226" s="31" t="inlineStr">
        <is>
          <t>electrodes - graphites</t>
        </is>
      </c>
      <c r="E226" s="31" t="inlineStr">
        <is>
          <t>midcap</t>
        </is>
      </c>
      <c r="F226" s="31" t="n">
        <v>11674.18</v>
      </c>
      <c r="G226" s="31" t="n">
        <v>598.85</v>
      </c>
      <c r="H226" s="31" t="n">
        <v>-1.01</v>
      </c>
      <c r="I226" s="31" t="n">
        <v>1035151</v>
      </c>
      <c r="J226" s="31" t="inlineStr">
        <is>
          <t>509631</t>
        </is>
      </c>
    </row>
    <row r="227">
      <c r="A227" s="31" t="inlineStr">
        <is>
          <t>PICCADIL</t>
        </is>
      </c>
      <c r="B227" s="31" t="inlineStr">
        <is>
          <t>Piccadily Agro Industries Ltd</t>
        </is>
      </c>
      <c r="C227" s="31" t="inlineStr">
        <is>
          <t>fmcg</t>
        </is>
      </c>
      <c r="D227" s="31" t="inlineStr">
        <is>
          <t>breweries &amp; distilleries</t>
        </is>
      </c>
      <c r="E227" s="31" t="inlineStr">
        <is>
          <t>midcap</t>
        </is>
      </c>
      <c r="F227" s="31" t="n">
        <v>7431.85</v>
      </c>
      <c r="G227" s="31" t="n">
        <v>746</v>
      </c>
      <c r="H227" s="31" t="n">
        <v>-1.05</v>
      </c>
      <c r="I227" s="31" t="n">
        <v>181403</v>
      </c>
      <c r="J227" s="31" t="inlineStr">
        <is>
          <t>530305</t>
        </is>
      </c>
    </row>
    <row r="228">
      <c r="A228" s="31" t="inlineStr">
        <is>
          <t>GEECEE</t>
        </is>
      </c>
      <c r="B228" s="31" t="inlineStr">
        <is>
          <t>Geecee Ventures Limited</t>
        </is>
      </c>
      <c r="C228" s="31" t="inlineStr">
        <is>
          <t>financials</t>
        </is>
      </c>
      <c r="D228" s="31" t="inlineStr">
        <is>
          <t>finance &amp; investments</t>
        </is>
      </c>
      <c r="E228" s="31" t="inlineStr">
        <is>
          <t>smallcap</t>
        </is>
      </c>
      <c r="F228" s="31" t="n">
        <v>741.53</v>
      </c>
      <c r="G228" s="31" t="n">
        <v>350.85</v>
      </c>
      <c r="H228" s="31" t="n">
        <v>-1.06</v>
      </c>
      <c r="I228" s="31" t="n">
        <v>3825</v>
      </c>
      <c r="J228" s="31" t="inlineStr">
        <is>
          <t>532764</t>
        </is>
      </c>
    </row>
    <row r="229">
      <c r="A229" s="31" t="inlineStr">
        <is>
          <t>HNDFDS</t>
        </is>
      </c>
      <c r="B229" s="31" t="inlineStr">
        <is>
          <t>Hindustan Foods Ltd</t>
        </is>
      </c>
      <c r="C229" s="31" t="inlineStr">
        <is>
          <t>fmcg</t>
        </is>
      </c>
      <c r="D229" s="31" t="inlineStr">
        <is>
          <t>diversified - large</t>
        </is>
      </c>
      <c r="E229" s="31" t="inlineStr">
        <is>
          <t>midcap</t>
        </is>
      </c>
      <c r="F229" s="31" t="n">
        <v>6811.06</v>
      </c>
      <c r="G229" s="31" t="n">
        <v>564</v>
      </c>
      <c r="H229" s="31" t="n">
        <v>-1.06</v>
      </c>
      <c r="I229" s="31" t="n">
        <v>38383</v>
      </c>
      <c r="J229" s="31" t="inlineStr">
        <is>
          <t>519126</t>
        </is>
      </c>
    </row>
    <row r="230">
      <c r="A230" s="31" t="inlineStr">
        <is>
          <t>ADANIENT</t>
        </is>
      </c>
      <c r="B230" s="31" t="inlineStr">
        <is>
          <t>Adani Enterprises Limited</t>
        </is>
      </c>
      <c r="C230" s="31" t="inlineStr">
        <is>
          <t>services</t>
        </is>
      </c>
      <c r="D230" s="31" t="inlineStr">
        <is>
          <t>trading</t>
        </is>
      </c>
      <c r="E230" s="31" t="inlineStr">
        <is>
          <t>largecap</t>
        </is>
      </c>
      <c r="F230" s="31" t="n">
        <v>430849.29</v>
      </c>
      <c r="G230" s="31" t="n">
        <v>3147.7</v>
      </c>
      <c r="H230" s="31" t="n">
        <v>-1.1</v>
      </c>
      <c r="I230" s="31" t="n">
        <v>977466</v>
      </c>
      <c r="J230" s="31" t="inlineStr">
        <is>
          <t>512599</t>
        </is>
      </c>
    </row>
    <row r="231">
      <c r="A231" s="31" t="inlineStr">
        <is>
          <t>MONARCH</t>
        </is>
      </c>
      <c r="B231" s="31" t="inlineStr">
        <is>
          <t>Monarch Networth Capital Ltd</t>
        </is>
      </c>
      <c r="C231" s="31" t="inlineStr">
        <is>
          <t>financials</t>
        </is>
      </c>
      <c r="D231" s="31" t="inlineStr">
        <is>
          <t>finance &amp; investments</t>
        </is>
      </c>
      <c r="E231" s="31" t="inlineStr">
        <is>
          <t>smallcap</t>
        </is>
      </c>
      <c r="F231" s="31" t="n">
        <v>2854.7</v>
      </c>
      <c r="G231" s="31" t="n">
        <v>356</v>
      </c>
      <c r="H231" s="31" t="n">
        <v>-1.1</v>
      </c>
      <c r="I231" s="31" t="n">
        <v>38483</v>
      </c>
      <c r="J231" s="31" t="inlineStr">
        <is>
          <t>511551</t>
        </is>
      </c>
    </row>
    <row r="232">
      <c r="A232" s="31" t="inlineStr">
        <is>
          <t>IDFCFIRSTB</t>
        </is>
      </c>
      <c r="B232" s="31" t="inlineStr">
        <is>
          <t>IDFC First Bank Ltd</t>
        </is>
      </c>
      <c r="C232" s="31" t="inlineStr">
        <is>
          <t>bank</t>
        </is>
      </c>
      <c r="D232" s="31" t="inlineStr">
        <is>
          <t>banks - private sector</t>
        </is>
      </c>
      <c r="E232" s="31" t="inlineStr">
        <is>
          <t>largecap</t>
        </is>
      </c>
      <c r="F232" s="31" t="n">
        <v>70347.92999999999</v>
      </c>
      <c r="G232" s="31" t="n">
        <v>80.72</v>
      </c>
      <c r="H232" s="31" t="n">
        <v>-1.15</v>
      </c>
      <c r="I232" s="31" t="n">
        <v>13767564</v>
      </c>
      <c r="J232" s="31" t="inlineStr">
        <is>
          <t>539437</t>
        </is>
      </c>
    </row>
    <row r="233">
      <c r="A233" s="31" t="inlineStr">
        <is>
          <t>RSWM</t>
        </is>
      </c>
      <c r="B233" s="31" t="inlineStr">
        <is>
          <t>Rswm Limited</t>
        </is>
      </c>
      <c r="C233" s="31" t="inlineStr">
        <is>
          <t>textiles</t>
        </is>
      </c>
      <c r="D233" s="31" t="inlineStr">
        <is>
          <t>textiles - cotton/blended</t>
        </is>
      </c>
      <c r="E233" s="31" t="inlineStr">
        <is>
          <t>smallcap</t>
        </is>
      </c>
      <c r="F233" s="31" t="n">
        <v>1011.51</v>
      </c>
      <c r="G233" s="31" t="n">
        <v>212.27</v>
      </c>
      <c r="H233" s="31" t="n">
        <v>-1.15</v>
      </c>
      <c r="I233" s="31" t="n">
        <v>31663</v>
      </c>
      <c r="J233" s="31" t="inlineStr">
        <is>
          <t>500350</t>
        </is>
      </c>
    </row>
    <row r="234">
      <c r="A234" s="31" t="inlineStr">
        <is>
          <t>SUBEXLTD</t>
        </is>
      </c>
      <c r="B234" s="31" t="inlineStr">
        <is>
          <t>Subex Ltd</t>
        </is>
      </c>
      <c r="C234" s="31" t="inlineStr">
        <is>
          <t>i.t</t>
        </is>
      </c>
      <c r="D234" s="31" t="inlineStr">
        <is>
          <t>computers - software - medium / small</t>
        </is>
      </c>
      <c r="E234" s="31" t="inlineStr">
        <is>
          <t>smallcap</t>
        </is>
      </c>
      <c r="F234" s="31" t="n">
        <v>721.61</v>
      </c>
      <c r="G234" s="31" t="n">
        <v>12.69</v>
      </c>
      <c r="H234" s="31" t="n">
        <v>-1.17</v>
      </c>
      <c r="I234" s="31" t="n">
        <v>356165</v>
      </c>
      <c r="J234" s="31" t="inlineStr">
        <is>
          <t>532348</t>
        </is>
      </c>
    </row>
    <row r="235">
      <c r="A235" s="31" t="inlineStr">
        <is>
          <t>NAVINFLUOR</t>
        </is>
      </c>
      <c r="B235" s="31" t="inlineStr">
        <is>
          <t>Navin Fluorine International Limited</t>
        </is>
      </c>
      <c r="C235" s="31" t="inlineStr">
        <is>
          <t>chemicals</t>
        </is>
      </c>
      <c r="D235" s="31" t="inlineStr">
        <is>
          <t>chemicals</t>
        </is>
      </c>
      <c r="E235" s="31" t="inlineStr">
        <is>
          <t>largecap</t>
        </is>
      </c>
      <c r="F235" s="31" t="n">
        <v>40394.13</v>
      </c>
      <c r="G235" s="31" t="n">
        <v>7789</v>
      </c>
      <c r="H235" s="31" t="n">
        <v>-1.18</v>
      </c>
      <c r="I235" s="31" t="n">
        <v>188907</v>
      </c>
      <c r="J235" s="31" t="inlineStr">
        <is>
          <t>532504</t>
        </is>
      </c>
    </row>
    <row r="236">
      <c r="A236" s="31" t="inlineStr">
        <is>
          <t>TATVA</t>
        </is>
      </c>
      <c r="B236" s="31" t="inlineStr">
        <is>
          <t>Tatva Chintan Pharma Chem Ltd</t>
        </is>
      </c>
      <c r="C236" s="31" t="inlineStr">
        <is>
          <t>chemicals</t>
        </is>
      </c>
      <c r="D236" s="31" t="inlineStr">
        <is>
          <t>chemicals</t>
        </is>
      </c>
      <c r="E236" s="31" t="inlineStr">
        <is>
          <t>smallcap</t>
        </is>
      </c>
      <c r="F236" s="31" t="n">
        <v>3941.56</v>
      </c>
      <c r="G236" s="31" t="n">
        <v>1664.9</v>
      </c>
      <c r="H236" s="31" t="n">
        <v>-1.19</v>
      </c>
      <c r="I236" s="31" t="n">
        <v>351417</v>
      </c>
      <c r="J236" s="31" t="inlineStr">
        <is>
          <t>543321</t>
        </is>
      </c>
    </row>
    <row r="237">
      <c r="A237" s="31" t="inlineStr">
        <is>
          <t>SANSERA</t>
        </is>
      </c>
      <c r="B237" s="31" t="inlineStr">
        <is>
          <t>Sansera Engineering Ltd</t>
        </is>
      </c>
      <c r="C237" s="31" t="inlineStr">
        <is>
          <t>auto</t>
        </is>
      </c>
      <c r="D237" s="31" t="inlineStr">
        <is>
          <t>auto ancillaries</t>
        </is>
      </c>
      <c r="E237" s="31" t="inlineStr">
        <is>
          <t>largecap</t>
        </is>
      </c>
      <c r="F237" s="31" t="n">
        <v>20560.1</v>
      </c>
      <c r="G237" s="31" t="n">
        <v>3255.2</v>
      </c>
      <c r="H237" s="31" t="n">
        <v>-1.2</v>
      </c>
      <c r="I237" s="31" t="n">
        <v>181630</v>
      </c>
      <c r="J237" s="31" t="inlineStr">
        <is>
          <t>543358</t>
        </is>
      </c>
    </row>
    <row r="238">
      <c r="A238" s="31" t="inlineStr">
        <is>
          <t>INDIAGLYCO</t>
        </is>
      </c>
      <c r="B238" s="31" t="inlineStr">
        <is>
          <t>India Glycols Limited</t>
        </is>
      </c>
      <c r="C238" s="31" t="inlineStr">
        <is>
          <t>fmcg</t>
        </is>
      </c>
      <c r="D238" s="31" t="inlineStr">
        <is>
          <t>breweries &amp; distilleries</t>
        </is>
      </c>
      <c r="E238" s="31" t="inlineStr">
        <is>
          <t>midcap</t>
        </is>
      </c>
      <c r="F238" s="31" t="n">
        <v>7734.55</v>
      </c>
      <c r="G238" s="31" t="n">
        <v>1140</v>
      </c>
      <c r="H238" s="31" t="n">
        <v>-1.21</v>
      </c>
      <c r="I238" s="31" t="n">
        <v>86466</v>
      </c>
      <c r="J238" s="31" t="inlineStr">
        <is>
          <t>500201</t>
        </is>
      </c>
    </row>
    <row r="239">
      <c r="A239" s="31" t="inlineStr">
        <is>
          <t>VADILALIND</t>
        </is>
      </c>
      <c r="B239" s="31" t="inlineStr">
        <is>
          <t>Vadilal Industries Limited</t>
        </is>
      </c>
      <c r="C239" s="31" t="inlineStr">
        <is>
          <t>fmcg</t>
        </is>
      </c>
      <c r="D239" s="31" t="inlineStr">
        <is>
          <t>food - processing - indian</t>
        </is>
      </c>
      <c r="E239" s="31" t="inlineStr">
        <is>
          <t>smallcap</t>
        </is>
      </c>
      <c r="F239" s="31" t="n">
        <v>4899.94</v>
      </c>
      <c r="G239" s="31" t="n">
        <v>6732.5</v>
      </c>
      <c r="H239" s="31" t="n">
        <v>-1.24</v>
      </c>
      <c r="I239" s="31" t="n">
        <v>7711</v>
      </c>
      <c r="J239" s="31" t="inlineStr">
        <is>
          <t>519156</t>
        </is>
      </c>
    </row>
    <row r="240">
      <c r="A240" s="31" t="inlineStr">
        <is>
          <t>ESAFSFB</t>
        </is>
      </c>
      <c r="B240" s="31" t="inlineStr">
        <is>
          <t>ESAF Small Finance Bank Ltd</t>
        </is>
      </c>
      <c r="C240" s="31" t="inlineStr">
        <is>
          <t>bank</t>
        </is>
      </c>
      <c r="D240" s="31" t="inlineStr">
        <is>
          <t>banks - private sector</t>
        </is>
      </c>
      <c r="E240" s="31" t="inlineStr">
        <is>
          <t>smallcap</t>
        </is>
      </c>
      <c r="F240" s="31" t="n">
        <v>1864.64</v>
      </c>
      <c r="G240" s="31" t="n">
        <v>35.71</v>
      </c>
      <c r="H240" s="31" t="n">
        <v>-1.24</v>
      </c>
      <c r="I240" s="31" t="n">
        <v>1759969</v>
      </c>
      <c r="J240" s="31" t="inlineStr">
        <is>
          <t>544020</t>
        </is>
      </c>
    </row>
    <row r="241">
      <c r="A241" s="31" t="inlineStr">
        <is>
          <t>BAJAJFINSV</t>
        </is>
      </c>
      <c r="B241" s="31" t="inlineStr">
        <is>
          <t>Bajaj Finserv Limited</t>
        </is>
      </c>
      <c r="C241" s="31" t="inlineStr">
        <is>
          <t>financials</t>
        </is>
      </c>
      <c r="D241" s="31" t="inlineStr">
        <is>
          <t>finance &amp; investments</t>
        </is>
      </c>
      <c r="E241" s="31" t="inlineStr">
        <is>
          <t>largecap</t>
        </is>
      </c>
      <c r="F241" s="31" t="n">
        <v>304200.53</v>
      </c>
      <c r="G241" s="31" t="n">
        <v>1876.4</v>
      </c>
      <c r="H241" s="31" t="n">
        <v>-1.27</v>
      </c>
      <c r="I241" s="31" t="n">
        <v>1023902</v>
      </c>
      <c r="J241" s="31" t="inlineStr">
        <is>
          <t>532978</t>
        </is>
      </c>
    </row>
    <row r="242">
      <c r="A242" s="31" t="inlineStr">
        <is>
          <t>AVADHSUGAR</t>
        </is>
      </c>
      <c r="B242" s="31" t="inlineStr">
        <is>
          <t>Avadh Sugar &amp; Energy</t>
        </is>
      </c>
      <c r="C242" s="31" t="inlineStr">
        <is>
          <t>fmcg</t>
        </is>
      </c>
      <c r="D242" s="31" t="inlineStr">
        <is>
          <t>sugar</t>
        </is>
      </c>
      <c r="E242" s="31" t="inlineStr">
        <is>
          <t>smallcap</t>
        </is>
      </c>
      <c r="F242" s="31" t="n">
        <v>1105.42</v>
      </c>
      <c r="G242" s="31" t="n">
        <v>545</v>
      </c>
      <c r="H242" s="31" t="n">
        <v>-1.3</v>
      </c>
      <c r="I242" s="31" t="n">
        <v>23128</v>
      </c>
      <c r="J242" s="31" t="inlineStr">
        <is>
          <t>540649</t>
        </is>
      </c>
    </row>
    <row r="243">
      <c r="A243" s="31" t="inlineStr">
        <is>
          <t>JINDWORLD</t>
        </is>
      </c>
      <c r="B243" s="31" t="inlineStr">
        <is>
          <t>Jindal Worldwide Limited</t>
        </is>
      </c>
      <c r="C243" s="31" t="inlineStr">
        <is>
          <t>textiles</t>
        </is>
      </c>
      <c r="D243" s="31" t="inlineStr">
        <is>
          <t>textiles - products</t>
        </is>
      </c>
      <c r="E243" s="31" t="inlineStr">
        <is>
          <t>smallcap</t>
        </is>
      </c>
      <c r="F243" s="31" t="n">
        <v>3773.79</v>
      </c>
      <c r="G243" s="31" t="n">
        <v>37.15</v>
      </c>
      <c r="H243" s="31" t="n">
        <v>-1.3</v>
      </c>
      <c r="I243" s="31" t="n">
        <v>59990718</v>
      </c>
      <c r="J243" s="31" t="inlineStr">
        <is>
          <t>531543</t>
        </is>
      </c>
    </row>
    <row r="244">
      <c r="A244" s="31" t="inlineStr">
        <is>
          <t>SUNDRMFAST</t>
        </is>
      </c>
      <c r="B244" s="31" t="inlineStr">
        <is>
          <t>Sundram Fasteners Limited</t>
        </is>
      </c>
      <c r="C244" s="31" t="inlineStr">
        <is>
          <t>auto</t>
        </is>
      </c>
      <c r="D244" s="31" t="inlineStr">
        <is>
          <t>auto ancillaries</t>
        </is>
      </c>
      <c r="E244" s="31" t="inlineStr">
        <is>
          <t>largecap</t>
        </is>
      </c>
      <c r="F244" s="31" t="n">
        <v>20276.34</v>
      </c>
      <c r="G244" s="31" t="n">
        <v>952.25</v>
      </c>
      <c r="H244" s="31" t="n">
        <v>-1.32</v>
      </c>
      <c r="I244" s="31" t="n">
        <v>37161</v>
      </c>
      <c r="J244" s="31" t="inlineStr">
        <is>
          <t>500403</t>
        </is>
      </c>
    </row>
    <row r="245">
      <c r="A245" s="31" t="inlineStr">
        <is>
          <t>INDOSTAR</t>
        </is>
      </c>
      <c r="B245" s="31" t="inlineStr">
        <is>
          <t>Indostar Capital Finance Ltd</t>
        </is>
      </c>
      <c r="C245" s="31" t="inlineStr">
        <is>
          <t>financials</t>
        </is>
      </c>
      <c r="D245" s="31" t="inlineStr">
        <is>
          <t>finance &amp; investments</t>
        </is>
      </c>
      <c r="E245" s="31" t="inlineStr">
        <is>
          <t>smallcap</t>
        </is>
      </c>
      <c r="F245" s="31" t="n">
        <v>4372.49</v>
      </c>
      <c r="G245" s="31" t="n">
        <v>267</v>
      </c>
      <c r="H245" s="31" t="n">
        <v>-1.33</v>
      </c>
      <c r="I245" s="31" t="n">
        <v>76355</v>
      </c>
      <c r="J245" s="31" t="inlineStr">
        <is>
          <t>541336</t>
        </is>
      </c>
    </row>
    <row r="246">
      <c r="A246" s="31" t="inlineStr">
        <is>
          <t>VISHNU</t>
        </is>
      </c>
      <c r="B246" s="31" t="inlineStr">
        <is>
          <t>Vishnu Chemicals Limited</t>
        </is>
      </c>
      <c r="C246" s="31" t="inlineStr">
        <is>
          <t>chemicals</t>
        </is>
      </c>
      <c r="D246" s="31" t="inlineStr">
        <is>
          <t>chemicals</t>
        </is>
      </c>
      <c r="E246" s="31" t="inlineStr">
        <is>
          <t>smallcap</t>
        </is>
      </c>
      <c r="F246" s="31" t="n">
        <v>4311.21</v>
      </c>
      <c r="G246" s="31" t="n">
        <v>631.7</v>
      </c>
      <c r="H246" s="31" t="n">
        <v>-1.37</v>
      </c>
      <c r="I246" s="31" t="n">
        <v>193966</v>
      </c>
      <c r="J246" s="31" t="inlineStr">
        <is>
          <t>516072</t>
        </is>
      </c>
    </row>
    <row r="247">
      <c r="A247" s="31" t="inlineStr">
        <is>
          <t>KICL</t>
        </is>
      </c>
      <c r="B247" s="31" t="inlineStr">
        <is>
          <t>Kalyani Investment Company Limited</t>
        </is>
      </c>
      <c r="C247" s="31" t="inlineStr">
        <is>
          <t>financials</t>
        </is>
      </c>
      <c r="D247" s="31" t="inlineStr">
        <is>
          <t>finance &amp; investments</t>
        </is>
      </c>
      <c r="E247" s="31" t="inlineStr">
        <is>
          <t>smallcap</t>
        </is>
      </c>
      <c r="F247" s="31" t="n">
        <v>2430.17</v>
      </c>
      <c r="G247" s="31" t="n">
        <v>5490</v>
      </c>
      <c r="H247" s="31" t="n">
        <v>-1.38</v>
      </c>
      <c r="I247" s="31" t="n">
        <v>888</v>
      </c>
      <c r="J247" s="31" t="inlineStr">
        <is>
          <t>533302</t>
        </is>
      </c>
    </row>
    <row r="248">
      <c r="A248" s="31" t="inlineStr">
        <is>
          <t>SOTL</t>
        </is>
      </c>
      <c r="B248" s="31" t="inlineStr">
        <is>
          <t>Savita Oil Technologies Limited</t>
        </is>
      </c>
      <c r="C248" s="31" t="inlineStr">
        <is>
          <t>energy</t>
        </is>
      </c>
      <c r="D248" s="31" t="inlineStr">
        <is>
          <t>petrochemicals</t>
        </is>
      </c>
      <c r="E248" s="31" t="inlineStr">
        <is>
          <t>smallcap</t>
        </is>
      </c>
      <c r="F248" s="31" t="n">
        <v>4125.62</v>
      </c>
      <c r="G248" s="31" t="n">
        <v>593</v>
      </c>
      <c r="H248" s="31" t="n">
        <v>-1.45</v>
      </c>
      <c r="I248" s="31" t="n">
        <v>171529</v>
      </c>
      <c r="J248" s="31" t="inlineStr">
        <is>
          <t>524667</t>
        </is>
      </c>
    </row>
    <row r="249">
      <c r="A249" s="31" t="inlineStr">
        <is>
          <t>DALMIASUG</t>
        </is>
      </c>
      <c r="B249" s="31" t="inlineStr">
        <is>
          <t>Dalmia Bharat Sugar And Industries Limited</t>
        </is>
      </c>
      <c r="C249" s="31" t="inlineStr">
        <is>
          <t>fmcg</t>
        </is>
      </c>
      <c r="D249" s="31" t="inlineStr">
        <is>
          <t>sugar</t>
        </is>
      </c>
      <c r="E249" s="31" t="inlineStr">
        <is>
          <t>smallcap</t>
        </is>
      </c>
      <c r="F249" s="31" t="n">
        <v>2998.4</v>
      </c>
      <c r="G249" s="31" t="n">
        <v>365.05</v>
      </c>
      <c r="H249" s="31" t="n">
        <v>-1.46</v>
      </c>
      <c r="I249" s="31" t="n">
        <v>156105</v>
      </c>
      <c r="J249" s="31" t="inlineStr">
        <is>
          <t>500097</t>
        </is>
      </c>
    </row>
    <row r="250">
      <c r="A250" s="31" t="inlineStr">
        <is>
          <t>GHCLTEXTIL</t>
        </is>
      </c>
      <c r="B250" s="31" t="inlineStr">
        <is>
          <t>GHCL Textiles Ltd</t>
        </is>
      </c>
      <c r="C250" s="31" t="inlineStr">
        <is>
          <t>textiles</t>
        </is>
      </c>
      <c r="D250" s="31" t="inlineStr">
        <is>
          <t>textiles - spinning - synthetic / blended</t>
        </is>
      </c>
      <c r="E250" s="31" t="inlineStr">
        <is>
          <t>smallcap</t>
        </is>
      </c>
      <c r="F250" s="31" t="n">
        <v>1120.74</v>
      </c>
      <c r="G250" s="31" t="n">
        <v>115.5</v>
      </c>
      <c r="H250" s="31" t="n">
        <v>-1.49</v>
      </c>
      <c r="I250" s="31" t="n">
        <v>788254</v>
      </c>
      <c r="J250" s="31" t="inlineStr">
        <is>
          <t>543918</t>
        </is>
      </c>
    </row>
    <row r="251">
      <c r="A251" s="31" t="inlineStr">
        <is>
          <t>MUTHOOTMF</t>
        </is>
      </c>
      <c r="B251" s="31" t="inlineStr">
        <is>
          <t>Muthoot Microfin Ltd</t>
        </is>
      </c>
      <c r="C251" s="31" t="inlineStr">
        <is>
          <t>financials</t>
        </is>
      </c>
      <c r="D251" s="31" t="inlineStr">
        <is>
          <t>finance &amp; investments</t>
        </is>
      </c>
      <c r="E251" s="31" t="inlineStr">
        <is>
          <t>smallcap</t>
        </is>
      </c>
      <c r="F251" s="31" t="n">
        <v>4335.62</v>
      </c>
      <c r="G251" s="31" t="n">
        <v>250.51</v>
      </c>
      <c r="H251" s="31" t="n">
        <v>-1.49</v>
      </c>
      <c r="I251" s="31" t="n">
        <v>548460</v>
      </c>
      <c r="J251" s="31" t="inlineStr">
        <is>
          <t>544055</t>
        </is>
      </c>
    </row>
    <row r="252">
      <c r="A252" s="31" t="inlineStr">
        <is>
          <t>NAUKRI</t>
        </is>
      </c>
      <c r="B252" s="31" t="inlineStr">
        <is>
          <t>Info Edge (india) Limited</t>
        </is>
      </c>
      <c r="C252" s="31" t="inlineStr">
        <is>
          <t>i.t</t>
        </is>
      </c>
      <c r="D252" s="31" t="inlineStr">
        <is>
          <t>miscellaneous</t>
        </is>
      </c>
      <c r="E252" s="31" t="inlineStr">
        <is>
          <t>largecap</t>
        </is>
      </c>
      <c r="F252" s="31" t="n">
        <v>78309.75999999999</v>
      </c>
      <c r="G252" s="31" t="n">
        <v>1189.3</v>
      </c>
      <c r="H252" s="31" t="n">
        <v>-1.52</v>
      </c>
      <c r="I252" s="31" t="n">
        <v>1736169</v>
      </c>
      <c r="J252" s="31" t="inlineStr">
        <is>
          <t>532777</t>
        </is>
      </c>
    </row>
    <row r="253">
      <c r="A253" s="31" t="inlineStr">
        <is>
          <t>ICICIBANK</t>
        </is>
      </c>
      <c r="B253" s="31" t="inlineStr">
        <is>
          <t>Icici Bank Limited</t>
        </is>
      </c>
      <c r="C253" s="31" t="inlineStr">
        <is>
          <t>bank</t>
        </is>
      </c>
      <c r="D253" s="31" t="inlineStr">
        <is>
          <t>banks - private sector</t>
        </is>
      </c>
      <c r="E253" s="31" t="inlineStr">
        <is>
          <t>largecap</t>
        </is>
      </c>
      <c r="F253" s="31" t="n">
        <v>1049571.72</v>
      </c>
      <c r="G253" s="31" t="n">
        <v>1440.7</v>
      </c>
      <c r="H253" s="31" t="n">
        <v>-1.53</v>
      </c>
      <c r="I253" s="31" t="n">
        <v>8345203</v>
      </c>
      <c r="J253" s="31" t="inlineStr">
        <is>
          <t>532174</t>
        </is>
      </c>
    </row>
    <row r="254">
      <c r="A254" s="31" t="inlineStr">
        <is>
          <t>ATHERENERG</t>
        </is>
      </c>
      <c r="B254" s="31" t="inlineStr">
        <is>
          <t>Ather Energy Ltd</t>
        </is>
      </c>
      <c r="C254" s="31" t="inlineStr">
        <is>
          <t>auto</t>
        </is>
      </c>
      <c r="D254" s="31" t="inlineStr">
        <is>
          <t>automobiles - scooters and 3 - wheelers</t>
        </is>
      </c>
      <c r="E254" s="31" t="inlineStr">
        <is>
          <t>largecap</t>
        </is>
      </c>
      <c r="F254" s="31" t="n">
        <v>49361.31</v>
      </c>
      <c r="G254" s="31" t="n">
        <v>1268.2</v>
      </c>
      <c r="H254" s="31" t="n">
        <v>-1.57</v>
      </c>
      <c r="I254" s="31" t="n">
        <v>2691662</v>
      </c>
      <c r="J254" s="31" t="inlineStr">
        <is>
          <t>544397</t>
        </is>
      </c>
    </row>
    <row r="255">
      <c r="A255" s="31" t="inlineStr">
        <is>
          <t>KMEW</t>
        </is>
      </c>
      <c r="B255" s="31" t="inlineStr">
        <is>
          <t>Knowledge Marine &amp; Engineering Works Ltd</t>
        </is>
      </c>
      <c r="C255" s="31" t="inlineStr">
        <is>
          <t>transportation</t>
        </is>
      </c>
      <c r="D255" s="31" t="inlineStr">
        <is>
          <t>miscellaneous</t>
        </is>
      </c>
      <c r="E255" s="31" t="inlineStr">
        <is>
          <t>midcap</t>
        </is>
      </c>
      <c r="F255" s="31" t="n">
        <v>5993.21</v>
      </c>
      <c r="G255" s="31" t="n">
        <v>2412.1</v>
      </c>
      <c r="H255" s="31" t="n">
        <v>-1.62</v>
      </c>
      <c r="I255" s="31" t="n">
        <v>30157</v>
      </c>
      <c r="J255" s="31" t="inlineStr">
        <is>
          <t>543273</t>
        </is>
      </c>
    </row>
    <row r="256">
      <c r="A256" s="31" t="inlineStr">
        <is>
          <t>RANEHOLDIN</t>
        </is>
      </c>
      <c r="B256" s="31" t="inlineStr">
        <is>
          <t>Rane Holdings Limited</t>
        </is>
      </c>
      <c r="C256" s="31" t="inlineStr">
        <is>
          <t>financials</t>
        </is>
      </c>
      <c r="D256" s="31" t="inlineStr">
        <is>
          <t>finance &amp; investments</t>
        </is>
      </c>
      <c r="E256" s="31" t="inlineStr">
        <is>
          <t>smallcap</t>
        </is>
      </c>
      <c r="F256" s="31" t="n">
        <v>2514.18</v>
      </c>
      <c r="G256" s="31" t="n">
        <v>1732.3</v>
      </c>
      <c r="H256" s="31" t="n">
        <v>-1.62</v>
      </c>
      <c r="I256" s="31" t="n">
        <v>10128</v>
      </c>
      <c r="J256" s="31" t="inlineStr">
        <is>
          <t>505800</t>
        </is>
      </c>
    </row>
    <row r="257">
      <c r="A257" s="31" t="inlineStr">
        <is>
          <t>PHOENIXLTD</t>
        </is>
      </c>
      <c r="B257" s="31" t="inlineStr">
        <is>
          <t>The Phoenix Mills Limited</t>
        </is>
      </c>
      <c r="C257" s="31" t="inlineStr">
        <is>
          <t>realty</t>
        </is>
      </c>
      <c r="D257" s="31" t="inlineStr">
        <is>
          <t>construction</t>
        </is>
      </c>
      <c r="E257" s="31" t="inlineStr">
        <is>
          <t>largecap</t>
        </is>
      </c>
      <c r="F257" s="31" t="n">
        <v>74789.78</v>
      </c>
      <c r="G257" s="31" t="n">
        <v>2057.2</v>
      </c>
      <c r="H257" s="31" t="n">
        <v>-1.63</v>
      </c>
      <c r="I257" s="31" t="n">
        <v>470021</v>
      </c>
      <c r="J257" s="31" t="inlineStr">
        <is>
          <t>503100</t>
        </is>
      </c>
    </row>
    <row r="258">
      <c r="A258" s="31" t="inlineStr">
        <is>
          <t>KKCL</t>
        </is>
      </c>
      <c r="B258" s="31" t="inlineStr">
        <is>
          <t>Kewal Kiran Clothing Limited</t>
        </is>
      </c>
      <c r="C258" s="31" t="inlineStr">
        <is>
          <t>consumer discretionary</t>
        </is>
      </c>
      <c r="D258" s="31" t="inlineStr">
        <is>
          <t>textiles - products</t>
        </is>
      </c>
      <c r="E258" s="31" t="inlineStr">
        <is>
          <t>smallcap</t>
        </is>
      </c>
      <c r="F258" s="31" t="n">
        <v>3151.51</v>
      </c>
      <c r="G258" s="31" t="n">
        <v>503</v>
      </c>
      <c r="H258" s="31" t="n">
        <v>-1.64</v>
      </c>
      <c r="I258" s="31" t="n">
        <v>27158</v>
      </c>
      <c r="J258" s="31" t="inlineStr">
        <is>
          <t>532732</t>
        </is>
      </c>
    </row>
    <row r="259">
      <c r="A259" s="31" t="inlineStr">
        <is>
          <t>CAPITALSFB</t>
        </is>
      </c>
      <c r="B259" s="31" t="inlineStr">
        <is>
          <t>Capital Small Finance Bank Ltd</t>
        </is>
      </c>
      <c r="C259" s="31" t="inlineStr">
        <is>
          <t>bank</t>
        </is>
      </c>
      <c r="D259" s="31" t="inlineStr">
        <is>
          <t>banks - private sector</t>
        </is>
      </c>
      <c r="E259" s="31" t="inlineStr">
        <is>
          <t>smallcap</t>
        </is>
      </c>
      <c r="F259" s="31" t="n">
        <v>1386.92</v>
      </c>
      <c r="G259" s="31" t="n">
        <v>300</v>
      </c>
      <c r="H259" s="31" t="n">
        <v>-1.66</v>
      </c>
      <c r="I259" s="31" t="n">
        <v>48191</v>
      </c>
      <c r="J259" s="31" t="n"/>
    </row>
    <row r="260">
      <c r="A260" s="31" t="inlineStr">
        <is>
          <t>JSFB</t>
        </is>
      </c>
      <c r="B260" s="31" t="inlineStr">
        <is>
          <t>Jana Small Finance Bank Ltd</t>
        </is>
      </c>
      <c r="C260" s="31" t="inlineStr">
        <is>
          <t>bank</t>
        </is>
      </c>
      <c r="D260" s="31" t="inlineStr">
        <is>
          <t>banks - private sector</t>
        </is>
      </c>
      <c r="E260" s="31" t="inlineStr">
        <is>
          <t>midcap</t>
        </is>
      </c>
      <c r="F260" s="31" t="n">
        <v>5915.95</v>
      </c>
      <c r="G260" s="31" t="n">
        <v>552.25</v>
      </c>
      <c r="H260" s="31" t="n">
        <v>-1.66</v>
      </c>
      <c r="I260" s="31" t="n">
        <v>760115</v>
      </c>
      <c r="J260" s="31" t="n"/>
    </row>
    <row r="261">
      <c r="A261" s="31" t="inlineStr">
        <is>
          <t>ULTRACEMCO</t>
        </is>
      </c>
      <c r="B261" s="31" t="inlineStr">
        <is>
          <t>Ultratech Cement Limited</t>
        </is>
      </c>
      <c r="C261" s="31" t="inlineStr">
        <is>
          <t>building materials</t>
        </is>
      </c>
      <c r="D261" s="31" t="inlineStr">
        <is>
          <t>cement - north india</t>
        </is>
      </c>
      <c r="E261" s="31" t="inlineStr">
        <is>
          <t>largecap</t>
        </is>
      </c>
      <c r="F261" s="31" t="n">
        <v>356384.99</v>
      </c>
      <c r="G261" s="31" t="n">
        <v>11893</v>
      </c>
      <c r="H261" s="31" t="n">
        <v>-1.66</v>
      </c>
      <c r="I261" s="31" t="n">
        <v>283753</v>
      </c>
      <c r="J261" s="31" t="inlineStr">
        <is>
          <t>532538</t>
        </is>
      </c>
    </row>
    <row r="262">
      <c r="A262" s="31" t="inlineStr">
        <is>
          <t>VENKEYS</t>
        </is>
      </c>
      <c r="B262" s="31" t="inlineStr">
        <is>
          <t>Venky's (india) Limited</t>
        </is>
      </c>
      <c r="C262" s="31" t="inlineStr">
        <is>
          <t>fmcg</t>
        </is>
      </c>
      <c r="D262" s="31" t="inlineStr">
        <is>
          <t>miscellaneous</t>
        </is>
      </c>
      <c r="E262" s="31" t="inlineStr">
        <is>
          <t>smallcap</t>
        </is>
      </c>
      <c r="F262" s="31" t="n">
        <v>2152.12</v>
      </c>
      <c r="G262" s="31" t="n">
        <v>1502.1</v>
      </c>
      <c r="H262" s="31" t="n">
        <v>-1.68</v>
      </c>
      <c r="I262" s="31" t="n">
        <v>21658</v>
      </c>
      <c r="J262" s="31" t="inlineStr">
        <is>
          <t>523261</t>
        </is>
      </c>
    </row>
    <row r="263">
      <c r="A263" s="31" t="inlineStr">
        <is>
          <t>TFCILTD</t>
        </is>
      </c>
      <c r="B263" s="31" t="inlineStr">
        <is>
          <t>Tourism Finance Corporation Of India Limited</t>
        </is>
      </c>
      <c r="C263" s="31" t="inlineStr">
        <is>
          <t>financials</t>
        </is>
      </c>
      <c r="D263" s="31" t="inlineStr">
        <is>
          <t>finance - term-lending institutions</t>
        </is>
      </c>
      <c r="E263" s="31" t="inlineStr">
        <is>
          <t>smallcap</t>
        </is>
      </c>
      <c r="F263" s="31" t="n">
        <v>3852.43</v>
      </c>
      <c r="G263" s="31" t="n">
        <v>81.81</v>
      </c>
      <c r="H263" s="31" t="n">
        <v>-1.68</v>
      </c>
      <c r="I263" s="31" t="n">
        <v>6962756</v>
      </c>
      <c r="J263" s="31" t="inlineStr">
        <is>
          <t>526650</t>
        </is>
      </c>
    </row>
    <row r="264">
      <c r="A264" s="31" t="inlineStr">
        <is>
          <t>PLASTIBLEN</t>
        </is>
      </c>
      <c r="B264" s="31" t="inlineStr">
        <is>
          <t>Plastiblends India Limited</t>
        </is>
      </c>
      <c r="C264" s="31" t="inlineStr">
        <is>
          <t>chemicals</t>
        </is>
      </c>
      <c r="D264" s="31" t="inlineStr">
        <is>
          <t>chemicals</t>
        </is>
      </c>
      <c r="E264" s="31" t="inlineStr">
        <is>
          <t>smallcap</t>
        </is>
      </c>
      <c r="F264" s="31" t="n">
        <v>514.17</v>
      </c>
      <c r="G264" s="31" t="n">
        <v>194.41</v>
      </c>
      <c r="H264" s="31" t="n">
        <v>-1.73</v>
      </c>
      <c r="I264" s="31" t="n">
        <v>97457</v>
      </c>
      <c r="J264" s="31" t="inlineStr">
        <is>
          <t>523648</t>
        </is>
      </c>
    </row>
    <row r="265">
      <c r="A265" s="31" t="inlineStr">
        <is>
          <t>IKIO</t>
        </is>
      </c>
      <c r="B265" s="31" t="inlineStr">
        <is>
          <t>IKIO Lighting Ltd</t>
        </is>
      </c>
      <c r="C265" s="31" t="inlineStr">
        <is>
          <t>consumer discretionary</t>
        </is>
      </c>
      <c r="D265" s="31" t="inlineStr">
        <is>
          <t>electric equipment</t>
        </is>
      </c>
      <c r="E265" s="31" t="inlineStr">
        <is>
          <t>smallcap</t>
        </is>
      </c>
      <c r="F265" s="31" t="n">
        <v>1673.13</v>
      </c>
      <c r="G265" s="31" t="n">
        <v>212.73</v>
      </c>
      <c r="H265" s="31" t="n">
        <v>-1.74</v>
      </c>
      <c r="I265" s="31" t="n">
        <v>592869</v>
      </c>
      <c r="J265" s="31" t="inlineStr">
        <is>
          <t>543923</t>
        </is>
      </c>
    </row>
    <row r="266">
      <c r="A266" s="31" t="inlineStr">
        <is>
          <t>HTMEDIA</t>
        </is>
      </c>
      <c r="B266" s="31" t="inlineStr">
        <is>
          <t>Ht Media Limited</t>
        </is>
      </c>
      <c r="C266" s="31" t="inlineStr">
        <is>
          <t>media</t>
        </is>
      </c>
      <c r="D266" s="31" t="inlineStr">
        <is>
          <t>entertainment / electronic media software</t>
        </is>
      </c>
      <c r="E266" s="31" t="inlineStr">
        <is>
          <t>smallcap</t>
        </is>
      </c>
      <c r="F266" s="31" t="n">
        <v>610.33</v>
      </c>
      <c r="G266" s="31" t="n">
        <v>25.75</v>
      </c>
      <c r="H266" s="31" t="n">
        <v>-1.79</v>
      </c>
      <c r="I266" s="31" t="n">
        <v>89161</v>
      </c>
      <c r="J266" s="31" t="inlineStr">
        <is>
          <t>532662</t>
        </is>
      </c>
    </row>
    <row r="267">
      <c r="A267" s="31" t="inlineStr">
        <is>
          <t>JGCHEM</t>
        </is>
      </c>
      <c r="B267" s="31" t="inlineStr">
        <is>
          <t>J.G.Chemicals Ltd</t>
        </is>
      </c>
      <c r="C267" s="31" t="inlineStr">
        <is>
          <t>chemicals</t>
        </is>
      </c>
      <c r="D267" s="31" t="inlineStr">
        <is>
          <t>chemicals</t>
        </is>
      </c>
      <c r="E267" s="31" t="inlineStr">
        <is>
          <t>smallcap</t>
        </is>
      </c>
      <c r="F267" s="31" t="n">
        <v>1933.24</v>
      </c>
      <c r="G267" s="31" t="n">
        <v>484.45</v>
      </c>
      <c r="H267" s="31" t="n">
        <v>-1.8</v>
      </c>
      <c r="I267" s="31" t="n">
        <v>210523</v>
      </c>
      <c r="J267" s="31" t="n"/>
    </row>
    <row r="268">
      <c r="A268" s="31" t="inlineStr">
        <is>
          <t>KTKBANK</t>
        </is>
      </c>
      <c r="B268" s="31" t="inlineStr">
        <is>
          <t>The Karnataka Bank Limited</t>
        </is>
      </c>
      <c r="C268" s="31" t="inlineStr">
        <is>
          <t>bank</t>
        </is>
      </c>
      <c r="D268" s="31" t="inlineStr">
        <is>
          <t>banks - private sector</t>
        </is>
      </c>
      <c r="E268" s="31" t="inlineStr">
        <is>
          <t>midcap</t>
        </is>
      </c>
      <c r="F268" s="31" t="n">
        <v>10638.86</v>
      </c>
      <c r="G268" s="31" t="n">
        <v>276.25</v>
      </c>
      <c r="H268" s="31" t="n">
        <v>-1.8</v>
      </c>
      <c r="I268" s="31" t="n">
        <v>2902375</v>
      </c>
      <c r="J268" s="31" t="inlineStr">
        <is>
          <t>532652</t>
        </is>
      </c>
    </row>
    <row r="269">
      <c r="A269" s="31" t="inlineStr">
        <is>
          <t>SHRIPISTON</t>
        </is>
      </c>
      <c r="B269" s="31" t="inlineStr">
        <is>
          <t>Shriram Pistons &amp; Rings Limited</t>
        </is>
      </c>
      <c r="C269" s="31" t="inlineStr">
        <is>
          <t>auto</t>
        </is>
      </c>
      <c r="D269" s="31" t="inlineStr">
        <is>
          <t>auto ancillaries</t>
        </is>
      </c>
      <c r="E269" s="31" t="inlineStr">
        <is>
          <t>midcap</t>
        </is>
      </c>
      <c r="F269" s="31" t="n">
        <v>19713.62</v>
      </c>
      <c r="G269" s="31" t="n">
        <v>4394.4</v>
      </c>
      <c r="H269" s="31" t="n">
        <v>-1.81</v>
      </c>
      <c r="I269" s="31" t="n">
        <v>100693</v>
      </c>
      <c r="J269" s="31" t="n"/>
    </row>
    <row r="270">
      <c r="A270" s="31" t="inlineStr">
        <is>
          <t>STOVEKRAFT</t>
        </is>
      </c>
      <c r="B270" s="31" t="inlineStr">
        <is>
          <t>Stove Kraft Ltd</t>
        </is>
      </c>
      <c r="C270" s="31" t="inlineStr">
        <is>
          <t>consumer discretionary</t>
        </is>
      </c>
      <c r="D270" s="31" t="inlineStr">
        <is>
          <t>domestic appliances</t>
        </is>
      </c>
      <c r="E270" s="31" t="inlineStr">
        <is>
          <t>smallcap</t>
        </is>
      </c>
      <c r="F270" s="31" t="n">
        <v>2571.61</v>
      </c>
      <c r="G270" s="31" t="n">
        <v>762.65</v>
      </c>
      <c r="H270" s="31" t="n">
        <v>-1.82</v>
      </c>
      <c r="I270" s="31" t="n">
        <v>59708</v>
      </c>
      <c r="J270" s="31" t="inlineStr">
        <is>
          <t>543260</t>
        </is>
      </c>
    </row>
    <row r="271">
      <c r="A271" s="31" t="inlineStr">
        <is>
          <t>GODREJIND</t>
        </is>
      </c>
      <c r="B271" s="31" t="inlineStr">
        <is>
          <t>Godrej Industries Limited</t>
        </is>
      </c>
      <c r="C271" s="31" t="inlineStr">
        <is>
          <t>chemicals</t>
        </is>
      </c>
      <c r="D271" s="31" t="inlineStr">
        <is>
          <t>chemicals</t>
        </is>
      </c>
      <c r="E271" s="31" t="inlineStr">
        <is>
          <t>largecap</t>
        </is>
      </c>
      <c r="F271" s="31" t="n">
        <v>46495.91</v>
      </c>
      <c r="G271" s="31" t="n">
        <v>1354.9</v>
      </c>
      <c r="H271" s="31" t="n">
        <v>-1.85</v>
      </c>
      <c r="I271" s="31" t="n">
        <v>100923</v>
      </c>
      <c r="J271" s="31" t="inlineStr">
        <is>
          <t>500164</t>
        </is>
      </c>
    </row>
    <row r="272">
      <c r="A272" s="31" t="inlineStr">
        <is>
          <t>INDSWFTLAB</t>
        </is>
      </c>
      <c r="B272" s="31" t="inlineStr">
        <is>
          <t>Ind-swift Laboratories Limited</t>
        </is>
      </c>
      <c r="C272" s="31" t="inlineStr">
        <is>
          <t>healthcare</t>
        </is>
      </c>
      <c r="D272" s="31" t="inlineStr">
        <is>
          <t>pharmaceuticals - indian - bulk drugs &amp; formln</t>
        </is>
      </c>
      <c r="E272" s="31" t="inlineStr">
        <is>
          <t>smallcap</t>
        </is>
      </c>
      <c r="F272" s="31" t="n">
        <v>2063.24</v>
      </c>
      <c r="G272" s="31" t="n">
        <v>233.07</v>
      </c>
      <c r="H272" s="31" t="n">
        <v>-1.91</v>
      </c>
      <c r="I272" s="31" t="n">
        <v>447639</v>
      </c>
      <c r="J272" s="31" t="inlineStr">
        <is>
          <t>532305</t>
        </is>
      </c>
    </row>
    <row r="273">
      <c r="A273" s="31" t="inlineStr">
        <is>
          <t>ADOR</t>
        </is>
      </c>
      <c r="B273" s="31" t="inlineStr">
        <is>
          <t>Ador Welding Ltd</t>
        </is>
      </c>
      <c r="C273" s="31" t="inlineStr">
        <is>
          <t>industrials</t>
        </is>
      </c>
      <c r="D273" s="31" t="inlineStr">
        <is>
          <t>electrodes - welding equipment</t>
        </is>
      </c>
      <c r="E273" s="31" t="inlineStr">
        <is>
          <t>smallcap</t>
        </is>
      </c>
      <c r="F273" s="31" t="n">
        <v>2622.95</v>
      </c>
      <c r="G273" s="31" t="n">
        <v>1477.9</v>
      </c>
      <c r="H273" s="31" t="n">
        <v>-1.94</v>
      </c>
      <c r="I273" s="31" t="n">
        <v>292235</v>
      </c>
      <c r="J273" s="31" t="inlineStr">
        <is>
          <t>517041</t>
        </is>
      </c>
    </row>
    <row r="274">
      <c r="A274" s="31" t="inlineStr">
        <is>
          <t>EMCURE</t>
        </is>
      </c>
      <c r="B274" s="31" t="inlineStr">
        <is>
          <t>Emcure Pharmaceuticals Ltd</t>
        </is>
      </c>
      <c r="C274" s="31" t="inlineStr">
        <is>
          <t>healthcare</t>
        </is>
      </c>
      <c r="D274" s="31" t="inlineStr">
        <is>
          <t>pharmaceuticals - indian - bulk drugs &amp; formln</t>
        </is>
      </c>
      <c r="E274" s="31" t="inlineStr">
        <is>
          <t>largecap</t>
        </is>
      </c>
      <c r="F274" s="31" t="n">
        <v>36486.51</v>
      </c>
      <c r="G274" s="31" t="n">
        <v>1886.5</v>
      </c>
      <c r="H274" s="31" t="n">
        <v>-1.97</v>
      </c>
      <c r="I274" s="31" t="n">
        <v>110499</v>
      </c>
      <c r="J274" s="31" t="inlineStr">
        <is>
          <t>544210</t>
        </is>
      </c>
    </row>
    <row r="275">
      <c r="A275" s="31" t="inlineStr">
        <is>
          <t>PSPPROJECT</t>
        </is>
      </c>
      <c r="B275" s="31" t="inlineStr">
        <is>
          <t>PSP Projects Ltd</t>
        </is>
      </c>
      <c r="C275" s="31" t="inlineStr">
        <is>
          <t>realty</t>
        </is>
      </c>
      <c r="D275" s="31" t="inlineStr">
        <is>
          <t>construction</t>
        </is>
      </c>
      <c r="E275" s="31" t="inlineStr">
        <is>
          <t>smallcap</t>
        </is>
      </c>
      <c r="F275" s="31" t="n">
        <v>4271.01</v>
      </c>
      <c r="G275" s="31" t="n">
        <v>1056</v>
      </c>
      <c r="H275" s="31" t="n">
        <v>-1.99</v>
      </c>
      <c r="I275" s="31" t="n">
        <v>38310</v>
      </c>
      <c r="J275" s="31" t="inlineStr">
        <is>
          <t>540544</t>
        </is>
      </c>
    </row>
    <row r="276">
      <c r="A276" s="31" t="inlineStr">
        <is>
          <t>SHREECEM</t>
        </is>
      </c>
      <c r="B276" s="31" t="inlineStr">
        <is>
          <t>Shree Cements Limited</t>
        </is>
      </c>
      <c r="C276" s="31" t="inlineStr">
        <is>
          <t>building materials</t>
        </is>
      </c>
      <c r="D276" s="31" t="inlineStr">
        <is>
          <t>cement - north india</t>
        </is>
      </c>
      <c r="E276" s="31" t="inlineStr">
        <is>
          <t>largecap</t>
        </is>
      </c>
      <c r="F276" s="31" t="n">
        <v>98302</v>
      </c>
      <c r="G276" s="31" t="n">
        <v>26690</v>
      </c>
      <c r="H276" s="31" t="n">
        <v>-2.04</v>
      </c>
      <c r="I276" s="31" t="n">
        <v>11740</v>
      </c>
      <c r="J276" s="31" t="inlineStr">
        <is>
          <t>500387</t>
        </is>
      </c>
    </row>
    <row r="277">
      <c r="A277" s="31" t="inlineStr">
        <is>
          <t>CUPID</t>
        </is>
      </c>
      <c r="B277" s="31" t="inlineStr">
        <is>
          <t>Cupid Limited</t>
        </is>
      </c>
      <c r="C277" s="31" t="inlineStr">
        <is>
          <t>fmcg</t>
        </is>
      </c>
      <c r="D277" s="31" t="inlineStr">
        <is>
          <t>personal care - indian</t>
        </is>
      </c>
      <c r="E277" s="31" t="inlineStr">
        <is>
          <t>largecap</t>
        </is>
      </c>
      <c r="F277" s="31" t="n">
        <v>28405.96</v>
      </c>
      <c r="G277" s="31" t="n">
        <v>206.9</v>
      </c>
      <c r="H277" s="31" t="n">
        <v>-2.06</v>
      </c>
      <c r="I277" s="31" t="n">
        <v>26836688</v>
      </c>
      <c r="J277" s="31" t="inlineStr">
        <is>
          <t>530843</t>
        </is>
      </c>
    </row>
    <row r="278">
      <c r="A278" s="31" t="inlineStr">
        <is>
          <t>SREEL</t>
        </is>
      </c>
      <c r="B278" s="31" t="inlineStr">
        <is>
          <t>Sreeleathers Limited</t>
        </is>
      </c>
      <c r="C278" s="31" t="inlineStr">
        <is>
          <t>consumer discretionary</t>
        </is>
      </c>
      <c r="D278" s="31" t="inlineStr">
        <is>
          <t>trading</t>
        </is>
      </c>
      <c r="E278" s="31" t="inlineStr">
        <is>
          <t>smallcap</t>
        </is>
      </c>
      <c r="F278" s="31" t="n">
        <v>533.47</v>
      </c>
      <c r="G278" s="31" t="n">
        <v>225.65</v>
      </c>
      <c r="H278" s="31" t="n">
        <v>-2.06</v>
      </c>
      <c r="I278" s="31" t="n">
        <v>49503</v>
      </c>
      <c r="J278" s="31" t="inlineStr">
        <is>
          <t>535601</t>
        </is>
      </c>
    </row>
    <row r="279">
      <c r="A279" s="31" t="inlineStr">
        <is>
          <t>ABCAPITAL</t>
        </is>
      </c>
      <c r="B279" s="31" t="inlineStr">
        <is>
          <t>Aditya Birla Capital Ltd</t>
        </is>
      </c>
      <c r="C279" s="31" t="inlineStr">
        <is>
          <t>financials</t>
        </is>
      </c>
      <c r="D279" s="31" t="inlineStr">
        <is>
          <t>finance &amp; investments</t>
        </is>
      </c>
      <c r="E279" s="31" t="inlineStr">
        <is>
          <t>largecap</t>
        </is>
      </c>
      <c r="F279" s="31" t="n">
        <v>111842.71</v>
      </c>
      <c r="G279" s="31" t="n">
        <v>400.6</v>
      </c>
      <c r="H279" s="31" t="n">
        <v>-2.07</v>
      </c>
      <c r="I279" s="31" t="n">
        <v>4736094</v>
      </c>
      <c r="J279" s="31" t="inlineStr">
        <is>
          <t>540691</t>
        </is>
      </c>
    </row>
    <row r="280">
      <c r="A280" s="31" t="inlineStr">
        <is>
          <t>INDNIPPON</t>
        </is>
      </c>
      <c r="B280" s="31" t="inlineStr">
        <is>
          <t>India Nippon Electricals Limited</t>
        </is>
      </c>
      <c r="C280" s="31" t="inlineStr">
        <is>
          <t>auto</t>
        </is>
      </c>
      <c r="D280" s="31" t="inlineStr">
        <is>
          <t>auto ancillaries</t>
        </is>
      </c>
      <c r="E280" s="31" t="inlineStr">
        <is>
          <t>smallcap</t>
        </is>
      </c>
      <c r="F280" s="31" t="n">
        <v>2808.68</v>
      </c>
      <c r="G280" s="31" t="n">
        <v>1215.5</v>
      </c>
      <c r="H280" s="31" t="n">
        <v>-2.1</v>
      </c>
      <c r="I280" s="31" t="n">
        <v>33988</v>
      </c>
      <c r="J280" s="31" t="inlineStr">
        <is>
          <t>532240</t>
        </is>
      </c>
    </row>
    <row r="281">
      <c r="A281" s="31" t="inlineStr">
        <is>
          <t>APTUS</t>
        </is>
      </c>
      <c r="B281" s="31" t="inlineStr">
        <is>
          <t>Aptus Value Housing Finance India Ltd</t>
        </is>
      </c>
      <c r="C281" s="31" t="inlineStr">
        <is>
          <t>financials</t>
        </is>
      </c>
      <c r="D281" s="31" t="inlineStr">
        <is>
          <t>finance - housing</t>
        </is>
      </c>
      <c r="E281" s="31" t="inlineStr">
        <is>
          <t>midcap</t>
        </is>
      </c>
      <c r="F281" s="31" t="n">
        <v>15076.37</v>
      </c>
      <c r="G281" s="31" t="n">
        <v>294.65</v>
      </c>
      <c r="H281" s="31" t="n">
        <v>-2.13</v>
      </c>
      <c r="I281" s="31" t="n">
        <v>527810</v>
      </c>
      <c r="J281" s="31" t="inlineStr">
        <is>
          <t>543335</t>
        </is>
      </c>
    </row>
    <row r="282">
      <c r="A282" s="31" t="inlineStr">
        <is>
          <t>AZAD</t>
        </is>
      </c>
      <c r="B282" s="31" t="inlineStr">
        <is>
          <t>Azad Engineering Ltd</t>
        </is>
      </c>
      <c r="C282" s="31" t="inlineStr">
        <is>
          <t>aerospace &amp; defence</t>
        </is>
      </c>
      <c r="D282" s="31" t="inlineStr">
        <is>
          <t>engineering</t>
        </is>
      </c>
      <c r="E282" s="31" t="inlineStr">
        <is>
          <t>midcap</t>
        </is>
      </c>
      <c r="F282" s="31" t="n">
        <v>15361.41</v>
      </c>
      <c r="G282" s="31" t="n">
        <v>2326.7</v>
      </c>
      <c r="H282" s="31" t="n">
        <v>-2.18</v>
      </c>
      <c r="I282" s="31" t="n">
        <v>300798</v>
      </c>
      <c r="J282" s="31" t="inlineStr">
        <is>
          <t>544061</t>
        </is>
      </c>
    </row>
    <row r="283">
      <c r="A283" s="31" t="inlineStr">
        <is>
          <t>CGCL</t>
        </is>
      </c>
      <c r="B283" s="31" t="inlineStr">
        <is>
          <t>Capri Global Capital Limited</t>
        </is>
      </c>
      <c r="C283" s="31" t="inlineStr">
        <is>
          <t>financials</t>
        </is>
      </c>
      <c r="D283" s="31" t="inlineStr">
        <is>
          <t>finance &amp; investments</t>
        </is>
      </c>
      <c r="E283" s="31" t="inlineStr">
        <is>
          <t>largecap</t>
        </is>
      </c>
      <c r="F283" s="31" t="n">
        <v>24019.21</v>
      </c>
      <c r="G283" s="31" t="n">
        <v>244</v>
      </c>
      <c r="H283" s="31" t="n">
        <v>-2.26</v>
      </c>
      <c r="I283" s="31" t="n">
        <v>2253336</v>
      </c>
      <c r="J283" s="31" t="inlineStr">
        <is>
          <t>531595</t>
        </is>
      </c>
    </row>
    <row r="284">
      <c r="A284" s="31" t="inlineStr">
        <is>
          <t>WANBURY</t>
        </is>
      </c>
      <c r="B284" s="31" t="inlineStr">
        <is>
          <t>Wanbury Limited</t>
        </is>
      </c>
      <c r="C284" s="31" t="inlineStr">
        <is>
          <t>healthcare</t>
        </is>
      </c>
      <c r="D284" s="31" t="inlineStr">
        <is>
          <t>pharmaceuticals - indian - bulk drugs &amp; formln</t>
        </is>
      </c>
      <c r="E284" s="31" t="inlineStr">
        <is>
          <t>smallcap</t>
        </is>
      </c>
      <c r="F284" s="31" t="n">
        <v>1182.35</v>
      </c>
      <c r="G284" s="31" t="n">
        <v>330.65</v>
      </c>
      <c r="H284" s="31" t="n">
        <v>-2.29</v>
      </c>
      <c r="I284" s="31" t="n">
        <v>586841</v>
      </c>
      <c r="J284" s="31" t="inlineStr">
        <is>
          <t>524212</t>
        </is>
      </c>
    </row>
    <row r="285">
      <c r="A285" s="31" t="inlineStr">
        <is>
          <t>TIMETECHNO</t>
        </is>
      </c>
      <c r="B285" s="31" t="inlineStr">
        <is>
          <t>Time Technoplast Limited</t>
        </is>
      </c>
      <c r="C285" s="31" t="inlineStr">
        <is>
          <t>plastic products</t>
        </is>
      </c>
      <c r="D285" s="31" t="inlineStr">
        <is>
          <t>plastics products</t>
        </is>
      </c>
      <c r="E285" s="31" t="inlineStr">
        <is>
          <t>midcap</t>
        </is>
      </c>
      <c r="F285" s="31" t="n">
        <v>10260.71</v>
      </c>
      <c r="G285" s="31" t="n">
        <v>203.1</v>
      </c>
      <c r="H285" s="31" t="n">
        <v>-2.29</v>
      </c>
      <c r="I285" s="31" t="n">
        <v>2443956</v>
      </c>
      <c r="J285" s="31" t="inlineStr">
        <is>
          <t>532856</t>
        </is>
      </c>
    </row>
    <row r="286">
      <c r="A286" s="31" t="inlineStr">
        <is>
          <t>HIRECT</t>
        </is>
      </c>
      <c r="B286" s="31" t="inlineStr">
        <is>
          <t>Hind Rectifiers Limited</t>
        </is>
      </c>
      <c r="C286" s="31" t="inlineStr">
        <is>
          <t>consumer discretionary</t>
        </is>
      </c>
      <c r="D286" s="31" t="inlineStr">
        <is>
          <t>electronics - components</t>
        </is>
      </c>
      <c r="E286" s="31" t="inlineStr">
        <is>
          <t>smallcap</t>
        </is>
      </c>
      <c r="F286" s="31" t="n">
        <v>4497.95</v>
      </c>
      <c r="G286" s="31" t="n">
        <v>1278.4</v>
      </c>
      <c r="H286" s="31" t="n">
        <v>-2.31</v>
      </c>
      <c r="I286" s="31" t="n">
        <v>129059</v>
      </c>
      <c r="J286" s="31" t="inlineStr">
        <is>
          <t>504036</t>
        </is>
      </c>
    </row>
    <row r="287">
      <c r="A287" s="31" t="inlineStr">
        <is>
          <t>PGIL</t>
        </is>
      </c>
      <c r="B287" s="31" t="inlineStr">
        <is>
          <t>Pearl Global Industries Limited</t>
        </is>
      </c>
      <c r="C287" s="31" t="inlineStr">
        <is>
          <t>consumer discretionary</t>
        </is>
      </c>
      <c r="D287" s="31" t="inlineStr">
        <is>
          <t>textiles - products</t>
        </is>
      </c>
      <c r="E287" s="31" t="inlineStr">
        <is>
          <t>midcap</t>
        </is>
      </c>
      <c r="F287" s="31" t="n">
        <v>9457.58</v>
      </c>
      <c r="G287" s="31" t="n">
        <v>2000</v>
      </c>
      <c r="H287" s="31" t="n">
        <v>-2.33</v>
      </c>
      <c r="I287" s="31" t="n">
        <v>79928</v>
      </c>
      <c r="J287" s="31" t="inlineStr">
        <is>
          <t>532808</t>
        </is>
      </c>
    </row>
    <row r="288">
      <c r="A288" s="31" t="inlineStr">
        <is>
          <t>NINSYS</t>
        </is>
      </c>
      <c r="B288" s="31" t="inlineStr">
        <is>
          <t>NINtec Systems Ltd</t>
        </is>
      </c>
      <c r="C288" s="31" t="inlineStr">
        <is>
          <t>i.t</t>
        </is>
      </c>
      <c r="D288" s="31" t="inlineStr">
        <is>
          <t>computers - software - medium / small</t>
        </is>
      </c>
      <c r="E288" s="31" t="inlineStr">
        <is>
          <t>smallcap</t>
        </is>
      </c>
      <c r="F288" s="31" t="n">
        <v>1662.55</v>
      </c>
      <c r="G288" s="31" t="n">
        <v>874</v>
      </c>
      <c r="H288" s="31" t="n">
        <v>-2.35</v>
      </c>
      <c r="I288" s="31" t="n">
        <v>8444</v>
      </c>
      <c r="J288" s="31" t="inlineStr">
        <is>
          <t>539843</t>
        </is>
      </c>
    </row>
    <row r="289">
      <c r="A289" s="31" t="inlineStr">
        <is>
          <t>SRF</t>
        </is>
      </c>
      <c r="B289" s="31" t="inlineStr">
        <is>
          <t>Srf Limited</t>
        </is>
      </c>
      <c r="C289" s="31" t="inlineStr">
        <is>
          <t>chemicals</t>
        </is>
      </c>
      <c r="D289" s="31" t="inlineStr">
        <is>
          <t>chemicals</t>
        </is>
      </c>
      <c r="E289" s="31" t="inlineStr">
        <is>
          <t>largecap</t>
        </is>
      </c>
      <c r="F289" s="31" t="n">
        <v>87119.25999999999</v>
      </c>
      <c r="G289" s="31" t="n">
        <v>2867.2</v>
      </c>
      <c r="H289" s="31" t="n">
        <v>-2.44</v>
      </c>
      <c r="I289" s="31" t="n">
        <v>1576048</v>
      </c>
      <c r="J289" s="31" t="inlineStr">
        <is>
          <t>503806</t>
        </is>
      </c>
    </row>
    <row r="290">
      <c r="A290" s="31" t="inlineStr">
        <is>
          <t>ARMANFIN</t>
        </is>
      </c>
      <c r="B290" s="31" t="inlineStr">
        <is>
          <t>Arman Financial Services Limited</t>
        </is>
      </c>
      <c r="C290" s="31" t="inlineStr">
        <is>
          <t>financials</t>
        </is>
      </c>
      <c r="D290" s="31" t="inlineStr">
        <is>
          <t>finance &amp; investments</t>
        </is>
      </c>
      <c r="E290" s="31" t="inlineStr">
        <is>
          <t>smallcap</t>
        </is>
      </c>
      <c r="F290" s="31" t="n">
        <v>2086.92</v>
      </c>
      <c r="G290" s="31" t="n">
        <v>1936.6</v>
      </c>
      <c r="H290" s="31" t="n">
        <v>-2.44</v>
      </c>
      <c r="I290" s="31" t="n">
        <v>19278</v>
      </c>
      <c r="J290" s="31" t="inlineStr">
        <is>
          <t>531179</t>
        </is>
      </c>
    </row>
    <row r="291">
      <c r="A291" s="31" t="inlineStr">
        <is>
          <t>PRECOT</t>
        </is>
      </c>
      <c r="B291" s="31" t="inlineStr">
        <is>
          <t>Precot Meridian Limited</t>
        </is>
      </c>
      <c r="C291" s="31" t="inlineStr">
        <is>
          <t>textiles</t>
        </is>
      </c>
      <c r="D291" s="31" t="inlineStr">
        <is>
          <t>textiles - cotton/blended</t>
        </is>
      </c>
      <c r="E291" s="31" t="inlineStr">
        <is>
          <t>smallcap</t>
        </is>
      </c>
      <c r="F291" s="31" t="n">
        <v>1026.48</v>
      </c>
      <c r="G291" s="31" t="n">
        <v>834.45</v>
      </c>
      <c r="H291" s="31" t="n">
        <v>-2.45</v>
      </c>
      <c r="I291" s="31" t="n">
        <v>8297</v>
      </c>
      <c r="J291" s="31" t="inlineStr">
        <is>
          <t>521184</t>
        </is>
      </c>
    </row>
    <row r="292">
      <c r="A292" s="31" t="inlineStr">
        <is>
          <t>INOXINDIA</t>
        </is>
      </c>
      <c r="B292" s="31" t="inlineStr">
        <is>
          <t>Inox India Ltd</t>
        </is>
      </c>
      <c r="C292" s="31" t="inlineStr">
        <is>
          <t>industrials</t>
        </is>
      </c>
      <c r="D292" s="31" t="inlineStr">
        <is>
          <t>packaging</t>
        </is>
      </c>
      <c r="E292" s="31" t="inlineStr">
        <is>
          <t>midcap</t>
        </is>
      </c>
      <c r="F292" s="31" t="n">
        <v>19004.06</v>
      </c>
      <c r="G292" s="31" t="n">
        <v>2042.2</v>
      </c>
      <c r="H292" s="31" t="n">
        <v>-2.46</v>
      </c>
      <c r="I292" s="31" t="n">
        <v>270060</v>
      </c>
      <c r="J292" s="31" t="inlineStr">
        <is>
          <t>544046</t>
        </is>
      </c>
    </row>
    <row r="293">
      <c r="A293" s="31" t="inlineStr">
        <is>
          <t>WELENT</t>
        </is>
      </c>
      <c r="B293" s="31" t="inlineStr">
        <is>
          <t>Welspun Enterprises Limited</t>
        </is>
      </c>
      <c r="C293" s="31" t="inlineStr">
        <is>
          <t>realty</t>
        </is>
      </c>
      <c r="D293" s="31" t="inlineStr">
        <is>
          <t>construction</t>
        </is>
      </c>
      <c r="E293" s="31" t="inlineStr">
        <is>
          <t>midcap</t>
        </is>
      </c>
      <c r="F293" s="31" t="n">
        <v>8592.040000000001</v>
      </c>
      <c r="G293" s="31" t="n">
        <v>605.05</v>
      </c>
      <c r="H293" s="31" t="n">
        <v>-2.53</v>
      </c>
      <c r="I293" s="31" t="n">
        <v>311847</v>
      </c>
      <c r="J293" s="31" t="inlineStr">
        <is>
          <t>532553</t>
        </is>
      </c>
    </row>
    <row r="294">
      <c r="A294" s="31" t="inlineStr">
        <is>
          <t>PRESTIGE</t>
        </is>
      </c>
      <c r="B294" s="31" t="inlineStr">
        <is>
          <t>Prestige Estates Projects Limited</t>
        </is>
      </c>
      <c r="C294" s="31" t="inlineStr">
        <is>
          <t>realty</t>
        </is>
      </c>
      <c r="D294" s="31" t="inlineStr">
        <is>
          <t>construction</t>
        </is>
      </c>
      <c r="E294" s="31" t="inlineStr">
        <is>
          <t>largecap</t>
        </is>
      </c>
      <c r="F294" s="31" t="n">
        <v>73521.34</v>
      </c>
      <c r="G294" s="31" t="n">
        <v>1663.1</v>
      </c>
      <c r="H294" s="31" t="n">
        <v>-2.57</v>
      </c>
      <c r="I294" s="31" t="n">
        <v>723434</v>
      </c>
      <c r="J294" s="31" t="inlineStr">
        <is>
          <t>533274</t>
        </is>
      </c>
    </row>
    <row r="295">
      <c r="A295" s="31" t="inlineStr">
        <is>
          <t>CEMPRO</t>
        </is>
      </c>
      <c r="B295" s="31" t="inlineStr">
        <is>
          <t>Cemindia Projects Ltd</t>
        </is>
      </c>
      <c r="C295" s="31" t="inlineStr">
        <is>
          <t>realty</t>
        </is>
      </c>
      <c r="D295" s="31" t="inlineStr">
        <is>
          <t>construction</t>
        </is>
      </c>
      <c r="E295" s="31" t="inlineStr">
        <is>
          <t>largecap</t>
        </is>
      </c>
      <c r="F295" s="31" t="n">
        <v>28166.29</v>
      </c>
      <c r="G295" s="31" t="n">
        <v>1596.6</v>
      </c>
      <c r="H295" s="31" t="n">
        <v>-2.62</v>
      </c>
      <c r="I295" s="31" t="n">
        <v>732933</v>
      </c>
      <c r="J295" s="31" t="inlineStr">
        <is>
          <t>509496</t>
        </is>
      </c>
    </row>
    <row r="296">
      <c r="A296" s="31" t="inlineStr">
        <is>
          <t>SOUTHWEST</t>
        </is>
      </c>
      <c r="B296" s="31" t="inlineStr">
        <is>
          <t>South West Pinnacle Exploration Ltd</t>
        </is>
      </c>
      <c r="C296" s="31" t="inlineStr">
        <is>
          <t>metals &amp; mining</t>
        </is>
      </c>
      <c r="D296" s="31" t="inlineStr">
        <is>
          <t>mining / minerals / metals</t>
        </is>
      </c>
      <c r="E296" s="31" t="inlineStr">
        <is>
          <t>smallcap</t>
        </is>
      </c>
      <c r="F296" s="31" t="n">
        <v>743.04</v>
      </c>
      <c r="G296" s="31" t="n">
        <v>242.56</v>
      </c>
      <c r="H296" s="31" t="n">
        <v>-2.62</v>
      </c>
      <c r="I296" s="31" t="n">
        <v>797274</v>
      </c>
      <c r="J296" s="31" t="inlineStr">
        <is>
          <t>535049</t>
        </is>
      </c>
    </row>
    <row r="297">
      <c r="A297" s="31" t="inlineStr">
        <is>
          <t>JUBLINGREA</t>
        </is>
      </c>
      <c r="B297" s="31" t="inlineStr">
        <is>
          <t>Jubilant Ingrevia Ltd</t>
        </is>
      </c>
      <c r="C297" s="31" t="inlineStr">
        <is>
          <t>chemicals</t>
        </is>
      </c>
      <c r="D297" s="31" t="inlineStr">
        <is>
          <t>chemicals</t>
        </is>
      </c>
      <c r="E297" s="31" t="inlineStr">
        <is>
          <t>midcap</t>
        </is>
      </c>
      <c r="F297" s="31" t="n">
        <v>12165.89</v>
      </c>
      <c r="G297" s="31" t="n">
        <v>743.75</v>
      </c>
      <c r="H297" s="31" t="n">
        <v>-2.63</v>
      </c>
      <c r="I297" s="31" t="n">
        <v>4886609</v>
      </c>
      <c r="J297" s="31" t="inlineStr">
        <is>
          <t>543271</t>
        </is>
      </c>
    </row>
    <row r="298">
      <c r="A298" s="31" t="inlineStr">
        <is>
          <t>MUKANDLTD</t>
        </is>
      </c>
      <c r="B298" s="31" t="inlineStr">
        <is>
          <t>Mukand Limited</t>
        </is>
      </c>
      <c r="C298" s="31" t="inlineStr">
        <is>
          <t>metals &amp; mining</t>
        </is>
      </c>
      <c r="D298" s="31" t="inlineStr">
        <is>
          <t>steel - medium / small</t>
        </is>
      </c>
      <c r="E298" s="31" t="inlineStr">
        <is>
          <t>smallcap</t>
        </is>
      </c>
      <c r="F298" s="31" t="n">
        <v>2107.9</v>
      </c>
      <c r="G298" s="31" t="n">
        <v>141.99</v>
      </c>
      <c r="H298" s="31" t="n">
        <v>-2.67</v>
      </c>
      <c r="I298" s="31" t="n">
        <v>114061</v>
      </c>
      <c r="J298" s="31" t="inlineStr">
        <is>
          <t>500460</t>
        </is>
      </c>
    </row>
    <row r="299">
      <c r="A299" s="31" t="inlineStr">
        <is>
          <t>ACE</t>
        </is>
      </c>
      <c r="B299" s="31" t="inlineStr">
        <is>
          <t>Action Construction Equipment Limited</t>
        </is>
      </c>
      <c r="C299" s="31" t="inlineStr">
        <is>
          <t>industrials</t>
        </is>
      </c>
      <c r="D299" s="31" t="inlineStr">
        <is>
          <t>engineering</t>
        </is>
      </c>
      <c r="E299" s="31" t="inlineStr">
        <is>
          <t>midcap</t>
        </is>
      </c>
      <c r="F299" s="31" t="n">
        <v>12331.06</v>
      </c>
      <c r="G299" s="31" t="n">
        <v>1007.6</v>
      </c>
      <c r="H299" s="31" t="n">
        <v>-2.69</v>
      </c>
      <c r="I299" s="31" t="n">
        <v>594844</v>
      </c>
      <c r="J299" s="31" t="inlineStr">
        <is>
          <t>532762</t>
        </is>
      </c>
    </row>
    <row r="300">
      <c r="A300" s="31" t="inlineStr">
        <is>
          <t>CUB</t>
        </is>
      </c>
      <c r="B300" s="31" t="inlineStr">
        <is>
          <t>City Union Bank Limited</t>
        </is>
      </c>
      <c r="C300" s="31" t="inlineStr">
        <is>
          <t>bank</t>
        </is>
      </c>
      <c r="D300" s="31" t="inlineStr">
        <is>
          <t>banks - private sector</t>
        </is>
      </c>
      <c r="E300" s="31" t="inlineStr">
        <is>
          <t>largecap</t>
        </is>
      </c>
      <c r="F300" s="31" t="n">
        <v>22771.26</v>
      </c>
      <c r="G300" s="31" t="n">
        <v>223.53</v>
      </c>
      <c r="H300" s="31" t="n">
        <v>-2.74</v>
      </c>
      <c r="I300" s="31" t="n">
        <v>1247514</v>
      </c>
      <c r="J300" s="31" t="inlineStr">
        <is>
          <t>532210</t>
        </is>
      </c>
    </row>
    <row r="301">
      <c r="A301" s="31" t="inlineStr">
        <is>
          <t>BEPL</t>
        </is>
      </c>
      <c r="B301" s="31" t="inlineStr">
        <is>
          <t>Bhansali Engineering Polymers Limited</t>
        </is>
      </c>
      <c r="C301" s="31" t="inlineStr">
        <is>
          <t>energy</t>
        </is>
      </c>
      <c r="D301" s="31" t="inlineStr">
        <is>
          <t>petrochemicals</t>
        </is>
      </c>
      <c r="E301" s="31" t="inlineStr">
        <is>
          <t>smallcap</t>
        </is>
      </c>
      <c r="F301" s="31" t="n">
        <v>3071.91</v>
      </c>
      <c r="G301" s="31" t="n">
        <v>120.06</v>
      </c>
      <c r="H301" s="31" t="n">
        <v>-2.74</v>
      </c>
      <c r="I301" s="31" t="n">
        <v>18102387</v>
      </c>
      <c r="J301" s="31" t="inlineStr">
        <is>
          <t>500052</t>
        </is>
      </c>
    </row>
    <row r="302">
      <c r="A302" s="31" t="inlineStr">
        <is>
          <t>RAJRATAN</t>
        </is>
      </c>
      <c r="B302" s="31" t="inlineStr">
        <is>
          <t>Rajratan Global Wire Ltd</t>
        </is>
      </c>
      <c r="C302" s="31" t="inlineStr">
        <is>
          <t>metals &amp; mining</t>
        </is>
      </c>
      <c r="D302" s="31" t="inlineStr">
        <is>
          <t>steel - medium / small</t>
        </is>
      </c>
      <c r="E302" s="31" t="inlineStr">
        <is>
          <t>smallcap</t>
        </is>
      </c>
      <c r="F302" s="31" t="n">
        <v>2588.81</v>
      </c>
      <c r="G302" s="31" t="n">
        <v>495.35</v>
      </c>
      <c r="H302" s="31" t="n">
        <v>-2.85</v>
      </c>
      <c r="I302" s="31" t="n">
        <v>139256</v>
      </c>
      <c r="J302" s="31" t="inlineStr">
        <is>
          <t>517522</t>
        </is>
      </c>
    </row>
    <row r="303">
      <c r="A303" s="31" t="inlineStr">
        <is>
          <t>GALAPREC</t>
        </is>
      </c>
      <c r="B303" s="31" t="inlineStr">
        <is>
          <t>Gala Precision Engineering Ltd</t>
        </is>
      </c>
      <c r="C303" s="31" t="inlineStr">
        <is>
          <t>industrials</t>
        </is>
      </c>
      <c r="D303" s="31" t="inlineStr">
        <is>
          <t>fasteners</t>
        </is>
      </c>
      <c r="E303" s="31" t="inlineStr">
        <is>
          <t>smallcap</t>
        </is>
      </c>
      <c r="F303" s="31" t="n">
        <v>1539.48</v>
      </c>
      <c r="G303" s="31" t="n">
        <v>1167</v>
      </c>
      <c r="H303" s="31" t="n">
        <v>-2.85</v>
      </c>
      <c r="I303" s="31" t="n">
        <v>29834</v>
      </c>
      <c r="J303" s="31" t="inlineStr">
        <is>
          <t>544244</t>
        </is>
      </c>
    </row>
    <row r="304">
      <c r="A304" s="31" t="inlineStr">
        <is>
          <t>RAIN</t>
        </is>
      </c>
      <c r="B304" s="31" t="inlineStr">
        <is>
          <t>Rain Industries Limited</t>
        </is>
      </c>
      <c r="C304" s="31" t="inlineStr">
        <is>
          <t>miscellaneous</t>
        </is>
      </c>
      <c r="D304" s="31" t="inlineStr">
        <is>
          <t>miscellaneous</t>
        </is>
      </c>
      <c r="E304" s="31" t="inlineStr">
        <is>
          <t>midcap</t>
        </is>
      </c>
      <c r="F304" s="31" t="n">
        <v>7513.96</v>
      </c>
      <c r="G304" s="31" t="n">
        <v>216.64</v>
      </c>
      <c r="H304" s="31" t="n">
        <v>-3.03</v>
      </c>
      <c r="I304" s="31" t="n">
        <v>3864930</v>
      </c>
      <c r="J304" s="31" t="inlineStr">
        <is>
          <t>500339</t>
        </is>
      </c>
    </row>
    <row r="305">
      <c r="A305" s="31" t="inlineStr">
        <is>
          <t>SHYAMMETL</t>
        </is>
      </c>
      <c r="B305" s="31" t="inlineStr">
        <is>
          <t>Shyam Metalics &amp; Energy Ltd</t>
        </is>
      </c>
      <c r="C305" s="31" t="inlineStr">
        <is>
          <t>metals &amp; mining</t>
        </is>
      </c>
      <c r="D305" s="31" t="inlineStr">
        <is>
          <t>steel - large</t>
        </is>
      </c>
      <c r="E305" s="31" t="inlineStr">
        <is>
          <t>largecap</t>
        </is>
      </c>
      <c r="F305" s="31" t="n">
        <v>29661.95</v>
      </c>
      <c r="G305" s="31" t="n">
        <v>1030.15</v>
      </c>
      <c r="H305" s="31" t="n">
        <v>-3.06</v>
      </c>
      <c r="I305" s="31" t="n">
        <v>276198</v>
      </c>
      <c r="J305" s="31" t="inlineStr">
        <is>
          <t>543299</t>
        </is>
      </c>
    </row>
    <row r="306">
      <c r="A306" s="31" t="inlineStr">
        <is>
          <t>MBAPL</t>
        </is>
      </c>
      <c r="B306" s="31" t="inlineStr">
        <is>
          <t>Madhya Bharat Agro Products Ltd</t>
        </is>
      </c>
      <c r="C306" s="31" t="inlineStr">
        <is>
          <t>chemicals</t>
        </is>
      </c>
      <c r="D306" s="31" t="inlineStr">
        <is>
          <t>fertilizers</t>
        </is>
      </c>
      <c r="E306" s="31" t="inlineStr">
        <is>
          <t>smallcap</t>
        </is>
      </c>
      <c r="F306" s="31" t="n">
        <v>1259.64</v>
      </c>
      <c r="G306" s="31" t="n">
        <v>139.25</v>
      </c>
      <c r="H306" s="31" t="n">
        <v>-3.13</v>
      </c>
      <c r="I306" s="31" t="n">
        <v>5003738</v>
      </c>
      <c r="J306" s="31" t="inlineStr">
        <is>
          <t>538370</t>
        </is>
      </c>
    </row>
    <row r="307">
      <c r="A307" s="31" t="inlineStr">
        <is>
          <t>UNIMECH</t>
        </is>
      </c>
      <c r="B307" s="31" t="inlineStr">
        <is>
          <t>Unimech Aerospace and Manufacturing Ltd</t>
        </is>
      </c>
      <c r="C307" s="31" t="inlineStr">
        <is>
          <t>aerospace &amp; defence</t>
        </is>
      </c>
      <c r="D307" s="31" t="inlineStr">
        <is>
          <t>engineering</t>
        </is>
      </c>
      <c r="E307" s="31" t="inlineStr">
        <is>
          <t>midcap</t>
        </is>
      </c>
      <c r="F307" s="31" t="n">
        <v>6490.36</v>
      </c>
      <c r="G307" s="31" t="n">
        <v>1235.8</v>
      </c>
      <c r="H307" s="31" t="n">
        <v>-3.17</v>
      </c>
      <c r="I307" s="31" t="n">
        <v>87795</v>
      </c>
      <c r="J307" s="31" t="inlineStr">
        <is>
          <t>544322</t>
        </is>
      </c>
    </row>
    <row r="308">
      <c r="A308" s="31" t="inlineStr">
        <is>
          <t>INDIANHUME</t>
        </is>
      </c>
      <c r="B308" s="31" t="inlineStr">
        <is>
          <t>Indian Hume Pipe Company Limited</t>
        </is>
      </c>
      <c r="C308" s="31" t="inlineStr">
        <is>
          <t>realty</t>
        </is>
      </c>
      <c r="D308" s="31" t="inlineStr">
        <is>
          <t>construction</t>
        </is>
      </c>
      <c r="E308" s="31" t="inlineStr">
        <is>
          <t>smallcap</t>
        </is>
      </c>
      <c r="F308" s="31" t="n">
        <v>2079.61</v>
      </c>
      <c r="G308" s="31" t="n">
        <v>382.1</v>
      </c>
      <c r="H308" s="31" t="n">
        <v>-3.2</v>
      </c>
      <c r="I308" s="31" t="n">
        <v>63430</v>
      </c>
      <c r="J308" s="31" t="inlineStr">
        <is>
          <t>504741</t>
        </is>
      </c>
    </row>
    <row r="309">
      <c r="A309" s="31" t="inlineStr">
        <is>
          <t>AJANTPHARM</t>
        </is>
      </c>
      <c r="B309" s="31" t="inlineStr">
        <is>
          <t>Ajanta Pharma Limited</t>
        </is>
      </c>
      <c r="C309" s="31" t="inlineStr">
        <is>
          <t>healthcare</t>
        </is>
      </c>
      <c r="D309" s="31" t="inlineStr">
        <is>
          <t>pharmaceuticals - indian - formulations</t>
        </is>
      </c>
      <c r="E309" s="31" t="inlineStr">
        <is>
          <t>largecap</t>
        </is>
      </c>
      <c r="F309" s="31" t="n">
        <v>44668.23</v>
      </c>
      <c r="G309" s="31" t="n">
        <v>3458.9</v>
      </c>
      <c r="H309" s="31" t="n">
        <v>-3.26</v>
      </c>
      <c r="I309" s="31" t="n">
        <v>97059</v>
      </c>
      <c r="J309" s="31" t="inlineStr">
        <is>
          <t>532331</t>
        </is>
      </c>
    </row>
    <row r="310">
      <c r="A310" s="31" t="inlineStr">
        <is>
          <t>GREAVESCOT</t>
        </is>
      </c>
      <c r="B310" s="31" t="inlineStr">
        <is>
          <t>Greaves Cotton Limited</t>
        </is>
      </c>
      <c r="C310" s="31" t="inlineStr">
        <is>
          <t>industrials</t>
        </is>
      </c>
      <c r="D310" s="31" t="inlineStr">
        <is>
          <t>engines</t>
        </is>
      </c>
      <c r="E310" s="31" t="inlineStr">
        <is>
          <t>midcap</t>
        </is>
      </c>
      <c r="F310" s="31" t="n">
        <v>5779.76</v>
      </c>
      <c r="G310" s="31" t="n">
        <v>239.88</v>
      </c>
      <c r="H310" s="31" t="n">
        <v>-3.32</v>
      </c>
      <c r="I310" s="31" t="n">
        <v>1449781</v>
      </c>
      <c r="J310" s="31" t="inlineStr">
        <is>
          <t>501455</t>
        </is>
      </c>
    </row>
    <row r="311">
      <c r="A311" s="31" t="inlineStr">
        <is>
          <t>OMAXE</t>
        </is>
      </c>
      <c r="B311" s="31" t="inlineStr">
        <is>
          <t>Omaxe Limited</t>
        </is>
      </c>
      <c r="C311" s="31" t="inlineStr">
        <is>
          <t>realty</t>
        </is>
      </c>
      <c r="D311" s="31" t="inlineStr">
        <is>
          <t>construction</t>
        </is>
      </c>
      <c r="E311" s="31" t="inlineStr">
        <is>
          <t>smallcap</t>
        </is>
      </c>
      <c r="F311" s="31" t="n">
        <v>1696.22</v>
      </c>
      <c r="G311" s="31" t="n">
        <v>89.65000000000001</v>
      </c>
      <c r="H311" s="31" t="n">
        <v>-3.33</v>
      </c>
      <c r="I311" s="31" t="n">
        <v>285763</v>
      </c>
      <c r="J311" s="31" t="inlineStr">
        <is>
          <t>532880</t>
        </is>
      </c>
    </row>
    <row r="312">
      <c r="A312" s="31" t="inlineStr">
        <is>
          <t>BLSE</t>
        </is>
      </c>
      <c r="B312" s="31" t="inlineStr">
        <is>
          <t>BLS E-Services Ltd</t>
        </is>
      </c>
      <c r="C312" s="31" t="inlineStr">
        <is>
          <t>i.t</t>
        </is>
      </c>
      <c r="D312" s="31" t="inlineStr">
        <is>
          <t>computers - software - medium / small</t>
        </is>
      </c>
      <c r="E312" s="31" t="inlineStr">
        <is>
          <t>smallcap</t>
        </is>
      </c>
      <c r="F312" s="31" t="n">
        <v>2439.04</v>
      </c>
      <c r="G312" s="31" t="n">
        <v>259.5</v>
      </c>
      <c r="H312" s="31" t="n">
        <v>-3.33</v>
      </c>
      <c r="I312" s="31" t="n">
        <v>210297</v>
      </c>
      <c r="J312" s="31" t="inlineStr">
        <is>
          <t>544107</t>
        </is>
      </c>
    </row>
    <row r="313">
      <c r="A313" s="31" t="inlineStr">
        <is>
          <t>TCPLPACK</t>
        </is>
      </c>
      <c r="B313" s="31" t="inlineStr">
        <is>
          <t>TCPL Packaging Ltd</t>
        </is>
      </c>
      <c r="C313" s="31" t="inlineStr">
        <is>
          <t>industrials</t>
        </is>
      </c>
      <c r="D313" s="31" t="inlineStr">
        <is>
          <t>packaging</t>
        </is>
      </c>
      <c r="E313" s="31" t="inlineStr">
        <is>
          <t>smallcap</t>
        </is>
      </c>
      <c r="F313" s="31" t="n">
        <v>3119.94</v>
      </c>
      <c r="G313" s="31" t="n">
        <v>3314</v>
      </c>
      <c r="H313" s="31" t="n">
        <v>-3.34</v>
      </c>
      <c r="I313" s="31" t="n">
        <v>10822</v>
      </c>
      <c r="J313" s="31" t="inlineStr">
        <is>
          <t>523301</t>
        </is>
      </c>
    </row>
    <row r="314">
      <c r="A314" s="31" t="inlineStr">
        <is>
          <t>LLOYDSME</t>
        </is>
      </c>
      <c r="B314" s="31" t="inlineStr">
        <is>
          <t>Lloyds Metals &amp; Energy Ltd</t>
        </is>
      </c>
      <c r="C314" s="31" t="inlineStr">
        <is>
          <t>metals &amp; mining</t>
        </is>
      </c>
      <c r="D314" s="31" t="inlineStr">
        <is>
          <t>mining / minerals / metals</t>
        </is>
      </c>
      <c r="E314" s="31" t="inlineStr">
        <is>
          <t>largecap</t>
        </is>
      </c>
      <c r="F314" s="31" t="n">
        <v>109001.3</v>
      </c>
      <c r="G314" s="31" t="n">
        <v>1871.7</v>
      </c>
      <c r="H314" s="31" t="n">
        <v>-3.34</v>
      </c>
      <c r="I314" s="31" t="n">
        <v>401672</v>
      </c>
      <c r="J314" s="31" t="inlineStr">
        <is>
          <t>512455</t>
        </is>
      </c>
    </row>
    <row r="315">
      <c r="A315" s="31" t="inlineStr">
        <is>
          <t>FUSION</t>
        </is>
      </c>
      <c r="B315" s="31" t="inlineStr">
        <is>
          <t>Fusion Micro Finance Ltd</t>
        </is>
      </c>
      <c r="C315" s="31" t="inlineStr">
        <is>
          <t>financials</t>
        </is>
      </c>
      <c r="D315" s="31" t="inlineStr">
        <is>
          <t>finance &amp; investments</t>
        </is>
      </c>
      <c r="E315" s="31" t="inlineStr">
        <is>
          <t>smallcap</t>
        </is>
      </c>
      <c r="F315" s="31" t="n">
        <v>3691.75</v>
      </c>
      <c r="G315" s="31" t="n">
        <v>219.81</v>
      </c>
      <c r="H315" s="31" t="n">
        <v>-3.49</v>
      </c>
      <c r="I315" s="31" t="n">
        <v>523633</v>
      </c>
      <c r="J315" s="31" t="inlineStr">
        <is>
          <t>543652</t>
        </is>
      </c>
    </row>
    <row r="316">
      <c r="A316" s="31" t="inlineStr">
        <is>
          <t>LLOYDSENT</t>
        </is>
      </c>
      <c r="B316" s="31" t="inlineStr">
        <is>
          <t>Lloyds Enterprises Ltd</t>
        </is>
      </c>
      <c r="C316" s="31" t="inlineStr">
        <is>
          <t>services</t>
        </is>
      </c>
      <c r="D316" s="31" t="inlineStr">
        <is>
          <t>trading</t>
        </is>
      </c>
      <c r="E316" s="31" t="inlineStr">
        <is>
          <t>midcap</t>
        </is>
      </c>
      <c r="F316" s="31" t="n">
        <v>12439.87</v>
      </c>
      <c r="G316" s="31" t="n">
        <v>78.52</v>
      </c>
      <c r="H316" s="31" t="n">
        <v>-3.64</v>
      </c>
      <c r="I316" s="31" t="n">
        <v>3677810</v>
      </c>
      <c r="J316" s="31" t="inlineStr">
        <is>
          <t>512463</t>
        </is>
      </c>
    </row>
    <row r="317">
      <c r="A317" s="31" t="inlineStr">
        <is>
          <t>J&amp;KBANK</t>
        </is>
      </c>
      <c r="B317" s="31" t="inlineStr">
        <is>
          <t>The Jammu &amp; Kashmir Bank Limited</t>
        </is>
      </c>
      <c r="C317" s="31" t="inlineStr">
        <is>
          <t>bank</t>
        </is>
      </c>
      <c r="D317" s="31" t="inlineStr">
        <is>
          <t>banks - private sector</t>
        </is>
      </c>
      <c r="E317" s="31" t="inlineStr">
        <is>
          <t>largecap</t>
        </is>
      </c>
      <c r="F317" s="31" t="n">
        <v>20584.4</v>
      </c>
      <c r="G317" s="31" t="n">
        <v>179.82</v>
      </c>
      <c r="H317" s="31" t="n">
        <v>-3.8</v>
      </c>
      <c r="I317" s="31" t="n">
        <v>5190106</v>
      </c>
      <c r="J317" s="31" t="inlineStr">
        <is>
          <t>532209</t>
        </is>
      </c>
    </row>
    <row r="318">
      <c r="A318" s="31" t="inlineStr">
        <is>
          <t>GODREJPROP</t>
        </is>
      </c>
      <c r="B318" s="31" t="inlineStr">
        <is>
          <t>Godrej Properties Limited</t>
        </is>
      </c>
      <c r="C318" s="31" t="inlineStr">
        <is>
          <t>realty</t>
        </is>
      </c>
      <c r="D318" s="31" t="inlineStr">
        <is>
          <t>construction</t>
        </is>
      </c>
      <c r="E318" s="31" t="inlineStr">
        <is>
          <t>largecap</t>
        </is>
      </c>
      <c r="F318" s="31" t="n">
        <v>65194.34</v>
      </c>
      <c r="G318" s="31" t="n">
        <v>2081.1</v>
      </c>
      <c r="H318" s="31" t="n">
        <v>-3.84</v>
      </c>
      <c r="I318" s="31" t="n">
        <v>928743</v>
      </c>
      <c r="J318" s="31" t="inlineStr">
        <is>
          <t>533150</t>
        </is>
      </c>
    </row>
    <row r="319">
      <c r="A319" s="31" t="inlineStr">
        <is>
          <t>HSCL</t>
        </is>
      </c>
      <c r="B319" s="31" t="inlineStr">
        <is>
          <t>Himadri Speciality Chemical Limited</t>
        </is>
      </c>
      <c r="C319" s="31" t="inlineStr">
        <is>
          <t>chemicals</t>
        </is>
      </c>
      <c r="D319" s="31" t="inlineStr">
        <is>
          <t>chemicals</t>
        </is>
      </c>
      <c r="E319" s="31" t="inlineStr">
        <is>
          <t>largecap</t>
        </is>
      </c>
      <c r="F319" s="31" t="n">
        <v>40408.74</v>
      </c>
      <c r="G319" s="31" t="n">
        <v>768.25</v>
      </c>
      <c r="H319" s="31" t="n">
        <v>-4.08</v>
      </c>
      <c r="I319" s="31" t="n">
        <v>21309062</v>
      </c>
      <c r="J319" s="31" t="inlineStr">
        <is>
          <t>500184</t>
        </is>
      </c>
    </row>
    <row r="320">
      <c r="A320" s="31" t="inlineStr">
        <is>
          <t>SHILPAMED</t>
        </is>
      </c>
      <c r="B320" s="31" t="inlineStr">
        <is>
          <t>Shilpa Medicare Limited</t>
        </is>
      </c>
      <c r="C320" s="31" t="inlineStr">
        <is>
          <t>healthcare</t>
        </is>
      </c>
      <c r="D320" s="31" t="inlineStr">
        <is>
          <t>pharmaceuticals - indian - formulations</t>
        </is>
      </c>
      <c r="E320" s="31" t="inlineStr">
        <is>
          <t>midcap</t>
        </is>
      </c>
      <c r="F320" s="31" t="n">
        <v>12517.24</v>
      </c>
      <c r="G320" s="31" t="n">
        <v>613.35</v>
      </c>
      <c r="H320" s="31" t="n">
        <v>-4.16</v>
      </c>
      <c r="I320" s="31" t="n">
        <v>544293</v>
      </c>
      <c r="J320" s="31" t="inlineStr">
        <is>
          <t>530549</t>
        </is>
      </c>
    </row>
    <row r="321">
      <c r="A321" s="31" t="inlineStr">
        <is>
          <t>TINNARUBR</t>
        </is>
      </c>
      <c r="B321" s="31" t="inlineStr">
        <is>
          <t>Tinna Rubber &amp; Infrastructure Ltd</t>
        </is>
      </c>
      <c r="C321" s="31" t="inlineStr">
        <is>
          <t>fmcg</t>
        </is>
      </c>
      <c r="D321" s="31" t="inlineStr">
        <is>
          <t>miscellaneous</t>
        </is>
      </c>
      <c r="E321" s="31" t="inlineStr">
        <is>
          <t>smallcap</t>
        </is>
      </c>
      <c r="F321" s="31" t="n">
        <v>2069.83</v>
      </c>
      <c r="G321" s="31" t="n">
        <v>1101</v>
      </c>
      <c r="H321" s="31" t="n">
        <v>-4.17</v>
      </c>
      <c r="I321" s="31" t="n">
        <v>446085</v>
      </c>
      <c r="J321" s="31" t="inlineStr">
        <is>
          <t>530475</t>
        </is>
      </c>
    </row>
    <row r="322">
      <c r="A322" s="31" t="inlineStr">
        <is>
          <t>GABRIEL</t>
        </is>
      </c>
      <c r="B322" s="31" t="inlineStr">
        <is>
          <t>Gabriel India Limited</t>
        </is>
      </c>
      <c r="C322" s="31" t="inlineStr">
        <is>
          <t>auto</t>
        </is>
      </c>
      <c r="D322" s="31" t="inlineStr">
        <is>
          <t>auto ancillaries</t>
        </is>
      </c>
      <c r="E322" s="31" t="inlineStr">
        <is>
          <t>largecap</t>
        </is>
      </c>
      <c r="F322" s="31" t="n">
        <v>26380.69</v>
      </c>
      <c r="G322" s="31" t="n">
        <v>1424.6</v>
      </c>
      <c r="H322" s="31" t="n">
        <v>-4.29</v>
      </c>
      <c r="I322" s="31" t="n">
        <v>2703597</v>
      </c>
      <c r="J322" s="31" t="inlineStr">
        <is>
          <t>505714</t>
        </is>
      </c>
    </row>
    <row r="323">
      <c r="A323" s="31" t="inlineStr">
        <is>
          <t>MENONBE</t>
        </is>
      </c>
      <c r="B323" s="31" t="inlineStr">
        <is>
          <t>Menon Bearings Limited</t>
        </is>
      </c>
      <c r="C323" s="31" t="inlineStr">
        <is>
          <t>auto</t>
        </is>
      </c>
      <c r="D323" s="31" t="inlineStr">
        <is>
          <t>auto ancillaries</t>
        </is>
      </c>
      <c r="E323" s="31" t="inlineStr">
        <is>
          <t>smallcap</t>
        </is>
      </c>
      <c r="F323" s="31" t="n">
        <v>1233.61</v>
      </c>
      <c r="G323" s="31" t="n">
        <v>208.4</v>
      </c>
      <c r="H323" s="31" t="n">
        <v>-5.33</v>
      </c>
      <c r="I323" s="31" t="n">
        <v>108888</v>
      </c>
      <c r="J323" s="31" t="inlineStr">
        <is>
          <t>523828</t>
        </is>
      </c>
    </row>
    <row r="324">
      <c r="A324" s="31" t="inlineStr">
        <is>
          <t>KABRAEXTRU</t>
        </is>
      </c>
      <c r="B324" s="31" t="inlineStr">
        <is>
          <t>Kabra Extrusion Technik Limited</t>
        </is>
      </c>
      <c r="C324" s="31" t="inlineStr">
        <is>
          <t>industrials</t>
        </is>
      </c>
      <c r="D324" s="31" t="inlineStr">
        <is>
          <t>engineering</t>
        </is>
      </c>
      <c r="E324" s="31" t="inlineStr">
        <is>
          <t>smallcap</t>
        </is>
      </c>
      <c r="F324" s="31" t="n">
        <v>1256.57</v>
      </c>
      <c r="G324" s="31" t="n">
        <v>339.65</v>
      </c>
      <c r="H324" s="31" t="n">
        <v>-5.47</v>
      </c>
      <c r="I324" s="31" t="n">
        <v>104276</v>
      </c>
      <c r="J324" s="31" t="inlineStr">
        <is>
          <t>524109</t>
        </is>
      </c>
    </row>
    <row r="325">
      <c r="A325" s="31" t="inlineStr">
        <is>
          <t>DPABHUSHAN</t>
        </is>
      </c>
      <c r="B325" s="31" t="inlineStr">
        <is>
          <t>D.P. Abhushan Ltd</t>
        </is>
      </c>
      <c r="C325" s="31" t="inlineStr">
        <is>
          <t>consumer discretionary</t>
        </is>
      </c>
      <c r="D325" s="31" t="inlineStr">
        <is>
          <t>diamond cutting / jewellery</t>
        </is>
      </c>
      <c r="E325" s="31" t="inlineStr">
        <is>
          <t>smallcap</t>
        </is>
      </c>
      <c r="F325" s="31" t="n">
        <v>3360.27</v>
      </c>
      <c r="G325" s="31" t="n">
        <v>1386.05</v>
      </c>
      <c r="H325" s="31" t="n">
        <v>-5.84</v>
      </c>
      <c r="I325" s="31" t="n">
        <v>91679</v>
      </c>
      <c r="J325" s="31" t="inlineStr">
        <is>
          <t>535026</t>
        </is>
      </c>
    </row>
  </sheetData>
  <autoFilter ref="A1:J3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RADICO</t>
        </is>
      </c>
      <c r="E2" s="31" t="inlineStr">
        <is>
          <t>Radico Khaitan Limited</t>
        </is>
      </c>
      <c r="F2" s="31" t="inlineStr">
        <is>
          <t>Alcoholic Beverages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15</v>
      </c>
      <c r="K2" s="31" t="n">
        <v>27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NGLFINE</t>
        </is>
      </c>
      <c r="E3" s="31" t="inlineStr">
        <is>
          <t>NGL Fine Chem Ltd</t>
        </is>
      </c>
      <c r="F3" s="31" t="inlineStr">
        <is>
          <t>Pharma - Animal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16</v>
      </c>
      <c r="K3" s="31" t="n">
        <v>28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SSWL</t>
        </is>
      </c>
      <c r="E4" s="31" t="inlineStr">
        <is>
          <t>Steel Strips Wheels Limited</t>
        </is>
      </c>
      <c r="F4" s="31" t="inlineStr">
        <is>
          <t>Auto Ancillaries - Wheels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24</v>
      </c>
      <c r="K4" s="31" t="n">
        <v>24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BAJAJ-AUTO</t>
        </is>
      </c>
      <c r="E5" s="31" t="inlineStr">
        <is>
          <t>Bajaj Auto Limited</t>
        </is>
      </c>
      <c r="F5" s="31" t="inlineStr">
        <is>
          <t>Auto - 2 &amp; 3 Wheelers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20</v>
      </c>
      <c r="K5" s="31" t="n">
        <v>5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SKYGOLD</t>
        </is>
      </c>
      <c r="E6" s="31" t="inlineStr">
        <is>
          <t>Sky Gold Ltd</t>
        </is>
      </c>
      <c r="F6" s="31" t="inlineStr">
        <is>
          <t>Diamond, Gems &amp; Jewellery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26</v>
      </c>
      <c r="K6" s="31" t="n">
        <v>19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BALRAMCHIN</t>
        </is>
      </c>
      <c r="E7" s="31" t="inlineStr">
        <is>
          <t>Balrampur Chini Mills Limited</t>
        </is>
      </c>
      <c r="F7" s="31" t="inlineStr">
        <is>
          <t>Sugar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16</v>
      </c>
      <c r="K7" s="31" t="n">
        <v>11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CHENNPETRO</t>
        </is>
      </c>
      <c r="E8" s="31" t="inlineStr">
        <is>
          <t>Chennai Petroleum Corporation Limited</t>
        </is>
      </c>
      <c r="F8" s="31" t="inlineStr">
        <is>
          <t>Refineries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17</v>
      </c>
      <c r="K8" s="31" t="n">
        <v>22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DIACABS</t>
        </is>
      </c>
      <c r="E9" s="31" t="inlineStr">
        <is>
          <t>Diamond Power Infrastructure Ltd</t>
        </is>
      </c>
      <c r="F9" s="31" t="inlineStr">
        <is>
          <t>Cables - Power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21</v>
      </c>
      <c r="K9" s="31" t="n">
        <v>27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GANDHAR</t>
        </is>
      </c>
      <c r="E10" s="31" t="inlineStr">
        <is>
          <t>Gandhar Oil Refinery (India) Ltd</t>
        </is>
      </c>
      <c r="F10" s="31" t="inlineStr">
        <is>
          <t>Refineries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19</v>
      </c>
      <c r="K10" s="31" t="n">
        <v>21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KAPSTON</t>
        </is>
      </c>
      <c r="E11" s="31" t="inlineStr">
        <is>
          <t>Kapston Services Ltd</t>
        </is>
      </c>
      <c r="F11" s="31" t="inlineStr">
        <is>
          <t>Services - Others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17</v>
      </c>
      <c r="K11" s="31" t="n">
        <v>20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RPEL</t>
        </is>
      </c>
      <c r="E12" s="31" t="inlineStr">
        <is>
          <t>Raghav Productivity Enhancers Ltd</t>
        </is>
      </c>
      <c r="F12" s="31" t="inlineStr">
        <is>
          <t>Steel Products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18</v>
      </c>
      <c r="K12" s="31" t="n">
        <v>30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IBULLSLTD</t>
        </is>
      </c>
      <c r="E13" s="31" t="inlineStr">
        <is>
          <t>Indiabulls Limited</t>
        </is>
      </c>
      <c r="F13" s="31" t="inlineStr">
        <is>
          <t>Diversified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19</v>
      </c>
      <c r="K13" s="31" t="n">
        <v>30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TMB</t>
        </is>
      </c>
      <c r="E14" s="31" t="inlineStr">
        <is>
          <t>Tamilnad Mercantile Bank Ltd</t>
        </is>
      </c>
      <c r="F14" s="31" t="inlineStr">
        <is>
          <t>Banks - Private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14</v>
      </c>
      <c r="K14" s="31" t="n">
        <v>23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TFCILTD</t>
        </is>
      </c>
      <c r="E15" s="31" t="inlineStr">
        <is>
          <t>Tourism Finance Corporation Of India Limited</t>
        </is>
      </c>
      <c r="F15" s="31" t="inlineStr">
        <is>
          <t>Finance - PSU Lending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15</v>
      </c>
      <c r="K15" s="31" t="n">
        <v>11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TINNARUBR</t>
        </is>
      </c>
      <c r="E16" s="31" t="inlineStr">
        <is>
          <t>Tinna Rubber &amp; Infrastructure Ltd</t>
        </is>
      </c>
      <c r="F16" s="31" t="inlineStr">
        <is>
          <t>Rubber Processing/Rubber Products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16</v>
      </c>
      <c r="K16" s="31" t="n">
        <v>23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INDIAGLYCO</t>
        </is>
      </c>
      <c r="E17" s="31" t="inlineStr">
        <is>
          <t>India Glycols Limited</t>
        </is>
      </c>
      <c r="F17" s="31" t="inlineStr">
        <is>
          <t>Alcoholic Beverages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16</v>
      </c>
      <c r="K17" s="31" t="n">
        <v>4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PAISALO</t>
        </is>
      </c>
      <c r="E18" s="31" t="inlineStr">
        <is>
          <t>Paisalo Digital Ltd</t>
        </is>
      </c>
      <c r="F18" s="31" t="inlineStr">
        <is>
          <t>Finance - Capital Markets - Brokers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19</v>
      </c>
      <c r="K18" s="31" t="n">
        <v>30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UJJIVANSFB</t>
        </is>
      </c>
      <c r="E19" s="31" t="inlineStr">
        <is>
          <t>Ujjivan Small Finance Bank Ltd</t>
        </is>
      </c>
      <c r="F19" s="31" t="inlineStr">
        <is>
          <t>Banks - Small Finance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17</v>
      </c>
      <c r="K19" s="31" t="n">
        <v>11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MENONBE</t>
        </is>
      </c>
      <c r="E20" s="31" t="inlineStr">
        <is>
          <t>Menon Bearings Limited</t>
        </is>
      </c>
      <c r="F20" s="31" t="inlineStr">
        <is>
          <t>Auto Ancillaries - Bearings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20</v>
      </c>
      <c r="K20" s="31" t="n">
        <v>21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PREMIERPOL</t>
        </is>
      </c>
      <c r="E21" s="31" t="inlineStr">
        <is>
          <t>Premier Polyfilm Limited</t>
        </is>
      </c>
      <c r="F21" s="31" t="inlineStr">
        <is>
          <t>Plastics - Sheets/Films</t>
        </is>
      </c>
      <c r="G21" s="31" t="n">
        <v>2</v>
      </c>
      <c r="H21" s="31" t="inlineStr">
        <is>
          <t>52W Breakout</t>
        </is>
      </c>
      <c r="I21" s="31" t="inlineStr">
        <is>
          <t>Yes</t>
        </is>
      </c>
      <c r="J21" s="31" t="n">
        <v>4</v>
      </c>
      <c r="K21" s="31" t="n">
        <v>15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JSFB</t>
        </is>
      </c>
      <c r="E22" s="31" t="inlineStr">
        <is>
          <t>Jana Small Finance Bank Ltd</t>
        </is>
      </c>
      <c r="F22" s="31" t="inlineStr">
        <is>
          <t>Banks - Small Finance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21</v>
      </c>
      <c r="K22" s="31" t="n">
        <v>9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GODREJIND</t>
        </is>
      </c>
      <c r="E23" s="31" t="inlineStr">
        <is>
          <t>Godrej Industries Limited</t>
        </is>
      </c>
      <c r="F23" s="31" t="inlineStr">
        <is>
          <t>Finance - Holding Company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15</v>
      </c>
      <c r="K23" s="31" t="n">
        <v>13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ACUTAAS</t>
        </is>
      </c>
      <c r="E24" s="31" t="inlineStr">
        <is>
          <t>Acutaas Chemicals Ltd</t>
        </is>
      </c>
      <c r="F24" s="31" t="inlineStr">
        <is>
          <t>Pharma - API &amp; CRAMS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23</v>
      </c>
      <c r="K24" s="31" t="n">
        <v>28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SJS</t>
        </is>
      </c>
      <c r="E25" s="31" t="inlineStr">
        <is>
          <t>S J S Enterprises Ltd</t>
        </is>
      </c>
      <c r="F25" s="31" t="inlineStr">
        <is>
          <t>Auto Ancillaries - Diversified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15</v>
      </c>
      <c r="K25" s="31" t="n">
        <v>28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BHEL</t>
        </is>
      </c>
      <c r="E26" s="31" t="inlineStr">
        <is>
          <t>Bharat Heavy Electricals Limited</t>
        </is>
      </c>
      <c r="F26" s="31" t="inlineStr">
        <is>
          <t>Capital Goods - Engineering Heavy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18</v>
      </c>
      <c r="K26" s="31" t="n">
        <v>16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STYLAMIND</t>
        </is>
      </c>
      <c r="E27" s="31" t="inlineStr">
        <is>
          <t>Stylam Industries Ltd</t>
        </is>
      </c>
      <c r="F27" s="31" t="inlineStr">
        <is>
          <t>Plywood Boards/Laminates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19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AURUM</t>
        </is>
      </c>
      <c r="E28" s="31" t="inlineStr">
        <is>
          <t>Aurum Proptech Ltd</t>
        </is>
      </c>
      <c r="F28" s="31" t="inlineStr">
        <is>
          <t>IT Enabled Services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24</v>
      </c>
      <c r="K28" s="31" t="n">
        <v>22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CGCL</t>
        </is>
      </c>
      <c r="E29" s="31" t="inlineStr">
        <is>
          <t>Capri Global Capital Limited</t>
        </is>
      </c>
      <c r="F29" s="31" t="inlineStr">
        <is>
          <t>Finance &amp; Investments - Gold Loan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18</v>
      </c>
      <c r="K29" s="31" t="n">
        <v>30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CUPID</t>
        </is>
      </c>
      <c r="E30" s="31" t="inlineStr">
        <is>
          <t>Cupid Limited</t>
        </is>
      </c>
      <c r="F30" s="31" t="inlineStr">
        <is>
          <t>Contraceptives/Protectives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18</v>
      </c>
      <c r="K30" s="31" t="n">
        <v>30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THANGAMAYL</t>
        </is>
      </c>
      <c r="E31" s="31" t="inlineStr">
        <is>
          <t>Thangamayil Jewellery Limited</t>
        </is>
      </c>
      <c r="F31" s="31" t="inlineStr">
        <is>
          <t>Diamond, Gems &amp; Jewellery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19</v>
      </c>
      <c r="K31" s="31" t="n">
        <v>30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RAIN</t>
        </is>
      </c>
      <c r="E32" s="31" t="inlineStr">
        <is>
          <t>Rain Industries Limited</t>
        </is>
      </c>
      <c r="F32" s="31" t="inlineStr">
        <is>
          <t>Cement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16</v>
      </c>
      <c r="K32" s="31" t="n">
        <v>24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KARURVYSYA</t>
        </is>
      </c>
      <c r="E33" s="31" t="inlineStr">
        <is>
          <t>Karur Vysya Bank Limited</t>
        </is>
      </c>
      <c r="F33" s="31" t="inlineStr">
        <is>
          <t>Banks - Private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23</v>
      </c>
      <c r="K33" s="31" t="n">
        <v>6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THYROCARE</t>
        </is>
      </c>
      <c r="E34" s="31" t="inlineStr">
        <is>
          <t>Thyrocare Technologies Limited</t>
        </is>
      </c>
      <c r="F34" s="31" t="inlineStr">
        <is>
          <t>Diagnostics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15</v>
      </c>
      <c r="K34" s="31" t="n">
        <v>27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VADILALIND</t>
        </is>
      </c>
      <c r="E35" s="31" t="inlineStr">
        <is>
          <t>Vadilal Industries Limited</t>
        </is>
      </c>
      <c r="F35" s="31" t="inlineStr">
        <is>
          <t>FMCG - Dairy Products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18</v>
      </c>
      <c r="K35" s="31" t="n">
        <v>28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M&amp;MFIN</t>
        </is>
      </c>
      <c r="E36" s="31" t="inlineStr">
        <is>
          <t>Mahindra &amp; Mahindra Financial Services Limited</t>
        </is>
      </c>
      <c r="F36" s="31" t="inlineStr">
        <is>
          <t>Finance &amp; Investments - CV Finance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16</v>
      </c>
      <c r="K36" s="31" t="n">
        <v>2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DPABHUSHAN</t>
        </is>
      </c>
      <c r="E37" s="31" t="inlineStr">
        <is>
          <t>D.P. Abhushan Ltd</t>
        </is>
      </c>
      <c r="F37" s="31" t="inlineStr">
        <is>
          <t>Diamond, Gems &amp; Jewellery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15</v>
      </c>
      <c r="K37" s="31" t="n">
        <v>3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HSCL</t>
        </is>
      </c>
      <c r="E38" s="31" t="inlineStr">
        <is>
          <t>Himadri Speciality Chemical Limited</t>
        </is>
      </c>
      <c r="F38" s="31" t="inlineStr">
        <is>
          <t>Carbon Black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15</v>
      </c>
      <c r="K38" s="31" t="n">
        <v>27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CEMPRO</t>
        </is>
      </c>
      <c r="E39" s="31" t="inlineStr">
        <is>
          <t>Cemindia Projects Ltd</t>
        </is>
      </c>
      <c r="F39" s="31" t="inlineStr">
        <is>
          <t>Infra - Construction &amp; Contracting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20</v>
      </c>
      <c r="K39" s="31" t="n">
        <v>30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E2E</t>
        </is>
      </c>
      <c r="E40" s="31" t="inlineStr">
        <is>
          <t>E2E Networks Ltd</t>
        </is>
      </c>
      <c r="F40" s="31" t="inlineStr">
        <is>
          <t>Data Centre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25</v>
      </c>
      <c r="K40" s="31" t="n">
        <v>9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NESTLEIND</t>
        </is>
      </c>
      <c r="E41" s="31" t="inlineStr">
        <is>
          <t>Nestle India Limited</t>
        </is>
      </c>
      <c r="F41" s="31" t="inlineStr">
        <is>
          <t>FMCG - Dairy Products</t>
        </is>
      </c>
      <c r="G41" s="31" t="n">
        <v>2</v>
      </c>
      <c r="H41" s="31" t="inlineStr">
        <is>
          <t>52W Breakout</t>
        </is>
      </c>
      <c r="I41" s="31" t="inlineStr">
        <is>
          <t>Yes</t>
        </is>
      </c>
      <c r="J41" s="31" t="n">
        <v>13</v>
      </c>
      <c r="K41" s="31" t="n">
        <v>5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KABRAEXTRU</t>
        </is>
      </c>
      <c r="E42" s="31" t="inlineStr">
        <is>
          <t>Kabra Extrusion Technik Limited</t>
        </is>
      </c>
      <c r="F42" s="31" t="inlineStr">
        <is>
          <t>Capital Goods - Engineering Heavy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16</v>
      </c>
      <c r="K42" s="31" t="n">
        <v>5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FILATEX</t>
        </is>
      </c>
      <c r="E43" s="31" t="inlineStr">
        <is>
          <t>Filatex India Limited</t>
        </is>
      </c>
      <c r="F43" s="31" t="inlineStr">
        <is>
          <t>Textiles - Manmade Fibre - PFY/PSF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18</v>
      </c>
      <c r="K43" s="31" t="n">
        <v>12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SPECTRUM</t>
        </is>
      </c>
      <c r="E44" s="31" t="inlineStr">
        <is>
          <t>Spectrum Electrical Industries Ltd</t>
        </is>
      </c>
      <c r="F44" s="31" t="inlineStr">
        <is>
          <t>Capital Goods - Electric General</t>
        </is>
      </c>
      <c r="G44" s="31" t="n">
        <v>2</v>
      </c>
      <c r="H44" s="31" t="inlineStr">
        <is>
          <t>52W Breakout</t>
        </is>
      </c>
      <c r="I44" s="31" t="inlineStr">
        <is>
          <t>Yes</t>
        </is>
      </c>
      <c r="J44" s="31" t="n">
        <v>14</v>
      </c>
      <c r="K44" s="31" t="n">
        <v>30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RUBYMILLS</t>
        </is>
      </c>
      <c r="E45" s="31" t="inlineStr">
        <is>
          <t>The Ruby Mills Limited</t>
        </is>
      </c>
      <c r="F45" s="31" t="inlineStr">
        <is>
          <t>Textiles - Composite Mills</t>
        </is>
      </c>
      <c r="G45" s="31" t="n">
        <v>2</v>
      </c>
      <c r="H45" s="31" t="inlineStr">
        <is>
          <t>52W Breakout</t>
        </is>
      </c>
      <c r="I45" s="31" t="inlineStr">
        <is>
          <t>Yes</t>
        </is>
      </c>
      <c r="J45" s="31" t="n">
        <v>9</v>
      </c>
      <c r="K45" s="31" t="n">
        <v>30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HESTERBIO</t>
        </is>
      </c>
      <c r="E46" s="31" t="inlineStr">
        <is>
          <t>Hester Biosciences Limited</t>
        </is>
      </c>
      <c r="F46" s="31" t="inlineStr">
        <is>
          <t>Pharma - Animal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16</v>
      </c>
      <c r="K46" s="31" t="n">
        <v>30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PICCADIL</t>
        </is>
      </c>
      <c r="E47" s="31" t="inlineStr">
        <is>
          <t>Piccadily Agro Industries Ltd</t>
        </is>
      </c>
      <c r="F47" s="31" t="inlineStr">
        <is>
          <t>Alcoholic Beverages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17</v>
      </c>
      <c r="K47" s="31" t="n">
        <v>3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SHAREINDIA</t>
        </is>
      </c>
      <c r="E48" s="31" t="inlineStr">
        <is>
          <t>Share India Securities Ltd</t>
        </is>
      </c>
      <c r="F48" s="31" t="inlineStr">
        <is>
          <t>Finance - Capital Markets - Brokers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16</v>
      </c>
      <c r="K48" s="31" t="n">
        <v>3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GNA</t>
        </is>
      </c>
      <c r="E49" s="31" t="inlineStr">
        <is>
          <t>Gna Axles Limited</t>
        </is>
      </c>
      <c r="F49" s="31" t="inlineStr">
        <is>
          <t>Auto &amp; Auto Ancl - CV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18</v>
      </c>
      <c r="K49" s="31" t="n">
        <v>14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TATVA</t>
        </is>
      </c>
      <c r="E50" s="31" t="inlineStr">
        <is>
          <t>Tatva Chintan Pharma Chem Ltd</t>
        </is>
      </c>
      <c r="F50" s="31" t="inlineStr">
        <is>
          <t>Speciality Chemicals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23</v>
      </c>
      <c r="K50" s="31" t="n">
        <v>3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INDNIPPON</t>
        </is>
      </c>
      <c r="E51" s="31" t="inlineStr">
        <is>
          <t>India Nippon Electricals Limited</t>
        </is>
      </c>
      <c r="F51" s="31" t="inlineStr">
        <is>
          <t>Auto Ancillaries - Engine Parts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24</v>
      </c>
      <c r="K51" s="31" t="n">
        <v>28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ADOR</t>
        </is>
      </c>
      <c r="E52" s="31" t="inlineStr">
        <is>
          <t>Ador Welding Ltd</t>
        </is>
      </c>
      <c r="F52" s="31" t="inlineStr">
        <is>
          <t>Welding Equipments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23</v>
      </c>
      <c r="K52" s="31" t="n">
        <v>29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KMEW</t>
        </is>
      </c>
      <c r="E53" s="31" t="inlineStr">
        <is>
          <t>Knowledge Marine &amp; Engineering Works Ltd</t>
        </is>
      </c>
      <c r="F53" s="31" t="inlineStr">
        <is>
          <t>Shipping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18</v>
      </c>
      <c r="K53" s="31" t="n">
        <v>14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SPORTKING</t>
        </is>
      </c>
      <c r="E54" s="31" t="inlineStr">
        <is>
          <t>Sportking India Ltd</t>
        </is>
      </c>
      <c r="F54" s="31" t="inlineStr">
        <is>
          <t>Textiles - Spinning</t>
        </is>
      </c>
      <c r="G54" s="31" t="n">
        <v>2</v>
      </c>
      <c r="H54" s="31" t="inlineStr">
        <is>
          <t>52W Breakout</t>
        </is>
      </c>
      <c r="I54" s="31" t="inlineStr">
        <is>
          <t>Yes</t>
        </is>
      </c>
      <c r="J54" s="31" t="n">
        <v>14</v>
      </c>
      <c r="K54" s="31" t="n">
        <v>23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TVSHLTD</t>
        </is>
      </c>
      <c r="E55" s="31" t="inlineStr">
        <is>
          <t>TVS Holdings Ltd</t>
        </is>
      </c>
      <c r="F55" s="31" t="inlineStr">
        <is>
          <t>Finance - Holding Company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23</v>
      </c>
      <c r="K55" s="31" t="n">
        <v>2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MUTHOOTMF</t>
        </is>
      </c>
      <c r="E56" s="31" t="inlineStr">
        <is>
          <t>Muthoot Microfin Ltd</t>
        </is>
      </c>
      <c r="F56" s="31" t="inlineStr">
        <is>
          <t>Finance &amp; Investments - Microfinance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16</v>
      </c>
      <c r="K56" s="31" t="n">
        <v>18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LAURUSLABS</t>
        </is>
      </c>
      <c r="E57" s="31" t="inlineStr">
        <is>
          <t>Laurus Labs Limited</t>
        </is>
      </c>
      <c r="F57" s="31" t="inlineStr">
        <is>
          <t>Pharma - API &amp; CRAMS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14</v>
      </c>
      <c r="K57" s="31" t="n">
        <v>30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WELCORP</t>
        </is>
      </c>
      <c r="E58" s="31" t="inlineStr">
        <is>
          <t>Welspun Corp Limited</t>
        </is>
      </c>
      <c r="F58" s="31" t="inlineStr">
        <is>
          <t>DI Pipes/Saw Pipes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17</v>
      </c>
      <c r="K58" s="31" t="n">
        <v>30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CONSOFINVT</t>
        </is>
      </c>
      <c r="E59" s="31" t="inlineStr">
        <is>
          <t>Consolidated Finvest &amp; Holdings Limited</t>
        </is>
      </c>
      <c r="F59" s="31" t="inlineStr">
        <is>
          <t>Finance &amp; Investments - Others</t>
        </is>
      </c>
      <c r="G59" s="31" t="n">
        <v>2</v>
      </c>
      <c r="H59" s="31" t="inlineStr">
        <is>
          <t>52W Breakout</t>
        </is>
      </c>
      <c r="I59" s="31" t="inlineStr">
        <is>
          <t>Yes</t>
        </is>
      </c>
      <c r="J59" s="31" t="n">
        <v>1</v>
      </c>
      <c r="K59" s="31" t="n">
        <v>10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NYKAA</t>
        </is>
      </c>
      <c r="E60" s="31" t="inlineStr">
        <is>
          <t>FSN E-Commerce Ventures Ltd</t>
        </is>
      </c>
      <c r="F60" s="31" t="inlineStr">
        <is>
          <t>New age - Platform - E-Retail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16</v>
      </c>
      <c r="K60" s="31" t="n">
        <v>17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YASHO</t>
        </is>
      </c>
      <c r="E61" s="31" t="inlineStr">
        <is>
          <t>Yasho Industries Ltd</t>
        </is>
      </c>
      <c r="F61" s="31" t="inlineStr">
        <is>
          <t>Speciality Chemicals</t>
        </is>
      </c>
      <c r="G61" s="31" t="n">
        <v>2</v>
      </c>
      <c r="H61" s="31" t="inlineStr">
        <is>
          <t>52W Breakout</t>
        </is>
      </c>
      <c r="I61" s="31" t="inlineStr">
        <is>
          <t>Yes</t>
        </is>
      </c>
      <c r="J61" s="31" t="n">
        <v>12</v>
      </c>
      <c r="K61" s="31" t="n">
        <v>30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INDOTECH</t>
        </is>
      </c>
      <c r="E62" s="31" t="inlineStr">
        <is>
          <t>Indo Tech Transformers Limited</t>
        </is>
      </c>
      <c r="F62" s="31" t="inlineStr">
        <is>
          <t>Capital Goods - Transformers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18</v>
      </c>
      <c r="K62" s="31" t="n">
        <v>23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HFCL</t>
        </is>
      </c>
      <c r="E63" s="31" t="inlineStr">
        <is>
          <t>HFCL Ltd</t>
        </is>
      </c>
      <c r="F63" s="31" t="inlineStr">
        <is>
          <t>Telecom Services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22</v>
      </c>
      <c r="K63" s="31" t="n">
        <v>28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BEPL</t>
        </is>
      </c>
      <c r="E64" s="31" t="inlineStr">
        <is>
          <t>Bhansali Engineering Polymers Limited</t>
        </is>
      </c>
      <c r="F64" s="31" t="inlineStr">
        <is>
          <t>Petrochem - Polymers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17</v>
      </c>
      <c r="K64" s="31" t="n">
        <v>10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TIRUPATIFL</t>
        </is>
      </c>
      <c r="E65" s="31" t="inlineStr">
        <is>
          <t>Tirupati Forge Ltd</t>
        </is>
      </c>
      <c r="F65" s="31" t="inlineStr">
        <is>
          <t>Castings, Forgings &amp; Fastners</t>
        </is>
      </c>
      <c r="G65" s="31" t="n">
        <v>2</v>
      </c>
      <c r="H65" s="31" t="inlineStr">
        <is>
          <t>52W Breakout</t>
        </is>
      </c>
      <c r="I65" s="31" t="inlineStr">
        <is>
          <t>Yes</t>
        </is>
      </c>
      <c r="J65" s="31" t="n">
        <v>11</v>
      </c>
      <c r="K65" s="31" t="n">
        <v>23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NOVARTIND</t>
        </is>
      </c>
      <c r="E66" s="31" t="inlineStr">
        <is>
          <t>Novartis India Ltd</t>
        </is>
      </c>
      <c r="F66" s="31" t="inlineStr">
        <is>
          <t>Pharma - MNC bulk Drugs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21</v>
      </c>
      <c r="K66" s="31" t="n">
        <v>25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DIVISLAB</t>
        </is>
      </c>
      <c r="E67" s="31" t="inlineStr">
        <is>
          <t>Divi's Laboratories Limited</t>
        </is>
      </c>
      <c r="F67" s="31" t="inlineStr">
        <is>
          <t>Pharma - API &amp; CRAMS</t>
        </is>
      </c>
      <c r="G67" s="31" t="n">
        <v>2</v>
      </c>
      <c r="H67" s="31" t="inlineStr">
        <is>
          <t>52W Breakout</t>
        </is>
      </c>
      <c r="I67" s="31" t="inlineStr">
        <is>
          <t>Yes</t>
        </is>
      </c>
      <c r="J67" s="31" t="n">
        <v>8</v>
      </c>
      <c r="K67" s="31" t="n">
        <v>8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RPTECH</t>
        </is>
      </c>
      <c r="E68" s="31" t="inlineStr">
        <is>
          <t>Rashi Peripherals Ltd</t>
        </is>
      </c>
      <c r="F68" s="31" t="inlineStr">
        <is>
          <t>Trading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18</v>
      </c>
      <c r="K68" s="31" t="n">
        <v>28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CYIENTDLM</t>
        </is>
      </c>
      <c r="E69" s="31" t="inlineStr">
        <is>
          <t>Cyient DLM Ltd</t>
        </is>
      </c>
      <c r="F69" s="31" t="inlineStr">
        <is>
          <t>Consumer Electronics - EMS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20</v>
      </c>
      <c r="K69" s="31" t="n">
        <v>29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AEGISVOPAK</t>
        </is>
      </c>
      <c r="E70" s="31" t="inlineStr">
        <is>
          <t>Aegis Vopak Terminals Ltd</t>
        </is>
      </c>
      <c r="F70" s="31" t="inlineStr">
        <is>
          <t>Miscellaneous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18</v>
      </c>
      <c r="K70" s="31" t="n">
        <v>5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LLOYDSENT</t>
        </is>
      </c>
      <c r="E71" s="31" t="inlineStr">
        <is>
          <t>Lloyds Enterprises Ltd</t>
        </is>
      </c>
      <c r="F71" s="31" t="inlineStr">
        <is>
          <t>Trading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15</v>
      </c>
      <c r="K71" s="31" t="n">
        <v>6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KERNEX</t>
        </is>
      </c>
      <c r="E72" s="31" t="inlineStr">
        <is>
          <t>Kernex Microsystems (india) Limited</t>
        </is>
      </c>
      <c r="F72" s="31" t="inlineStr">
        <is>
          <t>Railways - Kavach/Springs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17</v>
      </c>
      <c r="K72" s="31" t="n">
        <v>28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JLHL</t>
        </is>
      </c>
      <c r="E73" s="31" t="inlineStr">
        <is>
          <t>Jupiter Life Line Hospitals Ltd</t>
        </is>
      </c>
      <c r="F73" s="31" t="inlineStr">
        <is>
          <t>Hospitals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17</v>
      </c>
      <c r="K73" s="31" t="n">
        <v>11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POONAWALLA</t>
        </is>
      </c>
      <c r="E74" s="31" t="inlineStr">
        <is>
          <t>Poonawalla Fincorp Ltd</t>
        </is>
      </c>
      <c r="F74" s="31" t="inlineStr">
        <is>
          <t>Conglomerate Backed NBFC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19</v>
      </c>
      <c r="K74" s="31" t="n">
        <v>3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MAHLOG</t>
        </is>
      </c>
      <c r="E75" s="31" t="inlineStr">
        <is>
          <t>Mahindra Logistics Ltd</t>
        </is>
      </c>
      <c r="F75" s="31" t="inlineStr">
        <is>
          <t>Logistics - Warehousing/Supply Chain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17</v>
      </c>
      <c r="K75" s="31" t="n">
        <v>9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TBZ</t>
        </is>
      </c>
      <c r="E76" s="31" t="inlineStr">
        <is>
          <t>Tribhovandas Bhimji Zaveri Limited</t>
        </is>
      </c>
      <c r="F76" s="31" t="inlineStr">
        <is>
          <t>Diamond, Gems &amp; Jewellery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20</v>
      </c>
      <c r="K76" s="31" t="n">
        <v>20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KALYANKJIL</t>
        </is>
      </c>
      <c r="E77" s="31" t="inlineStr">
        <is>
          <t>Kalyan Jewellers India Ltd</t>
        </is>
      </c>
      <c r="F77" s="31" t="inlineStr">
        <is>
          <t>Diamond, Gems &amp; Jewellery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24</v>
      </c>
      <c r="K77" s="31" t="n">
        <v>3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HUHTAMAKI</t>
        </is>
      </c>
      <c r="E78" s="31" t="inlineStr">
        <is>
          <t>Huhtamaki India Ltd</t>
        </is>
      </c>
      <c r="F78" s="31" t="inlineStr">
        <is>
          <t>Packaging - FMCG/Consumers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26</v>
      </c>
      <c r="K78" s="31" t="n">
        <v>3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APOLLOHOSP</t>
        </is>
      </c>
      <c r="E79" s="31" t="inlineStr">
        <is>
          <t>Apollo Hospitals Enterprise Limited</t>
        </is>
      </c>
      <c r="F79" s="31" t="inlineStr">
        <is>
          <t>Hospitals</t>
        </is>
      </c>
      <c r="G79" s="31" t="n">
        <v>2</v>
      </c>
      <c r="H79" s="31" t="inlineStr">
        <is>
          <t>52W Breakout</t>
        </is>
      </c>
      <c r="I79" s="31" t="inlineStr">
        <is>
          <t>Yes</t>
        </is>
      </c>
      <c r="J79" s="31" t="n">
        <v>9</v>
      </c>
      <c r="K79" s="31" t="n">
        <v>28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ADANIENSOL</t>
        </is>
      </c>
      <c r="E80" s="31" t="inlineStr">
        <is>
          <t>Adani Energy Solutions Ltd</t>
        </is>
      </c>
      <c r="F80" s="31" t="inlineStr">
        <is>
          <t>Power - Transmission/Equipment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16</v>
      </c>
      <c r="K80" s="31" t="n">
        <v>25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MPSLTD</t>
        </is>
      </c>
      <c r="E81" s="31" t="inlineStr">
        <is>
          <t>Mps Limited</t>
        </is>
      </c>
      <c r="F81" s="31" t="inlineStr">
        <is>
          <t>E-Commerce - Platform - Utility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30</v>
      </c>
      <c r="K81" s="31" t="n">
        <v>1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TVSMOTOR</t>
        </is>
      </c>
      <c r="E82" s="31" t="inlineStr">
        <is>
          <t>Tvs Motor Company Limited</t>
        </is>
      </c>
      <c r="F82" s="31" t="inlineStr">
        <is>
          <t>Auto - 2 &amp; 3 Wheelers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15</v>
      </c>
      <c r="K82" s="31" t="n">
        <v>5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MBAPL</t>
        </is>
      </c>
      <c r="E83" s="31" t="inlineStr">
        <is>
          <t>Madhya Bharat Agro Products Ltd</t>
        </is>
      </c>
      <c r="F83" s="31" t="inlineStr">
        <is>
          <t>Fertilisers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17</v>
      </c>
      <c r="K83" s="31" t="n">
        <v>17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RRKABEL</t>
        </is>
      </c>
      <c r="E84" s="31" t="inlineStr">
        <is>
          <t>R R Kabel Ltd</t>
        </is>
      </c>
      <c r="F84" s="31" t="inlineStr">
        <is>
          <t>Cables - Power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17</v>
      </c>
      <c r="K84" s="31" t="n">
        <v>29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SENCO</t>
        </is>
      </c>
      <c r="E85" s="31" t="inlineStr">
        <is>
          <t>Senco Gold Ltd</t>
        </is>
      </c>
      <c r="F85" s="31" t="inlineStr">
        <is>
          <t>Diamond, Gems &amp; Jewellery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21</v>
      </c>
      <c r="K85" s="31" t="n">
        <v>10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JUBLINGREA</t>
        </is>
      </c>
      <c r="E86" s="31" t="inlineStr">
        <is>
          <t>Jubilant Ingrevia Ltd</t>
        </is>
      </c>
      <c r="F86" s="31" t="inlineStr">
        <is>
          <t>Pesticides/Agrochemicals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17</v>
      </c>
      <c r="K86" s="31" t="n">
        <v>3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SHYAMMETL</t>
        </is>
      </c>
      <c r="E87" s="31" t="inlineStr">
        <is>
          <t>Shyam Metalics &amp; Energy Ltd</t>
        </is>
      </c>
      <c r="F87" s="31" t="inlineStr">
        <is>
          <t>Steel Products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18</v>
      </c>
      <c r="K87" s="31" t="n">
        <v>21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RPGLIFE</t>
        </is>
      </c>
      <c r="E88" s="31" t="inlineStr">
        <is>
          <t>Rpg Life Sciences Limited</t>
        </is>
      </c>
      <c r="F88" s="31" t="inlineStr">
        <is>
          <t>Pharma - Formulators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15</v>
      </c>
      <c r="K88" s="31" t="n">
        <v>13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VSSL</t>
        </is>
      </c>
      <c r="E89" s="31" t="inlineStr">
        <is>
          <t>Vardhman Special Steels Limited</t>
        </is>
      </c>
      <c r="F89" s="31" t="inlineStr">
        <is>
          <t>Steel Products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15</v>
      </c>
      <c r="K89" s="31" t="n">
        <v>14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TITAN</t>
        </is>
      </c>
      <c r="E90" s="31" t="inlineStr">
        <is>
          <t>Titan Company Limited</t>
        </is>
      </c>
      <c r="F90" s="31" t="inlineStr">
        <is>
          <t>Diamond, Gems &amp; Jewellery</t>
        </is>
      </c>
      <c r="G90" s="31" t="n">
        <v>2</v>
      </c>
      <c r="H90" s="31" t="inlineStr">
        <is>
          <t>52W Breakout</t>
        </is>
      </c>
      <c r="I90" s="31" t="inlineStr">
        <is>
          <t>Yes</t>
        </is>
      </c>
      <c r="J90" s="31" t="n">
        <v>8</v>
      </c>
      <c r="K90" s="31" t="n">
        <v>15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KRISHANA</t>
        </is>
      </c>
      <c r="E91" s="31" t="inlineStr">
        <is>
          <t>Krishana Phoschem Ltd</t>
        </is>
      </c>
      <c r="F91" s="31" t="inlineStr">
        <is>
          <t>Fertilisers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17</v>
      </c>
      <c r="K91" s="31" t="n">
        <v>12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EMAMIPAP</t>
        </is>
      </c>
      <c r="E92" s="31" t="inlineStr">
        <is>
          <t>Emami Paper Mills Ltd</t>
        </is>
      </c>
      <c r="F92" s="31" t="inlineStr">
        <is>
          <t>Paper</t>
        </is>
      </c>
      <c r="G92" s="31" t="n">
        <v>2</v>
      </c>
      <c r="H92" s="31" t="inlineStr">
        <is>
          <t>52W Breakout</t>
        </is>
      </c>
      <c r="I92" s="31" t="inlineStr">
        <is>
          <t>Yes</t>
        </is>
      </c>
      <c r="J92" s="31" t="n">
        <v>3</v>
      </c>
      <c r="K92" s="31" t="n">
        <v>2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LLOYDSME</t>
        </is>
      </c>
      <c r="E93" s="31" t="inlineStr">
        <is>
          <t>Lloyds Metals &amp; Energy Ltd</t>
        </is>
      </c>
      <c r="F93" s="31" t="inlineStr">
        <is>
          <t>Mining/Minerals - Iron Ore</t>
        </is>
      </c>
      <c r="G93" s="31" t="n">
        <v>2</v>
      </c>
      <c r="H93" s="31" t="inlineStr">
        <is>
          <t>No</t>
        </is>
      </c>
      <c r="I93" s="31" t="inlineStr">
        <is>
          <t>Yes</t>
        </is>
      </c>
      <c r="J93" s="31" t="n">
        <v>19</v>
      </c>
      <c r="K93" s="31" t="n">
        <v>16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PNGJL</t>
        </is>
      </c>
      <c r="E94" s="31" t="inlineStr">
        <is>
          <t>P N Gadgil Jewellers Ltd</t>
        </is>
      </c>
      <c r="F94" s="31" t="inlineStr">
        <is>
          <t>Diamond, Gems &amp; Jewellery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15</v>
      </c>
      <c r="K94" s="31" t="n">
        <v>3</v>
      </c>
    </row>
  </sheetData>
  <autoFilter ref="A1:K94"/>
  <conditionalFormatting sqref="G2:G9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4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8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IF(B2=0,"",RANK(B2,$B$2:$B$280,0))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SCPL</t>
        </is>
      </c>
      <c r="D2" s="31" t="inlineStr">
        <is>
          <t>Sheetal Cool Products Ltd</t>
        </is>
      </c>
      <c r="E2" s="31" t="inlineStr">
        <is>
          <t>fmcg</t>
        </is>
      </c>
      <c r="F2" s="31" t="inlineStr">
        <is>
          <t>food - processing - indian</t>
        </is>
      </c>
      <c r="G2" s="31" t="inlineStr">
        <is>
          <t>smallcap</t>
        </is>
      </c>
      <c r="H2" s="32" t="n">
        <v>575.14</v>
      </c>
      <c r="I2" s="32" t="n">
        <v>582.6</v>
      </c>
      <c r="J2" s="32" t="n">
        <v>6.36</v>
      </c>
      <c r="K2" s="32" t="n">
        <v>323584</v>
      </c>
      <c r="L2" s="31" t="n">
        <v>93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71.47</v>
      </c>
      <c r="P2" s="32" t="n">
        <v>50.79</v>
      </c>
      <c r="Q2" s="32" t="n">
        <v>405.25</v>
      </c>
      <c r="R2" s="31" t="inlineStr">
        <is>
          <t>Volume Spike &amp; Near 52W High Breakout</t>
        </is>
      </c>
      <c r="S2" s="31" t="inlineStr">
        <is>
          <t>Nifty FMCG</t>
        </is>
      </c>
      <c r="T2" s="32" t="n">
        <v>-9.800000000000001</v>
      </c>
      <c r="U2" s="32" t="n">
        <v>97.26000000000001</v>
      </c>
      <c r="V2" s="32" t="n">
        <v>118.68</v>
      </c>
      <c r="W2" s="32" t="n">
        <v>34.98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IF(B3=0,"",RANK(B3,$B$2:$B$280,0))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RPEL</t>
        </is>
      </c>
      <c r="D3" s="31" t="inlineStr">
        <is>
          <t>Raghav Productivity Enhancers Ltd</t>
        </is>
      </c>
      <c r="E3" s="31" t="inlineStr">
        <is>
          <t>building materials</t>
        </is>
      </c>
      <c r="F3" s="31" t="inlineStr">
        <is>
          <t>refractories / intermediates</t>
        </is>
      </c>
      <c r="G3" s="31" t="inlineStr">
        <is>
          <t>midcap</t>
        </is>
      </c>
      <c r="H3" s="32" t="n">
        <v>5827.95</v>
      </c>
      <c r="I3" s="32" t="n">
        <v>1273</v>
      </c>
      <c r="J3" s="32" t="n">
        <v>0.31</v>
      </c>
      <c r="K3" s="32" t="n">
        <v>33666</v>
      </c>
      <c r="L3" s="31" t="n">
        <v>94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74.48999999999999</v>
      </c>
      <c r="P3" s="32" t="n">
        <v>43.22</v>
      </c>
      <c r="Q3" s="32" t="n">
        <v>1028.33</v>
      </c>
      <c r="R3" s="31" t="inlineStr">
        <is>
          <t>Near 52W High Breakout</t>
        </is>
      </c>
      <c r="S3" s="31" t="inlineStr">
        <is>
          <t>Nifty Infra</t>
        </is>
      </c>
      <c r="T3" s="32" t="n">
        <v>3.35</v>
      </c>
      <c r="U3" s="32" t="n">
        <v>93.02</v>
      </c>
      <c r="V3" s="32" t="n">
        <v>86.77</v>
      </c>
      <c r="W3" s="32" t="n">
        <v>35.69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IF(B4=0,"",RANK(B4,$B$2:$B$280,0))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AEGISLOG</t>
        </is>
      </c>
      <c r="D4" s="31" t="inlineStr">
        <is>
          <t>Aegis Logistics Ltd</t>
        </is>
      </c>
      <c r="E4" s="31" t="inlineStr">
        <is>
          <t>services</t>
        </is>
      </c>
      <c r="F4" s="31" t="inlineStr">
        <is>
          <t>trading</t>
        </is>
      </c>
      <c r="G4" s="31" t="inlineStr">
        <is>
          <t>largecap</t>
        </is>
      </c>
      <c r="H4" s="32" t="n">
        <v>46103.85</v>
      </c>
      <c r="I4" s="32" t="n">
        <v>1351.3</v>
      </c>
      <c r="J4" s="32" t="n">
        <v>2.88</v>
      </c>
      <c r="K4" s="32" t="n">
        <v>1774539</v>
      </c>
      <c r="L4" s="31" t="n">
        <v>95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80.06999999999999</v>
      </c>
      <c r="P4" s="32" t="n">
        <v>43.99</v>
      </c>
      <c r="Q4" s="32" t="n">
        <v>1018.39</v>
      </c>
      <c r="R4" s="31" t="inlineStr">
        <is>
          <t>Near 52W High Breakout</t>
        </is>
      </c>
      <c r="S4" s="31" t="inlineStr">
        <is>
          <t>Nifty 50</t>
        </is>
      </c>
      <c r="T4" s="32" t="n">
        <v>-3.39</v>
      </c>
      <c r="U4" s="32" t="n">
        <v>84.53</v>
      </c>
      <c r="V4" s="32" t="n">
        <v>90.98999999999999</v>
      </c>
      <c r="W4" s="32" t="n">
        <v>35.9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IF(B5=0,"",RANK(B5,$B$2:$B$280,0))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IBULLSLTD</t>
        </is>
      </c>
      <c r="D5" s="31" t="inlineStr">
        <is>
          <t>Indiabulls Limited</t>
        </is>
      </c>
      <c r="E5" s="31" t="inlineStr">
        <is>
          <t>miscellaneous</t>
        </is>
      </c>
      <c r="F5" s="31" t="inlineStr">
        <is>
          <t>diversified - medium / small</t>
        </is>
      </c>
      <c r="G5" s="31" t="inlineStr">
        <is>
          <t>midcap</t>
        </is>
      </c>
      <c r="H5" s="32" t="n">
        <v>6746.36</v>
      </c>
      <c r="I5" s="32" t="n">
        <v>29.59</v>
      </c>
      <c r="J5" s="32" t="n">
        <v>2.18</v>
      </c>
      <c r="K5" s="32" t="n">
        <v>8943979</v>
      </c>
      <c r="L5" s="31" t="n">
        <v>95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76.53</v>
      </c>
      <c r="P5" s="32" t="n">
        <v>45.92</v>
      </c>
      <c r="Q5" s="32" t="n">
        <v>21.46</v>
      </c>
      <c r="R5" s="31" t="inlineStr">
        <is>
          <t>Near 52W High Breakout</t>
        </is>
      </c>
      <c r="S5" s="31" t="inlineStr">
        <is>
          <t>Nifty 50</t>
        </is>
      </c>
      <c r="T5" s="32" t="n">
        <v>-3.39</v>
      </c>
      <c r="U5" s="32" t="n">
        <v>91.15000000000001</v>
      </c>
      <c r="V5" s="32" t="n">
        <v>97.84999999999999</v>
      </c>
      <c r="W5" s="32" t="n">
        <v>36.9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Between 50% to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IF(B6=0,"",RANK(B6,$B$2:$B$280,0))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INDIAGLYCO</t>
        </is>
      </c>
      <c r="D6" s="31" t="inlineStr">
        <is>
          <t>India Glycols Limited</t>
        </is>
      </c>
      <c r="E6" s="31" t="inlineStr">
        <is>
          <t>fmcg</t>
        </is>
      </c>
      <c r="F6" s="31" t="inlineStr">
        <is>
          <t>breweries &amp; distilleries</t>
        </is>
      </c>
      <c r="G6" s="31" t="inlineStr">
        <is>
          <t>midcap</t>
        </is>
      </c>
      <c r="H6" s="32" t="n">
        <v>7734.55</v>
      </c>
      <c r="I6" s="32" t="n">
        <v>1140</v>
      </c>
      <c r="J6" s="32" t="n">
        <v>-1.21</v>
      </c>
      <c r="K6" s="32" t="n">
        <v>86466</v>
      </c>
      <c r="L6" s="31" t="n">
        <v>51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63.17</v>
      </c>
      <c r="P6" s="32" t="n">
        <v>23.89</v>
      </c>
      <c r="Q6" s="32" t="n">
        <v>909.63</v>
      </c>
      <c r="R6" s="31" t="inlineStr">
        <is>
          <t>Near 52W High Breakout</t>
        </is>
      </c>
      <c r="S6" s="31" t="inlineStr">
        <is>
          <t>Nifty FMCG</t>
        </is>
      </c>
      <c r="T6" s="32" t="n">
        <v>-9.800000000000001</v>
      </c>
      <c r="U6" s="32" t="n">
        <v>33.98</v>
      </c>
      <c r="V6" s="32" t="n">
        <v>48.53</v>
      </c>
      <c r="W6" s="32" t="n">
        <v>10.56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IF(B7=0,"",RANK(B7,$B$2:$B$280,0))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TINNARUBR</t>
        </is>
      </c>
      <c r="D7" s="31" t="inlineStr">
        <is>
          <t>Tinna Rubber &amp; Infrastructure Ltd</t>
        </is>
      </c>
      <c r="E7" s="31" t="inlineStr">
        <is>
          <t>fmcg</t>
        </is>
      </c>
      <c r="F7" s="31" t="inlineStr">
        <is>
          <t>miscellaneous</t>
        </is>
      </c>
      <c r="G7" s="31" t="inlineStr">
        <is>
          <t>smallcap</t>
        </is>
      </c>
      <c r="H7" s="32" t="n">
        <v>2069.83</v>
      </c>
      <c r="I7" s="32" t="n">
        <v>1101</v>
      </c>
      <c r="J7" s="32" t="n">
        <v>-4.17</v>
      </c>
      <c r="K7" s="32" t="n">
        <v>446085</v>
      </c>
      <c r="L7" s="31" t="n">
        <v>74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71.40000000000001</v>
      </c>
      <c r="P7" s="32" t="n">
        <v>31.4</v>
      </c>
      <c r="Q7" s="32" t="n">
        <v>778.5</v>
      </c>
      <c r="R7" s="31" t="inlineStr">
        <is>
          <t>Volume Spike &amp; Near 52W High Breakout</t>
        </is>
      </c>
      <c r="S7" s="31" t="inlineStr">
        <is>
          <t>Nifty FMCG</t>
        </is>
      </c>
      <c r="T7" s="32" t="n">
        <v>-9.800000000000001</v>
      </c>
      <c r="U7" s="32" t="n">
        <v>18.44</v>
      </c>
      <c r="V7" s="32" t="n">
        <v>31.3</v>
      </c>
      <c r="W7" s="32" t="n">
        <v>18.24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20 to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IF(B8=0,"",RANK(B8,$B$2:$B$280,0))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PREMIERPOL</t>
        </is>
      </c>
      <c r="D8" s="31" t="inlineStr">
        <is>
          <t>Premier Polyfilm Limited</t>
        </is>
      </c>
      <c r="E8" s="31" t="inlineStr">
        <is>
          <t>plastic products</t>
        </is>
      </c>
      <c r="F8" s="31" t="inlineStr">
        <is>
          <t>plastics products</t>
        </is>
      </c>
      <c r="G8" s="31" t="inlineStr">
        <is>
          <t>smallcap</t>
        </is>
      </c>
      <c r="H8" s="32" t="n">
        <v>754.88</v>
      </c>
      <c r="I8" s="32" t="n">
        <v>79.48</v>
      </c>
      <c r="J8" s="32" t="n">
        <v>10.28</v>
      </c>
      <c r="K8" s="32" t="n">
        <v>1761176</v>
      </c>
      <c r="L8" s="31" t="n">
        <v>79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71.20999999999999</v>
      </c>
      <c r="P8" s="32" t="n">
        <v>46.31</v>
      </c>
      <c r="Q8" s="32" t="n">
        <v>54.55</v>
      </c>
      <c r="R8" s="31" t="inlineStr">
        <is>
          <t>Volume Spike &amp; Near 52W High Breakout</t>
        </is>
      </c>
      <c r="S8" s="31" t="inlineStr">
        <is>
          <t>Nifty 50</t>
        </is>
      </c>
      <c r="T8" s="32" t="n">
        <v>-3.39</v>
      </c>
      <c r="U8" s="32" t="n">
        <v>54.91</v>
      </c>
      <c r="V8" s="32" t="n">
        <v>60.34</v>
      </c>
      <c r="W8" s="32" t="n">
        <v>20.78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IF(B9=0,"",RANK(B9,$B$2:$B$280,0))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PRECOT</t>
        </is>
      </c>
      <c r="D9" s="31" t="inlineStr">
        <is>
          <t>Precot Meridian Limited</t>
        </is>
      </c>
      <c r="E9" s="31" t="inlineStr">
        <is>
          <t>textiles</t>
        </is>
      </c>
      <c r="F9" s="31" t="inlineStr">
        <is>
          <t>textiles - cotton/blended</t>
        </is>
      </c>
      <c r="G9" s="31" t="inlineStr">
        <is>
          <t>smallcap</t>
        </is>
      </c>
      <c r="H9" s="32" t="n">
        <v>1026.48</v>
      </c>
      <c r="I9" s="32" t="n">
        <v>834.45</v>
      </c>
      <c r="J9" s="32" t="n">
        <v>-2.45</v>
      </c>
      <c r="K9" s="32" t="n">
        <v>8297</v>
      </c>
      <c r="L9" s="31" t="n">
        <v>84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70.84</v>
      </c>
      <c r="P9" s="32" t="n">
        <v>44.75</v>
      </c>
      <c r="Q9" s="32" t="n">
        <v>596.67</v>
      </c>
      <c r="R9" s="31" t="inlineStr">
        <is>
          <t>Near 52W High Breakout</t>
        </is>
      </c>
      <c r="S9" s="31" t="inlineStr">
        <is>
          <t>Nifty 50</t>
        </is>
      </c>
      <c r="T9" s="32" t="n">
        <v>-3.39</v>
      </c>
      <c r="U9" s="32" t="n">
        <v>39.46</v>
      </c>
      <c r="V9" s="32" t="n">
        <v>44.34</v>
      </c>
      <c r="W9" s="32" t="n">
        <v>24.44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Between 0.7 to 1.2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IF(B10=0,"",RANK(B10,$B$2:$B$280,0))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MENONBE</t>
        </is>
      </c>
      <c r="D10" s="31" t="inlineStr">
        <is>
          <t>Menon Bearings Limited</t>
        </is>
      </c>
      <c r="E10" s="31" t="inlineStr">
        <is>
          <t>auto</t>
        </is>
      </c>
      <c r="F10" s="31" t="inlineStr">
        <is>
          <t>auto ancillaries</t>
        </is>
      </c>
      <c r="G10" s="31" t="inlineStr">
        <is>
          <t>smallcap</t>
        </is>
      </c>
      <c r="H10" s="32" t="n">
        <v>1233.61</v>
      </c>
      <c r="I10" s="32" t="n">
        <v>208.4</v>
      </c>
      <c r="J10" s="32" t="n">
        <v>-5.33</v>
      </c>
      <c r="K10" s="32" t="n">
        <v>108888</v>
      </c>
      <c r="L10" s="31" t="n">
        <v>89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75.84999999999999</v>
      </c>
      <c r="P10" s="32" t="n">
        <v>45.49</v>
      </c>
      <c r="Q10" s="32" t="n">
        <v>156</v>
      </c>
      <c r="R10" s="31" t="inlineStr">
        <is>
          <t>Near 52W High Breakout</t>
        </is>
      </c>
      <c r="S10" s="31" t="inlineStr">
        <is>
          <t>Nifty Auto</t>
        </is>
      </c>
      <c r="T10" s="32" t="n">
        <v>14.92</v>
      </c>
      <c r="U10" s="32" t="n">
        <v>63.41</v>
      </c>
      <c r="V10" s="32" t="n">
        <v>42.2</v>
      </c>
      <c r="W10" s="32" t="n">
        <v>29.09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IF(B11=0,"",RANK(B11,$B$2:$B$280,0))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RADICO</t>
        </is>
      </c>
      <c r="D11" s="31" t="inlineStr">
        <is>
          <t>Radico Khaitan Limited</t>
        </is>
      </c>
      <c r="E11" s="31" t="inlineStr">
        <is>
          <t>fmcg</t>
        </is>
      </c>
      <c r="F11" s="31" t="inlineStr">
        <is>
          <t>breweries &amp; distilleries</t>
        </is>
      </c>
      <c r="G11" s="31" t="inlineStr">
        <is>
          <t>largecap</t>
        </is>
      </c>
      <c r="H11" s="32" t="n">
        <v>54756.49</v>
      </c>
      <c r="I11" s="32" t="n">
        <v>4147.5</v>
      </c>
      <c r="J11" s="32" t="n">
        <v>1.45</v>
      </c>
      <c r="K11" s="32" t="n">
        <v>252712</v>
      </c>
      <c r="L11" s="31" t="n">
        <v>67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80.73</v>
      </c>
      <c r="P11" s="32" t="n">
        <v>55.17</v>
      </c>
      <c r="Q11" s="32" t="n">
        <v>3530.51</v>
      </c>
      <c r="R11" s="31" t="inlineStr">
        <is>
          <t>Near 52W High Breakout</t>
        </is>
      </c>
      <c r="S11" s="31" t="inlineStr">
        <is>
          <t>Nifty FMCG</t>
        </is>
      </c>
      <c r="T11" s="32" t="n">
        <v>-9.800000000000001</v>
      </c>
      <c r="U11" s="32" t="n">
        <v>53.49</v>
      </c>
      <c r="V11" s="32" t="n">
        <v>70.16</v>
      </c>
      <c r="W11" s="32" t="n">
        <v>15.8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IF(B12=0,"",RANK(B12,$B$2:$B$280,0))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SKMEGGPROD</t>
        </is>
      </c>
      <c r="D12" s="31" t="inlineStr">
        <is>
          <t>Skm Egg Products Export (india) Limited</t>
        </is>
      </c>
      <c r="E12" s="31" t="inlineStr">
        <is>
          <t>fmcg</t>
        </is>
      </c>
      <c r="F12" s="31" t="inlineStr">
        <is>
          <t>food - processing - indian</t>
        </is>
      </c>
      <c r="G12" s="31" t="inlineStr">
        <is>
          <t>smallcap</t>
        </is>
      </c>
      <c r="H12" s="32" t="n">
        <v>1651.94</v>
      </c>
      <c r="I12" s="32" t="n">
        <v>314.05</v>
      </c>
      <c r="J12" s="32" t="n">
        <v>0.11</v>
      </c>
      <c r="K12" s="32" t="n">
        <v>267316</v>
      </c>
      <c r="L12" s="31" t="n">
        <v>95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76.90000000000001</v>
      </c>
      <c r="P12" s="32" t="n">
        <v>44.47</v>
      </c>
      <c r="Q12" s="32" t="n">
        <v>230.18</v>
      </c>
      <c r="R12" s="31" t="inlineStr">
        <is>
          <t>Near 52W High Breakout</t>
        </is>
      </c>
      <c r="S12" s="31" t="inlineStr">
        <is>
          <t>Nifty FMCG</t>
        </is>
      </c>
      <c r="T12" s="32" t="n">
        <v>-9.800000000000001</v>
      </c>
      <c r="U12" s="32" t="n">
        <v>108.6</v>
      </c>
      <c r="V12" s="32" t="n">
        <v>131.25</v>
      </c>
      <c r="W12" s="32" t="n">
        <v>36.71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Less than 50%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IF(B13=0,"",RANK(B13,$B$2:$B$280,0))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AURUM</t>
        </is>
      </c>
      <c r="D13" s="31" t="inlineStr">
        <is>
          <t>Aurum Proptech Ltd</t>
        </is>
      </c>
      <c r="E13" s="31" t="inlineStr">
        <is>
          <t>i.t</t>
        </is>
      </c>
      <c r="F13" s="31" t="inlineStr">
        <is>
          <t>computers - software - medium / small</t>
        </is>
      </c>
      <c r="G13" s="31" t="inlineStr">
        <is>
          <t>smallcap</t>
        </is>
      </c>
      <c r="H13" s="32" t="n">
        <v>1750.34</v>
      </c>
      <c r="I13" s="32" t="n">
        <v>227.84</v>
      </c>
      <c r="J13" s="32" t="n">
        <v>-0.21</v>
      </c>
      <c r="K13" s="32" t="n">
        <v>162422</v>
      </c>
      <c r="L13" s="31" t="n">
        <v>43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65.77</v>
      </c>
      <c r="P13" s="32" t="n">
        <v>41.21</v>
      </c>
      <c r="Q13" s="32" t="n">
        <v>184.54</v>
      </c>
      <c r="R13" s="31" t="inlineStr">
        <is>
          <t>Volume Spike &amp; Near 52W High Breakout</t>
        </is>
      </c>
      <c r="S13" s="31" t="inlineStr">
        <is>
          <t>Nifty IT</t>
        </is>
      </c>
      <c r="T13" s="32" t="n">
        <v>-19.86</v>
      </c>
      <c r="U13" s="32" t="n">
        <v>16.32</v>
      </c>
      <c r="V13" s="32" t="n">
        <v>45.14</v>
      </c>
      <c r="W13" s="32" t="n">
        <v>8.970000000000001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Between 50% to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IF(B14=0,"",RANK(B14,$B$2:$B$280,0))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ACUTAAS</t>
        </is>
      </c>
      <c r="D14" s="31" t="inlineStr">
        <is>
          <t>Acutaas Chemicals Ltd</t>
        </is>
      </c>
      <c r="E14" s="31" t="inlineStr">
        <is>
          <t>healthcare</t>
        </is>
      </c>
      <c r="F14" s="31" t="inlineStr">
        <is>
          <t>pharmaceuticals - indian - bulk drugs</t>
        </is>
      </c>
      <c r="G14" s="31" t="inlineStr">
        <is>
          <t>largecap</t>
        </is>
      </c>
      <c r="H14" s="32" t="n">
        <v>30104.01</v>
      </c>
      <c r="I14" s="32" t="n">
        <v>3665</v>
      </c>
      <c r="J14" s="32" t="n">
        <v>-0.33</v>
      </c>
      <c r="K14" s="32" t="n">
        <v>161933</v>
      </c>
      <c r="L14" s="31" t="n">
        <v>96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72.06999999999999</v>
      </c>
      <c r="P14" s="32" t="n">
        <v>70.28</v>
      </c>
      <c r="Q14" s="32" t="n">
        <v>2913.09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13.63</v>
      </c>
      <c r="U14" s="32" t="n">
        <v>216.21</v>
      </c>
      <c r="V14" s="32" t="n">
        <v>178.28</v>
      </c>
      <c r="W14" s="32" t="n">
        <v>38.83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Between 50% to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IF(B15=0,"",RANK(B15,$B$2:$B$280,0))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EMCURE</t>
        </is>
      </c>
      <c r="D15" s="31" t="inlineStr">
        <is>
          <t>Emcure Pharmaceuticals Ltd</t>
        </is>
      </c>
      <c r="E15" s="31" t="inlineStr">
        <is>
          <t>healthcare</t>
        </is>
      </c>
      <c r="F15" s="31" t="inlineStr">
        <is>
          <t>pharmaceuticals - indian - bulk drugs &amp; formln</t>
        </is>
      </c>
      <c r="G15" s="31" t="inlineStr">
        <is>
          <t>largecap</t>
        </is>
      </c>
      <c r="H15" s="32" t="n">
        <v>36486.51</v>
      </c>
      <c r="I15" s="32" t="n">
        <v>1886.5</v>
      </c>
      <c r="J15" s="32" t="n">
        <v>-1.97</v>
      </c>
      <c r="K15" s="32" t="n">
        <v>110499</v>
      </c>
      <c r="L15" s="31" t="n">
        <v>46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66.98</v>
      </c>
      <c r="P15" s="32" t="n">
        <v>56.56</v>
      </c>
      <c r="Q15" s="32" t="n">
        <v>1507.37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13.63</v>
      </c>
      <c r="U15" s="32" t="n">
        <v>34.47</v>
      </c>
      <c r="V15" s="32" t="n">
        <v>18.34</v>
      </c>
      <c r="W15" s="32" t="n">
        <v>9.43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Between 50% to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IF(B16=0,"",RANK(B16,$B$2:$B$280,0))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STYLAMIND</t>
        </is>
      </c>
      <c r="D16" s="31" t="inlineStr">
        <is>
          <t>Stylam Industries Ltd</t>
        </is>
      </c>
      <c r="E16" s="31" t="inlineStr">
        <is>
          <t>building materials</t>
        </is>
      </c>
      <c r="F16" s="31" t="inlineStr">
        <is>
          <t>miscellaneous</t>
        </is>
      </c>
      <c r="G16" s="31" t="inlineStr">
        <is>
          <t>midcap</t>
        </is>
      </c>
      <c r="H16" s="32" t="n">
        <v>5949.96</v>
      </c>
      <c r="I16" s="32" t="n">
        <v>3659</v>
      </c>
      <c r="J16" s="32" t="n">
        <v>4.22</v>
      </c>
      <c r="K16" s="32" t="n">
        <v>1979903</v>
      </c>
      <c r="L16" s="31" t="n">
        <v>88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86.13</v>
      </c>
      <c r="P16" s="32" t="n">
        <v>69.23</v>
      </c>
      <c r="Q16" s="32" t="n">
        <v>2884.96</v>
      </c>
      <c r="R16" s="31" t="inlineStr">
        <is>
          <t>Volume Spike &amp; Near 52W High Breakout</t>
        </is>
      </c>
      <c r="S16" s="31" t="inlineStr">
        <is>
          <t>Nifty Infra</t>
        </is>
      </c>
      <c r="T16" s="32" t="n">
        <v>3.35</v>
      </c>
      <c r="U16" s="32" t="n">
        <v>90.72</v>
      </c>
      <c r="V16" s="32" t="n">
        <v>84.54000000000001</v>
      </c>
      <c r="W16" s="32" t="n">
        <v>27.85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IF(B17=0,"",RANK(B17,$B$2:$B$280,0))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KANORICHEM</t>
        </is>
      </c>
      <c r="D17" s="31" t="inlineStr">
        <is>
          <t>Kanoria Chemicals &amp; Industries Limited</t>
        </is>
      </c>
      <c r="E17" s="31" t="inlineStr">
        <is>
          <t>chemicals</t>
        </is>
      </c>
      <c r="F17" s="31" t="inlineStr">
        <is>
          <t>chemicals</t>
        </is>
      </c>
      <c r="G17" s="31" t="inlineStr">
        <is>
          <t>smallcap</t>
        </is>
      </c>
      <c r="H17" s="32" t="n">
        <v>665.0599999999999</v>
      </c>
      <c r="I17" s="32" t="n">
        <v>154.9</v>
      </c>
      <c r="J17" s="32" t="n">
        <v>1.77</v>
      </c>
      <c r="K17" s="32" t="n">
        <v>33156</v>
      </c>
      <c r="L17" s="31" t="n">
        <v>93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81.01000000000001</v>
      </c>
      <c r="P17" s="32" t="n">
        <v>45.99</v>
      </c>
      <c r="Q17" s="32" t="n">
        <v>115.41</v>
      </c>
      <c r="R17" s="31" t="inlineStr">
        <is>
          <t>Near 52W High Breakout</t>
        </is>
      </c>
      <c r="S17" s="31" t="inlineStr">
        <is>
          <t>Nifty 50</t>
        </is>
      </c>
      <c r="T17" s="32" t="n">
        <v>-3.39</v>
      </c>
      <c r="U17" s="32" t="n">
        <v>71.93000000000001</v>
      </c>
      <c r="V17" s="32" t="n">
        <v>77.95</v>
      </c>
      <c r="W17" s="32" t="n">
        <v>34.73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IF(B18=0,"",RANK(B18,$B$2:$B$280,0))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SJS</t>
        </is>
      </c>
      <c r="D18" s="31" t="inlineStr">
        <is>
          <t>S J S Enterprises Ltd</t>
        </is>
      </c>
      <c r="E18" s="31" t="inlineStr">
        <is>
          <t>auto</t>
        </is>
      </c>
      <c r="F18" s="31" t="inlineStr">
        <is>
          <t>plastics products</t>
        </is>
      </c>
      <c r="G18" s="31" t="inlineStr">
        <is>
          <t>midcap</t>
        </is>
      </c>
      <c r="H18" s="32" t="n">
        <v>7121.2</v>
      </c>
      <c r="I18" s="32" t="n">
        <v>2244.1</v>
      </c>
      <c r="J18" s="32" t="n">
        <v>0.83</v>
      </c>
      <c r="K18" s="32" t="n">
        <v>80609</v>
      </c>
      <c r="L18" s="31" t="n">
        <v>80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65.94</v>
      </c>
      <c r="P18" s="32" t="n">
        <v>35.55</v>
      </c>
      <c r="Q18" s="32" t="n">
        <v>1797.54</v>
      </c>
      <c r="R18" s="31" t="inlineStr">
        <is>
          <t>Near 52W High Breakout</t>
        </is>
      </c>
      <c r="S18" s="31" t="inlineStr">
        <is>
          <t>Nifty Auto</t>
        </is>
      </c>
      <c r="T18" s="32" t="n">
        <v>14.92</v>
      </c>
      <c r="U18" s="32" t="n">
        <v>79.59</v>
      </c>
      <c r="V18" s="32" t="n">
        <v>56.28</v>
      </c>
      <c r="W18" s="32" t="n">
        <v>21.08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IF(B19=0,"",RANK(B19,$B$2:$B$280,0))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BHEL</t>
        </is>
      </c>
      <c r="D19" s="31" t="inlineStr">
        <is>
          <t>Bharat Heavy Electricals Limited</t>
        </is>
      </c>
      <c r="E19" s="31" t="inlineStr">
        <is>
          <t>industrials</t>
        </is>
      </c>
      <c r="F19" s="31" t="inlineStr">
        <is>
          <t>electric equipment</t>
        </is>
      </c>
      <c r="G19" s="31" t="inlineStr">
        <is>
          <t>largecap</t>
        </is>
      </c>
      <c r="H19" s="32" t="n">
        <v>143913.68</v>
      </c>
      <c r="I19" s="32" t="n">
        <v>416.45</v>
      </c>
      <c r="J19" s="32" t="n">
        <v>0.76</v>
      </c>
      <c r="K19" s="32" t="n">
        <v>11714567</v>
      </c>
      <c r="L19" s="31" t="n">
        <v>72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66.08</v>
      </c>
      <c r="P19" s="32" t="n">
        <v>46.77</v>
      </c>
      <c r="Q19" s="32" t="n">
        <v>336.2</v>
      </c>
      <c r="R19" s="31" t="inlineStr">
        <is>
          <t>Near 52W High Breakout</t>
        </is>
      </c>
      <c r="S19" s="31" t="inlineStr">
        <is>
          <t>Nifty 50</t>
        </is>
      </c>
      <c r="T19" s="32" t="n">
        <v>-3.39</v>
      </c>
      <c r="U19" s="32" t="n">
        <v>74.34</v>
      </c>
      <c r="V19" s="32" t="n">
        <v>80.45</v>
      </c>
      <c r="W19" s="32" t="n">
        <v>17.63</v>
      </c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IF(B20=0,"",RANK(B20,$B$2:$B$280,0))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SANGAMIND</t>
        </is>
      </c>
      <c r="D20" s="31" t="inlineStr">
        <is>
          <t>Sangam (india) Limited</t>
        </is>
      </c>
      <c r="E20" s="31" t="inlineStr">
        <is>
          <t>textiles</t>
        </is>
      </c>
      <c r="F20" s="31" t="inlineStr">
        <is>
          <t>textiles - spinning - synthetic / blended</t>
        </is>
      </c>
      <c r="G20" s="31" t="inlineStr">
        <is>
          <t>smallcap</t>
        </is>
      </c>
      <c r="H20" s="32" t="n">
        <v>3110.01</v>
      </c>
      <c r="I20" s="32" t="n">
        <v>621.9</v>
      </c>
      <c r="J20" s="32" t="n">
        <v>0.48</v>
      </c>
      <c r="K20" s="32" t="n">
        <v>52154</v>
      </c>
      <c r="L20" s="31" t="n">
        <v>55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74.34999999999999</v>
      </c>
      <c r="P20" s="32" t="n">
        <v>46.41</v>
      </c>
      <c r="Q20" s="32" t="n">
        <v>498.29</v>
      </c>
      <c r="R20" s="31" t="inlineStr">
        <is>
          <t>Near 52W High Breakout</t>
        </is>
      </c>
      <c r="S20" s="31" t="inlineStr">
        <is>
          <t>Nifty 50</t>
        </is>
      </c>
      <c r="T20" s="32" t="n">
        <v>-3.39</v>
      </c>
      <c r="U20" s="32" t="n">
        <v>39.92</v>
      </c>
      <c r="V20" s="32" t="n">
        <v>44.82</v>
      </c>
      <c r="W20" s="32" t="n">
        <v>11.88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Between 0.7 to 1.2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IF(B21=0,"",RANK(B21,$B$2:$B$280,0))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RISHABH</t>
        </is>
      </c>
      <c r="D21" s="31" t="inlineStr">
        <is>
          <t>Rishabh Instruments Ltd</t>
        </is>
      </c>
      <c r="E21" s="31" t="inlineStr">
        <is>
          <t>industrials</t>
        </is>
      </c>
      <c r="F21" s="31" t="inlineStr">
        <is>
          <t>electric equipment</t>
        </is>
      </c>
      <c r="G21" s="31" t="inlineStr">
        <is>
          <t>smallcap</t>
        </is>
      </c>
      <c r="H21" s="32" t="n">
        <v>2515.51</v>
      </c>
      <c r="I21" s="32" t="n">
        <v>648.7</v>
      </c>
      <c r="J21" s="32" t="n">
        <v>-0.6</v>
      </c>
      <c r="K21" s="32" t="n">
        <v>164693</v>
      </c>
      <c r="L21" s="31" t="n">
        <v>87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70.38</v>
      </c>
      <c r="P21" s="32" t="n">
        <v>43.18</v>
      </c>
      <c r="Q21" s="32" t="n">
        <v>487.98</v>
      </c>
      <c r="R21" s="31" t="inlineStr">
        <is>
          <t>Near 52W High Breakout</t>
        </is>
      </c>
      <c r="S21" s="31" t="inlineStr">
        <is>
          <t>Nifty 50</t>
        </is>
      </c>
      <c r="T21" s="32" t="n">
        <v>-3.39</v>
      </c>
      <c r="U21" s="32" t="n">
        <v>127.65</v>
      </c>
      <c r="V21" s="32" t="n">
        <v>135.63</v>
      </c>
      <c r="W21" s="32" t="n">
        <v>26.65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IF(B22=0,"",RANK(B22,$B$2:$B$280,0))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TALBROAUTO</t>
        </is>
      </c>
      <c r="D22" s="31" t="inlineStr">
        <is>
          <t>Talbros Automotive Components Limited</t>
        </is>
      </c>
      <c r="E22" s="31" t="inlineStr">
        <is>
          <t>auto</t>
        </is>
      </c>
      <c r="F22" s="31" t="inlineStr">
        <is>
          <t>auto ancillaries</t>
        </is>
      </c>
      <c r="G22" s="31" t="inlineStr">
        <is>
          <t>smallcap</t>
        </is>
      </c>
      <c r="H22" s="32" t="n">
        <v>2545.36</v>
      </c>
      <c r="I22" s="32" t="n">
        <v>408.5</v>
      </c>
      <c r="J22" s="32" t="n">
        <v>-0.93</v>
      </c>
      <c r="K22" s="32" t="n">
        <v>104682</v>
      </c>
      <c r="L22" s="31" t="n">
        <v>75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74.14</v>
      </c>
      <c r="P22" s="32" t="n">
        <v>40.19</v>
      </c>
      <c r="Q22" s="32" t="n">
        <v>314.82</v>
      </c>
      <c r="R22" s="31" t="inlineStr">
        <is>
          <t>Near 52W High Breakout</t>
        </is>
      </c>
      <c r="S22" s="31" t="inlineStr">
        <is>
          <t>Nifty Auto</t>
        </is>
      </c>
      <c r="T22" s="32" t="n">
        <v>14.92</v>
      </c>
      <c r="U22" s="32" t="n">
        <v>44.35</v>
      </c>
      <c r="V22" s="32" t="n">
        <v>25.61</v>
      </c>
      <c r="W22" s="32" t="n">
        <v>18.8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Between 12 to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Between 50% to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IF(B23=0,"",RANK(B23,$B$2:$B$280,0))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CCL</t>
        </is>
      </c>
      <c r="D23" s="31" t="inlineStr">
        <is>
          <t>Ccl Products (india) Limited</t>
        </is>
      </c>
      <c r="E23" s="31" t="inlineStr">
        <is>
          <t>fmcg</t>
        </is>
      </c>
      <c r="F23" s="31" t="inlineStr">
        <is>
          <t>tea</t>
        </is>
      </c>
      <c r="G23" s="31" t="inlineStr">
        <is>
          <t>midcap</t>
        </is>
      </c>
      <c r="H23" s="32" t="n">
        <v>16092.78</v>
      </c>
      <c r="I23" s="32" t="n">
        <v>1205</v>
      </c>
      <c r="J23" s="32" t="n">
        <v>-0.02</v>
      </c>
      <c r="K23" s="32" t="n">
        <v>81493</v>
      </c>
      <c r="L23" s="31" t="n">
        <v>47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67.76000000000001</v>
      </c>
      <c r="P23" s="32" t="n">
        <v>47.76</v>
      </c>
      <c r="Q23" s="32" t="n">
        <v>993.92</v>
      </c>
      <c r="R23" s="31" t="inlineStr">
        <is>
          <t>Near 52W High Breakout</t>
        </is>
      </c>
      <c r="S23" s="31" t="inlineStr">
        <is>
          <t>Nifty FMCG</t>
        </is>
      </c>
      <c r="T23" s="32" t="n">
        <v>-9.800000000000001</v>
      </c>
      <c r="U23" s="32" t="n">
        <v>44.29</v>
      </c>
      <c r="V23" s="32" t="n">
        <v>59.96</v>
      </c>
      <c r="W23" s="32" t="n">
        <v>9.75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B2C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Between 12 to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IF(B24=0,"",RANK(B24,$B$2:$B$280,0))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PGHL</t>
        </is>
      </c>
      <c r="D24" s="31" t="inlineStr">
        <is>
          <t>Procter &amp; Gamble Health Ltd</t>
        </is>
      </c>
      <c r="E24" s="31" t="inlineStr">
        <is>
          <t>healthcare</t>
        </is>
      </c>
      <c r="F24" s="31" t="inlineStr">
        <is>
          <t>pharmaceuticals - multinational</t>
        </is>
      </c>
      <c r="G24" s="31" t="inlineStr">
        <is>
          <t>midcap</t>
        </is>
      </c>
      <c r="H24" s="32" t="n">
        <v>11253.55</v>
      </c>
      <c r="I24" s="32" t="n">
        <v>6712</v>
      </c>
      <c r="J24" s="32" t="n">
        <v>-1</v>
      </c>
      <c r="K24" s="32" t="n">
        <v>5616</v>
      </c>
      <c r="L24" s="31" t="n">
        <v>51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76.29000000000001</v>
      </c>
      <c r="P24" s="32" t="n">
        <v>64.61</v>
      </c>
      <c r="Q24" s="32" t="n">
        <v>5872.13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13.63</v>
      </c>
      <c r="U24" s="32" t="n">
        <v>19.84</v>
      </c>
      <c r="V24" s="32" t="n">
        <v>5.46</v>
      </c>
      <c r="W24" s="32" t="n">
        <v>10.69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IF(B25=0,"",RANK(B25,$B$2:$B$280,0))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CUPID</t>
        </is>
      </c>
      <c r="D25" s="31" t="inlineStr">
        <is>
          <t>Cupid Limited</t>
        </is>
      </c>
      <c r="E25" s="31" t="inlineStr">
        <is>
          <t>fmcg</t>
        </is>
      </c>
      <c r="F25" s="31" t="inlineStr">
        <is>
          <t>personal care - indian</t>
        </is>
      </c>
      <c r="G25" s="31" t="inlineStr">
        <is>
          <t>largecap</t>
        </is>
      </c>
      <c r="H25" s="32" t="n">
        <v>28405.96</v>
      </c>
      <c r="I25" s="32" t="n">
        <v>206.9</v>
      </c>
      <c r="J25" s="32" t="n">
        <v>-2.06</v>
      </c>
      <c r="K25" s="32" t="n">
        <v>26836688</v>
      </c>
      <c r="L25" s="31" t="n">
        <v>99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82.83</v>
      </c>
      <c r="P25" s="32" t="n">
        <v>65.62</v>
      </c>
      <c r="Q25" s="32" t="n">
        <v>167.52</v>
      </c>
      <c r="R25" s="31" t="inlineStr">
        <is>
          <t>Near 52W High Breakout</t>
        </is>
      </c>
      <c r="S25" s="31" t="inlineStr">
        <is>
          <t>Nifty FMCG</t>
        </is>
      </c>
      <c r="T25" s="32" t="n">
        <v>-9.800000000000001</v>
      </c>
      <c r="U25" s="32" t="n">
        <v>599.41</v>
      </c>
      <c r="V25" s="32" t="n">
        <v>675.36</v>
      </c>
      <c r="W25" s="32" t="n">
        <v>67.23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B2C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Less than 50%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IF(B26=0,"",RANK(B26,$B$2:$B$280,0))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GANESHBE</t>
        </is>
      </c>
      <c r="D26" s="31" t="inlineStr">
        <is>
          <t>Ganesh Benzoplast Ltd</t>
        </is>
      </c>
      <c r="E26" s="31" t="inlineStr">
        <is>
          <t>miscellaneous</t>
        </is>
      </c>
      <c r="F26" s="31" t="inlineStr">
        <is>
          <t>miscellaneous</t>
        </is>
      </c>
      <c r="G26" s="31" t="inlineStr">
        <is>
          <t>smallcap</t>
        </is>
      </c>
      <c r="H26" s="32" t="n">
        <v>758.7</v>
      </c>
      <c r="I26" s="32" t="n">
        <v>109.32</v>
      </c>
      <c r="J26" s="32" t="n">
        <v>3.73</v>
      </c>
      <c r="K26" s="32" t="n">
        <v>11607281</v>
      </c>
      <c r="L26" s="31" t="n">
        <v>31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61.48</v>
      </c>
      <c r="P26" s="32" t="n">
        <v>27.53</v>
      </c>
      <c r="Q26" s="32" t="n">
        <v>80.59</v>
      </c>
      <c r="R26" s="31" t="inlineStr">
        <is>
          <t>Volume Spike &amp; Near 52W High Breakout</t>
        </is>
      </c>
      <c r="S26" s="31" t="inlineStr">
        <is>
          <t>Nifty 50</t>
        </is>
      </c>
      <c r="T26" s="32" t="n">
        <v>-3.39</v>
      </c>
      <c r="U26" s="32" t="n">
        <v>13.67</v>
      </c>
      <c r="V26" s="32" t="n">
        <v>17.66</v>
      </c>
      <c r="W26" s="32" t="n">
        <v>6.19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IF(B27=0,"",RANK(B27,$B$2:$B$280,0))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JKPAPER</t>
        </is>
      </c>
      <c r="D27" s="31" t="inlineStr">
        <is>
          <t>Jk Paper Limited</t>
        </is>
      </c>
      <c r="E27" s="31" t="inlineStr">
        <is>
          <t>building materials</t>
        </is>
      </c>
      <c r="F27" s="31" t="inlineStr">
        <is>
          <t>paper</t>
        </is>
      </c>
      <c r="G27" s="31" t="inlineStr">
        <is>
          <t>midcap</t>
        </is>
      </c>
      <c r="H27" s="32" t="n">
        <v>6816.68</v>
      </c>
      <c r="I27" s="32" t="n">
        <v>389.3</v>
      </c>
      <c r="J27" s="32" t="n">
        <v>3.55</v>
      </c>
      <c r="K27" s="32" t="n">
        <v>6783849</v>
      </c>
      <c r="L27" s="31" t="n">
        <v>17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60.89</v>
      </c>
      <c r="P27" s="32" t="n">
        <v>20.71</v>
      </c>
      <c r="Q27" s="32" t="n">
        <v>311.8</v>
      </c>
      <c r="R27" s="31" t="inlineStr">
        <is>
          <t>Volume Spike / Accumulation</t>
        </is>
      </c>
      <c r="S27" s="31" t="inlineStr">
        <is>
          <t>Nifty Infra</t>
        </is>
      </c>
      <c r="T27" s="32" t="n">
        <v>3.35</v>
      </c>
      <c r="U27" s="32" t="n">
        <v>5.53</v>
      </c>
      <c r="V27" s="32" t="n">
        <v>2.11</v>
      </c>
      <c r="W27" s="32" t="n">
        <v>2.87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IF(B28=0,"",RANK(B28,$B$2:$B$280,0))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CENTENKA</t>
        </is>
      </c>
      <c r="D28" s="31" t="inlineStr">
        <is>
          <t>Century Enka Limited</t>
        </is>
      </c>
      <c r="E28" s="31" t="inlineStr">
        <is>
          <t>textiles</t>
        </is>
      </c>
      <c r="F28" s="31" t="inlineStr">
        <is>
          <t>textiles - manmade</t>
        </is>
      </c>
      <c r="G28" s="31" t="inlineStr">
        <is>
          <t>smallcap</t>
        </is>
      </c>
      <c r="H28" s="32" t="n">
        <v>1189.44</v>
      </c>
      <c r="I28" s="32" t="n">
        <v>558.65</v>
      </c>
      <c r="J28" s="32" t="n">
        <v>2.63</v>
      </c>
      <c r="K28" s="32" t="n">
        <v>71078</v>
      </c>
      <c r="L28" s="31" t="n">
        <v>46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65.06999999999999</v>
      </c>
      <c r="P28" s="32" t="n">
        <v>52.46</v>
      </c>
      <c r="Q28" s="32" t="n">
        <v>428.97</v>
      </c>
      <c r="R28" s="31" t="inlineStr">
        <is>
          <t>Near 52W High Breakout</t>
        </is>
      </c>
      <c r="S28" s="31" t="inlineStr">
        <is>
          <t>Nifty 50</t>
        </is>
      </c>
      <c r="T28" s="32" t="n">
        <v>-3.39</v>
      </c>
      <c r="U28" s="32" t="n">
        <v>11.12</v>
      </c>
      <c r="V28" s="32" t="n">
        <v>15.01</v>
      </c>
      <c r="W28" s="32" t="n">
        <v>9.6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IF(B29=0,"",RANK(B29,$B$2:$B$280,0))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THELEELA</t>
        </is>
      </c>
      <c r="D29" s="31" t="inlineStr">
        <is>
          <t>Leela Palaces Hotels &amp; Resorts Ltd</t>
        </is>
      </c>
      <c r="E29" s="31" t="inlineStr">
        <is>
          <t>services</t>
        </is>
      </c>
      <c r="F29" s="31" t="inlineStr">
        <is>
          <t>hotels</t>
        </is>
      </c>
      <c r="G29" s="31" t="inlineStr">
        <is>
          <t>midcap</t>
        </is>
      </c>
      <c r="H29" s="32" t="n">
        <v>16285.46</v>
      </c>
      <c r="I29" s="32" t="n">
        <v>496</v>
      </c>
      <c r="J29" s="32" t="n">
        <v>1.71</v>
      </c>
      <c r="K29" s="32" t="n">
        <v>411094</v>
      </c>
      <c r="L29" s="31" t="n">
        <v>26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61.22</v>
      </c>
      <c r="P29" s="32" t="n">
        <v>20.27</v>
      </c>
      <c r="Q29" s="32" t="n">
        <v>410.32</v>
      </c>
      <c r="R29" s="31" t="inlineStr">
        <is>
          <t>Near 52W High Breakout</t>
        </is>
      </c>
      <c r="S29" s="31" t="inlineStr">
        <is>
          <t>Nifty 50</t>
        </is>
      </c>
      <c r="T29" s="32" t="n">
        <v>-3.39</v>
      </c>
      <c r="U29" s="32" t="n">
        <v>10.34</v>
      </c>
      <c r="V29" s="32" t="n">
        <v>14.2</v>
      </c>
      <c r="W29" s="32" t="n">
        <v>5.11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Between 1.5 to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IF(B30=0,"",RANK(B30,$B$2:$B$280,0))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BUTTERFLY</t>
        </is>
      </c>
      <c r="D30" s="31" t="inlineStr">
        <is>
          <t>Butterfly Gandhimathi Appliances Limited</t>
        </is>
      </c>
      <c r="E30" s="31" t="inlineStr">
        <is>
          <t>consumer discretionary</t>
        </is>
      </c>
      <c r="F30" s="31" t="inlineStr">
        <is>
          <t>domestic appliances</t>
        </is>
      </c>
      <c r="G30" s="31" t="inlineStr">
        <is>
          <t>smallcap</t>
        </is>
      </c>
      <c r="H30" s="32" t="n">
        <v>1354.29</v>
      </c>
      <c r="I30" s="32" t="n">
        <v>763.4</v>
      </c>
      <c r="J30" s="32" t="n">
        <v>0.79</v>
      </c>
      <c r="K30" s="32" t="n">
        <v>22806</v>
      </c>
      <c r="L30" s="31" t="n">
        <v>32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64.62</v>
      </c>
      <c r="P30" s="32" t="n">
        <v>39.89</v>
      </c>
      <c r="Q30" s="32" t="n">
        <v>608.34</v>
      </c>
      <c r="R30" s="31" t="inlineStr">
        <is>
          <t>Near 52W High Breakout</t>
        </is>
      </c>
      <c r="S30" s="31" t="inlineStr">
        <is>
          <t>Nifty 50</t>
        </is>
      </c>
      <c r="T30" s="32" t="n">
        <v>-3.39</v>
      </c>
      <c r="U30" s="32" t="n">
        <v>2.77</v>
      </c>
      <c r="V30" s="32" t="n">
        <v>6.37</v>
      </c>
      <c r="W30" s="32" t="n">
        <v>6.36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IF(B31=0,"",RANK(B31,$B$2:$B$280,0))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HITECHCORP</t>
        </is>
      </c>
      <c r="D31" s="31" t="inlineStr">
        <is>
          <t>Hitech Corporation</t>
        </is>
      </c>
      <c r="E31" s="31" t="inlineStr">
        <is>
          <t>industrials</t>
        </is>
      </c>
      <c r="F31" s="31" t="inlineStr">
        <is>
          <t>packaging</t>
        </is>
      </c>
      <c r="G31" s="31" t="inlineStr">
        <is>
          <t>smallcap</t>
        </is>
      </c>
      <c r="H31" s="32" t="n">
        <v>549.1900000000001</v>
      </c>
      <c r="I31" s="32" t="n">
        <v>321.2</v>
      </c>
      <c r="J31" s="32" t="n">
        <v>0.45</v>
      </c>
      <c r="K31" s="32" t="n">
        <v>13164</v>
      </c>
      <c r="L31" s="31" t="n">
        <v>98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80.56</v>
      </c>
      <c r="P31" s="32" t="n">
        <v>48.66</v>
      </c>
      <c r="Q31" s="32" t="n">
        <v>252.95</v>
      </c>
      <c r="R31" s="31" t="inlineStr">
        <is>
          <t>Near 52W High Breakout</t>
        </is>
      </c>
      <c r="S31" s="31" t="inlineStr">
        <is>
          <t>Nifty 50</t>
        </is>
      </c>
      <c r="T31" s="32" t="n">
        <v>-3.39</v>
      </c>
      <c r="U31" s="32" t="n">
        <v>61.47</v>
      </c>
      <c r="V31" s="32" t="n">
        <v>67.13</v>
      </c>
      <c r="W31" s="32" t="n">
        <v>45.77</v>
      </c>
      <c r="X31" s="31" t="inlineStr">
        <is>
          <t>Cyclical in an Upturn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Between 50% to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IF(B32=0,"",RANK(B32,$B$2:$B$280,0))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THANGAMAYL</t>
        </is>
      </c>
      <c r="D32" s="31" t="inlineStr">
        <is>
          <t>Thangamayil Jewellery Limited</t>
        </is>
      </c>
      <c r="E32" s="31" t="inlineStr">
        <is>
          <t>consumer discretionary</t>
        </is>
      </c>
      <c r="F32" s="31" t="inlineStr">
        <is>
          <t>diamond cutting / jewellery</t>
        </is>
      </c>
      <c r="G32" s="31" t="inlineStr">
        <is>
          <t>largecap</t>
        </is>
      </c>
      <c r="H32" s="32" t="n">
        <v>20057.23</v>
      </c>
      <c r="I32" s="32" t="n">
        <v>6476</v>
      </c>
      <c r="J32" s="32" t="n">
        <v>0.36</v>
      </c>
      <c r="K32" s="32" t="n">
        <v>103921</v>
      </c>
      <c r="L32" s="31" t="n">
        <v>98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76.22</v>
      </c>
      <c r="P32" s="32" t="n">
        <v>49.01</v>
      </c>
      <c r="Q32" s="32" t="n">
        <v>4909.61</v>
      </c>
      <c r="R32" s="31" t="inlineStr">
        <is>
          <t>Near 52W High Breakout</t>
        </is>
      </c>
      <c r="S32" s="31" t="inlineStr">
        <is>
          <t>Nifty 50</t>
        </is>
      </c>
      <c r="T32" s="32" t="n">
        <v>-3.39</v>
      </c>
      <c r="U32" s="32" t="n">
        <v>254.17</v>
      </c>
      <c r="V32" s="32" t="n">
        <v>266.58</v>
      </c>
      <c r="W32" s="32" t="n">
        <v>46.9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Between 50% to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IF(B33=0,"",RANK(B33,$B$2:$B$280,0))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SIS</t>
        </is>
      </c>
      <c r="D33" s="31" t="inlineStr">
        <is>
          <t>Security &amp; Intelligence Services India</t>
        </is>
      </c>
      <c r="E33" s="31" t="inlineStr">
        <is>
          <t>miscellaneous</t>
        </is>
      </c>
      <c r="F33" s="31" t="inlineStr">
        <is>
          <t>miscellaneous</t>
        </is>
      </c>
      <c r="G33" s="31" t="inlineStr">
        <is>
          <t>midcap</t>
        </is>
      </c>
      <c r="H33" s="32" t="n">
        <v>6236.46</v>
      </c>
      <c r="I33" s="32" t="n">
        <v>438</v>
      </c>
      <c r="J33" s="32" t="n">
        <v>-0.78</v>
      </c>
      <c r="K33" s="32" t="n">
        <v>240919</v>
      </c>
      <c r="L33" s="31" t="n">
        <v>49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74.08</v>
      </c>
      <c r="P33" s="32" t="n">
        <v>55.14</v>
      </c>
      <c r="Q33" s="32" t="n">
        <v>351</v>
      </c>
      <c r="R33" s="31" t="inlineStr">
        <is>
          <t>Near 52W High Breakout</t>
        </is>
      </c>
      <c r="S33" s="31" t="inlineStr">
        <is>
          <t>Nifty 50</t>
        </is>
      </c>
      <c r="T33" s="32" t="n">
        <v>-3.39</v>
      </c>
      <c r="U33" s="32" t="n">
        <v>17.35</v>
      </c>
      <c r="V33" s="32" t="n">
        <v>21.47</v>
      </c>
      <c r="W33" s="32" t="n">
        <v>10.19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Between 0.7 to 1.2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IF(B34=0,"",RANK(B34,$B$2:$B$280,0))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QUESS</t>
        </is>
      </c>
      <c r="D34" s="31" t="inlineStr">
        <is>
          <t>Quess Corp Limited</t>
        </is>
      </c>
      <c r="E34" s="31" t="inlineStr">
        <is>
          <t>miscellaneous</t>
        </is>
      </c>
      <c r="F34" s="31" t="inlineStr">
        <is>
          <t>diversified - large</t>
        </is>
      </c>
      <c r="G34" s="31" t="inlineStr">
        <is>
          <t>smallcap</t>
        </is>
      </c>
      <c r="H34" s="32" t="n">
        <v>4475.57</v>
      </c>
      <c r="I34" s="32" t="n">
        <v>297</v>
      </c>
      <c r="J34" s="32" t="n">
        <v>-0.88</v>
      </c>
      <c r="K34" s="32" t="n">
        <v>151374</v>
      </c>
      <c r="L34" s="31" t="n">
        <v>65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73.27</v>
      </c>
      <c r="P34" s="32" t="n">
        <v>38.02</v>
      </c>
      <c r="Q34" s="32" t="n">
        <v>234.71</v>
      </c>
      <c r="R34" s="31" t="inlineStr">
        <is>
          <t>Near 52W High Breakout</t>
        </is>
      </c>
      <c r="S34" s="31" t="inlineStr">
        <is>
          <t>Nifty 50</t>
        </is>
      </c>
      <c r="T34" s="32" t="n">
        <v>-3.39</v>
      </c>
      <c r="U34" s="32" t="n">
        <v>3.71</v>
      </c>
      <c r="V34" s="32" t="n">
        <v>7.34</v>
      </c>
      <c r="W34" s="32" t="n">
        <v>15.47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IF(B35=0,"",RANK(B35,$B$2:$B$280,0))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ATHERENERG</t>
        </is>
      </c>
      <c r="D35" s="31" t="inlineStr">
        <is>
          <t>Ather Energy Ltd</t>
        </is>
      </c>
      <c r="E35" s="31" t="inlineStr">
        <is>
          <t>auto</t>
        </is>
      </c>
      <c r="F35" s="31" t="inlineStr">
        <is>
          <t>automobiles - scooters and 3 - wheelers</t>
        </is>
      </c>
      <c r="G35" s="31" t="inlineStr">
        <is>
          <t>largecap</t>
        </is>
      </c>
      <c r="H35" s="32" t="n">
        <v>49361.31</v>
      </c>
      <c r="I35" s="32" t="n">
        <v>1268.2</v>
      </c>
      <c r="J35" s="32" t="n">
        <v>-1.57</v>
      </c>
      <c r="K35" s="32" t="n">
        <v>2691662</v>
      </c>
      <c r="L35" s="31" t="n">
        <v>97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77.81999999999999</v>
      </c>
      <c r="P35" s="32" t="n">
        <v>55.67</v>
      </c>
      <c r="Q35" s="32" t="n">
        <v>989.26</v>
      </c>
      <c r="R35" s="31" t="inlineStr">
        <is>
          <t>Near 52W High Breakout</t>
        </is>
      </c>
      <c r="S35" s="31" t="inlineStr">
        <is>
          <t>Nifty Auto</t>
        </is>
      </c>
      <c r="T35" s="32" t="n">
        <v>14.92</v>
      </c>
      <c r="U35" s="32" t="n">
        <v>279.36</v>
      </c>
      <c r="V35" s="32" t="n">
        <v>230.11</v>
      </c>
      <c r="W35" s="32" t="n">
        <v>45.72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Negative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IF(B36=0,"",RANK(B36,$B$2:$B$280,0))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PLASTIBLEN</t>
        </is>
      </c>
      <c r="D36" s="31" t="inlineStr">
        <is>
          <t>Plastiblends India Limited</t>
        </is>
      </c>
      <c r="E36" s="31" t="inlineStr">
        <is>
          <t>chemicals</t>
        </is>
      </c>
      <c r="F36" s="31" t="inlineStr">
        <is>
          <t>chemicals</t>
        </is>
      </c>
      <c r="G36" s="31" t="inlineStr">
        <is>
          <t>smallcap</t>
        </is>
      </c>
      <c r="H36" s="32" t="n">
        <v>514.17</v>
      </c>
      <c r="I36" s="32" t="n">
        <v>194.41</v>
      </c>
      <c r="J36" s="32" t="n">
        <v>-1.73</v>
      </c>
      <c r="K36" s="32" t="n">
        <v>97457</v>
      </c>
      <c r="L36" s="31" t="n">
        <v>32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66.95999999999999</v>
      </c>
      <c r="P36" s="32" t="n">
        <v>23.3</v>
      </c>
      <c r="Q36" s="32" t="n">
        <v>156.29</v>
      </c>
      <c r="R36" s="31" t="inlineStr">
        <is>
          <t>Near 52W High Breakout</t>
        </is>
      </c>
      <c r="S36" s="31" t="inlineStr">
        <is>
          <t>Nifty 50</t>
        </is>
      </c>
      <c r="T36" s="32" t="n">
        <v>-3.39</v>
      </c>
      <c r="U36" s="32" t="n">
        <v>0.06</v>
      </c>
      <c r="V36" s="32" t="n">
        <v>3.57</v>
      </c>
      <c r="W36" s="32" t="n">
        <v>6.53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IF(B37=0,"",RANK(B37,$B$2:$B$280,0))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RAIN</t>
        </is>
      </c>
      <c r="D37" s="31" t="inlineStr">
        <is>
          <t>Rain Industries Limited</t>
        </is>
      </c>
      <c r="E37" s="31" t="inlineStr">
        <is>
          <t>miscellaneous</t>
        </is>
      </c>
      <c r="F37" s="31" t="inlineStr">
        <is>
          <t>miscellaneous</t>
        </is>
      </c>
      <c r="G37" s="31" t="inlineStr">
        <is>
          <t>midcap</t>
        </is>
      </c>
      <c r="H37" s="32" t="n">
        <v>7513.96</v>
      </c>
      <c r="I37" s="32" t="n">
        <v>216.64</v>
      </c>
      <c r="J37" s="32" t="n">
        <v>-3.03</v>
      </c>
      <c r="K37" s="32" t="n">
        <v>3864930</v>
      </c>
      <c r="L37" s="31" t="n">
        <v>84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73.91</v>
      </c>
      <c r="P37" s="32" t="n">
        <v>40.47</v>
      </c>
      <c r="Q37" s="32" t="n">
        <v>163.83</v>
      </c>
      <c r="R37" s="31" t="inlineStr">
        <is>
          <t>Near 52W High Breakout</t>
        </is>
      </c>
      <c r="S37" s="31" t="inlineStr">
        <is>
          <t>Nifty 50</t>
        </is>
      </c>
      <c r="T37" s="32" t="n">
        <v>-3.39</v>
      </c>
      <c r="U37" s="32" t="n">
        <v>40.43</v>
      </c>
      <c r="V37" s="32" t="n">
        <v>45.35</v>
      </c>
      <c r="W37" s="32" t="n">
        <v>24.23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More than 1.2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IF(B38=0,"",RANK(B38,$B$2:$B$280,0))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E2E</t>
        </is>
      </c>
      <c r="D38" s="31" t="inlineStr">
        <is>
          <t>E2E Networks Ltd</t>
        </is>
      </c>
      <c r="E38" s="31" t="inlineStr">
        <is>
          <t>i.t</t>
        </is>
      </c>
      <c r="F38" s="31" t="inlineStr">
        <is>
          <t>computers - software - medium / small</t>
        </is>
      </c>
      <c r="G38" s="31" t="inlineStr">
        <is>
          <t>midcap</t>
        </is>
      </c>
      <c r="H38" s="32" t="n">
        <v>9176.42</v>
      </c>
      <c r="I38" s="32" t="n">
        <v>468.7</v>
      </c>
      <c r="J38" s="32" t="n">
        <v>5</v>
      </c>
      <c r="K38" s="32" t="n">
        <v>121637</v>
      </c>
      <c r="L38" s="31" t="n">
        <v>94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67.64</v>
      </c>
      <c r="P38" s="32" t="n">
        <v>43</v>
      </c>
      <c r="Q38" s="32" t="n">
        <v>325.37</v>
      </c>
      <c r="R38" s="31" t="inlineStr">
        <is>
          <t>Near 52W High Breakout</t>
        </is>
      </c>
      <c r="S38" s="31" t="inlineStr">
        <is>
          <t>Nifty IT</t>
        </is>
      </c>
      <c r="T38" s="32" t="n">
        <v>-19.86</v>
      </c>
      <c r="U38" s="32" t="n">
        <v>119.06</v>
      </c>
      <c r="V38" s="32" t="n">
        <v>173.34</v>
      </c>
      <c r="W38" s="32" t="n">
        <v>35.09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Less than 12%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IF(B39=0,"",RANK(B39,$B$2:$B$280,0))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NESTLEIND</t>
        </is>
      </c>
      <c r="D39" s="31" t="inlineStr">
        <is>
          <t>Nestle India Limited</t>
        </is>
      </c>
      <c r="E39" s="31" t="inlineStr">
        <is>
          <t>fmcg</t>
        </is>
      </c>
      <c r="F39" s="31" t="inlineStr">
        <is>
          <t>food - processing - mnc</t>
        </is>
      </c>
      <c r="G39" s="31" t="inlineStr">
        <is>
          <t>largecap</t>
        </is>
      </c>
      <c r="H39" s="32" t="n">
        <v>279971.96</v>
      </c>
      <c r="I39" s="32" t="n">
        <v>1493.6</v>
      </c>
      <c r="J39" s="32" t="n">
        <v>2.87</v>
      </c>
      <c r="K39" s="32" t="n">
        <v>6542499</v>
      </c>
      <c r="L39" s="31" t="n">
        <v>35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67.05</v>
      </c>
      <c r="P39" s="32" t="n">
        <v>35.74</v>
      </c>
      <c r="Q39" s="32" t="n">
        <v>1311.94</v>
      </c>
      <c r="R39" s="31" t="inlineStr">
        <is>
          <t>Near 52W High Breakout</t>
        </is>
      </c>
      <c r="S39" s="31" t="inlineStr">
        <is>
          <t>Nifty FMCG</t>
        </is>
      </c>
      <c r="T39" s="32" t="n">
        <v>-9.800000000000001</v>
      </c>
      <c r="U39" s="32" t="n">
        <v>32.67</v>
      </c>
      <c r="V39" s="32" t="n">
        <v>47.08</v>
      </c>
      <c r="W39" s="32" t="n">
        <v>7.06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B2C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IF(B40=0,"",RANK(B40,$B$2:$B$280,0))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RAMCOSYS</t>
        </is>
      </c>
      <c r="D40" s="31" t="inlineStr">
        <is>
          <t>Ramco Systems Limited</t>
        </is>
      </c>
      <c r="E40" s="31" t="inlineStr">
        <is>
          <t>i.t</t>
        </is>
      </c>
      <c r="F40" s="31" t="inlineStr">
        <is>
          <t>computers - software - medium / small</t>
        </is>
      </c>
      <c r="G40" s="31" t="inlineStr">
        <is>
          <t>smallcap</t>
        </is>
      </c>
      <c r="H40" s="32" t="n">
        <v>2993.19</v>
      </c>
      <c r="I40" s="32" t="n">
        <v>816.45</v>
      </c>
      <c r="J40" s="32" t="n">
        <v>2.52</v>
      </c>
      <c r="K40" s="32" t="n">
        <v>1202360</v>
      </c>
      <c r="L40" s="31" t="n">
        <v>97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75.05</v>
      </c>
      <c r="P40" s="32" t="n">
        <v>30.71</v>
      </c>
      <c r="Q40" s="32" t="n">
        <v>566.33</v>
      </c>
      <c r="R40" s="31" t="inlineStr">
        <is>
          <t>Near 52W High Breakout</t>
        </is>
      </c>
      <c r="S40" s="31" t="inlineStr">
        <is>
          <t>Nifty IT</t>
        </is>
      </c>
      <c r="T40" s="32" t="n">
        <v>-19.86</v>
      </c>
      <c r="U40" s="32" t="n">
        <v>106.33</v>
      </c>
      <c r="V40" s="32" t="n">
        <v>157.45</v>
      </c>
      <c r="W40" s="32" t="n">
        <v>41.84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IF(B41=0,"",RANK(B41,$B$2:$B$280,0))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METROPOLIS</t>
        </is>
      </c>
      <c r="D41" s="31" t="inlineStr">
        <is>
          <t>Metropolis Healthcare Ltd</t>
        </is>
      </c>
      <c r="E41" s="31" t="inlineStr">
        <is>
          <t>healthcare</t>
        </is>
      </c>
      <c r="F41" s="31" t="inlineStr">
        <is>
          <t>healthcare</t>
        </is>
      </c>
      <c r="G41" s="31" t="inlineStr">
        <is>
          <t>midcap</t>
        </is>
      </c>
      <c r="H41" s="32" t="n">
        <v>11792.8</v>
      </c>
      <c r="I41" s="32" t="n">
        <v>570.1</v>
      </c>
      <c r="J41" s="32" t="n">
        <v>0.23</v>
      </c>
      <c r="K41" s="32" t="n">
        <v>118458</v>
      </c>
      <c r="L41" s="31" t="n">
        <v>39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62.21</v>
      </c>
      <c r="P41" s="32" t="n">
        <v>39.27</v>
      </c>
      <c r="Q41" s="32" t="n">
        <v>451.24</v>
      </c>
      <c r="R41" s="31" t="inlineStr">
        <is>
          <t>Near 52W High Breakout</t>
        </is>
      </c>
      <c r="S41" s="31" t="inlineStr">
        <is>
          <t>Nifty Pharma</t>
        </is>
      </c>
      <c r="T41" s="32" t="n">
        <v>13.63</v>
      </c>
      <c r="U41" s="32" t="n">
        <v>16.3</v>
      </c>
      <c r="V41" s="32" t="n">
        <v>2.34</v>
      </c>
      <c r="W41" s="32" t="n">
        <v>7.95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IF(B42=0,"",RANK(B42,$B$2:$B$280,0))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THYROCARE</t>
        </is>
      </c>
      <c r="D42" s="31" t="inlineStr">
        <is>
          <t>Thyrocare Technologies Limited</t>
        </is>
      </c>
      <c r="E42" s="31" t="inlineStr">
        <is>
          <t>healthcare</t>
        </is>
      </c>
      <c r="F42" s="31" t="inlineStr">
        <is>
          <t>healthcare</t>
        </is>
      </c>
      <c r="G42" s="31" t="inlineStr">
        <is>
          <t>midcap</t>
        </is>
      </c>
      <c r="H42" s="32" t="n">
        <v>8958.620000000001</v>
      </c>
      <c r="I42" s="32" t="n">
        <v>557.95</v>
      </c>
      <c r="J42" s="32" t="n">
        <v>-0.87</v>
      </c>
      <c r="K42" s="32" t="n">
        <v>380757</v>
      </c>
      <c r="L42" s="31" t="n">
        <v>65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66.58</v>
      </c>
      <c r="P42" s="32" t="n">
        <v>47.84</v>
      </c>
      <c r="Q42" s="32" t="n">
        <v>422.38</v>
      </c>
      <c r="R42" s="31" t="inlineStr">
        <is>
          <t>Near 52W High Breakout</t>
        </is>
      </c>
      <c r="S42" s="31" t="inlineStr">
        <is>
          <t>Nifty Pharma</t>
        </is>
      </c>
      <c r="T42" s="32" t="n">
        <v>13.63</v>
      </c>
      <c r="U42" s="32" t="n">
        <v>29.95</v>
      </c>
      <c r="V42" s="32" t="n">
        <v>14.36</v>
      </c>
      <c r="W42" s="32" t="n">
        <v>15.44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IF(B43=0,"",RANK(B43,$B$2:$B$280,0))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KOPRAN</t>
        </is>
      </c>
      <c r="D43" s="31" t="inlineStr">
        <is>
          <t>Kopran Limited</t>
        </is>
      </c>
      <c r="E43" s="31" t="inlineStr">
        <is>
          <t>healthcare</t>
        </is>
      </c>
      <c r="F43" s="31" t="inlineStr">
        <is>
          <t>pharmaceuticals - indian - bulk drugs &amp; formln</t>
        </is>
      </c>
      <c r="G43" s="31" t="inlineStr">
        <is>
          <t>smallcap</t>
        </is>
      </c>
      <c r="H43" s="32" t="n">
        <v>985.0700000000001</v>
      </c>
      <c r="I43" s="32" t="n">
        <v>202</v>
      </c>
      <c r="J43" s="32" t="n">
        <v>-0.99</v>
      </c>
      <c r="K43" s="32" t="n">
        <v>140470</v>
      </c>
      <c r="L43" s="31" t="n">
        <v>53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63.87</v>
      </c>
      <c r="P43" s="32" t="n">
        <v>37.38</v>
      </c>
      <c r="Q43" s="32" t="n">
        <v>148.54</v>
      </c>
      <c r="R43" s="31" t="inlineStr">
        <is>
          <t>Near 52W High Breakout</t>
        </is>
      </c>
      <c r="S43" s="31" t="inlineStr">
        <is>
          <t>Nifty Pharma</t>
        </is>
      </c>
      <c r="T43" s="32" t="n">
        <v>13.63</v>
      </c>
      <c r="U43" s="32" t="n">
        <v>18.61</v>
      </c>
      <c r="V43" s="32" t="n">
        <v>4.38</v>
      </c>
      <c r="W43" s="32" t="n">
        <v>10.99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IF(B44=0,"",RANK(B44,$B$2:$B$280,0))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VADILALIND</t>
        </is>
      </c>
      <c r="D44" s="31" t="inlineStr">
        <is>
          <t>Vadilal Industries Limited</t>
        </is>
      </c>
      <c r="E44" s="31" t="inlineStr">
        <is>
          <t>fmcg</t>
        </is>
      </c>
      <c r="F44" s="31" t="inlineStr">
        <is>
          <t>food - processing - indian</t>
        </is>
      </c>
      <c r="G44" s="31" t="inlineStr">
        <is>
          <t>smallcap</t>
        </is>
      </c>
      <c r="H44" s="32" t="n">
        <v>4899.94</v>
      </c>
      <c r="I44" s="32" t="n">
        <v>6732.5</v>
      </c>
      <c r="J44" s="32" t="n">
        <v>-1.24</v>
      </c>
      <c r="K44" s="32" t="n">
        <v>7711</v>
      </c>
      <c r="L44" s="31" t="n">
        <v>73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73.08</v>
      </c>
      <c r="P44" s="32" t="n">
        <v>29.2</v>
      </c>
      <c r="Q44" s="32" t="n">
        <v>5424.69</v>
      </c>
      <c r="R44" s="31" t="inlineStr">
        <is>
          <t>Near 52W High Breakout</t>
        </is>
      </c>
      <c r="S44" s="31" t="inlineStr">
        <is>
          <t>Nifty FMCG</t>
        </is>
      </c>
      <c r="T44" s="32" t="n">
        <v>-9.800000000000001</v>
      </c>
      <c r="U44" s="32" t="n">
        <v>23.61</v>
      </c>
      <c r="V44" s="32" t="n">
        <v>37.03</v>
      </c>
      <c r="W44" s="32" t="n">
        <v>17.68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B2C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Between 50% to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IF(B45=0,"",RANK(B45,$B$2:$B$280,0))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RUBYMILLS</t>
        </is>
      </c>
      <c r="D45" s="31" t="inlineStr">
        <is>
          <t>The Ruby Mills Limited</t>
        </is>
      </c>
      <c r="E45" s="31" t="inlineStr">
        <is>
          <t>textiles</t>
        </is>
      </c>
      <c r="F45" s="31" t="inlineStr">
        <is>
          <t>textiles - composite</t>
        </is>
      </c>
      <c r="G45" s="31" t="inlineStr">
        <is>
          <t>smallcap</t>
        </is>
      </c>
      <c r="H45" s="32" t="n">
        <v>1377.23</v>
      </c>
      <c r="I45" s="32" t="n">
        <v>417.2</v>
      </c>
      <c r="J45" s="32" t="n">
        <v>1.3</v>
      </c>
      <c r="K45" s="32" t="n">
        <v>39230</v>
      </c>
      <c r="L45" s="31" t="n">
        <v>92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81.98999999999999</v>
      </c>
      <c r="P45" s="32" t="n">
        <v>52.22</v>
      </c>
      <c r="Q45" s="32" t="n">
        <v>315.82</v>
      </c>
      <c r="R45" s="31" t="inlineStr">
        <is>
          <t>Near 52W High Breakout</t>
        </is>
      </c>
      <c r="S45" s="31" t="inlineStr">
        <is>
          <t>Nifty 50</t>
        </is>
      </c>
      <c r="T45" s="32" t="n">
        <v>-3.39</v>
      </c>
      <c r="U45" s="32" t="n">
        <v>77.36</v>
      </c>
      <c r="V45" s="32" t="n">
        <v>83.56999999999999</v>
      </c>
      <c r="W45" s="32" t="n">
        <v>33.4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Less than 12%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IF(B46=0,"",RANK(B46,$B$2:$B$280,0))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PIDILITIND</t>
        </is>
      </c>
      <c r="D46" s="31" t="inlineStr">
        <is>
          <t>Pidilite Industries Limited</t>
        </is>
      </c>
      <c r="E46" s="31" t="inlineStr">
        <is>
          <t>chemicals</t>
        </is>
      </c>
      <c r="F46" s="31" t="inlineStr">
        <is>
          <t>chemicals</t>
        </is>
      </c>
      <c r="G46" s="31" t="inlineStr">
        <is>
          <t>largecap</t>
        </is>
      </c>
      <c r="H46" s="32" t="n">
        <v>161957.15</v>
      </c>
      <c r="I46" s="32" t="n">
        <v>1608.6</v>
      </c>
      <c r="J46" s="32" t="n">
        <v>1.09</v>
      </c>
      <c r="K46" s="32" t="n">
        <v>1518928</v>
      </c>
      <c r="L46" s="31" t="n">
        <v>27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65.64</v>
      </c>
      <c r="P46" s="32" t="n">
        <v>21.32</v>
      </c>
      <c r="Q46" s="32" t="n">
        <v>1409.06</v>
      </c>
      <c r="R46" s="31" t="inlineStr">
        <is>
          <t>Near 52W High Breakout</t>
        </is>
      </c>
      <c r="S46" s="31" t="inlineStr">
        <is>
          <t>Nifty 500</t>
        </is>
      </c>
      <c r="T46" s="32" t="n">
        <v>0.57</v>
      </c>
      <c r="U46" s="32" t="n">
        <v>11.34</v>
      </c>
      <c r="V46" s="32" t="n">
        <v>10.71</v>
      </c>
      <c r="W46" s="32" t="n">
        <v>5.48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Between 1.5 to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IF(B47=0,"",RANK(B47,$B$2:$B$280,0))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FILATEX</t>
        </is>
      </c>
      <c r="D47" s="31" t="inlineStr">
        <is>
          <t>Filatex India Limited</t>
        </is>
      </c>
      <c r="E47" s="31" t="inlineStr">
        <is>
          <t>textiles</t>
        </is>
      </c>
      <c r="F47" s="31" t="inlineStr">
        <is>
          <t>textiles - manmade</t>
        </is>
      </c>
      <c r="G47" s="31" t="inlineStr">
        <is>
          <t>smallcap</t>
        </is>
      </c>
      <c r="H47" s="32" t="n">
        <v>3166.14</v>
      </c>
      <c r="I47" s="32" t="n">
        <v>71.73</v>
      </c>
      <c r="J47" s="32" t="n">
        <v>0.6</v>
      </c>
      <c r="K47" s="32" t="n">
        <v>3155942</v>
      </c>
      <c r="L47" s="31" t="n">
        <v>82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75.75</v>
      </c>
      <c r="P47" s="32" t="n">
        <v>24.3</v>
      </c>
      <c r="Q47" s="32" t="n">
        <v>55.09</v>
      </c>
      <c r="R47" s="31" t="inlineStr">
        <is>
          <t>Near 52W High Breakout</t>
        </is>
      </c>
      <c r="S47" s="31" t="inlineStr">
        <is>
          <t>Nifty 50</t>
        </is>
      </c>
      <c r="T47" s="32" t="n">
        <v>-3.39</v>
      </c>
      <c r="U47" s="32" t="n">
        <v>21.31</v>
      </c>
      <c r="V47" s="32" t="n">
        <v>25.56</v>
      </c>
      <c r="W47" s="32" t="n">
        <v>23.06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Between 12 to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IF(B48=0,"",RANK(B48,$B$2:$B$280,0))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ASTRAMICRO</t>
        </is>
      </c>
      <c r="D48" s="31" t="inlineStr">
        <is>
          <t>Astra Microwave Products Limited</t>
        </is>
      </c>
      <c r="E48" s="31" t="inlineStr">
        <is>
          <t>aerospace &amp; defence</t>
        </is>
      </c>
      <c r="F48" s="31" t="inlineStr">
        <is>
          <t>telecommunications - equipment</t>
        </is>
      </c>
      <c r="G48" s="31" t="inlineStr">
        <is>
          <t>midcap</t>
        </is>
      </c>
      <c r="H48" s="32" t="n">
        <v>16587.84</v>
      </c>
      <c r="I48" s="32" t="n">
        <v>1757.1</v>
      </c>
      <c r="J48" s="32" t="n">
        <v>0.57</v>
      </c>
      <c r="K48" s="32" t="n">
        <v>226518</v>
      </c>
      <c r="L48" s="31" t="n">
        <v>86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75.20999999999999</v>
      </c>
      <c r="P48" s="32" t="n">
        <v>52.97</v>
      </c>
      <c r="Q48" s="32" t="n">
        <v>1492.61</v>
      </c>
      <c r="R48" s="31" t="inlineStr">
        <is>
          <t>Near 52W High Breakout</t>
        </is>
      </c>
      <c r="S48" s="31" t="inlineStr">
        <is>
          <t>Nifty 50</t>
        </is>
      </c>
      <c r="T48" s="32" t="n">
        <v>-3.39</v>
      </c>
      <c r="U48" s="32" t="n">
        <v>80.56999999999999</v>
      </c>
      <c r="V48" s="32" t="n">
        <v>86.90000000000001</v>
      </c>
      <c r="W48" s="32" t="n">
        <v>26.3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Oligopoly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Between 1.5 to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IF(B49=0,"",RANK(B49,$B$2:$B$280,0))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FIEMIND</t>
        </is>
      </c>
      <c r="D49" s="31" t="inlineStr">
        <is>
          <t>Fiem Industries Limited</t>
        </is>
      </c>
      <c r="E49" s="31" t="inlineStr">
        <is>
          <t>auto</t>
        </is>
      </c>
      <c r="F49" s="31" t="inlineStr">
        <is>
          <t>auto ancillaries</t>
        </is>
      </c>
      <c r="G49" s="31" t="inlineStr">
        <is>
          <t>midcap</t>
        </is>
      </c>
      <c r="H49" s="32" t="n">
        <v>6136.43</v>
      </c>
      <c r="I49" s="32" t="n">
        <v>2343.6</v>
      </c>
      <c r="J49" s="32" t="n">
        <v>0.52</v>
      </c>
      <c r="K49" s="32" t="n">
        <v>35845</v>
      </c>
      <c r="L49" s="31" t="n">
        <v>24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59.93</v>
      </c>
      <c r="P49" s="32" t="n">
        <v>22.38</v>
      </c>
      <c r="Q49" s="32" t="n">
        <v>1914.04</v>
      </c>
      <c r="R49" s="31" t="inlineStr">
        <is>
          <t>Near 52W High Breakout</t>
        </is>
      </c>
      <c r="S49" s="31" t="inlineStr">
        <is>
          <t>Nifty Auto</t>
        </is>
      </c>
      <c r="T49" s="32" t="n">
        <v>14.92</v>
      </c>
      <c r="U49" s="32" t="n">
        <v>17.96</v>
      </c>
      <c r="V49" s="32" t="n">
        <v>2.65</v>
      </c>
      <c r="W49" s="32" t="n">
        <v>4.96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Less than 50%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IF(B50=0,"",RANK(B50,$B$2:$B$280,0))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SPECTRUM</t>
        </is>
      </c>
      <c r="D50" s="31" t="inlineStr">
        <is>
          <t>Spectrum Electrical Industries Ltd</t>
        </is>
      </c>
      <c r="E50" s="31" t="inlineStr">
        <is>
          <t>industrials</t>
        </is>
      </c>
      <c r="F50" s="31" t="inlineStr">
        <is>
          <t>electric equipment</t>
        </is>
      </c>
      <c r="G50" s="31" t="inlineStr">
        <is>
          <t>smallcap</t>
        </is>
      </c>
      <c r="H50" s="32" t="n">
        <v>3350.98</v>
      </c>
      <c r="I50" s="32" t="n">
        <v>2125</v>
      </c>
      <c r="J50" s="32" t="n">
        <v>-0.35</v>
      </c>
      <c r="K50" s="32" t="n">
        <v>58170</v>
      </c>
      <c r="L50" s="31" t="n">
        <v>89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72.01000000000001</v>
      </c>
      <c r="P50" s="32" t="n">
        <v>42.39</v>
      </c>
      <c r="Q50" s="32" t="n">
        <v>1480.04</v>
      </c>
      <c r="R50" s="31" t="inlineStr">
        <is>
          <t>Near 52W High Breakout</t>
        </is>
      </c>
      <c r="S50" s="31" t="inlineStr">
        <is>
          <t>Nifty 50</t>
        </is>
      </c>
      <c r="T50" s="32" t="n">
        <v>-3.39</v>
      </c>
      <c r="U50" s="32" t="n">
        <v>36.37</v>
      </c>
      <c r="V50" s="32" t="n">
        <v>41.15</v>
      </c>
      <c r="W50" s="32" t="n">
        <v>29.26</v>
      </c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Between 0.7 to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IF(B51=0,"",RANK(B51,$B$2:$B$280,0))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HAPPYFORGE</t>
        </is>
      </c>
      <c r="D51" s="31" t="inlineStr">
        <is>
          <t>Happy Forgings Ltd</t>
        </is>
      </c>
      <c r="E51" s="31" t="inlineStr">
        <is>
          <t>industrials</t>
        </is>
      </c>
      <c r="F51" s="31" t="inlineStr">
        <is>
          <t>castings &amp; forgings</t>
        </is>
      </c>
      <c r="G51" s="31" t="inlineStr">
        <is>
          <t>midcap</t>
        </is>
      </c>
      <c r="H51" s="32" t="n">
        <v>15210.08</v>
      </c>
      <c r="I51" s="32" t="n">
        <v>1600</v>
      </c>
      <c r="J51" s="32" t="n">
        <v>-0.72</v>
      </c>
      <c r="K51" s="32" t="n">
        <v>30334</v>
      </c>
      <c r="L51" s="31" t="n">
        <v>65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71.66</v>
      </c>
      <c r="P51" s="32" t="n">
        <v>46.08</v>
      </c>
      <c r="Q51" s="32" t="n">
        <v>1287.47</v>
      </c>
      <c r="R51" s="31" t="inlineStr">
        <is>
          <t>Near 52W High Breakout</t>
        </is>
      </c>
      <c r="S51" s="31" t="inlineStr">
        <is>
          <t>Nifty 50</t>
        </is>
      </c>
      <c r="T51" s="32" t="n">
        <v>-3.39</v>
      </c>
      <c r="U51" s="32" t="n">
        <v>66</v>
      </c>
      <c r="V51" s="32" t="n">
        <v>71.81999999999999</v>
      </c>
      <c r="W51" s="32" t="n">
        <v>15.39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IF(B52=0,"",RANK(B52,$B$2:$B$280,0))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GHCLTEXTIL</t>
        </is>
      </c>
      <c r="D52" s="31" t="inlineStr">
        <is>
          <t>GHCL Textiles Ltd</t>
        </is>
      </c>
      <c r="E52" s="31" t="inlineStr">
        <is>
          <t>textiles</t>
        </is>
      </c>
      <c r="F52" s="31" t="inlineStr">
        <is>
          <t>textiles - spinning - synthetic / blended</t>
        </is>
      </c>
      <c r="G52" s="31" t="inlineStr">
        <is>
          <t>smallcap</t>
        </is>
      </c>
      <c r="H52" s="32" t="n">
        <v>1120.74</v>
      </c>
      <c r="I52" s="32" t="n">
        <v>115.5</v>
      </c>
      <c r="J52" s="32" t="n">
        <v>-1.49</v>
      </c>
      <c r="K52" s="32" t="n">
        <v>788254</v>
      </c>
      <c r="L52" s="31" t="n">
        <v>59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71.09</v>
      </c>
      <c r="P52" s="32" t="n">
        <v>24.68</v>
      </c>
      <c r="Q52" s="32" t="n">
        <v>87.93000000000001</v>
      </c>
      <c r="R52" s="31" t="inlineStr">
        <is>
          <t>Near 52W High Breakout</t>
        </is>
      </c>
      <c r="S52" s="31" t="inlineStr">
        <is>
          <t>Nifty 50</t>
        </is>
      </c>
      <c r="T52" s="32" t="n">
        <v>-3.39</v>
      </c>
      <c r="U52" s="32" t="n">
        <v>25.29</v>
      </c>
      <c r="V52" s="32" t="n">
        <v>29.68</v>
      </c>
      <c r="W52" s="32" t="n">
        <v>13.09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Less than 50%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IF(B53=0,"",RANK(B53,$B$2:$B$280,0))</f>
        <v/>
      </c>
      <c r="B53" s="32">
        <f>SUM(N53,Y53,AA53,AC53,AE53,AG53,AI53,AK53,AM53,AO53,AQ53,AS53,AU53,AW53,AY53,BA53,BC53,BE53,BG53,BI53,BK53,BM53,BO53,BQ53,BS53,BU53,BW53,BY53,CA53,CC53,CE53)</f>
        <v/>
      </c>
      <c r="C53" s="33" t="inlineStr">
        <is>
          <t>SREEL</t>
        </is>
      </c>
      <c r="D53" s="33" t="inlineStr">
        <is>
          <t>Sreeleathers Limited</t>
        </is>
      </c>
      <c r="E53" s="31" t="inlineStr">
        <is>
          <t>consumer discretionary</t>
        </is>
      </c>
      <c r="F53" s="31" t="inlineStr">
        <is>
          <t>trading</t>
        </is>
      </c>
      <c r="G53" s="31" t="inlineStr">
        <is>
          <t>smallcap</t>
        </is>
      </c>
      <c r="H53" s="32" t="n">
        <v>533.47</v>
      </c>
      <c r="I53" s="32" t="n">
        <v>225.65</v>
      </c>
      <c r="J53" s="32" t="n">
        <v>-2.06</v>
      </c>
      <c r="K53" s="32" t="n">
        <v>49503</v>
      </c>
      <c r="L53" s="31" t="n">
        <v>25</v>
      </c>
      <c r="M53" s="31" t="inlineStr">
        <is>
          <t>Underperforming</t>
        </is>
      </c>
      <c r="N53" s="32">
        <f>IF(M53="Underperforming",-5,IF(L53&gt;=95,15,IF(L53&gt;=90,10,IF(L53&gt;=80,5,0))))</f>
        <v/>
      </c>
      <c r="O53" s="32" t="n">
        <v>65.03</v>
      </c>
      <c r="P53" s="32" t="n">
        <v>34.76</v>
      </c>
      <c r="Q53" s="32" t="n">
        <v>177.67</v>
      </c>
      <c r="R53" s="31" t="inlineStr">
        <is>
          <t>Volume Spike / Accumulation</t>
        </is>
      </c>
      <c r="S53" s="31" t="inlineStr">
        <is>
          <t>Nifty 50</t>
        </is>
      </c>
      <c r="T53" s="32" t="n">
        <v>-3.39</v>
      </c>
      <c r="U53" s="32" t="n">
        <v>-5.57</v>
      </c>
      <c r="V53" s="32" t="n">
        <v>-2.26</v>
      </c>
      <c r="W53" s="32" t="n">
        <v>5.01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IF(B54=0,"",RANK(B54,$B$2:$B$280,0))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WELENT</t>
        </is>
      </c>
      <c r="D54" s="31" t="inlineStr">
        <is>
          <t>Welspun Enterprises Limited</t>
        </is>
      </c>
      <c r="E54" s="31" t="inlineStr">
        <is>
          <t>realty</t>
        </is>
      </c>
      <c r="F54" s="31" t="inlineStr">
        <is>
          <t>construction</t>
        </is>
      </c>
      <c r="G54" s="31" t="inlineStr">
        <is>
          <t>midcap</t>
        </is>
      </c>
      <c r="H54" s="32" t="n">
        <v>8592.040000000001</v>
      </c>
      <c r="I54" s="32" t="n">
        <v>605.05</v>
      </c>
      <c r="J54" s="32" t="n">
        <v>-2.53</v>
      </c>
      <c r="K54" s="32" t="n">
        <v>311847</v>
      </c>
      <c r="L54" s="31" t="n">
        <v>43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67.09</v>
      </c>
      <c r="P54" s="32" t="n">
        <v>20.4</v>
      </c>
      <c r="Q54" s="32" t="n">
        <v>508.82</v>
      </c>
      <c r="R54" s="31" t="inlineStr">
        <is>
          <t>Near 52W High Breakout</t>
        </is>
      </c>
      <c r="S54" s="31" t="inlineStr">
        <is>
          <t>Nifty Realty</t>
        </is>
      </c>
      <c r="T54" s="32" t="n">
        <v>-5.01</v>
      </c>
      <c r="U54" s="32" t="n">
        <v>22.16</v>
      </c>
      <c r="V54" s="32" t="n">
        <v>28.59</v>
      </c>
      <c r="W54" s="32" t="n">
        <v>8.81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Less than 50%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IF(B55=0,"",RANK(B55,$B$2:$B$280,0))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CEMPRO</t>
        </is>
      </c>
      <c r="D55" s="31" t="inlineStr">
        <is>
          <t>Cemindia Projects Ltd</t>
        </is>
      </c>
      <c r="E55" s="31" t="inlineStr">
        <is>
          <t>realty</t>
        </is>
      </c>
      <c r="F55" s="31" t="inlineStr">
        <is>
          <t>construction</t>
        </is>
      </c>
      <c r="G55" s="31" t="inlineStr">
        <is>
          <t>largecap</t>
        </is>
      </c>
      <c r="H55" s="32" t="n">
        <v>28166.29</v>
      </c>
      <c r="I55" s="32" t="n">
        <v>1596.6</v>
      </c>
      <c r="J55" s="32" t="n">
        <v>-2.62</v>
      </c>
      <c r="K55" s="32" t="n">
        <v>732933</v>
      </c>
      <c r="L55" s="31" t="n">
        <v>98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82.77</v>
      </c>
      <c r="P55" s="32" t="n">
        <v>56.92</v>
      </c>
      <c r="Q55" s="32" t="n">
        <v>1280.09</v>
      </c>
      <c r="R55" s="31" t="inlineStr">
        <is>
          <t>Near 52W High Breakout</t>
        </is>
      </c>
      <c r="S55" s="31" t="inlineStr">
        <is>
          <t>Nifty Realty</t>
        </is>
      </c>
      <c r="T55" s="32" t="n">
        <v>-5.01</v>
      </c>
      <c r="U55" s="32" t="n">
        <v>108.16</v>
      </c>
      <c r="V55" s="32" t="n">
        <v>119.13</v>
      </c>
      <c r="W55" s="32" t="n">
        <v>55.9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Less than 50%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IF(B56=0,"",RANK(B56,$B$2:$B$280,0))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HSCL</t>
        </is>
      </c>
      <c r="D56" s="31" t="inlineStr">
        <is>
          <t>Himadri Speciality Chemical Limited</t>
        </is>
      </c>
      <c r="E56" s="31" t="inlineStr">
        <is>
          <t>chemicals</t>
        </is>
      </c>
      <c r="F56" s="31" t="inlineStr">
        <is>
          <t>chemicals</t>
        </is>
      </c>
      <c r="G56" s="31" t="inlineStr">
        <is>
          <t>largecap</t>
        </is>
      </c>
      <c r="H56" s="32" t="n">
        <v>40408.74</v>
      </c>
      <c r="I56" s="32" t="n">
        <v>768.25</v>
      </c>
      <c r="J56" s="32" t="n">
        <v>-4.08</v>
      </c>
      <c r="K56" s="32" t="n">
        <v>21309062</v>
      </c>
      <c r="L56" s="31" t="n">
        <v>72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76.5</v>
      </c>
      <c r="P56" s="32" t="n">
        <v>42.91</v>
      </c>
      <c r="Q56" s="32" t="n">
        <v>591.58</v>
      </c>
      <c r="R56" s="31" t="inlineStr">
        <is>
          <t>Near 52W High Breakout</t>
        </is>
      </c>
      <c r="S56" s="31" t="inlineStr">
        <is>
          <t>Nifty 50</t>
        </is>
      </c>
      <c r="T56" s="32" t="n">
        <v>-3.39</v>
      </c>
      <c r="U56" s="32" t="n">
        <v>54.37</v>
      </c>
      <c r="V56" s="32" t="n">
        <v>59.78</v>
      </c>
      <c r="W56" s="32" t="n">
        <v>17.57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Between 1.5 to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IF(B57=0,"",RANK(B57,$B$2:$B$280,0))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KABRAEXTRU</t>
        </is>
      </c>
      <c r="D57" s="31" t="inlineStr">
        <is>
          <t>Kabra Extrusion Technik Limited</t>
        </is>
      </c>
      <c r="E57" s="31" t="inlineStr">
        <is>
          <t>industrials</t>
        </is>
      </c>
      <c r="F57" s="31" t="inlineStr">
        <is>
          <t>engineering</t>
        </is>
      </c>
      <c r="G57" s="31" t="inlineStr">
        <is>
          <t>smallcap</t>
        </is>
      </c>
      <c r="H57" s="32" t="n">
        <v>1256.57</v>
      </c>
      <c r="I57" s="32" t="n">
        <v>339.65</v>
      </c>
      <c r="J57" s="32" t="n">
        <v>-5.47</v>
      </c>
      <c r="K57" s="32" t="n">
        <v>104276</v>
      </c>
      <c r="L57" s="31" t="n">
        <v>59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73.31</v>
      </c>
      <c r="P57" s="32" t="n">
        <v>20.57</v>
      </c>
      <c r="Q57" s="32" t="n">
        <v>253.56</v>
      </c>
      <c r="R57" s="31" t="inlineStr">
        <is>
          <t>Near 52W High Breakout</t>
        </is>
      </c>
      <c r="S57" s="31" t="inlineStr">
        <is>
          <t>Nifty Infra</t>
        </is>
      </c>
      <c r="T57" s="32" t="n">
        <v>3.35</v>
      </c>
      <c r="U57" s="32" t="n">
        <v>17.26</v>
      </c>
      <c r="V57" s="32" t="n">
        <v>13.47</v>
      </c>
      <c r="W57" s="32" t="n">
        <v>13.58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IF(B58=0,"",RANK(B58,$B$2:$B$280,0))</f>
        <v/>
      </c>
      <c r="B58" s="32">
        <f>SUM(N58,Y58,AA58,AC58,AE58,AG58,AI58,AK58,AM58,AO58,AQ58,AS58,AU58,AW58,AY58,BA58,BC58,BE58,BG58,BI58,BK58,BM58,BO58,BQ58,BS58,BU58,BW58,BY58,CA58,CC58,CE58)</f>
        <v/>
      </c>
      <c r="C58" s="33" t="inlineStr">
        <is>
          <t>DPABHUSHAN</t>
        </is>
      </c>
      <c r="D58" s="33" t="inlineStr">
        <is>
          <t>D.P. Abhushan Ltd</t>
        </is>
      </c>
      <c r="E58" s="31" t="inlineStr">
        <is>
          <t>consumer discretionary</t>
        </is>
      </c>
      <c r="F58" s="31" t="inlineStr">
        <is>
          <t>diamond cutting / jewellery</t>
        </is>
      </c>
      <c r="G58" s="31" t="inlineStr">
        <is>
          <t>smallcap</t>
        </is>
      </c>
      <c r="H58" s="32" t="n">
        <v>3360.27</v>
      </c>
      <c r="I58" s="32" t="n">
        <v>1386.05</v>
      </c>
      <c r="J58" s="32" t="n">
        <v>-5.84</v>
      </c>
      <c r="K58" s="32" t="n">
        <v>91679</v>
      </c>
      <c r="L58" s="31" t="n">
        <v>14</v>
      </c>
      <c r="M58" s="31" t="inlineStr">
        <is>
          <t>Underperforming</t>
        </is>
      </c>
      <c r="N58" s="32">
        <f>IF(M58="Underperforming",-5,IF(L58&gt;=95,15,IF(L58&gt;=90,10,IF(L58&gt;=80,5,0))))</f>
        <v/>
      </c>
      <c r="O58" s="32" t="n">
        <v>64.38</v>
      </c>
      <c r="P58" s="32" t="n">
        <v>26.87</v>
      </c>
      <c r="Q58" s="32" t="n">
        <v>998.03</v>
      </c>
      <c r="R58" s="31" t="inlineStr">
        <is>
          <t>Volume Spike / Accumulation</t>
        </is>
      </c>
      <c r="S58" s="31" t="inlineStr">
        <is>
          <t>Nifty 50</t>
        </is>
      </c>
      <c r="T58" s="32" t="n">
        <v>-3.39</v>
      </c>
      <c r="U58" s="32" t="n">
        <v>-17.41</v>
      </c>
      <c r="V58" s="32" t="n">
        <v>-14.52</v>
      </c>
      <c r="W58" s="32" t="n">
        <v>2.3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IF(B59=0,"",RANK(B59,$B$2:$B$280,0))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MARICO</t>
        </is>
      </c>
      <c r="D59" s="31" t="inlineStr">
        <is>
          <t>Marico Limited</t>
        </is>
      </c>
      <c r="E59" s="31" t="inlineStr">
        <is>
          <t>fmcg</t>
        </is>
      </c>
      <c r="F59" s="31" t="inlineStr">
        <is>
          <t>solvent extraction</t>
        </is>
      </c>
      <c r="G59" s="31" t="inlineStr">
        <is>
          <t>largecap</t>
        </is>
      </c>
      <c r="H59" s="32" t="n">
        <v>110823.77</v>
      </c>
      <c r="I59" s="32" t="n">
        <v>862.65</v>
      </c>
      <c r="J59" s="32" t="n">
        <v>1.07</v>
      </c>
      <c r="K59" s="32" t="n">
        <v>1248595</v>
      </c>
      <c r="L59" s="31" t="n">
        <v>33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68.39</v>
      </c>
      <c r="P59" s="32" t="n">
        <v>28.11</v>
      </c>
      <c r="Q59" s="32" t="n">
        <v>766.15</v>
      </c>
      <c r="R59" s="31" t="inlineStr">
        <is>
          <t>Near 52W High Breakout</t>
        </is>
      </c>
      <c r="S59" s="31" t="inlineStr">
        <is>
          <t>Nifty FMCG</t>
        </is>
      </c>
      <c r="T59" s="32" t="n">
        <v>-9.800000000000001</v>
      </c>
      <c r="U59" s="32" t="n">
        <v>25.55</v>
      </c>
      <c r="V59" s="32" t="n">
        <v>39.18</v>
      </c>
      <c r="W59" s="32" t="n">
        <v>6.74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Between 12 to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IF(B60=0,"",RANK(B60,$B$2:$B$280,0))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NGLFINE</t>
        </is>
      </c>
      <c r="D60" s="31" t="inlineStr">
        <is>
          <t>NGL Fine Chem Ltd</t>
        </is>
      </c>
      <c r="E60" s="31" t="inlineStr">
        <is>
          <t>healthcare</t>
        </is>
      </c>
      <c r="F60" s="31" t="inlineStr">
        <is>
          <t>pharmaceuticals - indian - bulk drugs</t>
        </is>
      </c>
      <c r="G60" s="31" t="inlineStr">
        <is>
          <t>smallcap</t>
        </is>
      </c>
      <c r="H60" s="32" t="n">
        <v>2000.07</v>
      </c>
      <c r="I60" s="32" t="n">
        <v>3256.2</v>
      </c>
      <c r="J60" s="32" t="n">
        <v>0.58</v>
      </c>
      <c r="K60" s="32" t="n">
        <v>6920</v>
      </c>
      <c r="L60" s="31" t="n">
        <v>90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77.36</v>
      </c>
      <c r="P60" s="32" t="n">
        <v>67.91</v>
      </c>
      <c r="Q60" s="32" t="n">
        <v>2280.18</v>
      </c>
      <c r="R60" s="31" t="inlineStr">
        <is>
          <t>Near 52W High Breakout</t>
        </is>
      </c>
      <c r="S60" s="31" t="inlineStr">
        <is>
          <t>Nifty Pharma</t>
        </is>
      </c>
      <c r="T60" s="32" t="n">
        <v>13.63</v>
      </c>
      <c r="U60" s="32" t="n">
        <v>154.64</v>
      </c>
      <c r="V60" s="32" t="n">
        <v>124.09</v>
      </c>
      <c r="W60" s="32" t="n">
        <v>31.34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Between 50% to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IF(B61=0,"",RANK(B61,$B$2:$B$280,0))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HESTERBIO</t>
        </is>
      </c>
      <c r="D61" s="31" t="inlineStr">
        <is>
          <t>Hester Biosciences Limited</t>
        </is>
      </c>
      <c r="E61" s="31" t="inlineStr">
        <is>
          <t>healthcare</t>
        </is>
      </c>
      <c r="F61" s="31" t="inlineStr">
        <is>
          <t>pharmaceuticals - indian - formulations</t>
        </is>
      </c>
      <c r="G61" s="31" t="inlineStr">
        <is>
          <t>smallcap</t>
        </is>
      </c>
      <c r="H61" s="32" t="n">
        <v>2084.18</v>
      </c>
      <c r="I61" s="32" t="n">
        <v>2431.5</v>
      </c>
      <c r="J61" s="32" t="n">
        <v>-0.76</v>
      </c>
      <c r="K61" s="32" t="n">
        <v>7562</v>
      </c>
      <c r="L61" s="31" t="n">
        <v>81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75.02</v>
      </c>
      <c r="P61" s="32" t="n">
        <v>49.25</v>
      </c>
      <c r="Q61" s="32" t="n">
        <v>1868.77</v>
      </c>
      <c r="R61" s="31" t="inlineStr">
        <is>
          <t>Near 52W High Breakout</t>
        </is>
      </c>
      <c r="S61" s="31" t="inlineStr">
        <is>
          <t>Nifty Pharma</t>
        </is>
      </c>
      <c r="T61" s="32" t="n">
        <v>13.63</v>
      </c>
      <c r="U61" s="32" t="n">
        <v>35.85</v>
      </c>
      <c r="V61" s="32" t="n">
        <v>19.55</v>
      </c>
      <c r="W61" s="32" t="n">
        <v>22.21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IF(B62=0,"",RANK(B62,$B$2:$B$280,0))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SUNPHARMA</t>
        </is>
      </c>
      <c r="D62" s="31" t="inlineStr">
        <is>
          <t>Sun Pharmaceuticals Industries Limited</t>
        </is>
      </c>
      <c r="E62" s="31" t="inlineStr">
        <is>
          <t>healthcare</t>
        </is>
      </c>
      <c r="F62" s="31" t="inlineStr">
        <is>
          <t>pharmaceuticals - indian - bulk drugs &amp; formln</t>
        </is>
      </c>
      <c r="G62" s="31" t="inlineStr">
        <is>
          <t>largecap</t>
        </is>
      </c>
      <c r="H62" s="32" t="n">
        <v>470725.53</v>
      </c>
      <c r="I62" s="32" t="n">
        <v>1944</v>
      </c>
      <c r="J62" s="32" t="n">
        <v>-0.91</v>
      </c>
      <c r="K62" s="32" t="n">
        <v>1718442</v>
      </c>
      <c r="L62" s="31" t="n">
        <v>37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65.63</v>
      </c>
      <c r="P62" s="32" t="n">
        <v>20.54</v>
      </c>
      <c r="Q62" s="32" t="n">
        <v>1722.52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13.63</v>
      </c>
      <c r="U62" s="32" t="n">
        <v>15.41</v>
      </c>
      <c r="V62" s="32" t="n">
        <v>1.56</v>
      </c>
      <c r="W62" s="32" t="n">
        <v>7.29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Between 1.5 to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IF(B63=0,"",RANK(B63,$B$2:$B$280,0))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PICCADIL</t>
        </is>
      </c>
      <c r="D63" s="31" t="inlineStr">
        <is>
          <t>Piccadily Agro Industries Ltd</t>
        </is>
      </c>
      <c r="E63" s="31" t="inlineStr">
        <is>
          <t>fmcg</t>
        </is>
      </c>
      <c r="F63" s="31" t="inlineStr">
        <is>
          <t>breweries &amp; distilleries</t>
        </is>
      </c>
      <c r="G63" s="31" t="inlineStr">
        <is>
          <t>midcap</t>
        </is>
      </c>
      <c r="H63" s="32" t="n">
        <v>7431.85</v>
      </c>
      <c r="I63" s="32" t="n">
        <v>746</v>
      </c>
      <c r="J63" s="32" t="n">
        <v>-1.05</v>
      </c>
      <c r="K63" s="32" t="n">
        <v>181403</v>
      </c>
      <c r="L63" s="31" t="n">
        <v>40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71.23</v>
      </c>
      <c r="P63" s="32" t="n">
        <v>41.19</v>
      </c>
      <c r="Q63" s="32" t="n">
        <v>585.74</v>
      </c>
      <c r="R63" s="31" t="inlineStr">
        <is>
          <t>Near 52W High Breakout</t>
        </is>
      </c>
      <c r="S63" s="31" t="inlineStr">
        <is>
          <t>Nifty FMCG</t>
        </is>
      </c>
      <c r="T63" s="32" t="n">
        <v>-9.800000000000001</v>
      </c>
      <c r="U63" s="32" t="n">
        <v>22.53</v>
      </c>
      <c r="V63" s="32" t="n">
        <v>35.84</v>
      </c>
      <c r="W63" s="32" t="n">
        <v>8.279999999999999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B2C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Less than 12%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IF(B64=0,"",RANK(B64,$B$2:$B$280,0))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NINSYS</t>
        </is>
      </c>
      <c r="D64" s="31" t="inlineStr">
        <is>
          <t>NINtec Systems Ltd</t>
        </is>
      </c>
      <c r="E64" s="31" t="inlineStr">
        <is>
          <t>i.t</t>
        </is>
      </c>
      <c r="F64" s="31" t="inlineStr">
        <is>
          <t>computers - software - medium / small</t>
        </is>
      </c>
      <c r="G64" s="31" t="inlineStr">
        <is>
          <t>smallcap</t>
        </is>
      </c>
      <c r="H64" s="32" t="n">
        <v>1662.55</v>
      </c>
      <c r="I64" s="32" t="n">
        <v>874</v>
      </c>
      <c r="J64" s="32" t="n">
        <v>-2.35</v>
      </c>
      <c r="K64" s="32" t="n">
        <v>8444</v>
      </c>
      <c r="L64" s="31" t="n">
        <v>94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82.14</v>
      </c>
      <c r="P64" s="32" t="n">
        <v>69.22</v>
      </c>
      <c r="Q64" s="32" t="n">
        <v>690.03</v>
      </c>
      <c r="R64" s="31" t="inlineStr">
        <is>
          <t>Near 52W High Breakout</t>
        </is>
      </c>
      <c r="S64" s="31" t="inlineStr">
        <is>
          <t>Nifty IT</t>
        </is>
      </c>
      <c r="T64" s="32" t="n">
        <v>-19.86</v>
      </c>
      <c r="U64" s="32" t="n">
        <v>102.96</v>
      </c>
      <c r="V64" s="32" t="n">
        <v>153.25</v>
      </c>
      <c r="W64" s="32" t="n">
        <v>35.76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Between 12 to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Between 50% to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IF(B65=0,"",RANK(B65,$B$2:$B$280,0))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SHILPAMED</t>
        </is>
      </c>
      <c r="D65" s="31" t="inlineStr">
        <is>
          <t>Shilpa Medicare Limited</t>
        </is>
      </c>
      <c r="E65" s="31" t="inlineStr">
        <is>
          <t>healthcare</t>
        </is>
      </c>
      <c r="F65" s="31" t="inlineStr">
        <is>
          <t>pharmaceuticals - indian - formulations</t>
        </is>
      </c>
      <c r="G65" s="31" t="inlineStr">
        <is>
          <t>midcap</t>
        </is>
      </c>
      <c r="H65" s="32" t="n">
        <v>12517.24</v>
      </c>
      <c r="I65" s="32" t="n">
        <v>613.35</v>
      </c>
      <c r="J65" s="32" t="n">
        <v>-4.16</v>
      </c>
      <c r="K65" s="32" t="n">
        <v>544293</v>
      </c>
      <c r="L65" s="31" t="n">
        <v>80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80.59999999999999</v>
      </c>
      <c r="P65" s="32" t="n">
        <v>67.67</v>
      </c>
      <c r="Q65" s="32" t="n">
        <v>498.22</v>
      </c>
      <c r="R65" s="31" t="inlineStr">
        <is>
          <t>Near 52W High Breakout</t>
        </is>
      </c>
      <c r="S65" s="31" t="inlineStr">
        <is>
          <t>Nifty Pharma</t>
        </is>
      </c>
      <c r="T65" s="32" t="n">
        <v>13.63</v>
      </c>
      <c r="U65" s="32" t="n">
        <v>34.94</v>
      </c>
      <c r="V65" s="32" t="n">
        <v>18.75</v>
      </c>
      <c r="W65" s="32" t="n">
        <v>20.96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IF(B66=0,"",RANK(B66,$B$2:$B$280,0))</f>
        <v/>
      </c>
      <c r="B66" s="32">
        <f>SUM(N66,Y66,AA66,AC66,AE66,AG66,AI66,AK66,AM66,AO66,AQ66,AS66,AU66,AW66,AY66,BA66,BC66,BE66,BG66,BI66,BK66,BM66,BO66,BQ66,BS66,BU66,BW66,BY66,CA66,CC66,CE66)</f>
        <v/>
      </c>
      <c r="C66" s="33" t="inlineStr">
        <is>
          <t>WSTCSTPAPR</t>
        </is>
      </c>
      <c r="D66" s="33" t="inlineStr">
        <is>
          <t>West Coast Paper Mills Limited</t>
        </is>
      </c>
      <c r="E66" s="31" t="inlineStr">
        <is>
          <t>building materials</t>
        </is>
      </c>
      <c r="F66" s="31" t="inlineStr">
        <is>
          <t>paper</t>
        </is>
      </c>
      <c r="G66" s="31" t="inlineStr">
        <is>
          <t>smallcap</t>
        </is>
      </c>
      <c r="H66" s="32" t="n">
        <v>3432.23</v>
      </c>
      <c r="I66" s="32" t="n">
        <v>549</v>
      </c>
      <c r="J66" s="32" t="n">
        <v>5.65</v>
      </c>
      <c r="K66" s="32" t="n">
        <v>706849</v>
      </c>
      <c r="L66" s="31" t="n">
        <v>21</v>
      </c>
      <c r="M66" s="31" t="inlineStr">
        <is>
          <t>Underperforming</t>
        </is>
      </c>
      <c r="N66" s="32">
        <f>IF(M66="Underperforming",-5,IF(L66&gt;=95,15,IF(L66&gt;=90,10,IF(L66&gt;=80,5,0))))</f>
        <v/>
      </c>
      <c r="O66" s="32" t="n">
        <v>62.34</v>
      </c>
      <c r="P66" s="32" t="n">
        <v>37.62</v>
      </c>
      <c r="Q66" s="32" t="n">
        <v>426.82</v>
      </c>
      <c r="R66" s="31" t="inlineStr">
        <is>
          <t>Near 52W High Breakout</t>
        </is>
      </c>
      <c r="S66" s="31" t="inlineStr">
        <is>
          <t>Nifty Infra</t>
        </is>
      </c>
      <c r="T66" s="32" t="n">
        <v>3.35</v>
      </c>
      <c r="U66" s="32" t="n">
        <v>2.23</v>
      </c>
      <c r="V66" s="32" t="n">
        <v>-1.08</v>
      </c>
      <c r="W66" s="32" t="n">
        <v>4.31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Between 12 to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IF(B67=0,"",RANK(B67,$B$2:$B$280,0))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SWANDEF</t>
        </is>
      </c>
      <c r="D67" s="31" t="inlineStr">
        <is>
          <t>Swan Defence and Heavy Industries Ltd</t>
        </is>
      </c>
      <c r="E67" s="31" t="inlineStr">
        <is>
          <t>transportation</t>
        </is>
      </c>
      <c r="F67" s="31" t="inlineStr">
        <is>
          <t>miscellaneous</t>
        </is>
      </c>
      <c r="G67" s="31" t="inlineStr">
        <is>
          <t>midcap</t>
        </is>
      </c>
      <c r="H67" s="32" t="n">
        <v>12231.21</v>
      </c>
      <c r="I67" s="32" t="n">
        <v>2412</v>
      </c>
      <c r="J67" s="32" t="n">
        <v>3.89</v>
      </c>
      <c r="K67" s="32" t="n">
        <v>19555</v>
      </c>
      <c r="L67" s="31" t="n">
        <v>99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68.83</v>
      </c>
      <c r="P67" s="32" t="n">
        <v>47.8</v>
      </c>
      <c r="Q67" s="32" t="n">
        <v>1846.29</v>
      </c>
      <c r="R67" s="31" t="inlineStr">
        <is>
          <t>Near 52W High Breakout</t>
        </is>
      </c>
      <c r="S67" s="31" t="inlineStr">
        <is>
          <t>Nifty 50</t>
        </is>
      </c>
      <c r="T67" s="32" t="n">
        <v>-3.39</v>
      </c>
      <c r="U67" s="32" t="n">
        <v>683.54</v>
      </c>
      <c r="V67" s="32" t="n">
        <v>711</v>
      </c>
      <c r="W67" s="32" t="n">
        <v>69.23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Negative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More than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IF(B68=0,"",RANK(B68,$B$2:$B$280,0))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CARTRADE</t>
        </is>
      </c>
      <c r="D68" s="31" t="inlineStr">
        <is>
          <t>Cartrade Tech Ltd</t>
        </is>
      </c>
      <c r="E68" s="31" t="inlineStr">
        <is>
          <t>consumer discretionary</t>
        </is>
      </c>
      <c r="F68" s="31" t="inlineStr">
        <is>
          <t>miscellaneous</t>
        </is>
      </c>
      <c r="G68" s="31" t="inlineStr">
        <is>
          <t>midcap</t>
        </is>
      </c>
      <c r="H68" s="32" t="n">
        <v>13091.08</v>
      </c>
      <c r="I68" s="32" t="n">
        <v>2809.7</v>
      </c>
      <c r="J68" s="32" t="n">
        <v>3.07</v>
      </c>
      <c r="K68" s="32" t="n">
        <v>303522</v>
      </c>
      <c r="L68" s="31" t="n">
        <v>86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65.26000000000001</v>
      </c>
      <c r="P68" s="32" t="n">
        <v>28.02</v>
      </c>
      <c r="Q68" s="32" t="n">
        <v>2022.9</v>
      </c>
      <c r="R68" s="31" t="inlineStr">
        <is>
          <t>Earnings / Momentum Support</t>
        </is>
      </c>
      <c r="S68" s="31" t="inlineStr">
        <is>
          <t>Nifty 50</t>
        </is>
      </c>
      <c r="T68" s="32" t="n">
        <v>-3.39</v>
      </c>
      <c r="U68" s="32" t="n">
        <v>48.29</v>
      </c>
      <c r="V68" s="32" t="n">
        <v>53.49</v>
      </c>
      <c r="W68" s="32" t="n">
        <v>26.28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IF(B69=0,"",RANK(B69,$B$2:$B$280,0))</f>
        <v/>
      </c>
      <c r="B69" s="32">
        <f>SUM(N69,Y69,AA69,AC69,AE69,AG69,AI69,AK69,AM69,AO69,AQ69,AS69,AU69,AW69,AY69,BA69,BC69,BE69,BG69,BI69,BK69,BM69,BO69,BQ69,BS69,BU69,BW69,BY69,CA69,CC69,CE69)</f>
        <v/>
      </c>
      <c r="C69" s="33" t="inlineStr">
        <is>
          <t>GREENPLY</t>
        </is>
      </c>
      <c r="D69" s="33" t="inlineStr">
        <is>
          <t>Greenply Industries Limited</t>
        </is>
      </c>
      <c r="E69" s="31" t="inlineStr">
        <is>
          <t>building materials</t>
        </is>
      </c>
      <c r="F69" s="31" t="inlineStr">
        <is>
          <t>miscellaneous</t>
        </is>
      </c>
      <c r="G69" s="31" t="inlineStr">
        <is>
          <t>smallcap</t>
        </is>
      </c>
      <c r="H69" s="32" t="n">
        <v>4036.83</v>
      </c>
      <c r="I69" s="32" t="n">
        <v>329.65</v>
      </c>
      <c r="J69" s="32" t="n">
        <v>2</v>
      </c>
      <c r="K69" s="32" t="n">
        <v>300754</v>
      </c>
      <c r="L69" s="31" t="n">
        <v>47</v>
      </c>
      <c r="M69" s="31" t="inlineStr">
        <is>
          <t>Underperforming</t>
        </is>
      </c>
      <c r="N69" s="32">
        <f>IF(M69="Underperforming",-5,IF(L69&gt;=95,15,IF(L69&gt;=90,10,IF(L69&gt;=80,5,0))))</f>
        <v/>
      </c>
      <c r="O69" s="32" t="n">
        <v>70.61</v>
      </c>
      <c r="P69" s="32" t="n">
        <v>31.67</v>
      </c>
      <c r="Q69" s="32" t="n">
        <v>259.64</v>
      </c>
      <c r="R69" s="31" t="inlineStr">
        <is>
          <t>Near 52W High Breakout</t>
        </is>
      </c>
      <c r="S69" s="31" t="inlineStr">
        <is>
          <t>Nifty Infra</t>
        </is>
      </c>
      <c r="T69" s="32" t="n">
        <v>3.35</v>
      </c>
      <c r="U69" s="32" t="n">
        <v>-0.48</v>
      </c>
      <c r="V69" s="32" t="n">
        <v>-3.7</v>
      </c>
      <c r="W69" s="32" t="n">
        <v>9.75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IF(B70=0,"",RANK(B70,$B$2:$B$280,0))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GNA</t>
        </is>
      </c>
      <c r="D70" s="31" t="inlineStr">
        <is>
          <t>Gna Axles Limited</t>
        </is>
      </c>
      <c r="E70" s="31" t="inlineStr">
        <is>
          <t>auto</t>
        </is>
      </c>
      <c r="F70" s="31" t="inlineStr">
        <is>
          <t>auto ancillaries</t>
        </is>
      </c>
      <c r="G70" s="31" t="inlineStr">
        <is>
          <t>smallcap</t>
        </is>
      </c>
      <c r="H70" s="32" t="n">
        <v>2188.61</v>
      </c>
      <c r="I70" s="32" t="n">
        <v>517.25</v>
      </c>
      <c r="J70" s="32" t="n">
        <v>1.46</v>
      </c>
      <c r="K70" s="32" t="n">
        <v>753012</v>
      </c>
      <c r="L70" s="31" t="n">
        <v>65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65.84999999999999</v>
      </c>
      <c r="P70" s="32" t="n">
        <v>24.94</v>
      </c>
      <c r="Q70" s="32" t="n">
        <v>418.84</v>
      </c>
      <c r="R70" s="31" t="inlineStr">
        <is>
          <t>Earnings / Momentum Support</t>
        </is>
      </c>
      <c r="S70" s="31" t="inlineStr">
        <is>
          <t>Nifty Auto</t>
        </is>
      </c>
      <c r="T70" s="32" t="n">
        <v>14.92</v>
      </c>
      <c r="U70" s="32" t="n">
        <v>66.33</v>
      </c>
      <c r="V70" s="32" t="n">
        <v>44.74</v>
      </c>
      <c r="W70" s="32" t="n">
        <v>15.46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IF(B71=0,"",RANK(B71,$B$2:$B$280,0))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SPORTKING</t>
        </is>
      </c>
      <c r="D71" s="31" t="inlineStr">
        <is>
          <t>Sportking India Ltd</t>
        </is>
      </c>
      <c r="E71" s="31" t="inlineStr">
        <is>
          <t>textiles</t>
        </is>
      </c>
      <c r="F71" s="31" t="inlineStr">
        <is>
          <t>textiles - spinning - synthetic / blended</t>
        </is>
      </c>
      <c r="G71" s="31" t="inlineStr">
        <is>
          <t>smallcap</t>
        </is>
      </c>
      <c r="H71" s="32" t="n">
        <v>2521.87</v>
      </c>
      <c r="I71" s="32" t="n">
        <v>200.92</v>
      </c>
      <c r="J71" s="32" t="n">
        <v>1.24</v>
      </c>
      <c r="K71" s="32" t="n">
        <v>382014</v>
      </c>
      <c r="L71" s="31" t="n">
        <v>84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82.27</v>
      </c>
      <c r="P71" s="32" t="n">
        <v>67.93000000000001</v>
      </c>
      <c r="Q71" s="32" t="n">
        <v>151.25</v>
      </c>
      <c r="R71" s="31" t="inlineStr">
        <is>
          <t>Near 52W High Breakout</t>
        </is>
      </c>
      <c r="S71" s="31" t="inlineStr">
        <is>
          <t>Nifty 50</t>
        </is>
      </c>
      <c r="T71" s="32" t="n">
        <v>-3.39</v>
      </c>
      <c r="U71" s="32" t="n">
        <v>56.96</v>
      </c>
      <c r="V71" s="32" t="n">
        <v>62.46</v>
      </c>
      <c r="W71" s="32" t="n">
        <v>24.21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Less than 12%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IF(B72=0,"",RANK(B72,$B$2:$B$280,0))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OCCLLTD</t>
        </is>
      </c>
      <c r="D72" s="31" t="inlineStr">
        <is>
          <t>OCCL Ltd</t>
        </is>
      </c>
      <c r="E72" s="31" t="inlineStr">
        <is>
          <t>chemicals</t>
        </is>
      </c>
      <c r="F72" s="31" t="inlineStr">
        <is>
          <t>chemicals</t>
        </is>
      </c>
      <c r="G72" s="31" t="inlineStr">
        <is>
          <t>smallcap</t>
        </is>
      </c>
      <c r="H72" s="32" t="n">
        <v>680.8200000000001</v>
      </c>
      <c r="I72" s="32" t="n">
        <v>137</v>
      </c>
      <c r="J72" s="32" t="n">
        <v>0.51</v>
      </c>
      <c r="K72" s="32" t="n">
        <v>45791</v>
      </c>
      <c r="L72" s="31" t="n">
        <v>48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70.40000000000001</v>
      </c>
      <c r="P72" s="32" t="n">
        <v>27.06</v>
      </c>
      <c r="Q72" s="32" t="n">
        <v>100.2</v>
      </c>
      <c r="R72" s="31" t="inlineStr">
        <is>
          <t>Earnings / Momentum Support</t>
        </is>
      </c>
      <c r="S72" s="31" t="inlineStr">
        <is>
          <t>Nifty 50</t>
        </is>
      </c>
      <c r="T72" s="32" t="n">
        <v>-3.39</v>
      </c>
      <c r="U72" s="32" t="n">
        <v>1.29</v>
      </c>
      <c r="V72" s="32" t="n">
        <v>4.84</v>
      </c>
      <c r="W72" s="32" t="n">
        <v>9.93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IF(B73=0,"",RANK(B73,$B$2:$B$280,0))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SSWL</t>
        </is>
      </c>
      <c r="D73" s="31" t="inlineStr">
        <is>
          <t>Steel Strips Wheels Limited</t>
        </is>
      </c>
      <c r="E73" s="31" t="inlineStr">
        <is>
          <t>auto</t>
        </is>
      </c>
      <c r="F73" s="31" t="inlineStr">
        <is>
          <t>auto ancillaries</t>
        </is>
      </c>
      <c r="G73" s="31" t="inlineStr">
        <is>
          <t>smallcap</t>
        </is>
      </c>
      <c r="H73" s="32" t="n">
        <v>4390.05</v>
      </c>
      <c r="I73" s="32" t="n">
        <v>279.69</v>
      </c>
      <c r="J73" s="32" t="n">
        <v>0.14</v>
      </c>
      <c r="K73" s="32" t="n">
        <v>1589909</v>
      </c>
      <c r="L73" s="31" t="n">
        <v>55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70.98</v>
      </c>
      <c r="P73" s="32" t="n">
        <v>16.7</v>
      </c>
      <c r="Q73" s="32" t="n">
        <v>216.74</v>
      </c>
      <c r="R73" s="31" t="inlineStr">
        <is>
          <t>Near 52W High Breakout</t>
        </is>
      </c>
      <c r="S73" s="31" t="inlineStr">
        <is>
          <t>Nifty Auto</t>
        </is>
      </c>
      <c r="T73" s="32" t="n">
        <v>14.92</v>
      </c>
      <c r="U73" s="32" t="n">
        <v>16.78</v>
      </c>
      <c r="V73" s="32" t="n">
        <v>1.62</v>
      </c>
      <c r="W73" s="32" t="n">
        <v>11.66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0 to 20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IF(B74=0,"",RANK(B74,$B$2:$B$280,0))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VAIBHAVGBL</t>
        </is>
      </c>
      <c r="D74" s="31" t="inlineStr">
        <is>
          <t>Vaibhav Global Limited</t>
        </is>
      </c>
      <c r="E74" s="31" t="inlineStr">
        <is>
          <t>consumer discretionary</t>
        </is>
      </c>
      <c r="F74" s="31" t="inlineStr">
        <is>
          <t>diamond cutting / jewellery</t>
        </is>
      </c>
      <c r="G74" s="31" t="inlineStr">
        <is>
          <t>smallcap</t>
        </is>
      </c>
      <c r="H74" s="32" t="n">
        <v>4312.18</v>
      </c>
      <c r="I74" s="32" t="n">
        <v>258</v>
      </c>
      <c r="J74" s="32" t="n">
        <v>-0.04</v>
      </c>
      <c r="K74" s="32" t="n">
        <v>1085069</v>
      </c>
      <c r="L74" s="31" t="n">
        <v>36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61.12</v>
      </c>
      <c r="P74" s="32" t="n">
        <v>20.66</v>
      </c>
      <c r="Q74" s="32" t="n">
        <v>197.46</v>
      </c>
      <c r="R74" s="31" t="inlineStr">
        <is>
          <t>Near 52W High Breakout</t>
        </is>
      </c>
      <c r="S74" s="31" t="inlineStr">
        <is>
          <t>Nifty 50</t>
        </is>
      </c>
      <c r="T74" s="32" t="n">
        <v>-3.39</v>
      </c>
      <c r="U74" s="32" t="n">
        <v>13.69</v>
      </c>
      <c r="V74" s="32" t="n">
        <v>17.68</v>
      </c>
      <c r="W74" s="32" t="n">
        <v>7.18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IF(B75=0,"",RANK(B75,$B$2:$B$280,0))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PRIVISCL</t>
        </is>
      </c>
      <c r="D75" s="31" t="inlineStr">
        <is>
          <t>Privi Speciality Chemicals Ltd</t>
        </is>
      </c>
      <c r="E75" s="31" t="inlineStr">
        <is>
          <t>chemicals</t>
        </is>
      </c>
      <c r="F75" s="31" t="inlineStr">
        <is>
          <t>chemicals</t>
        </is>
      </c>
      <c r="G75" s="31" t="inlineStr">
        <is>
          <t>midcap</t>
        </is>
      </c>
      <c r="H75" s="32" t="n">
        <v>14353.2</v>
      </c>
      <c r="I75" s="32" t="n">
        <v>3672</v>
      </c>
      <c r="J75" s="32" t="n">
        <v>-0.07000000000000001</v>
      </c>
      <c r="K75" s="32" t="n">
        <v>107769</v>
      </c>
      <c r="L75" s="31" t="n">
        <v>54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66.37</v>
      </c>
      <c r="P75" s="32" t="n">
        <v>27.89</v>
      </c>
      <c r="Q75" s="32" t="n">
        <v>3054.69</v>
      </c>
      <c r="R75" s="31" t="inlineStr">
        <is>
          <t>Near 52W High Breakout</t>
        </is>
      </c>
      <c r="S75" s="31" t="inlineStr">
        <is>
          <t>Nifty 50</t>
        </is>
      </c>
      <c r="T75" s="32" t="n">
        <v>-3.39</v>
      </c>
      <c r="U75" s="32" t="n">
        <v>48.26</v>
      </c>
      <c r="V75" s="32" t="n">
        <v>53.45</v>
      </c>
      <c r="W75" s="32" t="n">
        <v>11.44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IF(B76=0,"",RANK(B76,$B$2:$B$280,0))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SOLARINDS</t>
        </is>
      </c>
      <c r="D76" s="31" t="inlineStr">
        <is>
          <t>Solar Industries India Limited</t>
        </is>
      </c>
      <c r="E76" s="31" t="inlineStr">
        <is>
          <t>aerospace &amp; defence</t>
        </is>
      </c>
      <c r="F76" s="31" t="inlineStr">
        <is>
          <t>chemicals</t>
        </is>
      </c>
      <c r="G76" s="31" t="inlineStr">
        <is>
          <t>largecap</t>
        </is>
      </c>
      <c r="H76" s="32" t="n">
        <v>172338.31</v>
      </c>
      <c r="I76" s="32" t="n">
        <v>18856</v>
      </c>
      <c r="J76" s="32" t="n">
        <v>-0.99</v>
      </c>
      <c r="K76" s="32" t="n">
        <v>80467</v>
      </c>
      <c r="L76" s="31" t="n">
        <v>53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66.76000000000001</v>
      </c>
      <c r="P76" s="32" t="n">
        <v>39.71</v>
      </c>
      <c r="Q76" s="32" t="n">
        <v>15332.07</v>
      </c>
      <c r="R76" s="31" t="inlineStr">
        <is>
          <t>Near 52W High Breakout</t>
        </is>
      </c>
      <c r="S76" s="31" t="inlineStr">
        <is>
          <t>Nifty 50</t>
        </is>
      </c>
      <c r="T76" s="32" t="n">
        <v>-3.39</v>
      </c>
      <c r="U76" s="32" t="n">
        <v>30</v>
      </c>
      <c r="V76" s="32" t="n">
        <v>34.55</v>
      </c>
      <c r="W76" s="32" t="n">
        <v>11.27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Less than 50%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IF(B77=0,"",RANK(B77,$B$2:$B$280,0))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TATVA</t>
        </is>
      </c>
      <c r="D77" s="31" t="inlineStr">
        <is>
          <t>Tatva Chintan Pharma Chem Ltd</t>
        </is>
      </c>
      <c r="E77" s="31" t="inlineStr">
        <is>
          <t>chemicals</t>
        </is>
      </c>
      <c r="F77" s="31" t="inlineStr">
        <is>
          <t>chemicals</t>
        </is>
      </c>
      <c r="G77" s="31" t="inlineStr">
        <is>
          <t>smallcap</t>
        </is>
      </c>
      <c r="H77" s="32" t="n">
        <v>3941.56</v>
      </c>
      <c r="I77" s="32" t="n">
        <v>1664.9</v>
      </c>
      <c r="J77" s="32" t="n">
        <v>-1.19</v>
      </c>
      <c r="K77" s="32" t="n">
        <v>351417</v>
      </c>
      <c r="L77" s="31" t="n">
        <v>64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72.41</v>
      </c>
      <c r="P77" s="32" t="n">
        <v>20.34</v>
      </c>
      <c r="Q77" s="32" t="n">
        <v>1244.4</v>
      </c>
      <c r="R77" s="31" t="inlineStr">
        <is>
          <t>Volume Spike &amp; Near 52W High Breakout</t>
        </is>
      </c>
      <c r="S77" s="31" t="inlineStr">
        <is>
          <t>Nifty 50</t>
        </is>
      </c>
      <c r="T77" s="32" t="n">
        <v>-3.39</v>
      </c>
      <c r="U77" s="32" t="n">
        <v>45.46</v>
      </c>
      <c r="V77" s="32" t="n">
        <v>50.55</v>
      </c>
      <c r="W77" s="32" t="n">
        <v>15.11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IF(B78=0,"",RANK(B78,$B$2:$B$280,0))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SANSERA</t>
        </is>
      </c>
      <c r="D78" s="31" t="inlineStr">
        <is>
          <t>Sansera Engineering Ltd</t>
        </is>
      </c>
      <c r="E78" s="31" t="inlineStr">
        <is>
          <t>auto</t>
        </is>
      </c>
      <c r="F78" s="31" t="inlineStr">
        <is>
          <t>auto ancillaries</t>
        </is>
      </c>
      <c r="G78" s="31" t="inlineStr">
        <is>
          <t>largecap</t>
        </is>
      </c>
      <c r="H78" s="32" t="n">
        <v>20560.1</v>
      </c>
      <c r="I78" s="32" t="n">
        <v>3255.2</v>
      </c>
      <c r="J78" s="32" t="n">
        <v>-1.2</v>
      </c>
      <c r="K78" s="32" t="n">
        <v>181630</v>
      </c>
      <c r="L78" s="31" t="n">
        <v>86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75.55</v>
      </c>
      <c r="P78" s="32" t="n">
        <v>51.31</v>
      </c>
      <c r="Q78" s="32" t="n">
        <v>2631.91</v>
      </c>
      <c r="R78" s="31" t="inlineStr">
        <is>
          <t>Near 52W High Breakout</t>
        </is>
      </c>
      <c r="S78" s="31" t="inlineStr">
        <is>
          <t>Nifty Auto</t>
        </is>
      </c>
      <c r="T78" s="32" t="n">
        <v>14.92</v>
      </c>
      <c r="U78" s="32" t="n">
        <v>140.57</v>
      </c>
      <c r="V78" s="32" t="n">
        <v>109.34</v>
      </c>
      <c r="W78" s="32" t="n">
        <v>26.26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Between 50% to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IF(B79=0,"",RANK(B79,$B$2:$B$280,0))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VISHNU</t>
        </is>
      </c>
      <c r="D79" s="31" t="inlineStr">
        <is>
          <t>Vishnu Chemicals Limited</t>
        </is>
      </c>
      <c r="E79" s="31" t="inlineStr">
        <is>
          <t>chemicals</t>
        </is>
      </c>
      <c r="F79" s="31" t="inlineStr">
        <is>
          <t>chemicals</t>
        </is>
      </c>
      <c r="G79" s="31" t="inlineStr">
        <is>
          <t>smallcap</t>
        </is>
      </c>
      <c r="H79" s="32" t="n">
        <v>4311.21</v>
      </c>
      <c r="I79" s="32" t="n">
        <v>631.7</v>
      </c>
      <c r="J79" s="32" t="n">
        <v>-1.37</v>
      </c>
      <c r="K79" s="32" t="n">
        <v>193966</v>
      </c>
      <c r="L79" s="31" t="n">
        <v>33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64.12</v>
      </c>
      <c r="P79" s="32" t="n">
        <v>48.87</v>
      </c>
      <c r="Q79" s="32" t="n">
        <v>495.04</v>
      </c>
      <c r="R79" s="31" t="inlineStr">
        <is>
          <t>Volume Spike &amp; Near 52W High Breakout</t>
        </is>
      </c>
      <c r="S79" s="31" t="inlineStr">
        <is>
          <t>Nifty 50</t>
        </is>
      </c>
      <c r="T79" s="32" t="n">
        <v>-3.39</v>
      </c>
      <c r="U79" s="32" t="n">
        <v>26.88</v>
      </c>
      <c r="V79" s="32" t="n">
        <v>31.32</v>
      </c>
      <c r="W79" s="32" t="n">
        <v>6.77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Less than 12%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Between 50% to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IF(B80=0,"",RANK(B80,$B$2:$B$280,0))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KMEW</t>
        </is>
      </c>
      <c r="D80" s="31" t="inlineStr">
        <is>
          <t>Knowledge Marine &amp; Engineering Works Ltd</t>
        </is>
      </c>
      <c r="E80" s="31" t="inlineStr">
        <is>
          <t>transportation</t>
        </is>
      </c>
      <c r="F80" s="31" t="inlineStr">
        <is>
          <t>miscellaneous</t>
        </is>
      </c>
      <c r="G80" s="31" t="inlineStr">
        <is>
          <t>midcap</t>
        </is>
      </c>
      <c r="H80" s="32" t="n">
        <v>5993.21</v>
      </c>
      <c r="I80" s="32" t="n">
        <v>2412.1</v>
      </c>
      <c r="J80" s="32" t="n">
        <v>-1.62</v>
      </c>
      <c r="K80" s="32" t="n">
        <v>30157</v>
      </c>
      <c r="L80" s="31" t="n">
        <v>92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70.81999999999999</v>
      </c>
      <c r="P80" s="32" t="n">
        <v>45.6</v>
      </c>
      <c r="Q80" s="32" t="n">
        <v>1748.79</v>
      </c>
      <c r="R80" s="31" t="inlineStr">
        <is>
          <t>Near 52W High Breakout</t>
        </is>
      </c>
      <c r="S80" s="31" t="inlineStr">
        <is>
          <t>Nifty 50</t>
        </is>
      </c>
      <c r="T80" s="32" t="n">
        <v>-3.39</v>
      </c>
      <c r="U80" s="32" t="n">
        <v>183.11</v>
      </c>
      <c r="V80" s="32" t="n">
        <v>193.03</v>
      </c>
      <c r="W80" s="32" t="n">
        <v>33.46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Negative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IF(B81=0,"",RANK(B81,$B$2:$B$280,0))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JGCHEM</t>
        </is>
      </c>
      <c r="D81" s="31" t="inlineStr">
        <is>
          <t>J.G.Chemicals Ltd</t>
        </is>
      </c>
      <c r="E81" s="31" t="inlineStr">
        <is>
          <t>chemicals</t>
        </is>
      </c>
      <c r="F81" s="31" t="inlineStr">
        <is>
          <t>chemicals</t>
        </is>
      </c>
      <c r="G81" s="31" t="inlineStr">
        <is>
          <t>smallcap</t>
        </is>
      </c>
      <c r="H81" s="32" t="n">
        <v>1933.24</v>
      </c>
      <c r="I81" s="32" t="n">
        <v>484.45</v>
      </c>
      <c r="J81" s="32" t="n">
        <v>-1.8</v>
      </c>
      <c r="K81" s="32" t="n">
        <v>210523</v>
      </c>
      <c r="L81" s="31" t="n">
        <v>34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65.78</v>
      </c>
      <c r="P81" s="32" t="n">
        <v>24.11</v>
      </c>
      <c r="Q81" s="32" t="n">
        <v>367.79</v>
      </c>
      <c r="R81" s="31" t="inlineStr">
        <is>
          <t>Volume Spike &amp; Near 52W High Breakout</t>
        </is>
      </c>
      <c r="S81" s="31" t="inlineStr">
        <is>
          <t>Nifty IT</t>
        </is>
      </c>
      <c r="T81" s="32" t="n">
        <v>-19.86</v>
      </c>
      <c r="U81" s="32" t="n">
        <v>2.22</v>
      </c>
      <c r="V81" s="32" t="n">
        <v>27.55</v>
      </c>
      <c r="W81" s="32" t="n">
        <v>6.98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Between 12 to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Between 1.5 to 2</t>
        </is>
      </c>
      <c r="BU81" s="31">
        <f>IF(BT81="Above 2",0,IF(BT81="Between 1.5 to 2",5,IF(BT81="Less than 1.5",10,0)))</f>
        <v/>
      </c>
      <c r="BV81" s="31" t="inlineStr">
        <is>
          <t>Between 50% to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IF(B82=0,"",RANK(B82,$B$2:$B$280,0))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ADOR</t>
        </is>
      </c>
      <c r="D82" s="31" t="inlineStr">
        <is>
          <t>Ador Welding Ltd</t>
        </is>
      </c>
      <c r="E82" s="31" t="inlineStr">
        <is>
          <t>industrials</t>
        </is>
      </c>
      <c r="F82" s="31" t="inlineStr">
        <is>
          <t>electrodes - welding equipment</t>
        </is>
      </c>
      <c r="G82" s="31" t="inlineStr">
        <is>
          <t>smallcap</t>
        </is>
      </c>
      <c r="H82" s="32" t="n">
        <v>2622.95</v>
      </c>
      <c r="I82" s="32" t="n">
        <v>1477.9</v>
      </c>
      <c r="J82" s="32" t="n">
        <v>-1.94</v>
      </c>
      <c r="K82" s="32" t="n">
        <v>292235</v>
      </c>
      <c r="L82" s="31" t="n">
        <v>78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81.33</v>
      </c>
      <c r="P82" s="32" t="n">
        <v>38.93</v>
      </c>
      <c r="Q82" s="32" t="n">
        <v>1187.74</v>
      </c>
      <c r="R82" s="31" t="inlineStr">
        <is>
          <t>Volume Spike &amp; Near 52W High Breakout</t>
        </is>
      </c>
      <c r="S82" s="31" t="inlineStr">
        <is>
          <t>Nifty 50</t>
        </is>
      </c>
      <c r="T82" s="32" t="n">
        <v>-3.39</v>
      </c>
      <c r="U82" s="32" t="n">
        <v>43.98</v>
      </c>
      <c r="V82" s="32" t="n">
        <v>49.02</v>
      </c>
      <c r="W82" s="32" t="n">
        <v>20.27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IF(B83=0,"",RANK(B83,$B$2:$B$280,0))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PSPPROJECT</t>
        </is>
      </c>
      <c r="D83" s="31" t="inlineStr">
        <is>
          <t>PSP Projects Ltd</t>
        </is>
      </c>
      <c r="E83" s="31" t="inlineStr">
        <is>
          <t>realty</t>
        </is>
      </c>
      <c r="F83" s="31" t="inlineStr">
        <is>
          <t>construction</t>
        </is>
      </c>
      <c r="G83" s="31" t="inlineStr">
        <is>
          <t>smallcap</t>
        </is>
      </c>
      <c r="H83" s="32" t="n">
        <v>4271.01</v>
      </c>
      <c r="I83" s="32" t="n">
        <v>1056</v>
      </c>
      <c r="J83" s="32" t="n">
        <v>-1.99</v>
      </c>
      <c r="K83" s="32" t="n">
        <v>38310</v>
      </c>
      <c r="L83" s="31" t="n">
        <v>68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70.16</v>
      </c>
      <c r="P83" s="32" t="n">
        <v>31.18</v>
      </c>
      <c r="Q83" s="32" t="n">
        <v>825.3</v>
      </c>
      <c r="R83" s="31" t="inlineStr">
        <is>
          <t>Near 52W High Breakout</t>
        </is>
      </c>
      <c r="S83" s="31" t="inlineStr">
        <is>
          <t>Nifty Realty</t>
        </is>
      </c>
      <c r="T83" s="32" t="n">
        <v>-5.01</v>
      </c>
      <c r="U83" s="32" t="n">
        <v>30.41</v>
      </c>
      <c r="V83" s="32" t="n">
        <v>37.29</v>
      </c>
      <c r="W83" s="32" t="n">
        <v>16.07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IF(B84=0,"",RANK(B84,$B$2:$B$280,0))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INDNIPPON</t>
        </is>
      </c>
      <c r="D84" s="31" t="inlineStr">
        <is>
          <t>India Nippon Electricals Limited</t>
        </is>
      </c>
      <c r="E84" s="31" t="inlineStr">
        <is>
          <t>auto</t>
        </is>
      </c>
      <c r="F84" s="31" t="inlineStr">
        <is>
          <t>auto ancillaries</t>
        </is>
      </c>
      <c r="G84" s="31" t="inlineStr">
        <is>
          <t>smallcap</t>
        </is>
      </c>
      <c r="H84" s="32" t="n">
        <v>2808.68</v>
      </c>
      <c r="I84" s="32" t="n">
        <v>1215.5</v>
      </c>
      <c r="J84" s="32" t="n">
        <v>-2.1</v>
      </c>
      <c r="K84" s="32" t="n">
        <v>33988</v>
      </c>
      <c r="L84" s="31" t="n">
        <v>85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77.81</v>
      </c>
      <c r="P84" s="32" t="n">
        <v>32.02</v>
      </c>
      <c r="Q84" s="32" t="n">
        <v>978.6900000000001</v>
      </c>
      <c r="R84" s="31" t="inlineStr">
        <is>
          <t>Near 52W High Breakout</t>
        </is>
      </c>
      <c r="S84" s="31" t="inlineStr">
        <is>
          <t>Nifty Auto</t>
        </is>
      </c>
      <c r="T84" s="32" t="n">
        <v>14.92</v>
      </c>
      <c r="U84" s="32" t="n">
        <v>59.71</v>
      </c>
      <c r="V84" s="32" t="n">
        <v>38.97</v>
      </c>
      <c r="W84" s="32" t="n">
        <v>24.68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Less than 50%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IF(B85=0,"",RANK(B85,$B$2:$B$280,0))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LAURUSLABS</t>
        </is>
      </c>
      <c r="D85" s="31" t="inlineStr">
        <is>
          <t>Laurus Labs Limited</t>
        </is>
      </c>
      <c r="E85" s="31" t="inlineStr">
        <is>
          <t>healthcare</t>
        </is>
      </c>
      <c r="F85" s="31" t="inlineStr">
        <is>
          <t>pharmaceuticals - indian - bulk drugs &amp; formln</t>
        </is>
      </c>
      <c r="G85" s="31" t="inlineStr">
        <is>
          <t>largecap</t>
        </is>
      </c>
      <c r="H85" s="32" t="n">
        <v>86009.95</v>
      </c>
      <c r="I85" s="32" t="n">
        <v>1577.8</v>
      </c>
      <c r="J85" s="32" t="n">
        <v>-0.97</v>
      </c>
      <c r="K85" s="32" t="n">
        <v>1183090</v>
      </c>
      <c r="L85" s="31" t="n">
        <v>81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79.31</v>
      </c>
      <c r="P85" s="32" t="n">
        <v>54.68</v>
      </c>
      <c r="Q85" s="32" t="n">
        <v>1344.46</v>
      </c>
      <c r="R85" s="31" t="inlineStr">
        <is>
          <t>Near 52W High Breakout</t>
        </is>
      </c>
      <c r="S85" s="31" t="inlineStr">
        <is>
          <t>Nifty Pharma</t>
        </is>
      </c>
      <c r="T85" s="32" t="n">
        <v>13.63</v>
      </c>
      <c r="U85" s="32" t="n">
        <v>88.68000000000001</v>
      </c>
      <c r="V85" s="32" t="n">
        <v>66.04000000000001</v>
      </c>
      <c r="W85" s="32" t="n">
        <v>22.73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Between 12 to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IF(B86=0,"",RANK(B86,$B$2:$B$280,0))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BAJAJ-AUTO</t>
        </is>
      </c>
      <c r="D86" s="31" t="inlineStr">
        <is>
          <t>Bajaj Auto Limited</t>
        </is>
      </c>
      <c r="E86" s="31" t="inlineStr">
        <is>
          <t>auto</t>
        </is>
      </c>
      <c r="F86" s="31" t="inlineStr">
        <is>
          <t>automobiles - scooters and 3 - wheelers</t>
        </is>
      </c>
      <c r="G86" s="31" t="inlineStr">
        <is>
          <t>largecap</t>
        </is>
      </c>
      <c r="H86" s="32" t="n">
        <v>290775.58</v>
      </c>
      <c r="I86" s="32" t="n">
        <v>10998.5</v>
      </c>
      <c r="J86" s="32" t="n">
        <v>5.72</v>
      </c>
      <c r="K86" s="32" t="n">
        <v>1448948</v>
      </c>
      <c r="L86" s="31" t="n">
        <v>49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67.5</v>
      </c>
      <c r="P86" s="32" t="n">
        <v>18.13</v>
      </c>
      <c r="Q86" s="32" t="n">
        <v>9477.77</v>
      </c>
      <c r="R86" s="31" t="inlineStr">
        <is>
          <t>Near 52W High Breakout</t>
        </is>
      </c>
      <c r="S86" s="31" t="inlineStr">
        <is>
          <t>Nifty Auto</t>
        </is>
      </c>
      <c r="T86" s="32" t="n">
        <v>14.92</v>
      </c>
      <c r="U86" s="32" t="n">
        <v>38.11</v>
      </c>
      <c r="V86" s="32" t="n">
        <v>20.18</v>
      </c>
      <c r="W86" s="32" t="n">
        <v>10.16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0 to 20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IF(B87=0,"",RANK(B87,$B$2:$B$280,0))</f>
        <v/>
      </c>
      <c r="B87" s="32">
        <f>SUM(N87,Y87,AA87,AC87,AE87,AG87,AI87,AK87,AM87,AO87,AQ87,AS87,AU87,AW87,AY87,BA87,BC87,BE87,BG87,BI87,BK87,BM87,BO87,BQ87,BS87,BU87,BW87,BY87,CA87,CC87,CE87)</f>
        <v/>
      </c>
      <c r="C87" s="33" t="inlineStr">
        <is>
          <t>POLYPLEX</t>
        </is>
      </c>
      <c r="D87" s="33" t="inlineStr">
        <is>
          <t>Polyplex Corporation Limited</t>
        </is>
      </c>
      <c r="E87" s="31" t="inlineStr">
        <is>
          <t>industrials</t>
        </is>
      </c>
      <c r="F87" s="31" t="inlineStr">
        <is>
          <t>packaging</t>
        </is>
      </c>
      <c r="G87" s="31" t="inlineStr">
        <is>
          <t>smallcap</t>
        </is>
      </c>
      <c r="H87" s="32" t="n">
        <v>3365.12</v>
      </c>
      <c r="I87" s="32" t="n">
        <v>1115.05</v>
      </c>
      <c r="J87" s="32" t="n">
        <v>4.02</v>
      </c>
      <c r="K87" s="32" t="n">
        <v>270620</v>
      </c>
      <c r="L87" s="31" t="n">
        <v>30</v>
      </c>
      <c r="M87" s="31" t="inlineStr">
        <is>
          <t>Underperforming</t>
        </is>
      </c>
      <c r="N87" s="32">
        <f>IF(M87="Underperforming",-5,IF(L87&gt;=95,15,IF(L87&gt;=90,10,IF(L87&gt;=80,5,0))))</f>
        <v/>
      </c>
      <c r="O87" s="32" t="n">
        <v>70.11</v>
      </c>
      <c r="P87" s="32" t="n">
        <v>41.99</v>
      </c>
      <c r="Q87" s="32" t="n">
        <v>903.67</v>
      </c>
      <c r="R87" s="31" t="inlineStr">
        <is>
          <t>Near 52W High Breakout</t>
        </is>
      </c>
      <c r="S87" s="31" t="inlineStr">
        <is>
          <t>Nifty Infra</t>
        </is>
      </c>
      <c r="T87" s="32" t="n">
        <v>3.35</v>
      </c>
      <c r="U87" s="32" t="n">
        <v>-0.8</v>
      </c>
      <c r="V87" s="32" t="n">
        <v>-4.02</v>
      </c>
      <c r="W87" s="32" t="n">
        <v>5.96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IF(B88=0,"",RANK(B88,$B$2:$B$280,0))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YASHO</t>
        </is>
      </c>
      <c r="D88" s="31" t="inlineStr">
        <is>
          <t>Yasho Industries Ltd</t>
        </is>
      </c>
      <c r="E88" s="31" t="inlineStr">
        <is>
          <t>chemicals</t>
        </is>
      </c>
      <c r="F88" s="31" t="inlineStr">
        <is>
          <t>chemicals</t>
        </is>
      </c>
      <c r="G88" s="31" t="inlineStr">
        <is>
          <t>smallcap</t>
        </is>
      </c>
      <c r="H88" s="32" t="n">
        <v>3793.55</v>
      </c>
      <c r="I88" s="32" t="n">
        <v>3220</v>
      </c>
      <c r="J88" s="32" t="n">
        <v>2.3</v>
      </c>
      <c r="K88" s="32" t="n">
        <v>21841</v>
      </c>
      <c r="L88" s="31" t="n">
        <v>97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85.48999999999999</v>
      </c>
      <c r="P88" s="32" t="n">
        <v>49.72</v>
      </c>
      <c r="Q88" s="32" t="n">
        <v>2438.11</v>
      </c>
      <c r="R88" s="31" t="inlineStr">
        <is>
          <t>Near 52W High Breakout</t>
        </is>
      </c>
      <c r="S88" s="31" t="inlineStr">
        <is>
          <t>Nifty 50</t>
        </is>
      </c>
      <c r="T88" s="32" t="n">
        <v>-3.39</v>
      </c>
      <c r="U88" s="32" t="n">
        <v>63.94</v>
      </c>
      <c r="V88" s="32" t="n">
        <v>69.68000000000001</v>
      </c>
      <c r="W88" s="32" t="n">
        <v>42.81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More than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IF(B89=0,"",RANK(B89,$B$2:$B$280,0))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TTKPRESTIG</t>
        </is>
      </c>
      <c r="D89" s="31" t="inlineStr">
        <is>
          <t>Ttk Prestige Limited</t>
        </is>
      </c>
      <c r="E89" s="31" t="inlineStr">
        <is>
          <t>consumer discretionary</t>
        </is>
      </c>
      <c r="F89" s="31" t="inlineStr">
        <is>
          <t>domestic appliances</t>
        </is>
      </c>
      <c r="G89" s="31" t="inlineStr">
        <is>
          <t>midcap</t>
        </is>
      </c>
      <c r="H89" s="32" t="n">
        <v>8986.040000000001</v>
      </c>
      <c r="I89" s="32" t="n">
        <v>658</v>
      </c>
      <c r="J89" s="32" t="n">
        <v>0.28</v>
      </c>
      <c r="K89" s="32" t="n">
        <v>34981</v>
      </c>
      <c r="L89" s="31" t="n">
        <v>35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66.81</v>
      </c>
      <c r="P89" s="32" t="n">
        <v>38.12</v>
      </c>
      <c r="Q89" s="32" t="n">
        <v>535.24</v>
      </c>
      <c r="R89" s="31" t="inlineStr">
        <is>
          <t>Near 52W High Breakout</t>
        </is>
      </c>
      <c r="S89" s="31" t="inlineStr">
        <is>
          <t>Nifty 50</t>
        </is>
      </c>
      <c r="T89" s="32" t="n">
        <v>-3.39</v>
      </c>
      <c r="U89" s="32" t="n">
        <v>5.17</v>
      </c>
      <c r="V89" s="32" t="n">
        <v>8.859999999999999</v>
      </c>
      <c r="W89" s="32" t="n">
        <v>7.09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IF(B90=0,"",RANK(B90,$B$2:$B$280,0))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CRAFTSMAN</t>
        </is>
      </c>
      <c r="D90" s="31" t="inlineStr">
        <is>
          <t>Craftsman Automation Ltd</t>
        </is>
      </c>
      <c r="E90" s="31" t="inlineStr">
        <is>
          <t>auto</t>
        </is>
      </c>
      <c r="F90" s="31" t="inlineStr">
        <is>
          <t>auto ancillaries</t>
        </is>
      </c>
      <c r="G90" s="31" t="inlineStr">
        <is>
          <t>largecap</t>
        </is>
      </c>
      <c r="H90" s="32" t="n">
        <v>24594.32</v>
      </c>
      <c r="I90" s="32" t="n">
        <v>9420</v>
      </c>
      <c r="J90" s="32" t="n">
        <v>0.18</v>
      </c>
      <c r="K90" s="32" t="n">
        <v>46413</v>
      </c>
      <c r="L90" s="31" t="n">
        <v>60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62.82</v>
      </c>
      <c r="P90" s="32" t="n">
        <v>55.24</v>
      </c>
      <c r="Q90" s="32" t="n">
        <v>7935.98</v>
      </c>
      <c r="R90" s="31" t="inlineStr">
        <is>
          <t>Near 52W High Breakout</t>
        </is>
      </c>
      <c r="S90" s="31" t="inlineStr">
        <is>
          <t>Nifty Auto</t>
        </is>
      </c>
      <c r="T90" s="32" t="n">
        <v>14.92</v>
      </c>
      <c r="U90" s="32" t="n">
        <v>49.95</v>
      </c>
      <c r="V90" s="32" t="n">
        <v>30.48</v>
      </c>
      <c r="W90" s="32" t="n">
        <v>13.62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Less than 50% and Borrowings are increasing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Between 0.7 to 1.2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IF(B91=0,"",RANK(B91,$B$2:$B$280,0))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PANSARI</t>
        </is>
      </c>
      <c r="D91" s="31" t="inlineStr">
        <is>
          <t>Pansari Developers Ltd</t>
        </is>
      </c>
      <c r="E91" s="31" t="inlineStr">
        <is>
          <t>realty</t>
        </is>
      </c>
      <c r="F91" s="31" t="inlineStr">
        <is>
          <t>construction</t>
        </is>
      </c>
      <c r="G91" s="31" t="inlineStr">
        <is>
          <t>smallcap</t>
        </is>
      </c>
      <c r="H91" s="32" t="n">
        <v>637.33</v>
      </c>
      <c r="I91" s="32" t="n">
        <v>365</v>
      </c>
      <c r="J91" s="32" t="n">
        <v>-0.08</v>
      </c>
      <c r="K91" s="32" t="n">
        <v>3747</v>
      </c>
      <c r="L91" s="31" t="n">
        <v>53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62.95</v>
      </c>
      <c r="P91" s="32" t="n">
        <v>32.19</v>
      </c>
      <c r="Q91" s="32" t="n">
        <v>251.12</v>
      </c>
      <c r="R91" s="31" t="inlineStr">
        <is>
          <t>Near 52W High Breakout</t>
        </is>
      </c>
      <c r="S91" s="31" t="inlineStr">
        <is>
          <t>Nifty Realty</t>
        </is>
      </c>
      <c r="T91" s="32" t="n">
        <v>-5.01</v>
      </c>
      <c r="U91" s="32" t="n">
        <v>48.51</v>
      </c>
      <c r="V91" s="32" t="n">
        <v>56.34</v>
      </c>
      <c r="W91" s="32" t="n">
        <v>11.21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Negative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IF(B92=0,"",RANK(B92,$B$2:$B$280,0))</f>
        <v/>
      </c>
      <c r="B92" s="32">
        <f>SUM(N92,Y92,AA92,AC92,AE92,AG92,AI92,AK92,AM92,AO92,AQ92,AS92,AU92,AW92,AY92,BA92,BC92,BE92,BG92,BI92,BK92,BM92,BO92,BQ92,BS92,BU92,BW92,BY92,CA92,CC92,CE92)</f>
        <v/>
      </c>
      <c r="C92" s="33" t="inlineStr">
        <is>
          <t>KROSS</t>
        </is>
      </c>
      <c r="D92" s="33" t="inlineStr">
        <is>
          <t>Kross Ltd</t>
        </is>
      </c>
      <c r="E92" s="31" t="inlineStr">
        <is>
          <t>auto</t>
        </is>
      </c>
      <c r="F92" s="31" t="inlineStr">
        <is>
          <t>auto ancillaries</t>
        </is>
      </c>
      <c r="G92" s="31" t="inlineStr">
        <is>
          <t>smallcap</t>
        </is>
      </c>
      <c r="H92" s="32" t="n">
        <v>1362.63</v>
      </c>
      <c r="I92" s="32" t="n">
        <v>210.7</v>
      </c>
      <c r="J92" s="32" t="n">
        <v>-0.25</v>
      </c>
      <c r="K92" s="32" t="n">
        <v>1056158</v>
      </c>
      <c r="L92" s="31" t="n">
        <v>27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58.3</v>
      </c>
      <c r="P92" s="32" t="n">
        <v>20.36</v>
      </c>
      <c r="Q92" s="32" t="n">
        <v>169.4</v>
      </c>
      <c r="R92" s="31" t="inlineStr">
        <is>
          <t>Volume Spike / Accumulation</t>
        </is>
      </c>
      <c r="S92" s="31" t="inlineStr">
        <is>
          <t>Nifty Auto</t>
        </is>
      </c>
      <c r="T92" s="32" t="n">
        <v>14.92</v>
      </c>
      <c r="U92" s="32" t="n">
        <v>12.96</v>
      </c>
      <c r="V92" s="32" t="n">
        <v>-1.71</v>
      </c>
      <c r="W92" s="32" t="n">
        <v>5.51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Less than 50%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IF(B93=0,"",RANK(B93,$B$2:$B$280,0))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WELCORP</t>
        </is>
      </c>
      <c r="D93" s="31" t="inlineStr">
        <is>
          <t>Welspun Corp Limited</t>
        </is>
      </c>
      <c r="E93" s="31" t="inlineStr">
        <is>
          <t>industrials</t>
        </is>
      </c>
      <c r="F93" s="31" t="inlineStr">
        <is>
          <t>steel - large</t>
        </is>
      </c>
      <c r="G93" s="31" t="inlineStr">
        <is>
          <t>largecap</t>
        </is>
      </c>
      <c r="H93" s="32" t="n">
        <v>42968.86</v>
      </c>
      <c r="I93" s="32" t="n">
        <v>1615</v>
      </c>
      <c r="J93" s="32" t="n">
        <v>-0.85</v>
      </c>
      <c r="K93" s="32" t="n">
        <v>340701</v>
      </c>
      <c r="L93" s="31" t="n">
        <v>82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83.41</v>
      </c>
      <c r="P93" s="32" t="n">
        <v>68.5</v>
      </c>
      <c r="Q93" s="32" t="n">
        <v>1322.9</v>
      </c>
      <c r="R93" s="31" t="inlineStr">
        <is>
          <t>Near 52W High Breakout</t>
        </is>
      </c>
      <c r="S93" s="31" t="inlineStr">
        <is>
          <t>Nifty Metal</t>
        </is>
      </c>
      <c r="T93" s="32" t="n">
        <v>33.29</v>
      </c>
      <c r="U93" s="32" t="n">
        <v>82.34</v>
      </c>
      <c r="V93" s="32" t="n">
        <v>36.8</v>
      </c>
      <c r="W93" s="32" t="n">
        <v>22.95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IF(B94=0,"",RANK(B94,$B$2:$B$280,0))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PHOENIXLTD</t>
        </is>
      </c>
      <c r="D94" s="31" t="inlineStr">
        <is>
          <t>The Phoenix Mills Limited</t>
        </is>
      </c>
      <c r="E94" s="31" t="inlineStr">
        <is>
          <t>realty</t>
        </is>
      </c>
      <c r="F94" s="31" t="inlineStr">
        <is>
          <t>construction</t>
        </is>
      </c>
      <c r="G94" s="31" t="inlineStr">
        <is>
          <t>largecap</t>
        </is>
      </c>
      <c r="H94" s="32" t="n">
        <v>74789.78</v>
      </c>
      <c r="I94" s="32" t="n">
        <v>2057.2</v>
      </c>
      <c r="J94" s="32" t="n">
        <v>-1.63</v>
      </c>
      <c r="K94" s="32" t="n">
        <v>470021</v>
      </c>
      <c r="L94" s="31" t="n">
        <v>46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65.45</v>
      </c>
      <c r="P94" s="32" t="n">
        <v>15.97</v>
      </c>
      <c r="Q94" s="32" t="n">
        <v>1804.05</v>
      </c>
      <c r="R94" s="31" t="inlineStr">
        <is>
          <t>Near 52W High Breakout</t>
        </is>
      </c>
      <c r="S94" s="31" t="inlineStr">
        <is>
          <t>Nifty Realty</t>
        </is>
      </c>
      <c r="T94" s="32" t="n">
        <v>-5.01</v>
      </c>
      <c r="U94" s="32" t="n">
        <v>34.93</v>
      </c>
      <c r="V94" s="32" t="n">
        <v>42.04</v>
      </c>
      <c r="W94" s="32" t="n">
        <v>9.48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0 to 20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IF(B95=0,"",RANK(B95,$B$2:$B$280,0))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SHRIPISTON</t>
        </is>
      </c>
      <c r="D95" s="31" t="inlineStr">
        <is>
          <t>Shriram Pistons &amp; Rings Limited</t>
        </is>
      </c>
      <c r="E95" s="31" t="inlineStr">
        <is>
          <t>auto</t>
        </is>
      </c>
      <c r="F95" s="31" t="inlineStr">
        <is>
          <t>auto ancillaries</t>
        </is>
      </c>
      <c r="G95" s="31" t="inlineStr">
        <is>
          <t>midcap</t>
        </is>
      </c>
      <c r="H95" s="32" t="n">
        <v>19713.62</v>
      </c>
      <c r="I95" s="32" t="n">
        <v>4394.4</v>
      </c>
      <c r="J95" s="32" t="n">
        <v>-1.81</v>
      </c>
      <c r="K95" s="32" t="n">
        <v>100693</v>
      </c>
      <c r="L95" s="31" t="n">
        <v>75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72.78</v>
      </c>
      <c r="P95" s="32" t="n">
        <v>37.79</v>
      </c>
      <c r="Q95" s="32" t="n">
        <v>3516.91</v>
      </c>
      <c r="R95" s="31" t="inlineStr">
        <is>
          <t>Near 52W High Breakout</t>
        </is>
      </c>
      <c r="S95" s="31" t="inlineStr">
        <is>
          <t>Nifty Auto</t>
        </is>
      </c>
      <c r="T95" s="32" t="n">
        <v>14.92</v>
      </c>
      <c r="U95" s="32" t="n">
        <v>82.29000000000001</v>
      </c>
      <c r="V95" s="32" t="n">
        <v>58.63</v>
      </c>
      <c r="W95" s="32" t="n">
        <v>18.72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Less than 12%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IF(B96=0,"",RANK(B96,$B$2:$B$280,0))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AKUMS</t>
        </is>
      </c>
      <c r="D96" s="31" t="inlineStr">
        <is>
          <t>Akums Drugs &amp; Pharmaceuticals Ltd</t>
        </is>
      </c>
      <c r="E96" s="31" t="inlineStr">
        <is>
          <t>healthcare</t>
        </is>
      </c>
      <c r="F96" s="31" t="inlineStr">
        <is>
          <t>pharmaceuticals - indian - bulk drugs &amp; formln</t>
        </is>
      </c>
      <c r="G96" s="31" t="inlineStr">
        <is>
          <t>midcap</t>
        </is>
      </c>
      <c r="H96" s="32" t="n">
        <v>10939.67</v>
      </c>
      <c r="I96" s="32" t="n">
        <v>696.35</v>
      </c>
      <c r="J96" s="32" t="n">
        <v>0.19</v>
      </c>
      <c r="K96" s="32" t="n">
        <v>282509</v>
      </c>
      <c r="L96" s="31" t="n">
        <v>63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71.5</v>
      </c>
      <c r="P96" s="32" t="n">
        <v>48.5</v>
      </c>
      <c r="Q96" s="32" t="n">
        <v>564.0599999999999</v>
      </c>
      <c r="R96" s="31" t="inlineStr">
        <is>
          <t>Near 52W High Breakout</t>
        </is>
      </c>
      <c r="S96" s="31" t="inlineStr">
        <is>
          <t>Nifty Pharma</t>
        </is>
      </c>
      <c r="T96" s="32" t="n">
        <v>13.63</v>
      </c>
      <c r="U96" s="32" t="n">
        <v>31.96</v>
      </c>
      <c r="V96" s="32" t="n">
        <v>16.13</v>
      </c>
      <c r="W96" s="32" t="n">
        <v>14.45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Yes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Less than 12%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IF(B97=0,"",RANK(B97,$B$2:$B$280,0))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SENORES</t>
        </is>
      </c>
      <c r="D97" s="31" t="inlineStr">
        <is>
          <t>Senores Pharmaceuticals Ltd</t>
        </is>
      </c>
      <c r="E97" s="31" t="inlineStr">
        <is>
          <t>healthcare</t>
        </is>
      </c>
      <c r="F97" s="31" t="inlineStr">
        <is>
          <t>pharmaceuticals - indian - formulations</t>
        </is>
      </c>
      <c r="G97" s="31" t="inlineStr">
        <is>
          <t>midcap</t>
        </is>
      </c>
      <c r="H97" s="32" t="n">
        <v>6465.92</v>
      </c>
      <c r="I97" s="32" t="n">
        <v>1393.4</v>
      </c>
      <c r="J97" s="32" t="n">
        <v>-0.76</v>
      </c>
      <c r="K97" s="32" t="n">
        <v>360744</v>
      </c>
      <c r="L97" s="31" t="n">
        <v>88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75.48999999999999</v>
      </c>
      <c r="P97" s="32" t="n">
        <v>62.39</v>
      </c>
      <c r="Q97" s="32" t="n">
        <v>1095.66</v>
      </c>
      <c r="R97" s="31" t="inlineStr">
        <is>
          <t>Near 52W High Breakout</t>
        </is>
      </c>
      <c r="S97" s="31" t="inlineStr">
        <is>
          <t>Nifty Pharma</t>
        </is>
      </c>
      <c r="T97" s="32" t="n">
        <v>13.63</v>
      </c>
      <c r="U97" s="32" t="n">
        <v>108.3</v>
      </c>
      <c r="V97" s="32" t="n">
        <v>83.31</v>
      </c>
      <c r="W97" s="32" t="n">
        <v>28.62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Yes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Above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Less than 50%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IF(B98=0,"",RANK(B98,$B$2:$B$280,0))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HNDFDS</t>
        </is>
      </c>
      <c r="D98" s="31" t="inlineStr">
        <is>
          <t>Hindustan Foods Ltd</t>
        </is>
      </c>
      <c r="E98" s="31" t="inlineStr">
        <is>
          <t>fmcg</t>
        </is>
      </c>
      <c r="F98" s="31" t="inlineStr">
        <is>
          <t>diversified - large</t>
        </is>
      </c>
      <c r="G98" s="31" t="inlineStr">
        <is>
          <t>midcap</t>
        </is>
      </c>
      <c r="H98" s="32" t="n">
        <v>6811.06</v>
      </c>
      <c r="I98" s="32" t="n">
        <v>564</v>
      </c>
      <c r="J98" s="32" t="n">
        <v>-1.06</v>
      </c>
      <c r="K98" s="32" t="n">
        <v>38383</v>
      </c>
      <c r="L98" s="31" t="n">
        <v>21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60.31</v>
      </c>
      <c r="P98" s="32" t="n">
        <v>31.35</v>
      </c>
      <c r="Q98" s="32" t="n">
        <v>471.74</v>
      </c>
      <c r="R98" s="31" t="inlineStr">
        <is>
          <t>Near 52W High Breakout</t>
        </is>
      </c>
      <c r="S98" s="31" t="inlineStr">
        <is>
          <t>Nifty FMCG</t>
        </is>
      </c>
      <c r="T98" s="32" t="n">
        <v>-9.800000000000001</v>
      </c>
      <c r="U98" s="32" t="n">
        <v>2.69</v>
      </c>
      <c r="V98" s="32" t="n">
        <v>13.84</v>
      </c>
      <c r="W98" s="32" t="n">
        <v>4.21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B2C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Less than 50%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Between 0.7 to 1.2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IF(B99=0,"",RANK(B99,$B$2:$B$280,0))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SUBEXLTD</t>
        </is>
      </c>
      <c r="D99" s="31" t="inlineStr">
        <is>
          <t>Subex Ltd</t>
        </is>
      </c>
      <c r="E99" s="31" t="inlineStr">
        <is>
          <t>i.t</t>
        </is>
      </c>
      <c r="F99" s="31" t="inlineStr">
        <is>
          <t>computers - software - medium / small</t>
        </is>
      </c>
      <c r="G99" s="31" t="inlineStr">
        <is>
          <t>smallcap</t>
        </is>
      </c>
      <c r="H99" s="32" t="n">
        <v>721.61</v>
      </c>
      <c r="I99" s="32" t="n">
        <v>12.69</v>
      </c>
      <c r="J99" s="32" t="n">
        <v>-1.17</v>
      </c>
      <c r="K99" s="32" t="n">
        <v>356165</v>
      </c>
      <c r="L99" s="31" t="n">
        <v>48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59.46</v>
      </c>
      <c r="P99" s="32" t="n">
        <v>22.02</v>
      </c>
      <c r="Q99" s="32" t="n">
        <v>9.42</v>
      </c>
      <c r="R99" s="31" t="inlineStr">
        <is>
          <t>Earnings / Momentum Support</t>
        </is>
      </c>
      <c r="S99" s="31" t="inlineStr">
        <is>
          <t>Nifty IT</t>
        </is>
      </c>
      <c r="T99" s="32" t="n">
        <v>-19.86</v>
      </c>
      <c r="U99" s="32" t="n">
        <v>-6.76</v>
      </c>
      <c r="V99" s="32" t="n">
        <v>16.34</v>
      </c>
      <c r="W99" s="32" t="n">
        <v>9.970000000000001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Annuity, Lower One Time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IF(B100=0,"",RANK(B100,$B$2:$B$280,0))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AJANTPHARM</t>
        </is>
      </c>
      <c r="D100" s="31" t="inlineStr">
        <is>
          <t>Ajanta Pharma Limited</t>
        </is>
      </c>
      <c r="E100" s="31" t="inlineStr">
        <is>
          <t>healthcare</t>
        </is>
      </c>
      <c r="F100" s="31" t="inlineStr">
        <is>
          <t>pharmaceuticals - indian - formulations</t>
        </is>
      </c>
      <c r="G100" s="31" t="inlineStr">
        <is>
          <t>largecap</t>
        </is>
      </c>
      <c r="H100" s="32" t="n">
        <v>44668.23</v>
      </c>
      <c r="I100" s="32" t="n">
        <v>3458.9</v>
      </c>
      <c r="J100" s="32" t="n">
        <v>-3.26</v>
      </c>
      <c r="K100" s="32" t="n">
        <v>97059</v>
      </c>
      <c r="L100" s="31" t="n">
        <v>50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70.48999999999999</v>
      </c>
      <c r="P100" s="32" t="n">
        <v>41.68</v>
      </c>
      <c r="Q100" s="32" t="n">
        <v>2883.12</v>
      </c>
      <c r="R100" s="31" t="inlineStr">
        <is>
          <t>Near 52W High Breakout</t>
        </is>
      </c>
      <c r="S100" s="31" t="inlineStr">
        <is>
          <t>Nifty Pharma</t>
        </is>
      </c>
      <c r="T100" s="32" t="n">
        <v>13.63</v>
      </c>
      <c r="U100" s="32" t="n">
        <v>25.62</v>
      </c>
      <c r="V100" s="32" t="n">
        <v>10.55</v>
      </c>
      <c r="W100" s="32" t="n">
        <v>10.48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Yes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Annuity, Lower One Time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Between 12 to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Less than 50%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IF(B101=0,"",RANK(B101,$B$2:$B$280,0))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DATAPATTNS</t>
        </is>
      </c>
      <c r="D101" s="31" t="inlineStr">
        <is>
          <t>Data Patterns (India) Ltd</t>
        </is>
      </c>
      <c r="E101" s="31" t="inlineStr">
        <is>
          <t>aerospace &amp; defence</t>
        </is>
      </c>
      <c r="F101" s="31" t="inlineStr">
        <is>
          <t>electronics - components</t>
        </is>
      </c>
      <c r="G101" s="31" t="inlineStr">
        <is>
          <t>largecap</t>
        </is>
      </c>
      <c r="H101" s="32" t="n">
        <v>23759.04</v>
      </c>
      <c r="I101" s="32" t="n">
        <v>4782.8</v>
      </c>
      <c r="J101" s="32" t="n">
        <v>12.7</v>
      </c>
      <c r="K101" s="32" t="n">
        <v>6972637</v>
      </c>
      <c r="L101" s="31" t="n">
        <v>79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66.66</v>
      </c>
      <c r="P101" s="32" t="n">
        <v>32.91</v>
      </c>
      <c r="Q101" s="32" t="n">
        <v>3477.76</v>
      </c>
      <c r="R101" s="31" t="inlineStr">
        <is>
          <t>Volume Spike &amp; Near 52W High Breakout</t>
        </is>
      </c>
      <c r="S101" s="31" t="inlineStr">
        <is>
          <t>Nifty 50</t>
        </is>
      </c>
      <c r="T101" s="32" t="n">
        <v>-3.39</v>
      </c>
      <c r="U101" s="32" t="n">
        <v>79.17</v>
      </c>
      <c r="V101" s="32" t="n">
        <v>85.45</v>
      </c>
      <c r="W101" s="32" t="n">
        <v>20.85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Less than 50%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IF(B102=0,"",RANK(B102,$B$2:$B$280,0))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TIRUPATIFL</t>
        </is>
      </c>
      <c r="D102" s="31" t="inlineStr">
        <is>
          <t>Tirupati Forge Ltd</t>
        </is>
      </c>
      <c r="E102" s="31" t="inlineStr">
        <is>
          <t>industrials</t>
        </is>
      </c>
      <c r="F102" s="31" t="inlineStr">
        <is>
          <t>castings &amp; forgings</t>
        </is>
      </c>
      <c r="G102" s="31" t="inlineStr">
        <is>
          <t>smallcap</t>
        </is>
      </c>
      <c r="H102" s="32" t="n">
        <v>994.12</v>
      </c>
      <c r="I102" s="32" t="n">
        <v>81.55</v>
      </c>
      <c r="J102" s="32" t="n">
        <v>5.98</v>
      </c>
      <c r="K102" s="32" t="n">
        <v>3364682</v>
      </c>
      <c r="L102" s="31" t="n">
        <v>95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83.91</v>
      </c>
      <c r="P102" s="32" t="n">
        <v>37.76</v>
      </c>
      <c r="Q102" s="32" t="n">
        <v>59.31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-3.39</v>
      </c>
      <c r="U102" s="32" t="n">
        <v>104.85</v>
      </c>
      <c r="V102" s="32" t="n">
        <v>112.03</v>
      </c>
      <c r="W102" s="32" t="n">
        <v>35.85</v>
      </c>
      <c r="X102" s="31" t="inlineStr">
        <is>
          <t>Cyclical in an Upturn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Less than 12%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IF(B103=0,"",RANK(B103,$B$2:$B$280,0))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3" t="inlineStr">
        <is>
          <t>NILKAMAL</t>
        </is>
      </c>
      <c r="D103" s="33" t="inlineStr">
        <is>
          <t>Nilkamal Limited</t>
        </is>
      </c>
      <c r="E103" s="31" t="inlineStr">
        <is>
          <t>plastic products</t>
        </is>
      </c>
      <c r="F103" s="31" t="inlineStr">
        <is>
          <t>plastics products</t>
        </is>
      </c>
      <c r="G103" s="31" t="inlineStr">
        <is>
          <t>smallcap</t>
        </is>
      </c>
      <c r="H103" s="32" t="n">
        <v>2323.44</v>
      </c>
      <c r="I103" s="32" t="n">
        <v>1604.3</v>
      </c>
      <c r="J103" s="32" t="n">
        <v>3.04</v>
      </c>
      <c r="K103" s="32" t="n">
        <v>134237</v>
      </c>
      <c r="L103" s="31" t="n">
        <v>20</v>
      </c>
      <c r="M103" s="31" t="inlineStr">
        <is>
          <t>Underperforming</t>
        </is>
      </c>
      <c r="N103" s="32">
        <f>IF(M103="Underperforming",-5,IF(L103&gt;=95,15,IF(L103&gt;=90,10,IF(L103&gt;=80,5,0))))</f>
        <v/>
      </c>
      <c r="O103" s="32" t="n">
        <v>72.09</v>
      </c>
      <c r="P103" s="32" t="n">
        <v>17.05</v>
      </c>
      <c r="Q103" s="32" t="n">
        <v>1316.26</v>
      </c>
      <c r="R103" s="31" t="inlineStr">
        <is>
          <t>Volume Spike &amp; Near 52W High Breakout</t>
        </is>
      </c>
      <c r="S103" s="31" t="inlineStr">
        <is>
          <t>Nifty 50</t>
        </is>
      </c>
      <c r="T103" s="32" t="n">
        <v>-3.39</v>
      </c>
      <c r="U103" s="32" t="n">
        <v>-9.33</v>
      </c>
      <c r="V103" s="32" t="n">
        <v>-6.15</v>
      </c>
      <c r="W103" s="32" t="n">
        <v>3.88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0 to 20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IF(B104=0,"",RANK(B104,$B$2:$B$280,0))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DIVGIITTS</t>
        </is>
      </c>
      <c r="D104" s="31" t="inlineStr">
        <is>
          <t>Divgi Torqtransfer Systems Ltd</t>
        </is>
      </c>
      <c r="E104" s="31" t="inlineStr">
        <is>
          <t>auto</t>
        </is>
      </c>
      <c r="F104" s="31" t="inlineStr">
        <is>
          <t>auto ancillaries</t>
        </is>
      </c>
      <c r="G104" s="31" t="inlineStr">
        <is>
          <t>smallcap</t>
        </is>
      </c>
      <c r="H104" s="32" t="n">
        <v>2833.05</v>
      </c>
      <c r="I104" s="32" t="n">
        <v>950.1</v>
      </c>
      <c r="J104" s="32" t="n">
        <v>2.56</v>
      </c>
      <c r="K104" s="32" t="n">
        <v>37709</v>
      </c>
      <c r="L104" s="31" t="n">
        <v>62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63.64</v>
      </c>
      <c r="P104" s="32" t="n">
        <v>40.02</v>
      </c>
      <c r="Q104" s="32" t="n">
        <v>764.5599999999999</v>
      </c>
      <c r="R104" s="31" t="inlineStr">
        <is>
          <t>Earnings / Momentum Support</t>
        </is>
      </c>
      <c r="S104" s="31" t="inlineStr">
        <is>
          <t>Nifty Auto</t>
        </is>
      </c>
      <c r="T104" s="32" t="n">
        <v>14.92</v>
      </c>
      <c r="U104" s="32" t="n">
        <v>47.86</v>
      </c>
      <c r="V104" s="32" t="n">
        <v>28.67</v>
      </c>
      <c r="W104" s="32" t="n">
        <v>14.29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No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Between 50% to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IF(B105=0,"",RANK(B105,$B$2:$B$280,0))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SHAILY</t>
        </is>
      </c>
      <c r="D105" s="31" t="inlineStr">
        <is>
          <t>Shaily Engineering Plastics Ltd</t>
        </is>
      </c>
      <c r="E105" s="31" t="inlineStr">
        <is>
          <t>plastic products</t>
        </is>
      </c>
      <c r="F105" s="31" t="inlineStr">
        <is>
          <t>plastics products</t>
        </is>
      </c>
      <c r="G105" s="31" t="inlineStr">
        <is>
          <t>midcap</t>
        </is>
      </c>
      <c r="H105" s="32" t="n">
        <v>13075.14</v>
      </c>
      <c r="I105" s="32" t="n">
        <v>2884.5</v>
      </c>
      <c r="J105" s="32" t="n">
        <v>1.38</v>
      </c>
      <c r="K105" s="32" t="n">
        <v>119285</v>
      </c>
      <c r="L105" s="31" t="n">
        <v>76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60.6</v>
      </c>
      <c r="P105" s="32" t="n">
        <v>27.46</v>
      </c>
      <c r="Q105" s="32" t="n">
        <v>2255.54</v>
      </c>
      <c r="R105" s="31" t="inlineStr">
        <is>
          <t>Earnings / Momentum Support</t>
        </is>
      </c>
      <c r="S105" s="31" t="inlineStr">
        <is>
          <t>Nifty 50</t>
        </is>
      </c>
      <c r="T105" s="32" t="n">
        <v>-3.39</v>
      </c>
      <c r="U105" s="32" t="n">
        <v>81.95999999999999</v>
      </c>
      <c r="V105" s="32" t="n">
        <v>88.33</v>
      </c>
      <c r="W105" s="32" t="n">
        <v>18.99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Between 1.5 to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IF(B106=0,"",RANK(B106,$B$2:$B$280,0))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HONASA</t>
        </is>
      </c>
      <c r="D106" s="31" t="inlineStr">
        <is>
          <t>Honasa Consumer Ltd</t>
        </is>
      </c>
      <c r="E106" s="31" t="inlineStr">
        <is>
          <t>services</t>
        </is>
      </c>
      <c r="F106" s="31" t="inlineStr">
        <is>
          <t>trading</t>
        </is>
      </c>
      <c r="G106" s="31" t="inlineStr">
        <is>
          <t>midcap</t>
        </is>
      </c>
      <c r="H106" s="32" t="n">
        <v>14706.95</v>
      </c>
      <c r="I106" s="32" t="n">
        <v>457</v>
      </c>
      <c r="J106" s="32" t="n">
        <v>1.31</v>
      </c>
      <c r="K106" s="32" t="n">
        <v>667197</v>
      </c>
      <c r="L106" s="31" t="n">
        <v>75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75.42</v>
      </c>
      <c r="P106" s="32" t="n">
        <v>52.29</v>
      </c>
      <c r="Q106" s="32" t="n">
        <v>384.27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-3.39</v>
      </c>
      <c r="U106" s="32" t="n">
        <v>73.17</v>
      </c>
      <c r="V106" s="32" t="n">
        <v>79.23999999999999</v>
      </c>
      <c r="W106" s="32" t="n">
        <v>18.66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Between 50% to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IF(B107=0,"",RANK(B107,$B$2:$B$280,0))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EXIDEIND</t>
        </is>
      </c>
      <c r="D107" s="31" t="inlineStr">
        <is>
          <t>Exide Industries Limited</t>
        </is>
      </c>
      <c r="E107" s="31" t="inlineStr">
        <is>
          <t>auto</t>
        </is>
      </c>
      <c r="F107" s="31" t="inlineStr">
        <is>
          <t>auto ancillaries</t>
        </is>
      </c>
      <c r="G107" s="31" t="inlineStr">
        <is>
          <t>largecap</t>
        </is>
      </c>
      <c r="H107" s="32" t="n">
        <v>37693.25</v>
      </c>
      <c r="I107" s="32" t="n">
        <v>447.85</v>
      </c>
      <c r="J107" s="32" t="n">
        <v>0.99</v>
      </c>
      <c r="K107" s="32" t="n">
        <v>4528772</v>
      </c>
      <c r="L107" s="31" t="n">
        <v>52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72.45999999999999</v>
      </c>
      <c r="P107" s="32" t="n">
        <v>34.52</v>
      </c>
      <c r="Q107" s="32" t="n">
        <v>374.01</v>
      </c>
      <c r="R107" s="31" t="inlineStr">
        <is>
          <t>Near 52W High Breakout</t>
        </is>
      </c>
      <c r="S107" s="31" t="inlineStr">
        <is>
          <t>Nifty Auto</t>
        </is>
      </c>
      <c r="T107" s="32" t="n">
        <v>14.92</v>
      </c>
      <c r="U107" s="32" t="n">
        <v>18.23</v>
      </c>
      <c r="V107" s="32" t="n">
        <v>2.88</v>
      </c>
      <c r="W107" s="32" t="n">
        <v>10.75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Between 12 to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IF(B108=0,"",RANK(B108,$B$2:$B$280,0))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AETHER</t>
        </is>
      </c>
      <c r="D108" s="31" t="inlineStr">
        <is>
          <t>Aether Industries Ltd</t>
        </is>
      </c>
      <c r="E108" s="31" t="inlineStr">
        <is>
          <t>chemicals</t>
        </is>
      </c>
      <c r="F108" s="31" t="inlineStr">
        <is>
          <t>chemicals</t>
        </is>
      </c>
      <c r="G108" s="31" t="inlineStr">
        <is>
          <t>midcap</t>
        </is>
      </c>
      <c r="H108" s="32" t="n">
        <v>19239.34</v>
      </c>
      <c r="I108" s="32" t="n">
        <v>1462.8</v>
      </c>
      <c r="J108" s="32" t="n">
        <v>0.9</v>
      </c>
      <c r="K108" s="32" t="n">
        <v>181795</v>
      </c>
      <c r="L108" s="31" t="n">
        <v>78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72.11</v>
      </c>
      <c r="P108" s="32" t="n">
        <v>45.23</v>
      </c>
      <c r="Q108" s="32" t="n">
        <v>1192.95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-3.39</v>
      </c>
      <c r="U108" s="32" t="n">
        <v>87.19</v>
      </c>
      <c r="V108" s="32" t="n">
        <v>93.75</v>
      </c>
      <c r="W108" s="32" t="n">
        <v>20.44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Less than 12%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Less than 50%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IF(B109=0,"",RANK(B109,$B$2:$B$280,0))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NELCO</t>
        </is>
      </c>
      <c r="D109" s="31" t="inlineStr">
        <is>
          <t>Nelco Limited</t>
        </is>
      </c>
      <c r="E109" s="31" t="inlineStr">
        <is>
          <t>telecom</t>
        </is>
      </c>
      <c r="F109" s="31" t="inlineStr">
        <is>
          <t>telecommunications - service provider</t>
        </is>
      </c>
      <c r="G109" s="31" t="inlineStr">
        <is>
          <t>smallcap</t>
        </is>
      </c>
      <c r="H109" s="32" t="n">
        <v>2118.69</v>
      </c>
      <c r="I109" s="32" t="n">
        <v>934.95</v>
      </c>
      <c r="J109" s="32" t="n">
        <v>0.6899999999999999</v>
      </c>
      <c r="K109" s="32" t="n">
        <v>304249</v>
      </c>
      <c r="L109" s="31" t="n">
        <v>57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64.3</v>
      </c>
      <c r="P109" s="32" t="n">
        <v>22.58</v>
      </c>
      <c r="Q109" s="32" t="n">
        <v>693</v>
      </c>
      <c r="R109" s="31" t="inlineStr">
        <is>
          <t>Near 52W High Breakout</t>
        </is>
      </c>
      <c r="S109" s="31" t="inlineStr">
        <is>
          <t>Nifty 50</t>
        </is>
      </c>
      <c r="T109" s="32" t="n">
        <v>-3.39</v>
      </c>
      <c r="U109" s="32" t="n">
        <v>9.56</v>
      </c>
      <c r="V109" s="32" t="n">
        <v>13.4</v>
      </c>
      <c r="W109" s="32" t="n">
        <v>12.53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Oligopoly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Yes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IF(B110=0,"",RANK(B110,$B$2:$B$280,0))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STEELCAS</t>
        </is>
      </c>
      <c r="D110" s="31" t="inlineStr">
        <is>
          <t>Steelcast Ltd</t>
        </is>
      </c>
      <c r="E110" s="31" t="inlineStr">
        <is>
          <t>industrials</t>
        </is>
      </c>
      <c r="F110" s="31" t="inlineStr">
        <is>
          <t>castings &amp; forgings</t>
        </is>
      </c>
      <c r="G110" s="31" t="inlineStr">
        <is>
          <t>smallcap</t>
        </is>
      </c>
      <c r="H110" s="32" t="n">
        <v>3105.83</v>
      </c>
      <c r="I110" s="32" t="n">
        <v>308.7</v>
      </c>
      <c r="J110" s="32" t="n">
        <v>0.59</v>
      </c>
      <c r="K110" s="32" t="n">
        <v>36366</v>
      </c>
      <c r="L110" s="31" t="n">
        <v>47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68.23</v>
      </c>
      <c r="P110" s="32" t="n">
        <v>39.49</v>
      </c>
      <c r="Q110" s="32" t="n">
        <v>234.15</v>
      </c>
      <c r="R110" s="31" t="inlineStr">
        <is>
          <t>Near 52W High Breakout</t>
        </is>
      </c>
      <c r="S110" s="31" t="inlineStr">
        <is>
          <t>Nifty 50</t>
        </is>
      </c>
      <c r="T110" s="32" t="n">
        <v>-3.39</v>
      </c>
      <c r="U110" s="32" t="n">
        <v>31.59</v>
      </c>
      <c r="V110" s="32" t="n">
        <v>36.2</v>
      </c>
      <c r="W110" s="32" t="n">
        <v>9.630000000000001</v>
      </c>
      <c r="X110" s="31" t="inlineStr">
        <is>
          <t>Cyclical in an Upturn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Less than 12%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IF(B111=0,"",RANK(B111,$B$2:$B$280,0))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HFCL</t>
        </is>
      </c>
      <c r="D111" s="31" t="inlineStr">
        <is>
          <t>HFCL Ltd</t>
        </is>
      </c>
      <c r="E111" s="31" t="inlineStr">
        <is>
          <t>telecom</t>
        </is>
      </c>
      <c r="F111" s="31" t="inlineStr">
        <is>
          <t>cables - telephone</t>
        </is>
      </c>
      <c r="G111" s="31" t="inlineStr">
        <is>
          <t>largecap</t>
        </is>
      </c>
      <c r="H111" s="32" t="n">
        <v>33362.54</v>
      </c>
      <c r="I111" s="32" t="n">
        <v>217.9</v>
      </c>
      <c r="J111" s="32" t="n">
        <v>-0.03</v>
      </c>
      <c r="K111" s="32" t="n">
        <v>55935312</v>
      </c>
      <c r="L111" s="31" t="n">
        <v>98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83.16</v>
      </c>
      <c r="P111" s="32" t="n">
        <v>70.84</v>
      </c>
      <c r="Q111" s="32" t="n">
        <v>161.64</v>
      </c>
      <c r="R111" s="31" t="inlineStr">
        <is>
          <t>Near 52W High Breakout</t>
        </is>
      </c>
      <c r="S111" s="31" t="inlineStr">
        <is>
          <t>Nifty Infra</t>
        </is>
      </c>
      <c r="T111" s="32" t="n">
        <v>3.35</v>
      </c>
      <c r="U111" s="32" t="n">
        <v>187.35</v>
      </c>
      <c r="V111" s="32" t="n">
        <v>178.04</v>
      </c>
      <c r="W111" s="32" t="n">
        <v>56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Oligopoly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Yes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Above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Negative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IF(B112=0,"",RANK(B112,$B$2:$B$280,0))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CIEINDIA</t>
        </is>
      </c>
      <c r="D112" s="31" t="inlineStr">
        <is>
          <t>CIE Automotive India Ltd</t>
        </is>
      </c>
      <c r="E112" s="31" t="inlineStr">
        <is>
          <t>industrials</t>
        </is>
      </c>
      <c r="F112" s="31" t="inlineStr">
        <is>
          <t>castings &amp; forgings</t>
        </is>
      </c>
      <c r="G112" s="31" t="inlineStr">
        <is>
          <t>midcap</t>
        </is>
      </c>
      <c r="H112" s="32" t="n">
        <v>17932.46</v>
      </c>
      <c r="I112" s="32" t="n">
        <v>472.5</v>
      </c>
      <c r="J112" s="32" t="n">
        <v>-0.04</v>
      </c>
      <c r="K112" s="32" t="n">
        <v>223826</v>
      </c>
      <c r="L112" s="31" t="n">
        <v>19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57.55</v>
      </c>
      <c r="P112" s="32" t="n">
        <v>15.59</v>
      </c>
      <c r="Q112" s="32" t="n">
        <v>391.75</v>
      </c>
      <c r="R112" s="31" t="inlineStr">
        <is>
          <t>Near 52W High Breakout</t>
        </is>
      </c>
      <c r="S112" s="31" t="inlineStr">
        <is>
          <t>Nifty 50</t>
        </is>
      </c>
      <c r="T112" s="32" t="n">
        <v>-3.39</v>
      </c>
      <c r="U112" s="32" t="n">
        <v>15.88</v>
      </c>
      <c r="V112" s="32" t="n">
        <v>19.94</v>
      </c>
      <c r="W112" s="32" t="n">
        <v>3.8</v>
      </c>
      <c r="X112" s="31" t="inlineStr">
        <is>
          <t>Cyclical in an Upturn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0 to 20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IF(B113=0,"",RANK(B113,$B$2:$B$280,0))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NAHARSPING</t>
        </is>
      </c>
      <c r="D113" s="31" t="inlineStr">
        <is>
          <t>Nahar Spinning Mills Limited</t>
        </is>
      </c>
      <c r="E113" s="31" t="inlineStr">
        <is>
          <t>textiles</t>
        </is>
      </c>
      <c r="F113" s="31" t="inlineStr">
        <is>
          <t>textiles - cotton/blended</t>
        </is>
      </c>
      <c r="G113" s="31" t="inlineStr">
        <is>
          <t>smallcap</t>
        </is>
      </c>
      <c r="H113" s="32" t="n">
        <v>1011.81</v>
      </c>
      <c r="I113" s="32" t="n">
        <v>279.7</v>
      </c>
      <c r="J113" s="32" t="n">
        <v>-0.3</v>
      </c>
      <c r="K113" s="32" t="n">
        <v>7091</v>
      </c>
      <c r="L113" s="31" t="n">
        <v>43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62.96</v>
      </c>
      <c r="P113" s="32" t="n">
        <v>21.85</v>
      </c>
      <c r="Q113" s="32" t="n">
        <v>219</v>
      </c>
      <c r="R113" s="31" t="inlineStr">
        <is>
          <t>Near 52W High Breakout</t>
        </is>
      </c>
      <c r="S113" s="31" t="inlineStr">
        <is>
          <t>Nifty 50</t>
        </is>
      </c>
      <c r="T113" s="32" t="n">
        <v>-3.39</v>
      </c>
      <c r="U113" s="32" t="n">
        <v>8.279999999999999</v>
      </c>
      <c r="V113" s="32" t="n">
        <v>12.08</v>
      </c>
      <c r="W113" s="32" t="n">
        <v>8.81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Between 12 to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IF(B114=0,"",RANK(B114,$B$2:$B$280,0))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ABB</t>
        </is>
      </c>
      <c r="D114" s="31" t="inlineStr">
        <is>
          <t>Abb India Limited</t>
        </is>
      </c>
      <c r="E114" s="31" t="inlineStr">
        <is>
          <t>industrials</t>
        </is>
      </c>
      <c r="F114" s="31" t="inlineStr">
        <is>
          <t>electric equipment</t>
        </is>
      </c>
      <c r="G114" s="31" t="inlineStr">
        <is>
          <t>largecap</t>
        </is>
      </c>
      <c r="H114" s="32" t="n">
        <v>159609.39</v>
      </c>
      <c r="I114" s="32" t="n">
        <v>7506</v>
      </c>
      <c r="J114" s="32" t="n">
        <v>-0.35</v>
      </c>
      <c r="K114" s="32" t="n">
        <v>212131</v>
      </c>
      <c r="L114" s="31" t="n">
        <v>43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63.27</v>
      </c>
      <c r="P114" s="32" t="n">
        <v>35.61</v>
      </c>
      <c r="Q114" s="32" t="n">
        <v>6048.22</v>
      </c>
      <c r="R114" s="31" t="inlineStr">
        <is>
          <t>Near 52W High Breakout</t>
        </is>
      </c>
      <c r="S114" s="31" t="inlineStr">
        <is>
          <t>Nifty 500</t>
        </is>
      </c>
      <c r="T114" s="32" t="n">
        <v>0.57</v>
      </c>
      <c r="U114" s="32" t="n">
        <v>33.81</v>
      </c>
      <c r="V114" s="32" t="n">
        <v>33.06</v>
      </c>
      <c r="W114" s="32" t="n">
        <v>8.880000000000001</v>
      </c>
      <c r="X114" s="31" t="inlineStr">
        <is>
          <t>Cyclical in an Upturn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IF(B115=0,"",RANK(B115,$B$2:$B$280,0))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NYKAA</t>
        </is>
      </c>
      <c r="D115" s="31" t="inlineStr">
        <is>
          <t>FSN E-Commerce Ventures Ltd</t>
        </is>
      </c>
      <c r="E115" s="31" t="inlineStr">
        <is>
          <t>i.t</t>
        </is>
      </c>
      <c r="F115" s="31" t="inlineStr">
        <is>
          <t>trading</t>
        </is>
      </c>
      <c r="G115" s="31" t="inlineStr">
        <is>
          <t>largecap</t>
        </is>
      </c>
      <c r="H115" s="32" t="n">
        <v>93899.53999999999</v>
      </c>
      <c r="I115" s="32" t="n">
        <v>326.6</v>
      </c>
      <c r="J115" s="32" t="n">
        <v>-0.41</v>
      </c>
      <c r="K115" s="32" t="n">
        <v>7608062</v>
      </c>
      <c r="L115" s="31" t="n">
        <v>63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70.84</v>
      </c>
      <c r="P115" s="32" t="n">
        <v>36.31</v>
      </c>
      <c r="Q115" s="32" t="n">
        <v>280.29</v>
      </c>
      <c r="R115" s="31" t="inlineStr">
        <is>
          <t>Near 52W High Breakout</t>
        </is>
      </c>
      <c r="S115" s="31" t="inlineStr">
        <is>
          <t>Nifty IT</t>
        </is>
      </c>
      <c r="T115" s="32" t="n">
        <v>-19.86</v>
      </c>
      <c r="U115" s="32" t="n">
        <v>53.89</v>
      </c>
      <c r="V115" s="32" t="n">
        <v>92.02</v>
      </c>
      <c r="W115" s="32" t="n">
        <v>14.45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Between 0.7 to 1.2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IF(B116=0,"",RANK(B116,$B$2:$B$280,0))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INDOTECH</t>
        </is>
      </c>
      <c r="D116" s="31" t="inlineStr">
        <is>
          <t>Indo Tech Transformers Limited</t>
        </is>
      </c>
      <c r="E116" s="31" t="inlineStr">
        <is>
          <t>industrials</t>
        </is>
      </c>
      <c r="F116" s="31" t="inlineStr">
        <is>
          <t>electric equipment</t>
        </is>
      </c>
      <c r="G116" s="31" t="inlineStr">
        <is>
          <t>smallcap</t>
        </is>
      </c>
      <c r="H116" s="32" t="n">
        <v>3631.19</v>
      </c>
      <c r="I116" s="32" t="n">
        <v>3402</v>
      </c>
      <c r="J116" s="32" t="n">
        <v>-0.5</v>
      </c>
      <c r="K116" s="32" t="n">
        <v>11428</v>
      </c>
      <c r="L116" s="31" t="n">
        <v>89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75.48999999999999</v>
      </c>
      <c r="P116" s="32" t="n">
        <v>48.96</v>
      </c>
      <c r="Q116" s="32" t="n">
        <v>2524.09</v>
      </c>
      <c r="R116" s="31" t="inlineStr">
        <is>
          <t>Near 52W High Breakout</t>
        </is>
      </c>
      <c r="S116" s="31" t="inlineStr">
        <is>
          <t>Nifty 50</t>
        </is>
      </c>
      <c r="T116" s="32" t="n">
        <v>-3.39</v>
      </c>
      <c r="U116" s="32" t="n">
        <v>84.2</v>
      </c>
      <c r="V116" s="32" t="n">
        <v>90.66</v>
      </c>
      <c r="W116" s="32" t="n">
        <v>28.74</v>
      </c>
      <c r="X116" s="31" t="inlineStr">
        <is>
          <t>Cyclical in an Upturn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Above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Between 12 to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Less than 50%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IF(B117=0,"",RANK(B117,$B$2:$B$280,0))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SETL</t>
        </is>
      </c>
      <c r="D117" s="31" t="inlineStr">
        <is>
          <t>Standard Enginnering Technology Ltd</t>
        </is>
      </c>
      <c r="E117" s="31" t="inlineStr">
        <is>
          <t>industrials</t>
        </is>
      </c>
      <c r="F117" s="31" t="inlineStr">
        <is>
          <t>engineering</t>
        </is>
      </c>
      <c r="G117" s="31" t="inlineStr">
        <is>
          <t>midcap</t>
        </is>
      </c>
      <c r="H117" s="32" t="n">
        <v>5778.28</v>
      </c>
      <c r="I117" s="32" t="n">
        <v>287.85</v>
      </c>
      <c r="J117" s="32" t="n">
        <v>-0.62</v>
      </c>
      <c r="K117" s="32" t="n">
        <v>667256</v>
      </c>
      <c r="L117" s="31" t="n">
        <v>96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82.68000000000001</v>
      </c>
      <c r="P117" s="32" t="n">
        <v>35</v>
      </c>
      <c r="Q117" s="32" t="n">
        <v>217.63</v>
      </c>
      <c r="R117" s="31" t="inlineStr">
        <is>
          <t>Near 52W High Breakout</t>
        </is>
      </c>
      <c r="S117" s="31" t="inlineStr">
        <is>
          <t>Nifty Infra</t>
        </is>
      </c>
      <c r="T117" s="32" t="n">
        <v>3.35</v>
      </c>
      <c r="U117" s="32" t="n">
        <v>64.94</v>
      </c>
      <c r="V117" s="32" t="n">
        <v>59.6</v>
      </c>
      <c r="W117" s="32" t="n">
        <v>40.17</v>
      </c>
      <c r="X117" s="31" t="inlineStr">
        <is>
          <t>Cyclical in an Upturn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Above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Less than 50%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IF(B118=0,"",RANK(B118,$B$2:$B$280,0))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AARTIIND</t>
        </is>
      </c>
      <c r="D118" s="31" t="inlineStr">
        <is>
          <t>Aarti Industries Limited</t>
        </is>
      </c>
      <c r="E118" s="31" t="inlineStr">
        <is>
          <t>chemicals</t>
        </is>
      </c>
      <c r="F118" s="31" t="inlineStr">
        <is>
          <t>chemicals</t>
        </is>
      </c>
      <c r="G118" s="31" t="inlineStr">
        <is>
          <t>midcap</t>
        </is>
      </c>
      <c r="H118" s="32" t="n">
        <v>18118.2</v>
      </c>
      <c r="I118" s="32" t="n">
        <v>495.95</v>
      </c>
      <c r="J118" s="32" t="n">
        <v>-0.71</v>
      </c>
      <c r="K118" s="32" t="n">
        <v>875805</v>
      </c>
      <c r="L118" s="31" t="n">
        <v>25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60.78</v>
      </c>
      <c r="P118" s="32" t="n">
        <v>25.49</v>
      </c>
      <c r="Q118" s="32" t="n">
        <v>403.83</v>
      </c>
      <c r="R118" s="31" t="inlineStr">
        <is>
          <t>Near 52W High Breakout</t>
        </is>
      </c>
      <c r="S118" s="31" t="inlineStr">
        <is>
          <t>Nifty 50</t>
        </is>
      </c>
      <c r="T118" s="32" t="n">
        <v>-3.39</v>
      </c>
      <c r="U118" s="32" t="n">
        <v>15.58</v>
      </c>
      <c r="V118" s="32" t="n">
        <v>19.63</v>
      </c>
      <c r="W118" s="32" t="n">
        <v>5.04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Between 50% to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Between 0.7 to 1.2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IF(B119=0,"",RANK(B119,$B$2:$B$280,0))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SONACOMS</t>
        </is>
      </c>
      <c r="D119" s="31" t="inlineStr">
        <is>
          <t>Sona BLW Precision Forgings Ltd</t>
        </is>
      </c>
      <c r="E119" s="31" t="inlineStr">
        <is>
          <t>auto</t>
        </is>
      </c>
      <c r="F119" s="31" t="inlineStr">
        <is>
          <t>auto ancillaries</t>
        </is>
      </c>
      <c r="G119" s="31" t="inlineStr">
        <is>
          <t>largecap</t>
        </is>
      </c>
      <c r="H119" s="32" t="n">
        <v>45565.83</v>
      </c>
      <c r="I119" s="32" t="n">
        <v>726.5</v>
      </c>
      <c r="J119" s="32" t="n">
        <v>-0.85</v>
      </c>
      <c r="K119" s="32" t="n">
        <v>2080711</v>
      </c>
      <c r="L119" s="31" t="n">
        <v>67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76.69</v>
      </c>
      <c r="P119" s="32" t="n">
        <v>41.46</v>
      </c>
      <c r="Q119" s="32" t="n">
        <v>614.3</v>
      </c>
      <c r="R119" s="31" t="inlineStr">
        <is>
          <t>Near 52W High Breakout</t>
        </is>
      </c>
      <c r="S119" s="31" t="inlineStr">
        <is>
          <t>Nifty Auto</t>
        </is>
      </c>
      <c r="T119" s="32" t="n">
        <v>14.92</v>
      </c>
      <c r="U119" s="32" t="n">
        <v>55.71</v>
      </c>
      <c r="V119" s="32" t="n">
        <v>35.49</v>
      </c>
      <c r="W119" s="32" t="n">
        <v>15.9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Above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Between 12 to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Between 50% to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IF(B120=0,"",RANK(B120,$B$2:$B$280,0))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RSWM</t>
        </is>
      </c>
      <c r="D120" s="31" t="inlineStr">
        <is>
          <t>Rswm Limited</t>
        </is>
      </c>
      <c r="E120" s="31" t="inlineStr">
        <is>
          <t>textiles</t>
        </is>
      </c>
      <c r="F120" s="31" t="inlineStr">
        <is>
          <t>textiles - cotton/blended</t>
        </is>
      </c>
      <c r="G120" s="31" t="inlineStr">
        <is>
          <t>smallcap</t>
        </is>
      </c>
      <c r="H120" s="32" t="n">
        <v>1011.51</v>
      </c>
      <c r="I120" s="32" t="n">
        <v>212.27</v>
      </c>
      <c r="J120" s="32" t="n">
        <v>-1.15</v>
      </c>
      <c r="K120" s="32" t="n">
        <v>31663</v>
      </c>
      <c r="L120" s="31" t="n">
        <v>63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67.79000000000001</v>
      </c>
      <c r="P120" s="32" t="n">
        <v>35.04</v>
      </c>
      <c r="Q120" s="32" t="n">
        <v>157.41</v>
      </c>
      <c r="R120" s="31" t="inlineStr">
        <is>
          <t>Near 52W High Breakout</t>
        </is>
      </c>
      <c r="S120" s="31" t="inlineStr">
        <is>
          <t>Nifty 50</t>
        </is>
      </c>
      <c r="T120" s="32" t="n">
        <v>-3.39</v>
      </c>
      <c r="U120" s="32" t="n">
        <v>31.02</v>
      </c>
      <c r="V120" s="32" t="n">
        <v>35.61</v>
      </c>
      <c r="W120" s="32" t="n">
        <v>14.35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More than 1.2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IF(B121=0,"",RANK(B121,$B$2:$B$280,0))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PGIL</t>
        </is>
      </c>
      <c r="D121" s="31" t="inlineStr">
        <is>
          <t>Pearl Global Industries Limited</t>
        </is>
      </c>
      <c r="E121" s="31" t="inlineStr">
        <is>
          <t>consumer discretionary</t>
        </is>
      </c>
      <c r="F121" s="31" t="inlineStr">
        <is>
          <t>textiles - products</t>
        </is>
      </c>
      <c r="G121" s="31" t="inlineStr">
        <is>
          <t>midcap</t>
        </is>
      </c>
      <c r="H121" s="32" t="n">
        <v>9457.58</v>
      </c>
      <c r="I121" s="32" t="n">
        <v>2000</v>
      </c>
      <c r="J121" s="32" t="n">
        <v>-2.33</v>
      </c>
      <c r="K121" s="32" t="n">
        <v>79928</v>
      </c>
      <c r="L121" s="31" t="n">
        <v>58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65</v>
      </c>
      <c r="P121" s="32" t="n">
        <v>45.63</v>
      </c>
      <c r="Q121" s="32" t="n">
        <v>1579.36</v>
      </c>
      <c r="R121" s="31" t="inlineStr">
        <is>
          <t>Near 52W High Breakout</t>
        </is>
      </c>
      <c r="S121" s="31" t="inlineStr">
        <is>
          <t>Nifty 50</t>
        </is>
      </c>
      <c r="T121" s="32" t="n">
        <v>-3.39</v>
      </c>
      <c r="U121" s="32" t="n">
        <v>32.66</v>
      </c>
      <c r="V121" s="32" t="n">
        <v>37.31</v>
      </c>
      <c r="W121" s="32" t="n">
        <v>12.72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Negative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Between 1.5 to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IF(B122=0,"",RANK(B122,$B$2:$B$280,0))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BEPL</t>
        </is>
      </c>
      <c r="D122" s="31" t="inlineStr">
        <is>
          <t>Bhansali Engineering Polymers Limited</t>
        </is>
      </c>
      <c r="E122" s="31" t="inlineStr">
        <is>
          <t>energy</t>
        </is>
      </c>
      <c r="F122" s="31" t="inlineStr">
        <is>
          <t>petrochemicals</t>
        </is>
      </c>
      <c r="G122" s="31" t="inlineStr">
        <is>
          <t>smallcap</t>
        </is>
      </c>
      <c r="H122" s="32" t="n">
        <v>3071.91</v>
      </c>
      <c r="I122" s="32" t="n">
        <v>120.06</v>
      </c>
      <c r="J122" s="32" t="n">
        <v>-2.74</v>
      </c>
      <c r="K122" s="32" t="n">
        <v>18102387</v>
      </c>
      <c r="L122" s="31" t="n">
        <v>41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73.44</v>
      </c>
      <c r="P122" s="32" t="n">
        <v>40.38</v>
      </c>
      <c r="Q122" s="32" t="n">
        <v>93.41</v>
      </c>
      <c r="R122" s="31" t="inlineStr">
        <is>
          <t>Volume Spike &amp; Near 52W High Breakout</t>
        </is>
      </c>
      <c r="S122" s="31" t="inlineStr">
        <is>
          <t>Nifty Energy</t>
        </is>
      </c>
      <c r="T122" s="32" t="n">
        <v>11.87</v>
      </c>
      <c r="U122" s="32" t="n">
        <v>15.38</v>
      </c>
      <c r="V122" s="32" t="n">
        <v>3.13</v>
      </c>
      <c r="W122" s="32" t="n">
        <v>8.44</v>
      </c>
      <c r="X122" s="31" t="inlineStr">
        <is>
          <t>Cyclical in an Upturn</t>
        </is>
      </c>
      <c r="Y122" s="31">
        <f>IF(X122="Growing Industry",10,IF(X122="Cyclical in an Upturn",5,0))</f>
        <v/>
      </c>
      <c r="Z122" s="31" t="inlineStr">
        <is>
          <t>Oligopoly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Yes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Cyclical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Volatile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IF(B123=0,"",RANK(B123,$B$2:$B$280,0))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GABRIEL</t>
        </is>
      </c>
      <c r="D123" s="31" t="inlineStr">
        <is>
          <t>Gabriel India Limited</t>
        </is>
      </c>
      <c r="E123" s="31" t="inlineStr">
        <is>
          <t>auto</t>
        </is>
      </c>
      <c r="F123" s="31" t="inlineStr">
        <is>
          <t>auto ancillaries</t>
        </is>
      </c>
      <c r="G123" s="31" t="inlineStr">
        <is>
          <t>largecap</t>
        </is>
      </c>
      <c r="H123" s="32" t="n">
        <v>26380.69</v>
      </c>
      <c r="I123" s="32" t="n">
        <v>1424.6</v>
      </c>
      <c r="J123" s="32" t="n">
        <v>-4.29</v>
      </c>
      <c r="K123" s="32" t="n">
        <v>2703597</v>
      </c>
      <c r="L123" s="31" t="n">
        <v>77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71.98999999999999</v>
      </c>
      <c r="P123" s="32" t="n">
        <v>28.34</v>
      </c>
      <c r="Q123" s="32" t="n">
        <v>1111.57</v>
      </c>
      <c r="R123" s="31" t="inlineStr">
        <is>
          <t>Volume Spike &amp; Near 52W High Breakout</t>
        </is>
      </c>
      <c r="S123" s="31" t="inlineStr">
        <is>
          <t>Nifty Auto</t>
        </is>
      </c>
      <c r="T123" s="32" t="n">
        <v>14.92</v>
      </c>
      <c r="U123" s="32" t="n">
        <v>44.1</v>
      </c>
      <c r="V123" s="32" t="n">
        <v>25.39</v>
      </c>
      <c r="W123" s="32" t="n">
        <v>19.74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Less than 12%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IF(B124=0,"",RANK(B124,$B$2:$B$280,0))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3" t="inlineStr">
        <is>
          <t>DIVISLAB</t>
        </is>
      </c>
      <c r="D124" s="33" t="inlineStr">
        <is>
          <t>Divi's Laboratories Limited</t>
        </is>
      </c>
      <c r="E124" s="31" t="inlineStr">
        <is>
          <t>healthcare</t>
        </is>
      </c>
      <c r="F124" s="31" t="inlineStr">
        <is>
          <t>pharmaceuticals - indian - bulk drugs</t>
        </is>
      </c>
      <c r="G124" s="31" t="inlineStr">
        <is>
          <t>largecap</t>
        </is>
      </c>
      <c r="H124" s="32" t="n">
        <v>194588.47</v>
      </c>
      <c r="I124" s="32" t="n">
        <v>7386.5</v>
      </c>
      <c r="J124" s="32" t="n">
        <v>0.77</v>
      </c>
      <c r="K124" s="32" t="n">
        <v>371324</v>
      </c>
      <c r="L124" s="31" t="n">
        <v>28</v>
      </c>
      <c r="M124" s="31" t="inlineStr">
        <is>
          <t>Underperforming</t>
        </is>
      </c>
      <c r="N124" s="32">
        <f>IF(M124="Underperforming",-5,IF(L124&gt;=95,15,IF(L124&gt;=90,10,IF(L124&gt;=80,5,0))))</f>
        <v/>
      </c>
      <c r="O124" s="32" t="n">
        <v>72.42</v>
      </c>
      <c r="P124" s="32" t="n">
        <v>20.65</v>
      </c>
      <c r="Q124" s="32" t="n">
        <v>6442.28</v>
      </c>
      <c r="R124" s="31" t="inlineStr">
        <is>
          <t>Near 52W High Breakout</t>
        </is>
      </c>
      <c r="S124" s="31" t="inlineStr">
        <is>
          <t>Nifty Pharma</t>
        </is>
      </c>
      <c r="T124" s="32" t="n">
        <v>13.63</v>
      </c>
      <c r="U124" s="32" t="n">
        <v>11.64</v>
      </c>
      <c r="V124" s="32" t="n">
        <v>-1.76</v>
      </c>
      <c r="W124" s="32" t="n">
        <v>5.77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Yes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Annuity, Lower One Time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Between 12 to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IF(B125=0,"",RANK(B125,$B$2:$B$280,0))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NOVARTIND</t>
        </is>
      </c>
      <c r="D125" s="31" t="inlineStr">
        <is>
          <t>Novartis India Ltd</t>
        </is>
      </c>
      <c r="E125" s="31" t="inlineStr">
        <is>
          <t>healthcare</t>
        </is>
      </c>
      <c r="F125" s="31" t="inlineStr">
        <is>
          <t>pharmaceuticals - multinational</t>
        </is>
      </c>
      <c r="G125" s="31" t="inlineStr">
        <is>
          <t>smallcap</t>
        </is>
      </c>
      <c r="H125" s="32" t="n">
        <v>4202.13</v>
      </c>
      <c r="I125" s="32" t="n">
        <v>1699.8</v>
      </c>
      <c r="J125" s="32" t="n">
        <v>-0.12</v>
      </c>
      <c r="K125" s="32" t="n">
        <v>24408</v>
      </c>
      <c r="L125" s="31" t="n">
        <v>90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76.23999999999999</v>
      </c>
      <c r="P125" s="32" t="n">
        <v>69.83</v>
      </c>
      <c r="Q125" s="32" t="n">
        <v>1317.75</v>
      </c>
      <c r="R125" s="31" t="inlineStr">
        <is>
          <t>Near 52W High Breakout</t>
        </is>
      </c>
      <c r="S125" s="31" t="inlineStr">
        <is>
          <t>Nifty Pharma</t>
        </is>
      </c>
      <c r="T125" s="32" t="n">
        <v>13.63</v>
      </c>
      <c r="U125" s="32" t="n">
        <v>66.77</v>
      </c>
      <c r="V125" s="32" t="n">
        <v>46.76</v>
      </c>
      <c r="W125" s="32" t="n">
        <v>30.32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Yes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Less than 12%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Less than 50%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IF(B126=0,"",RANK(B126,$B$2:$B$280,0))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3" t="inlineStr">
        <is>
          <t>RAINBOW</t>
        </is>
      </c>
      <c r="D126" s="33" t="inlineStr">
        <is>
          <t>Rainbow Childrens Medicare Ltd</t>
        </is>
      </c>
      <c r="E126" s="31" t="inlineStr">
        <is>
          <t>healthcare</t>
        </is>
      </c>
      <c r="F126" s="31" t="inlineStr">
        <is>
          <t>healthcare</t>
        </is>
      </c>
      <c r="G126" s="31" t="inlineStr">
        <is>
          <t>midcap</t>
        </is>
      </c>
      <c r="H126" s="32" t="n">
        <v>15068.33</v>
      </c>
      <c r="I126" s="32" t="n">
        <v>1481.2</v>
      </c>
      <c r="J126" s="32" t="n">
        <v>-0.17</v>
      </c>
      <c r="K126" s="32" t="n">
        <v>77426</v>
      </c>
      <c r="L126" s="31" t="n">
        <v>20</v>
      </c>
      <c r="M126" s="31" t="inlineStr">
        <is>
          <t>Underperforming</t>
        </is>
      </c>
      <c r="N126" s="32">
        <f>IF(M126="Underperforming",-5,IF(L126&gt;=95,15,IF(L126&gt;=90,10,IF(L126&gt;=80,5,0))))</f>
        <v/>
      </c>
      <c r="O126" s="32" t="n">
        <v>67.95</v>
      </c>
      <c r="P126" s="32" t="n">
        <v>34.01</v>
      </c>
      <c r="Q126" s="32" t="n">
        <v>1261.33</v>
      </c>
      <c r="R126" s="31" t="inlineStr">
        <is>
          <t>Earnings / Momentum Support</t>
        </is>
      </c>
      <c r="S126" s="31" t="inlineStr">
        <is>
          <t>Nifty Pharma</t>
        </is>
      </c>
      <c r="T126" s="32" t="n">
        <v>13.63</v>
      </c>
      <c r="U126" s="32" t="n">
        <v>-4.05</v>
      </c>
      <c r="V126" s="32" t="n">
        <v>-15.56</v>
      </c>
      <c r="W126" s="32" t="n">
        <v>3.95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Yes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IF(B127=0,"",RANK(B127,$B$2:$B$280,0))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HMVL</t>
        </is>
      </c>
      <c r="D127" s="31" t="inlineStr">
        <is>
          <t>Hindustan Media Ventures Limited</t>
        </is>
      </c>
      <c r="E127" s="31" t="inlineStr">
        <is>
          <t>media</t>
        </is>
      </c>
      <c r="F127" s="31" t="inlineStr">
        <is>
          <t>entertainment / electronic media software</t>
        </is>
      </c>
      <c r="G127" s="31" t="inlineStr">
        <is>
          <t>smallcap</t>
        </is>
      </c>
      <c r="H127" s="32" t="n">
        <v>674.61</v>
      </c>
      <c r="I127" s="32" t="n">
        <v>91.39</v>
      </c>
      <c r="J127" s="32" t="n">
        <v>-0.2</v>
      </c>
      <c r="K127" s="32" t="n">
        <v>54558</v>
      </c>
      <c r="L127" s="31" t="n">
        <v>50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69.52</v>
      </c>
      <c r="P127" s="32" t="n">
        <v>30.1</v>
      </c>
      <c r="Q127" s="32" t="n">
        <v>71.09999999999999</v>
      </c>
      <c r="R127" s="31" t="inlineStr">
        <is>
          <t>Near 52W High Breakout</t>
        </is>
      </c>
      <c r="S127" s="31" t="inlineStr">
        <is>
          <t>Nifty IT</t>
        </is>
      </c>
      <c r="T127" s="32" t="n">
        <v>-19.86</v>
      </c>
      <c r="U127" s="32" t="n">
        <v>3.85</v>
      </c>
      <c r="V127" s="32" t="n">
        <v>29.58</v>
      </c>
      <c r="W127" s="32" t="n">
        <v>10.37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Less than 12%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Between 50% to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IF(B128=0,"",RANK(B128,$B$2:$B$280,0))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WANBURY</t>
        </is>
      </c>
      <c r="D128" s="31" t="inlineStr">
        <is>
          <t>Wanbury Limited</t>
        </is>
      </c>
      <c r="E128" s="31" t="inlineStr">
        <is>
          <t>healthcare</t>
        </is>
      </c>
      <c r="F128" s="31" t="inlineStr">
        <is>
          <t>pharmaceuticals - indian - bulk drugs &amp; formln</t>
        </is>
      </c>
      <c r="G128" s="31" t="inlineStr">
        <is>
          <t>smallcap</t>
        </is>
      </c>
      <c r="H128" s="32" t="n">
        <v>1182.35</v>
      </c>
      <c r="I128" s="32" t="n">
        <v>330.65</v>
      </c>
      <c r="J128" s="32" t="n">
        <v>-2.29</v>
      </c>
      <c r="K128" s="32" t="n">
        <v>586841</v>
      </c>
      <c r="L128" s="31" t="n">
        <v>63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65.95999999999999</v>
      </c>
      <c r="P128" s="32" t="n">
        <v>19.09</v>
      </c>
      <c r="Q128" s="32" t="n">
        <v>233.16</v>
      </c>
      <c r="R128" s="31" t="inlineStr">
        <is>
          <t>Near 52W High Breakout</t>
        </is>
      </c>
      <c r="S128" s="31" t="inlineStr">
        <is>
          <t>Nifty Pharma</t>
        </is>
      </c>
      <c r="T128" s="32" t="n">
        <v>13.63</v>
      </c>
      <c r="U128" s="32" t="n">
        <v>35.26</v>
      </c>
      <c r="V128" s="32" t="n">
        <v>19.04</v>
      </c>
      <c r="W128" s="32" t="n">
        <v>14.62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Yes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0 to 20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IF(B129=0,"",RANK(B129,$B$2:$B$280,0))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CYIENTDLM</t>
        </is>
      </c>
      <c r="D129" s="31" t="inlineStr">
        <is>
          <t>Cyient DLM Ltd</t>
        </is>
      </c>
      <c r="E129" s="31" t="inlineStr">
        <is>
          <t>consumer discretionary</t>
        </is>
      </c>
      <c r="F129" s="31" t="inlineStr">
        <is>
          <t>electronics - components</t>
        </is>
      </c>
      <c r="G129" s="31" t="inlineStr">
        <is>
          <t>smallcap</t>
        </is>
      </c>
      <c r="H129" s="32" t="n">
        <v>4944.4</v>
      </c>
      <c r="I129" s="32" t="n">
        <v>698.15</v>
      </c>
      <c r="J129" s="32" t="n">
        <v>12.06</v>
      </c>
      <c r="K129" s="32" t="n">
        <v>12932202</v>
      </c>
      <c r="L129" s="31" t="n">
        <v>90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84.2</v>
      </c>
      <c r="P129" s="32" t="n">
        <v>48.75</v>
      </c>
      <c r="Q129" s="32" t="n">
        <v>535.8</v>
      </c>
      <c r="R129" s="31" t="inlineStr">
        <is>
          <t>Volume Spike &amp; Near 52W High Breakout</t>
        </is>
      </c>
      <c r="S129" s="31" t="inlineStr">
        <is>
          <t>Nifty 50</t>
        </is>
      </c>
      <c r="T129" s="32" t="n">
        <v>-3.39</v>
      </c>
      <c r="U129" s="32" t="n">
        <v>51.97</v>
      </c>
      <c r="V129" s="32" t="n">
        <v>57.29</v>
      </c>
      <c r="W129" s="32" t="n">
        <v>31.19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Above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Less than 12%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Less than 50%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IF(B130=0,"",RANK(B130,$B$2:$B$280,0))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KERNEX</t>
        </is>
      </c>
      <c r="D130" s="31" t="inlineStr">
        <is>
          <t>Kernex Microsystems (india) Limited</t>
        </is>
      </c>
      <c r="E130" s="31" t="inlineStr">
        <is>
          <t>consumer discretionary</t>
        </is>
      </c>
      <c r="F130" s="31" t="inlineStr">
        <is>
          <t>electronics - components</t>
        </is>
      </c>
      <c r="G130" s="31" t="inlineStr">
        <is>
          <t>smallcap</t>
        </is>
      </c>
      <c r="H130" s="32" t="n">
        <v>3581.52</v>
      </c>
      <c r="I130" s="32" t="n">
        <v>2195.6</v>
      </c>
      <c r="J130" s="32" t="n">
        <v>3.01</v>
      </c>
      <c r="K130" s="32" t="n">
        <v>176577</v>
      </c>
      <c r="L130" s="31" t="n">
        <v>91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67.77</v>
      </c>
      <c r="P130" s="32" t="n">
        <v>52.65</v>
      </c>
      <c r="Q130" s="32" t="n">
        <v>1735.62</v>
      </c>
      <c r="R130" s="31" t="inlineStr">
        <is>
          <t>Earnings / Momentum Support</t>
        </is>
      </c>
      <c r="S130" s="31" t="inlineStr">
        <is>
          <t>Nifty 50</t>
        </is>
      </c>
      <c r="T130" s="32" t="n">
        <v>-3.39</v>
      </c>
      <c r="U130" s="32" t="n">
        <v>113.23</v>
      </c>
      <c r="V130" s="32" t="n">
        <v>120.7</v>
      </c>
      <c r="W130" s="32" t="n">
        <v>32.82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Negative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IF(B131=0,"",RANK(B131,$B$2:$B$280,0))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AEGISVOPAK</t>
        </is>
      </c>
      <c r="D131" s="31" t="inlineStr">
        <is>
          <t>Aegis Vopak Terminals Ltd</t>
        </is>
      </c>
      <c r="E131" s="31" t="inlineStr">
        <is>
          <t>transportation</t>
        </is>
      </c>
      <c r="F131" s="31" t="inlineStr">
        <is>
          <t>miscellaneous</t>
        </is>
      </c>
      <c r="G131" s="31" t="inlineStr">
        <is>
          <t>largecap</t>
        </is>
      </c>
      <c r="H131" s="32" t="n">
        <v>31960.01</v>
      </c>
      <c r="I131" s="32" t="n">
        <v>295.66</v>
      </c>
      <c r="J131" s="32" t="n">
        <v>2.5</v>
      </c>
      <c r="K131" s="32" t="n">
        <v>4360173</v>
      </c>
      <c r="L131" s="31" t="n">
        <v>73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65.78</v>
      </c>
      <c r="P131" s="32" t="n">
        <v>25.52</v>
      </c>
      <c r="Q131" s="32" t="n">
        <v>213.24</v>
      </c>
      <c r="R131" s="31" t="inlineStr">
        <is>
          <t>Near 52W High Breakout</t>
        </is>
      </c>
      <c r="S131" s="31" t="inlineStr">
        <is>
          <t>Nifty 50</t>
        </is>
      </c>
      <c r="T131" s="32" t="n">
        <v>-3.39</v>
      </c>
      <c r="U131" s="32" t="n">
        <v>15.18</v>
      </c>
      <c r="V131" s="32" t="n">
        <v>19.22</v>
      </c>
      <c r="W131" s="32" t="n">
        <v>17.79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Between 12 to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Between 0.7 to 1.2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IF(B132=0,"",RANK(B132,$B$2:$B$280,0))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SKYGOLD</t>
        </is>
      </c>
      <c r="D132" s="31" t="inlineStr">
        <is>
          <t>Sky Gold Ltd</t>
        </is>
      </c>
      <c r="E132" s="31" t="inlineStr">
        <is>
          <t>consumer discretionary</t>
        </is>
      </c>
      <c r="F132" s="31" t="inlineStr">
        <is>
          <t>diamond cutting / jewellery</t>
        </is>
      </c>
      <c r="G132" s="31" t="inlineStr">
        <is>
          <t>midcap</t>
        </is>
      </c>
      <c r="H132" s="32" t="n">
        <v>10156.63</v>
      </c>
      <c r="I132" s="32" t="n">
        <v>671.25</v>
      </c>
      <c r="J132" s="32" t="n">
        <v>2.36</v>
      </c>
      <c r="K132" s="32" t="n">
        <v>1416347</v>
      </c>
      <c r="L132" s="31" t="n">
        <v>91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75.59999999999999</v>
      </c>
      <c r="P132" s="32" t="n">
        <v>55.63</v>
      </c>
      <c r="Q132" s="32" t="n">
        <v>503.01</v>
      </c>
      <c r="R132" s="31" t="inlineStr">
        <is>
          <t>Near 52W High Breakout</t>
        </is>
      </c>
      <c r="S132" s="31" t="inlineStr">
        <is>
          <t>Nifty 50</t>
        </is>
      </c>
      <c r="T132" s="32" t="n">
        <v>-3.39</v>
      </c>
      <c r="U132" s="32" t="n">
        <v>122.42</v>
      </c>
      <c r="V132" s="32" t="n">
        <v>130.21</v>
      </c>
      <c r="W132" s="32" t="n">
        <v>33.17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Above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Negative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Between 0.7 to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IF(B133=0,"",RANK(B133,$B$2:$B$280,0))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3" t="inlineStr">
        <is>
          <t>BOSCHLTD</t>
        </is>
      </c>
      <c r="D133" s="33" t="inlineStr">
        <is>
          <t>Bosch Limited</t>
        </is>
      </c>
      <c r="E133" s="31" t="inlineStr">
        <is>
          <t>auto</t>
        </is>
      </c>
      <c r="F133" s="31" t="inlineStr">
        <is>
          <t>auto ancillaries</t>
        </is>
      </c>
      <c r="G133" s="31" t="inlineStr">
        <is>
          <t>largecap</t>
        </is>
      </c>
      <c r="H133" s="32" t="n">
        <v>120550.56</v>
      </c>
      <c r="I133" s="32" t="n">
        <v>41560</v>
      </c>
      <c r="J133" s="32" t="n">
        <v>1.69</v>
      </c>
      <c r="K133" s="32" t="n">
        <v>15755</v>
      </c>
      <c r="L133" s="31" t="n">
        <v>26</v>
      </c>
      <c r="M133" s="31" t="inlineStr">
        <is>
          <t>Underperforming</t>
        </is>
      </c>
      <c r="N133" s="32">
        <f>IF(M133="Underperforming",-5,IF(L133&gt;=95,15,IF(L133&gt;=90,10,IF(L133&gt;=80,5,0))))</f>
        <v/>
      </c>
      <c r="O133" s="32" t="n">
        <v>62.94</v>
      </c>
      <c r="P133" s="32" t="n">
        <v>26.25</v>
      </c>
      <c r="Q133" s="32" t="n">
        <v>35537.68</v>
      </c>
      <c r="R133" s="31" t="inlineStr">
        <is>
          <t>Near 52W High Breakout</t>
        </is>
      </c>
      <c r="S133" s="31" t="inlineStr">
        <is>
          <t>Nifty Auto</t>
        </is>
      </c>
      <c r="T133" s="32" t="n">
        <v>14.92</v>
      </c>
      <c r="U133" s="32" t="n">
        <v>11.35</v>
      </c>
      <c r="V133" s="32" t="n">
        <v>-3.11</v>
      </c>
      <c r="W133" s="32" t="n">
        <v>5.07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Less than 12%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IF(B134=0,"",RANK(B134,$B$2:$B$280,0))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MANGLMCEM</t>
        </is>
      </c>
      <c r="D134" s="31" t="inlineStr">
        <is>
          <t>Mangalam Cement Limited</t>
        </is>
      </c>
      <c r="E134" s="31" t="inlineStr">
        <is>
          <t>building materials</t>
        </is>
      </c>
      <c r="F134" s="31" t="inlineStr">
        <is>
          <t>cement - north india</t>
        </is>
      </c>
      <c r="G134" s="31" t="inlineStr">
        <is>
          <t>smallcap</t>
        </is>
      </c>
      <c r="H134" s="32" t="n">
        <v>2695.01</v>
      </c>
      <c r="I134" s="32" t="n">
        <v>987.5</v>
      </c>
      <c r="J134" s="32" t="n">
        <v>0.76</v>
      </c>
      <c r="K134" s="32" t="n">
        <v>77381</v>
      </c>
      <c r="L134" s="31" t="n">
        <v>40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66.27</v>
      </c>
      <c r="P134" s="32" t="n">
        <v>21.33</v>
      </c>
      <c r="Q134" s="32" t="n">
        <v>812.45</v>
      </c>
      <c r="R134" s="31" t="inlineStr">
        <is>
          <t>Near 52W High Breakout</t>
        </is>
      </c>
      <c r="S134" s="31" t="inlineStr">
        <is>
          <t>Nifty Infra</t>
        </is>
      </c>
      <c r="T134" s="32" t="n">
        <v>3.35</v>
      </c>
      <c r="U134" s="32" t="n">
        <v>36.01</v>
      </c>
      <c r="V134" s="32" t="n">
        <v>31.6</v>
      </c>
      <c r="W134" s="32" t="n">
        <v>8.23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Less than 50%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Between 0.7 to 1.2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IF(B135=0,"",RANK(B135,$B$2:$B$280,0))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INGERRAND</t>
        </is>
      </c>
      <c r="D135" s="31" t="inlineStr">
        <is>
          <t>Ingersoll Rand (india) Limited</t>
        </is>
      </c>
      <c r="E135" s="31" t="inlineStr">
        <is>
          <t>industrials</t>
        </is>
      </c>
      <c r="F135" s="31" t="inlineStr">
        <is>
          <t>compressors / drilling equipment</t>
        </is>
      </c>
      <c r="G135" s="31" t="inlineStr">
        <is>
          <t>midcap</t>
        </is>
      </c>
      <c r="H135" s="32" t="n">
        <v>14295.57</v>
      </c>
      <c r="I135" s="32" t="n">
        <v>4540.4</v>
      </c>
      <c r="J135" s="32" t="n">
        <v>0.26</v>
      </c>
      <c r="K135" s="32" t="n">
        <v>7789</v>
      </c>
      <c r="L135" s="31" t="n">
        <v>31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59.73</v>
      </c>
      <c r="P135" s="32" t="n">
        <v>28.12</v>
      </c>
      <c r="Q135" s="32" t="n">
        <v>3719.07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-3.39</v>
      </c>
      <c r="U135" s="32" t="n">
        <v>16.48</v>
      </c>
      <c r="V135" s="32" t="n">
        <v>20.56</v>
      </c>
      <c r="W135" s="32" t="n">
        <v>6.13</v>
      </c>
      <c r="X135" s="31" t="inlineStr">
        <is>
          <t>Cyclical in an Upturn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Less than 12%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IF(B136=0,"",RANK(B136,$B$2:$B$280,0))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RPTECH</t>
        </is>
      </c>
      <c r="D136" s="31" t="inlineStr">
        <is>
          <t>Rashi Peripherals Ltd</t>
        </is>
      </c>
      <c r="E136" s="31" t="inlineStr">
        <is>
          <t>services</t>
        </is>
      </c>
      <c r="F136" s="31" t="inlineStr">
        <is>
          <t>trading</t>
        </is>
      </c>
      <c r="G136" s="31" t="inlineStr">
        <is>
          <t>smallcap</t>
        </is>
      </c>
      <c r="H136" s="32" t="n">
        <v>4901.29</v>
      </c>
      <c r="I136" s="32" t="n">
        <v>745.15</v>
      </c>
      <c r="J136" s="32" t="n">
        <v>0.19</v>
      </c>
      <c r="K136" s="32" t="n">
        <v>116082</v>
      </c>
      <c r="L136" s="31" t="n">
        <v>93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76.08</v>
      </c>
      <c r="P136" s="32" t="n">
        <v>73.65000000000001</v>
      </c>
      <c r="Q136" s="32" t="n">
        <v>604.09</v>
      </c>
      <c r="R136" s="31" t="inlineStr">
        <is>
          <t>Near 52W High Breakout</t>
        </is>
      </c>
      <c r="S136" s="31" t="inlineStr">
        <is>
          <t>Nifty 50</t>
        </is>
      </c>
      <c r="T136" s="32" t="n">
        <v>-3.39</v>
      </c>
      <c r="U136" s="32" t="n">
        <v>154</v>
      </c>
      <c r="V136" s="32" t="n">
        <v>162.89</v>
      </c>
      <c r="W136" s="32" t="n">
        <v>34.94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Above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Negative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Less than 50%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IF(B137=0,"",RANK(B137,$B$2:$B$280,0))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PANACHE</t>
        </is>
      </c>
      <c r="D137" s="31" t="inlineStr">
        <is>
          <t>Panache Digilife Ltd</t>
        </is>
      </c>
      <c r="E137" s="31" t="inlineStr">
        <is>
          <t>i.t</t>
        </is>
      </c>
      <c r="F137" s="31" t="inlineStr">
        <is>
          <t>computers - hardware</t>
        </is>
      </c>
      <c r="G137" s="31" t="inlineStr">
        <is>
          <t>smallcap</t>
        </is>
      </c>
      <c r="H137" s="32" t="n">
        <v>700.37</v>
      </c>
      <c r="I137" s="32" t="n">
        <v>437.9</v>
      </c>
      <c r="J137" s="32" t="n">
        <v>0.13</v>
      </c>
      <c r="K137" s="32" t="n">
        <v>2717</v>
      </c>
      <c r="L137" s="31" t="n">
        <v>82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63.59</v>
      </c>
      <c r="P137" s="32" t="n">
        <v>21.81</v>
      </c>
      <c r="Q137" s="32" t="n">
        <v>313.2</v>
      </c>
      <c r="R137" s="31" t="inlineStr">
        <is>
          <t>Near 52W High Breakout</t>
        </is>
      </c>
      <c r="S137" s="31" t="inlineStr">
        <is>
          <t>Nifty IT</t>
        </is>
      </c>
      <c r="T137" s="32" t="n">
        <v>-19.86</v>
      </c>
      <c r="U137" s="32" t="n">
        <v>61.59</v>
      </c>
      <c r="V137" s="32" t="n">
        <v>101.62</v>
      </c>
      <c r="W137" s="32" t="n">
        <v>22.96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Negative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IF(B138=0,"",RANK(B138,$B$2:$B$280,0))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KAJARIACER</t>
        </is>
      </c>
      <c r="D138" s="31" t="inlineStr">
        <is>
          <t>Kajaria Ceramics Limited</t>
        </is>
      </c>
      <c r="E138" s="31" t="inlineStr">
        <is>
          <t>building materials</t>
        </is>
      </c>
      <c r="F138" s="31" t="inlineStr">
        <is>
          <t>ceramics - tiles / sanitaryware</t>
        </is>
      </c>
      <c r="G138" s="31" t="inlineStr">
        <is>
          <t>midcap</t>
        </is>
      </c>
      <c r="H138" s="32" t="n">
        <v>19579.34</v>
      </c>
      <c r="I138" s="32" t="n">
        <v>1229.6</v>
      </c>
      <c r="J138" s="32" t="n">
        <v>0.02</v>
      </c>
      <c r="K138" s="32" t="n">
        <v>304502</v>
      </c>
      <c r="L138" s="31" t="n">
        <v>17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64.92</v>
      </c>
      <c r="P138" s="32" t="n">
        <v>24.42</v>
      </c>
      <c r="Q138" s="32" t="n">
        <v>1031.83</v>
      </c>
      <c r="R138" s="31" t="inlineStr">
        <is>
          <t>Earnings / Momentum Support</t>
        </is>
      </c>
      <c r="S138" s="31" t="inlineStr">
        <is>
          <t>Nifty Infra</t>
        </is>
      </c>
      <c r="T138" s="32" t="n">
        <v>3.35</v>
      </c>
      <c r="U138" s="32" t="n">
        <v>6.08</v>
      </c>
      <c r="V138" s="32" t="n">
        <v>2.65</v>
      </c>
      <c r="W138" s="32" t="n">
        <v>2.85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IF(B139=0,"",RANK(B139,$B$2:$B$280,0))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CHEVIOT</t>
        </is>
      </c>
      <c r="D139" s="31" t="inlineStr">
        <is>
          <t>Cheviot Company Ltd</t>
        </is>
      </c>
      <c r="E139" s="31" t="inlineStr">
        <is>
          <t>textiles</t>
        </is>
      </c>
      <c r="F139" s="31" t="inlineStr">
        <is>
          <t>textiles - jute - yarn / products</t>
        </is>
      </c>
      <c r="G139" s="31" t="inlineStr">
        <is>
          <t>smallcap</t>
        </is>
      </c>
      <c r="H139" s="32" t="n">
        <v>668.4299999999999</v>
      </c>
      <c r="I139" s="32" t="n">
        <v>1140</v>
      </c>
      <c r="J139" s="32" t="n">
        <v>-0.37</v>
      </c>
      <c r="K139" s="32" t="n">
        <v>1075</v>
      </c>
      <c r="L139" s="31" t="n">
        <v>8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54.55</v>
      </c>
      <c r="P139" s="32" t="n">
        <v>22.26</v>
      </c>
      <c r="Q139" s="32" t="n">
        <v>1109.93</v>
      </c>
      <c r="R139" s="31" t="inlineStr">
        <is>
          <t>Earnings / Momentum Support</t>
        </is>
      </c>
      <c r="S139" s="31" t="inlineStr">
        <is>
          <t>Nifty IT</t>
        </is>
      </c>
      <c r="T139" s="32" t="n">
        <v>-19.86</v>
      </c>
      <c r="U139" s="32" t="n">
        <v>-3.12</v>
      </c>
      <c r="V139" s="32" t="n">
        <v>20.88</v>
      </c>
      <c r="W139" s="32" t="n">
        <v>0.72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Between 50% to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IF(B140=0,"",RANK(B140,$B$2:$B$280,0))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ITDC</t>
        </is>
      </c>
      <c r="D140" s="31" t="inlineStr">
        <is>
          <t>India Tourism Development Corporation Ltd</t>
        </is>
      </c>
      <c r="E140" s="31" t="inlineStr">
        <is>
          <t>services</t>
        </is>
      </c>
      <c r="F140" s="31" t="inlineStr">
        <is>
          <t>hotels</t>
        </is>
      </c>
      <c r="G140" s="31" t="inlineStr">
        <is>
          <t>midcap</t>
        </is>
      </c>
      <c r="H140" s="32" t="n">
        <v>6496.17</v>
      </c>
      <c r="I140" s="32" t="n">
        <v>750.15</v>
      </c>
      <c r="J140" s="32" t="n">
        <v>-0.96</v>
      </c>
      <c r="K140" s="32" t="n">
        <v>1158152</v>
      </c>
      <c r="L140" s="31" t="n">
        <v>56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65.34999999999999</v>
      </c>
      <c r="P140" s="32" t="n">
        <v>36.18</v>
      </c>
      <c r="Q140" s="32" t="n">
        <v>514.1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-3.39</v>
      </c>
      <c r="U140" s="32" t="n">
        <v>29.82</v>
      </c>
      <c r="V140" s="32" t="n">
        <v>34.37</v>
      </c>
      <c r="W140" s="32" t="n">
        <v>12.21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Less than 12%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IF(B141=0,"",RANK(B141,$B$2:$B$280,0))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ADANIENT</t>
        </is>
      </c>
      <c r="D141" s="31" t="inlineStr">
        <is>
          <t>Adani Enterprises Limited</t>
        </is>
      </c>
      <c r="E141" s="31" t="inlineStr">
        <is>
          <t>services</t>
        </is>
      </c>
      <c r="F141" s="31" t="inlineStr">
        <is>
          <t>trading</t>
        </is>
      </c>
      <c r="G141" s="31" t="inlineStr">
        <is>
          <t>largecap</t>
        </is>
      </c>
      <c r="H141" s="32" t="n">
        <v>430849.29</v>
      </c>
      <c r="I141" s="32" t="n">
        <v>3147.7</v>
      </c>
      <c r="J141" s="32" t="n">
        <v>-1.1</v>
      </c>
      <c r="K141" s="32" t="n">
        <v>977466</v>
      </c>
      <c r="L141" s="31" t="n">
        <v>62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71.04000000000001</v>
      </c>
      <c r="P141" s="32" t="n">
        <v>40.46</v>
      </c>
      <c r="Q141" s="32" t="n">
        <v>2694.25</v>
      </c>
      <c r="R141" s="31" t="inlineStr">
        <is>
          <t>Near 52W High Breakout</t>
        </is>
      </c>
      <c r="S141" s="31" t="inlineStr">
        <is>
          <t>Nifty 50</t>
        </is>
      </c>
      <c r="T141" s="32" t="n">
        <v>-3.39</v>
      </c>
      <c r="U141" s="32" t="n">
        <v>23.49</v>
      </c>
      <c r="V141" s="32" t="n">
        <v>27.82</v>
      </c>
      <c r="W141" s="32" t="n">
        <v>14.13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Less than 50% and Borrowings are increasing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Between 0.7 to 1.2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IF(B142=0,"",RANK(B142,$B$2:$B$280,0))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3" t="inlineStr">
        <is>
          <t>JINDWORLD</t>
        </is>
      </c>
      <c r="D142" s="33" t="inlineStr">
        <is>
          <t>Jindal Worldwide Limited</t>
        </is>
      </c>
      <c r="E142" s="31" t="inlineStr">
        <is>
          <t>textiles</t>
        </is>
      </c>
      <c r="F142" s="31" t="inlineStr">
        <is>
          <t>textiles - products</t>
        </is>
      </c>
      <c r="G142" s="31" t="inlineStr">
        <is>
          <t>smallcap</t>
        </is>
      </c>
      <c r="H142" s="32" t="n">
        <v>3773.79</v>
      </c>
      <c r="I142" s="32" t="n">
        <v>37.15</v>
      </c>
      <c r="J142" s="32" t="n">
        <v>-1.3</v>
      </c>
      <c r="K142" s="32" t="n">
        <v>59990718</v>
      </c>
      <c r="L142" s="31" t="n">
        <v>56</v>
      </c>
      <c r="M142" s="31" t="inlineStr">
        <is>
          <t>Underperforming</t>
        </is>
      </c>
      <c r="N142" s="32">
        <f>IF(M142="Underperforming",-5,IF(L142&gt;=95,15,IF(L142&gt;=90,10,IF(L142&gt;=80,5,0))))</f>
        <v/>
      </c>
      <c r="O142" s="32" t="n">
        <v>65.98999999999999</v>
      </c>
      <c r="P142" s="32" t="n">
        <v>24.44</v>
      </c>
      <c r="Q142" s="32" t="n">
        <v>25.07</v>
      </c>
      <c r="R142" s="31" t="inlineStr">
        <is>
          <t>Volume Spike / Accumulation</t>
        </is>
      </c>
      <c r="S142" s="31" t="inlineStr">
        <is>
          <t>Nifty 50</t>
        </is>
      </c>
      <c r="T142" s="32" t="n">
        <v>-3.39</v>
      </c>
      <c r="U142" s="32" t="n">
        <v>-8.02</v>
      </c>
      <c r="V142" s="32" t="n">
        <v>-4.8</v>
      </c>
      <c r="W142" s="32" t="n">
        <v>12.21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Between 12 to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IF(B143=0,"",RANK(B143,$B$2:$B$280,0))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SOTL</t>
        </is>
      </c>
      <c r="D143" s="31" t="inlineStr">
        <is>
          <t>Savita Oil Technologies Limited</t>
        </is>
      </c>
      <c r="E143" s="31" t="inlineStr">
        <is>
          <t>energy</t>
        </is>
      </c>
      <c r="F143" s="31" t="inlineStr">
        <is>
          <t>petrochemicals</t>
        </is>
      </c>
      <c r="G143" s="31" t="inlineStr">
        <is>
          <t>smallcap</t>
        </is>
      </c>
      <c r="H143" s="32" t="n">
        <v>4125.62</v>
      </c>
      <c r="I143" s="32" t="n">
        <v>593</v>
      </c>
      <c r="J143" s="32" t="n">
        <v>-1.45</v>
      </c>
      <c r="K143" s="32" t="n">
        <v>171529</v>
      </c>
      <c r="L143" s="31" t="n">
        <v>83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66.81999999999999</v>
      </c>
      <c r="P143" s="32" t="n">
        <v>39.31</v>
      </c>
      <c r="Q143" s="32" t="n">
        <v>446.99</v>
      </c>
      <c r="R143" s="31" t="inlineStr">
        <is>
          <t>Near 52W High Breakout</t>
        </is>
      </c>
      <c r="S143" s="31" t="inlineStr">
        <is>
          <t>Nifty Energy</t>
        </is>
      </c>
      <c r="T143" s="32" t="n">
        <v>11.87</v>
      </c>
      <c r="U143" s="32" t="n">
        <v>49.03</v>
      </c>
      <c r="V143" s="32" t="n">
        <v>33.21</v>
      </c>
      <c r="W143" s="32" t="n">
        <v>23.65</v>
      </c>
      <c r="X143" s="31" t="inlineStr">
        <is>
          <t>Cyclical in an Upturn</t>
        </is>
      </c>
      <c r="Y143" s="31">
        <f>IF(X143="Growing Industry",10,IF(X143="Cyclical in an Upturn",5,0))</f>
        <v/>
      </c>
      <c r="Z143" s="31" t="inlineStr">
        <is>
          <t>Oligopoly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Yes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Cyclical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Volatile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Between 50% to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IF(B144=0,"",RANK(B144,$B$2:$B$280,0))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IKIO</t>
        </is>
      </c>
      <c r="D144" s="31" t="inlineStr">
        <is>
          <t>IKIO Lighting Ltd</t>
        </is>
      </c>
      <c r="E144" s="31" t="inlineStr">
        <is>
          <t>consumer discretionary</t>
        </is>
      </c>
      <c r="F144" s="31" t="inlineStr">
        <is>
          <t>electric equipment</t>
        </is>
      </c>
      <c r="G144" s="31" t="inlineStr">
        <is>
          <t>smallcap</t>
        </is>
      </c>
      <c r="H144" s="32" t="n">
        <v>1673.13</v>
      </c>
      <c r="I144" s="32" t="n">
        <v>212.73</v>
      </c>
      <c r="J144" s="32" t="n">
        <v>-1.74</v>
      </c>
      <c r="K144" s="32" t="n">
        <v>592869</v>
      </c>
      <c r="L144" s="31" t="n">
        <v>59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66.06999999999999</v>
      </c>
      <c r="P144" s="32" t="n">
        <v>24.97</v>
      </c>
      <c r="Q144" s="32" t="n">
        <v>158.2</v>
      </c>
      <c r="R144" s="31" t="inlineStr">
        <is>
          <t>Earnings / Momentum Support</t>
        </is>
      </c>
      <c r="S144" s="31" t="inlineStr">
        <is>
          <t>Nifty 50</t>
        </is>
      </c>
      <c r="T144" s="32" t="n">
        <v>-3.39</v>
      </c>
      <c r="U144" s="32" t="n">
        <v>3.04</v>
      </c>
      <c r="V144" s="32" t="n">
        <v>6.65</v>
      </c>
      <c r="W144" s="32" t="n">
        <v>13.52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Less than 50%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IF(B145=0,"",RANK(B145,$B$2:$B$280,0))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3" t="inlineStr">
        <is>
          <t>ACE</t>
        </is>
      </c>
      <c r="D145" s="33" t="inlineStr">
        <is>
          <t>Action Construction Equipment Limited</t>
        </is>
      </c>
      <c r="E145" s="31" t="inlineStr">
        <is>
          <t>industrials</t>
        </is>
      </c>
      <c r="F145" s="31" t="inlineStr">
        <is>
          <t>engineering</t>
        </is>
      </c>
      <c r="G145" s="31" t="inlineStr">
        <is>
          <t>midcap</t>
        </is>
      </c>
      <c r="H145" s="32" t="n">
        <v>12331.06</v>
      </c>
      <c r="I145" s="32" t="n">
        <v>1007.6</v>
      </c>
      <c r="J145" s="32" t="n">
        <v>-2.69</v>
      </c>
      <c r="K145" s="32" t="n">
        <v>594844</v>
      </c>
      <c r="L145" s="31" t="n">
        <v>11</v>
      </c>
      <c r="M145" s="31" t="inlineStr">
        <is>
          <t>Underperforming</t>
        </is>
      </c>
      <c r="N145" s="32">
        <f>IF(M145="Underperforming",-5,IF(L145&gt;=95,15,IF(L145&gt;=90,10,IF(L145&gt;=80,5,0))))</f>
        <v/>
      </c>
      <c r="O145" s="32" t="n">
        <v>59.98</v>
      </c>
      <c r="P145" s="32" t="n">
        <v>14.08</v>
      </c>
      <c r="Q145" s="32" t="n">
        <v>805.25</v>
      </c>
      <c r="R145" s="31" t="inlineStr">
        <is>
          <t>Volume Spike / Accumulation</t>
        </is>
      </c>
      <c r="S145" s="31" t="inlineStr">
        <is>
          <t>Nifty 50</t>
        </is>
      </c>
      <c r="T145" s="32" t="n">
        <v>-3.39</v>
      </c>
      <c r="U145" s="32" t="n">
        <v>-8.4</v>
      </c>
      <c r="V145" s="32" t="n">
        <v>-5.2</v>
      </c>
      <c r="W145" s="32" t="n">
        <v>1.79</v>
      </c>
      <c r="X145" s="31" t="inlineStr">
        <is>
          <t>Cyclical in an Upturn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0 to 20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Less than 1.5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IF(B146=0,"",RANK(B146,$B$2:$B$280,0))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UNIMECH</t>
        </is>
      </c>
      <c r="D146" s="31" t="inlineStr">
        <is>
          <t>Unimech Aerospace and Manufacturing Ltd</t>
        </is>
      </c>
      <c r="E146" s="31" t="inlineStr">
        <is>
          <t>aerospace &amp; defence</t>
        </is>
      </c>
      <c r="F146" s="31" t="inlineStr">
        <is>
          <t>engineering</t>
        </is>
      </c>
      <c r="G146" s="31" t="inlineStr">
        <is>
          <t>midcap</t>
        </is>
      </c>
      <c r="H146" s="32" t="n">
        <v>6490.36</v>
      </c>
      <c r="I146" s="32" t="n">
        <v>1235.8</v>
      </c>
      <c r="J146" s="32" t="n">
        <v>-3.17</v>
      </c>
      <c r="K146" s="32" t="n">
        <v>87795</v>
      </c>
      <c r="L146" s="31" t="n">
        <v>37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64.05</v>
      </c>
      <c r="P146" s="32" t="n">
        <v>27.94</v>
      </c>
      <c r="Q146" s="32" t="n">
        <v>953.78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-3.39</v>
      </c>
      <c r="U146" s="32" t="n">
        <v>7.57</v>
      </c>
      <c r="V146" s="32" t="n">
        <v>11.34</v>
      </c>
      <c r="W146" s="32" t="n">
        <v>7.55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Less than 12%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IF(B147=0,"",RANK(B147,$B$2:$B$280,0))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LLOYDSENT</t>
        </is>
      </c>
      <c r="D147" s="31" t="inlineStr">
        <is>
          <t>Lloyds Enterprises Ltd</t>
        </is>
      </c>
      <c r="E147" s="31" t="inlineStr">
        <is>
          <t>services</t>
        </is>
      </c>
      <c r="F147" s="31" t="inlineStr">
        <is>
          <t>trading</t>
        </is>
      </c>
      <c r="G147" s="31" t="inlineStr">
        <is>
          <t>midcap</t>
        </is>
      </c>
      <c r="H147" s="32" t="n">
        <v>12439.87</v>
      </c>
      <c r="I147" s="32" t="n">
        <v>78.52</v>
      </c>
      <c r="J147" s="32" t="n">
        <v>-3.64</v>
      </c>
      <c r="K147" s="32" t="n">
        <v>3677810</v>
      </c>
      <c r="L147" s="31" t="n">
        <v>24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62.88</v>
      </c>
      <c r="P147" s="32" t="n">
        <v>33.61</v>
      </c>
      <c r="Q147" s="32" t="n">
        <v>57.82</v>
      </c>
      <c r="R147" s="31" t="inlineStr">
        <is>
          <t>Near 52W High Breakout</t>
        </is>
      </c>
      <c r="S147" s="31" t="inlineStr">
        <is>
          <t>Nifty 50</t>
        </is>
      </c>
      <c r="T147" s="32" t="n">
        <v>-3.39</v>
      </c>
      <c r="U147" s="32" t="n">
        <v>-0.75</v>
      </c>
      <c r="V147" s="32" t="n">
        <v>2.72</v>
      </c>
      <c r="W147" s="32" t="n">
        <v>4.82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Negative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IF(B148=0,"",RANK(B148,$B$2:$B$280,0))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MPSLTD</t>
        </is>
      </c>
      <c r="D148" s="31" t="inlineStr">
        <is>
          <t>Mps Limited</t>
        </is>
      </c>
      <c r="E148" s="31" t="inlineStr">
        <is>
          <t>i.t</t>
        </is>
      </c>
      <c r="F148" s="31" t="inlineStr">
        <is>
          <t>computers - software - medium / small</t>
        </is>
      </c>
      <c r="G148" s="31" t="inlineStr">
        <is>
          <t>smallcap</t>
        </is>
      </c>
      <c r="H148" s="32" t="n">
        <v>3655.68</v>
      </c>
      <c r="I148" s="32" t="n">
        <v>2564.5</v>
      </c>
      <c r="J148" s="32" t="n">
        <v>20</v>
      </c>
      <c r="K148" s="32" t="n">
        <v>1207996</v>
      </c>
      <c r="L148" s="31" t="n">
        <v>69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75.56999999999999</v>
      </c>
      <c r="P148" s="32" t="n">
        <v>22.09</v>
      </c>
      <c r="Q148" s="32" t="n">
        <v>2013.73</v>
      </c>
      <c r="R148" s="31" t="inlineStr">
        <is>
          <t>Volume Spike &amp; Near 52W High Breakout</t>
        </is>
      </c>
      <c r="S148" s="31" t="inlineStr">
        <is>
          <t>Nifty IT</t>
        </is>
      </c>
      <c r="T148" s="32" t="n">
        <v>-19.86</v>
      </c>
      <c r="U148" s="32" t="n">
        <v>8.949999999999999</v>
      </c>
      <c r="V148" s="32" t="n">
        <v>35.94</v>
      </c>
      <c r="W148" s="32" t="n">
        <v>16.7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IF(B149=0,"",RANK(B149,$B$2:$B$280,0))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BALRAMCHIN</t>
        </is>
      </c>
      <c r="D149" s="31" t="inlineStr">
        <is>
          <t>Balrampur Chini Mills Limited</t>
        </is>
      </c>
      <c r="E149" s="31" t="inlineStr">
        <is>
          <t>fmcg</t>
        </is>
      </c>
      <c r="F149" s="31" t="inlineStr">
        <is>
          <t>sugar</t>
        </is>
      </c>
      <c r="G149" s="31" t="inlineStr">
        <is>
          <t>midcap</t>
        </is>
      </c>
      <c r="H149" s="32" t="n">
        <v>13053.14</v>
      </c>
      <c r="I149" s="32" t="n">
        <v>624.75</v>
      </c>
      <c r="J149" s="32" t="n">
        <v>1.12</v>
      </c>
      <c r="K149" s="32" t="n">
        <v>455682</v>
      </c>
      <c r="L149" s="31" t="n">
        <v>35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76.95999999999999</v>
      </c>
      <c r="P149" s="32" t="n">
        <v>35.55</v>
      </c>
      <c r="Q149" s="32" t="n">
        <v>514.6799999999999</v>
      </c>
      <c r="R149" s="31" t="inlineStr">
        <is>
          <t>Near 52W High Breakout</t>
        </is>
      </c>
      <c r="S149" s="31" t="inlineStr">
        <is>
          <t>Nifty FMCG</t>
        </is>
      </c>
      <c r="T149" s="32" t="n">
        <v>-9.800000000000001</v>
      </c>
      <c r="U149" s="32" t="n">
        <v>6.84</v>
      </c>
      <c r="V149" s="32" t="n">
        <v>18.44</v>
      </c>
      <c r="W149" s="32" t="n">
        <v>7.1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B2C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Annuity, Lower One Time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Above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Blue sky scenario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Between 0.7 to 1.2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IF(B150=0,"",RANK(B150,$B$2:$B$280,0))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UNITDSPR</t>
        </is>
      </c>
      <c r="D150" s="31" t="inlineStr">
        <is>
          <t>United Spirits Ltd</t>
        </is>
      </c>
      <c r="E150" s="31" t="inlineStr">
        <is>
          <t>fmcg</t>
        </is>
      </c>
      <c r="F150" s="31" t="inlineStr">
        <is>
          <t>breweries &amp; distilleries</t>
        </is>
      </c>
      <c r="G150" s="31" t="inlineStr">
        <is>
          <t>largecap</t>
        </is>
      </c>
      <c r="H150" s="32" t="n">
        <v>101159.96</v>
      </c>
      <c r="I150" s="32" t="n">
        <v>1404.2</v>
      </c>
      <c r="J150" s="32" t="n">
        <v>0.96</v>
      </c>
      <c r="K150" s="32" t="n">
        <v>666195</v>
      </c>
      <c r="L150" s="31" t="n">
        <v>13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58.88</v>
      </c>
      <c r="P150" s="32" t="n">
        <v>13.49</v>
      </c>
      <c r="Q150" s="32" t="n">
        <v>1200.35</v>
      </c>
      <c r="R150" s="31" t="inlineStr">
        <is>
          <t>Near 52W High Breakout</t>
        </is>
      </c>
      <c r="S150" s="31" t="inlineStr">
        <is>
          <t>Nifty FMCG</t>
        </is>
      </c>
      <c r="T150" s="32" t="n">
        <v>-9.800000000000001</v>
      </c>
      <c r="U150" s="32" t="n">
        <v>9.19</v>
      </c>
      <c r="V150" s="32" t="n">
        <v>21.05</v>
      </c>
      <c r="W150" s="32" t="n">
        <v>2.14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B2C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Annuity, Lower One Time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0 to 20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Between 50% to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IF(B151=0,"",RANK(B151,$B$2:$B$280,0))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3" t="inlineStr">
        <is>
          <t>MEDANTA</t>
        </is>
      </c>
      <c r="D151" s="33" t="inlineStr">
        <is>
          <t>Global Health Ltd</t>
        </is>
      </c>
      <c r="E151" s="31" t="inlineStr">
        <is>
          <t>healthcare</t>
        </is>
      </c>
      <c r="F151" s="31" t="inlineStr">
        <is>
          <t>healthcare</t>
        </is>
      </c>
      <c r="G151" s="31" t="inlineStr">
        <is>
          <t>largecap</t>
        </is>
      </c>
      <c r="H151" s="32" t="n">
        <v>36087.8</v>
      </c>
      <c r="I151" s="32" t="n">
        <v>1353.4</v>
      </c>
      <c r="J151" s="32" t="n">
        <v>0.8</v>
      </c>
      <c r="K151" s="32" t="n">
        <v>491307</v>
      </c>
      <c r="L151" s="31" t="n">
        <v>31</v>
      </c>
      <c r="M151" s="31" t="inlineStr">
        <is>
          <t>Underperforming</t>
        </is>
      </c>
      <c r="N151" s="32">
        <f>IF(M151="Underperforming",-5,IF(L151&gt;=95,15,IF(L151&gt;=90,10,IF(L151&gt;=80,5,0))))</f>
        <v/>
      </c>
      <c r="O151" s="32" t="n">
        <v>65.11</v>
      </c>
      <c r="P151" s="32" t="n">
        <v>14.3</v>
      </c>
      <c r="Q151" s="32" t="n">
        <v>1133.26</v>
      </c>
      <c r="R151" s="31" t="inlineStr">
        <is>
          <t>Near 52W High Breakout</t>
        </is>
      </c>
      <c r="S151" s="31" t="inlineStr">
        <is>
          <t>Nifty Pharma</t>
        </is>
      </c>
      <c r="T151" s="32" t="n">
        <v>13.63</v>
      </c>
      <c r="U151" s="32" t="n">
        <v>2.33</v>
      </c>
      <c r="V151" s="32" t="n">
        <v>-9.949999999999999</v>
      </c>
      <c r="W151" s="32" t="n">
        <v>6.1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Yes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Annuity, Lower One Time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0 to 20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Between 1.5 to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IF(B152=0,"",RANK(B152,$B$2:$B$280,0))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3" t="inlineStr">
        <is>
          <t>LALPATHLAB</t>
        </is>
      </c>
      <c r="D152" s="33" t="inlineStr">
        <is>
          <t>Dr. Lal Path Labs Ltd.</t>
        </is>
      </c>
      <c r="E152" s="31" t="inlineStr">
        <is>
          <t>healthcare</t>
        </is>
      </c>
      <c r="F152" s="31" t="inlineStr">
        <is>
          <t>healthcare</t>
        </is>
      </c>
      <c r="G152" s="31" t="inlineStr">
        <is>
          <t>largecap</t>
        </is>
      </c>
      <c r="H152" s="32" t="n">
        <v>28486.03</v>
      </c>
      <c r="I152" s="32" t="n">
        <v>1699</v>
      </c>
      <c r="J152" s="32" t="n">
        <v>-0.06</v>
      </c>
      <c r="K152" s="32" t="n">
        <v>181603</v>
      </c>
      <c r="L152" s="31" t="n">
        <v>33</v>
      </c>
      <c r="M152" s="31" t="inlineStr">
        <is>
          <t>Underperforming</t>
        </is>
      </c>
      <c r="N152" s="32">
        <f>IF(M152="Underperforming",-5,IF(L152&gt;=95,15,IF(L152&gt;=90,10,IF(L152&gt;=80,5,0))))</f>
        <v/>
      </c>
      <c r="O152" s="32" t="n">
        <v>63.73</v>
      </c>
      <c r="P152" s="32" t="n">
        <v>33.84</v>
      </c>
      <c r="Q152" s="32" t="n">
        <v>1393.52</v>
      </c>
      <c r="R152" s="31" t="inlineStr">
        <is>
          <t>Near 52W High Breakout</t>
        </is>
      </c>
      <c r="S152" s="31" t="inlineStr">
        <is>
          <t>Nifty Pharma</t>
        </is>
      </c>
      <c r="T152" s="32" t="n">
        <v>13.63</v>
      </c>
      <c r="U152" s="32" t="n">
        <v>11.43</v>
      </c>
      <c r="V152" s="32" t="n">
        <v>-1.94</v>
      </c>
      <c r="W152" s="32" t="n">
        <v>6.83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Yes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Annuity, Lower One Time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Less than 12%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IF(B153=0,"",RANK(B153,$B$2:$B$280,0))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3" t="inlineStr">
        <is>
          <t>JLHL</t>
        </is>
      </c>
      <c r="D153" s="33" t="inlineStr">
        <is>
          <t>Jupiter Life Line Hospitals Ltd</t>
        </is>
      </c>
      <c r="E153" s="31" t="inlineStr">
        <is>
          <t>healthcare</t>
        </is>
      </c>
      <c r="F153" s="31" t="inlineStr">
        <is>
          <t>healthcare</t>
        </is>
      </c>
      <c r="G153" s="31" t="inlineStr">
        <is>
          <t>midcap</t>
        </is>
      </c>
      <c r="H153" s="32" t="n">
        <v>10274.85</v>
      </c>
      <c r="I153" s="32" t="n">
        <v>1565.3</v>
      </c>
      <c r="J153" s="32" t="n">
        <v>-0.11</v>
      </c>
      <c r="K153" s="32" t="n">
        <v>43703</v>
      </c>
      <c r="L153" s="31" t="n">
        <v>36</v>
      </c>
      <c r="M153" s="31" t="inlineStr">
        <is>
          <t>Underperforming</t>
        </is>
      </c>
      <c r="N153" s="32">
        <f>IF(M153="Underperforming",-5,IF(L153&gt;=95,15,IF(L153&gt;=90,10,IF(L153&gt;=80,5,0))))</f>
        <v/>
      </c>
      <c r="O153" s="32" t="n">
        <v>72.01000000000001</v>
      </c>
      <c r="P153" s="32" t="n">
        <v>24.46</v>
      </c>
      <c r="Q153" s="32" t="n">
        <v>1320.3</v>
      </c>
      <c r="R153" s="31" t="inlineStr">
        <is>
          <t>Near 52W High Breakout</t>
        </is>
      </c>
      <c r="S153" s="31" t="inlineStr">
        <is>
          <t>Nifty Pharma</t>
        </is>
      </c>
      <c r="T153" s="32" t="n">
        <v>13.63</v>
      </c>
      <c r="U153" s="32" t="n">
        <v>7.45</v>
      </c>
      <c r="V153" s="32" t="n">
        <v>-5.44</v>
      </c>
      <c r="W153" s="32" t="n">
        <v>7.26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Yes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Annuity, Lower One Time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Between 12 to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IF(B154=0,"",RANK(B154,$B$2:$B$280,0))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IPCALAB</t>
        </is>
      </c>
      <c r="D154" s="31" t="inlineStr">
        <is>
          <t>Ipca Laboratories Limited</t>
        </is>
      </c>
      <c r="E154" s="31" t="inlineStr">
        <is>
          <t>healthcare</t>
        </is>
      </c>
      <c r="F154" s="31" t="inlineStr">
        <is>
          <t>pharmaceuticals - indian - bulk drugs &amp; formln</t>
        </is>
      </c>
      <c r="G154" s="31" t="inlineStr">
        <is>
          <t>largecap</t>
        </is>
      </c>
      <c r="H154" s="32" t="n">
        <v>45641.39</v>
      </c>
      <c r="I154" s="32" t="n">
        <v>1788.5</v>
      </c>
      <c r="J154" s="32" t="n">
        <v>-0.58</v>
      </c>
      <c r="K154" s="32" t="n">
        <v>193001</v>
      </c>
      <c r="L154" s="31" t="n">
        <v>36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61.94</v>
      </c>
      <c r="P154" s="32" t="n">
        <v>35.68</v>
      </c>
      <c r="Q154" s="32" t="n">
        <v>1541.19</v>
      </c>
      <c r="R154" s="31" t="inlineStr">
        <is>
          <t>Earnings / Momentum Support</t>
        </is>
      </c>
      <c r="S154" s="31" t="inlineStr">
        <is>
          <t>Nifty Pharma</t>
        </is>
      </c>
      <c r="T154" s="32" t="n">
        <v>13.63</v>
      </c>
      <c r="U154" s="32" t="n">
        <v>18.69</v>
      </c>
      <c r="V154" s="32" t="n">
        <v>4.45</v>
      </c>
      <c r="W154" s="32" t="n">
        <v>7.15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Yes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Annuity, Lower One Time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Between 50% to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IF(B155=0,"",RANK(B155,$B$2:$B$280,0))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DALMIASUG</t>
        </is>
      </c>
      <c r="D155" s="31" t="inlineStr">
        <is>
          <t>Dalmia Bharat Sugar And Industries Limited</t>
        </is>
      </c>
      <c r="E155" s="31" t="inlineStr">
        <is>
          <t>fmcg</t>
        </is>
      </c>
      <c r="F155" s="31" t="inlineStr">
        <is>
          <t>sugar</t>
        </is>
      </c>
      <c r="G155" s="31" t="inlineStr">
        <is>
          <t>smallcap</t>
        </is>
      </c>
      <c r="H155" s="32" t="n">
        <v>2998.4</v>
      </c>
      <c r="I155" s="32" t="n">
        <v>365.05</v>
      </c>
      <c r="J155" s="32" t="n">
        <v>-1.46</v>
      </c>
      <c r="K155" s="32" t="n">
        <v>156105</v>
      </c>
      <c r="L155" s="31" t="n">
        <v>10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57.38</v>
      </c>
      <c r="P155" s="32" t="n">
        <v>24.04</v>
      </c>
      <c r="Q155" s="32" t="n">
        <v>305.62</v>
      </c>
      <c r="R155" s="31" t="inlineStr">
        <is>
          <t>Earnings / Momentum Support</t>
        </is>
      </c>
      <c r="S155" s="31" t="inlineStr">
        <is>
          <t>Nifty FMCG</t>
        </is>
      </c>
      <c r="T155" s="32" t="n">
        <v>-9.800000000000001</v>
      </c>
      <c r="U155" s="32" t="n">
        <v>-1.67</v>
      </c>
      <c r="V155" s="32" t="n">
        <v>9.01</v>
      </c>
      <c r="W155" s="32" t="n">
        <v>1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B2C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Annuity, Lower One Time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Less than 12%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Between 50% to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IF(B156=0,"",RANK(B156,$B$2:$B$280,0))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CHENNPETRO</t>
        </is>
      </c>
      <c r="D156" s="31" t="inlineStr">
        <is>
          <t>Chennai Petroleum Corporation Limited</t>
        </is>
      </c>
      <c r="E156" s="31" t="inlineStr">
        <is>
          <t>energy</t>
        </is>
      </c>
      <c r="F156" s="31" t="inlineStr">
        <is>
          <t>refineries</t>
        </is>
      </c>
      <c r="G156" s="31" t="inlineStr">
        <is>
          <t>midcap</t>
        </is>
      </c>
      <c r="H156" s="32" t="n">
        <v>18734.54</v>
      </c>
      <c r="I156" s="32" t="n">
        <v>1307.8</v>
      </c>
      <c r="J156" s="32" t="n">
        <v>3.95</v>
      </c>
      <c r="K156" s="32" t="n">
        <v>2966128</v>
      </c>
      <c r="L156" s="31" t="n">
        <v>77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68.73</v>
      </c>
      <c r="P156" s="32" t="n">
        <v>48.4</v>
      </c>
      <c r="Q156" s="32" t="n">
        <v>987.78</v>
      </c>
      <c r="R156" s="31" t="inlineStr">
        <is>
          <t>Near 52W High Breakout</t>
        </is>
      </c>
      <c r="S156" s="31" t="inlineStr">
        <is>
          <t>Nifty Energy</t>
        </is>
      </c>
      <c r="T156" s="32" t="n">
        <v>11.87</v>
      </c>
      <c r="U156" s="32" t="n">
        <v>93.12</v>
      </c>
      <c r="V156" s="32" t="n">
        <v>72.62</v>
      </c>
      <c r="W156" s="32" t="n">
        <v>19.76</v>
      </c>
      <c r="X156" s="31" t="inlineStr">
        <is>
          <t>Cyclical in an Upturn</t>
        </is>
      </c>
      <c r="Y156" s="31">
        <f>IF(X156="Growing Industry",10,IF(X156="Cyclical in an Upturn",5,0))</f>
        <v/>
      </c>
      <c r="Z156" s="31" t="inlineStr">
        <is>
          <t>Oligopoly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Yes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Cyclical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Volatile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Between 50% to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IF(B157=0,"",RANK(B157,$B$2:$B$280,0))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UNIVPHOTO</t>
        </is>
      </c>
      <c r="D157" s="31" t="inlineStr">
        <is>
          <t>Universus Photo Imagings Ltd</t>
        </is>
      </c>
      <c r="E157" s="31" t="inlineStr">
        <is>
          <t>consumer discretionary</t>
        </is>
      </c>
      <c r="F157" s="31" t="inlineStr">
        <is>
          <t>photographic and allied products</t>
        </is>
      </c>
      <c r="G157" s="31" t="inlineStr">
        <is>
          <t>smallcap</t>
        </is>
      </c>
      <c r="H157" s="32" t="n">
        <v>502.56</v>
      </c>
      <c r="I157" s="32" t="n">
        <v>475</v>
      </c>
      <c r="J157" s="32" t="n">
        <v>3.46</v>
      </c>
      <c r="K157" s="32" t="n">
        <v>3245</v>
      </c>
      <c r="L157" s="31" t="n">
        <v>81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63.16</v>
      </c>
      <c r="P157" s="32" t="n">
        <v>14.83</v>
      </c>
      <c r="Q157" s="32" t="n">
        <v>361.39</v>
      </c>
      <c r="R157" s="31" t="inlineStr">
        <is>
          <t>Volume Spike / Accumulation</t>
        </is>
      </c>
      <c r="S157" s="31" t="inlineStr">
        <is>
          <t>Nifty 50</t>
        </is>
      </c>
      <c r="T157" s="32" t="n">
        <v>-3.39</v>
      </c>
      <c r="U157" s="32" t="n">
        <v>77.87</v>
      </c>
      <c r="V157" s="32" t="n">
        <v>84.09999999999999</v>
      </c>
      <c r="W157" s="32" t="n">
        <v>22.71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0 to 20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Less than 1.5</t>
        </is>
      </c>
      <c r="BU157" s="31">
        <f>IF(BT157="Above 2",0,IF(BT157="Between 1.5 to 2",5,IF(BT157="Less than 1.5",10,0)))</f>
        <v/>
      </c>
      <c r="BV157" s="31" t="inlineStr">
        <is>
          <t>Negative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IF(B158=0,"",RANK(B158,$B$2:$B$280,0))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KALYANKJIL</t>
        </is>
      </c>
      <c r="D158" s="31" t="inlineStr">
        <is>
          <t>Kalyan Jewellers India Ltd</t>
        </is>
      </c>
      <c r="E158" s="31" t="inlineStr">
        <is>
          <t>consumer discretionary</t>
        </is>
      </c>
      <c r="F158" s="31" t="inlineStr">
        <is>
          <t>diamond cutting / jewellery</t>
        </is>
      </c>
      <c r="G158" s="31" t="inlineStr">
        <is>
          <t>largecap</t>
        </is>
      </c>
      <c r="H158" s="32" t="n">
        <v>59589.11</v>
      </c>
      <c r="I158" s="32" t="n">
        <v>596.1</v>
      </c>
      <c r="J158" s="32" t="n">
        <v>3.31</v>
      </c>
      <c r="K158" s="32" t="n">
        <v>32800326</v>
      </c>
      <c r="L158" s="31" t="n">
        <v>57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71.68000000000001</v>
      </c>
      <c r="P158" s="32" t="n">
        <v>22.92</v>
      </c>
      <c r="Q158" s="32" t="n">
        <v>457.39</v>
      </c>
      <c r="R158" s="31" t="inlineStr">
        <is>
          <t>Near 52W High Breakout</t>
        </is>
      </c>
      <c r="S158" s="31" t="inlineStr">
        <is>
          <t>Nifty 50</t>
        </is>
      </c>
      <c r="T158" s="32" t="n">
        <v>-3.39</v>
      </c>
      <c r="U158" s="32" t="n">
        <v>0.65</v>
      </c>
      <c r="V158" s="32" t="n">
        <v>4.17</v>
      </c>
      <c r="W158" s="32" t="n">
        <v>12.46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Between 50% to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Between 0.7 to 1.2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IF(B159=0,"",RANK(B159,$B$2:$B$280,0))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MAHLOG</t>
        </is>
      </c>
      <c r="D159" s="31" t="inlineStr">
        <is>
          <t>Mahindra Logistics Ltd</t>
        </is>
      </c>
      <c r="E159" s="31" t="inlineStr">
        <is>
          <t>transportation</t>
        </is>
      </c>
      <c r="F159" s="31" t="inlineStr">
        <is>
          <t>miscellaneous</t>
        </is>
      </c>
      <c r="G159" s="31" t="inlineStr">
        <is>
          <t>smallcap</t>
        </is>
      </c>
      <c r="H159" s="32" t="n">
        <v>3881.09</v>
      </c>
      <c r="I159" s="32" t="n">
        <v>402.15</v>
      </c>
      <c r="J159" s="32" t="n">
        <v>2.81</v>
      </c>
      <c r="K159" s="32" t="n">
        <v>1039486</v>
      </c>
      <c r="L159" s="31" t="n">
        <v>22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59.22</v>
      </c>
      <c r="P159" s="32" t="n">
        <v>19.21</v>
      </c>
      <c r="Q159" s="32" t="n">
        <v>309.48</v>
      </c>
      <c r="R159" s="31" t="inlineStr">
        <is>
          <t>Volume Spike / Accumulation</t>
        </is>
      </c>
      <c r="S159" s="31" t="inlineStr">
        <is>
          <t>Nifty 50</t>
        </is>
      </c>
      <c r="T159" s="32" t="n">
        <v>-3.39</v>
      </c>
      <c r="U159" s="32" t="n">
        <v>15.56</v>
      </c>
      <c r="V159" s="32" t="n">
        <v>19.61</v>
      </c>
      <c r="W159" s="32" t="n">
        <v>4.48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0 to 20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IF(B160=0,"",RANK(B160,$B$2:$B$280,0))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TBZ</t>
        </is>
      </c>
      <c r="D160" s="31" t="inlineStr">
        <is>
          <t>Tribhovandas Bhimji Zaveri Limited</t>
        </is>
      </c>
      <c r="E160" s="31" t="inlineStr">
        <is>
          <t>consumer discretionary</t>
        </is>
      </c>
      <c r="F160" s="31" t="inlineStr">
        <is>
          <t>diamond cutting / jewellery</t>
        </is>
      </c>
      <c r="G160" s="31" t="inlineStr">
        <is>
          <t>smallcap</t>
        </is>
      </c>
      <c r="H160" s="32" t="n">
        <v>1733.19</v>
      </c>
      <c r="I160" s="32" t="n">
        <v>264.37</v>
      </c>
      <c r="J160" s="32" t="n">
        <v>1.79</v>
      </c>
      <c r="K160" s="32" t="n">
        <v>2154747</v>
      </c>
      <c r="L160" s="31" t="n">
        <v>88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78.98999999999999</v>
      </c>
      <c r="P160" s="32" t="n">
        <v>28.61</v>
      </c>
      <c r="Q160" s="32" t="n">
        <v>198.4</v>
      </c>
      <c r="R160" s="31" t="inlineStr">
        <is>
          <t>Near 52W High Breakout</t>
        </is>
      </c>
      <c r="S160" s="31" t="inlineStr">
        <is>
          <t>Nifty 50</t>
        </is>
      </c>
      <c r="T160" s="32" t="n">
        <v>-3.39</v>
      </c>
      <c r="U160" s="32" t="n">
        <v>41.44</v>
      </c>
      <c r="V160" s="32" t="n">
        <v>46.4</v>
      </c>
      <c r="W160" s="32" t="n">
        <v>27.67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Above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Less than 50% and Borrowings are increasing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Between 0.7 to 1.2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IF(B161=0,"",RANK(B161,$B$2:$B$280,0))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3" t="inlineStr">
        <is>
          <t>ARROWGREEN</t>
        </is>
      </c>
      <c r="D161" s="33" t="inlineStr">
        <is>
          <t>Arrow Greentech Limited</t>
        </is>
      </c>
      <c r="E161" s="31" t="inlineStr">
        <is>
          <t>plastic products</t>
        </is>
      </c>
      <c r="F161" s="31" t="inlineStr">
        <is>
          <t>plastics products</t>
        </is>
      </c>
      <c r="G161" s="31" t="inlineStr">
        <is>
          <t>smallcap</t>
        </is>
      </c>
      <c r="H161" s="32" t="n">
        <v>1057.14</v>
      </c>
      <c r="I161" s="32" t="n">
        <v>711</v>
      </c>
      <c r="J161" s="32" t="n">
        <v>1.48</v>
      </c>
      <c r="K161" s="32" t="n">
        <v>16165</v>
      </c>
      <c r="L161" s="31" t="n">
        <v>45</v>
      </c>
      <c r="M161" s="31" t="inlineStr">
        <is>
          <t>Underperforming</t>
        </is>
      </c>
      <c r="N161" s="32">
        <f>IF(M161="Underperforming",-5,IF(L161&gt;=95,15,IF(L161&gt;=90,10,IF(L161&gt;=80,5,0))))</f>
        <v/>
      </c>
      <c r="O161" s="32" t="n">
        <v>67.69</v>
      </c>
      <c r="P161" s="32" t="n">
        <v>26.91</v>
      </c>
      <c r="Q161" s="32" t="n">
        <v>506.37</v>
      </c>
      <c r="R161" s="31" t="inlineStr">
        <is>
          <t>Near 52W High Breakout</t>
        </is>
      </c>
      <c r="S161" s="31" t="inlineStr">
        <is>
          <t>Nifty Infra</t>
        </is>
      </c>
      <c r="T161" s="32" t="n">
        <v>3.35</v>
      </c>
      <c r="U161" s="32" t="n">
        <v>-5.42</v>
      </c>
      <c r="V161" s="32" t="n">
        <v>-8.48</v>
      </c>
      <c r="W161" s="32" t="n">
        <v>9.279999999999999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Between 50% to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IF(B162=0,"",RANK(B162,$B$2:$B$280,0))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ANTELOPUS</t>
        </is>
      </c>
      <c r="D162" s="31" t="inlineStr">
        <is>
          <t>Antelopus Selan Energy Ltd</t>
        </is>
      </c>
      <c r="E162" s="31" t="inlineStr">
        <is>
          <t>energy</t>
        </is>
      </c>
      <c r="F162" s="31" t="inlineStr">
        <is>
          <t>oil drilling / allied services</t>
        </is>
      </c>
      <c r="G162" s="31" t="inlineStr">
        <is>
          <t>smallcap</t>
        </is>
      </c>
      <c r="H162" s="32" t="n">
        <v>3053.68</v>
      </c>
      <c r="I162" s="32" t="n">
        <v>881.2</v>
      </c>
      <c r="J162" s="32" t="n">
        <v>1.47</v>
      </c>
      <c r="K162" s="32" t="n">
        <v>180012</v>
      </c>
      <c r="L162" s="31" t="n">
        <v>72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66.12</v>
      </c>
      <c r="P162" s="32" t="n">
        <v>51.23</v>
      </c>
      <c r="Q162" s="32" t="n">
        <v>633.0599999999999</v>
      </c>
      <c r="R162" s="31" t="inlineStr">
        <is>
          <t>Near 52W High Breakout</t>
        </is>
      </c>
      <c r="S162" s="31" t="inlineStr">
        <is>
          <t>Nifty Energy</t>
        </is>
      </c>
      <c r="T162" s="32" t="n">
        <v>11.87</v>
      </c>
      <c r="U162" s="32" t="n">
        <v>41.34</v>
      </c>
      <c r="V162" s="32" t="n">
        <v>26.34</v>
      </c>
      <c r="W162" s="32" t="n">
        <v>17.56</v>
      </c>
      <c r="X162" s="31" t="inlineStr">
        <is>
          <t>Cyclical in an Upturn</t>
        </is>
      </c>
      <c r="Y162" s="31">
        <f>IF(X162="Growing Industry",10,IF(X162="Cyclical in an Upturn",5,0))</f>
        <v/>
      </c>
      <c r="Z162" s="31" t="inlineStr">
        <is>
          <t>Oligopoly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Yes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Cyclical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Volatile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Above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IF(B163=0,"",RANK(B163,$B$2:$B$280,0))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RBZJEWEL</t>
        </is>
      </c>
      <c r="D163" s="31" t="inlineStr">
        <is>
          <t>RBZ Jewellers Ltd</t>
        </is>
      </c>
      <c r="E163" s="31" t="inlineStr">
        <is>
          <t>consumer discretionary</t>
        </is>
      </c>
      <c r="F163" s="31" t="inlineStr">
        <is>
          <t>diamond cutting / jewellery</t>
        </is>
      </c>
      <c r="G163" s="31" t="inlineStr">
        <is>
          <t>smallcap</t>
        </is>
      </c>
      <c r="H163" s="32" t="n">
        <v>584.4400000000001</v>
      </c>
      <c r="I163" s="32" t="n">
        <v>147</v>
      </c>
      <c r="J163" s="32" t="n">
        <v>0.61</v>
      </c>
      <c r="K163" s="32" t="n">
        <v>96429</v>
      </c>
      <c r="L163" s="31" t="n">
        <v>16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54.83</v>
      </c>
      <c r="P163" s="32" t="n">
        <v>26.95</v>
      </c>
      <c r="Q163" s="32" t="n">
        <v>108.86</v>
      </c>
      <c r="R163" s="31" t="inlineStr">
        <is>
          <t>Earnings / Momentum Support</t>
        </is>
      </c>
      <c r="S163" s="31" t="inlineStr">
        <is>
          <t>Nifty 50</t>
        </is>
      </c>
      <c r="T163" s="32" t="n">
        <v>-3.39</v>
      </c>
      <c r="U163" s="32" t="n">
        <v>7.96</v>
      </c>
      <c r="V163" s="32" t="n">
        <v>11.74</v>
      </c>
      <c r="W163" s="32" t="n">
        <v>2.71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Less than 1.5</t>
        </is>
      </c>
      <c r="BU163" s="31">
        <f>IF(BT163="Above 2",0,IF(BT163="Between 1.5 to 2",5,IF(BT163="Less than 1.5",10,0)))</f>
        <v/>
      </c>
      <c r="BV163" s="31" t="inlineStr">
        <is>
          <t>Negative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IF(B164=0,"",RANK(B164,$B$2:$B$280,0))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3" t="inlineStr">
        <is>
          <t>MMP</t>
        </is>
      </c>
      <c r="D164" s="33" t="inlineStr">
        <is>
          <t>MMP Industries Ltd</t>
        </is>
      </c>
      <c r="E164" s="31" t="inlineStr">
        <is>
          <t>metals &amp; mining</t>
        </is>
      </c>
      <c r="F164" s="31" t="inlineStr">
        <is>
          <t>aluminium and aluminium products</t>
        </is>
      </c>
      <c r="G164" s="31" t="inlineStr">
        <is>
          <t>smallcap</t>
        </is>
      </c>
      <c r="H164" s="32" t="n">
        <v>537.92</v>
      </c>
      <c r="I164" s="32" t="n">
        <v>286</v>
      </c>
      <c r="J164" s="32" t="n">
        <v>0.6</v>
      </c>
      <c r="K164" s="32" t="n">
        <v>53626</v>
      </c>
      <c r="L164" s="31" t="n">
        <v>21</v>
      </c>
      <c r="M164" s="31" t="inlineStr">
        <is>
          <t>Underperforming</t>
        </is>
      </c>
      <c r="N164" s="32">
        <f>IF(M164="Underperforming",-5,IF(L164&gt;=95,15,IF(L164&gt;=90,10,IF(L164&gt;=80,5,0))))</f>
        <v/>
      </c>
      <c r="O164" s="32" t="n">
        <v>57.64</v>
      </c>
      <c r="P164" s="32" t="n">
        <v>30.34</v>
      </c>
      <c r="Q164" s="32" t="n">
        <v>214.83</v>
      </c>
      <c r="R164" s="31" t="inlineStr">
        <is>
          <t>Near 52W High Breakout</t>
        </is>
      </c>
      <c r="S164" s="31" t="inlineStr">
        <is>
          <t>Nifty Metal</t>
        </is>
      </c>
      <c r="T164" s="32" t="n">
        <v>33.29</v>
      </c>
      <c r="U164" s="32" t="n">
        <v>5.4</v>
      </c>
      <c r="V164" s="32" t="n">
        <v>-20.93</v>
      </c>
      <c r="W164" s="32" t="n">
        <v>4.04</v>
      </c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Cyclical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Volatile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IF(B165=0,"",RANK(B165,$B$2:$B$280,0))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SBC</t>
        </is>
      </c>
      <c r="D165" s="31" t="inlineStr">
        <is>
          <t>SBC Exports Ltd</t>
        </is>
      </c>
      <c r="E165" s="31" t="inlineStr">
        <is>
          <t>textiles</t>
        </is>
      </c>
      <c r="F165" s="31" t="inlineStr">
        <is>
          <t>textiles - products</t>
        </is>
      </c>
      <c r="G165" s="31" t="inlineStr">
        <is>
          <t>smallcap</t>
        </is>
      </c>
      <c r="H165" s="32" t="n">
        <v>1994.28</v>
      </c>
      <c r="I165" s="32" t="n">
        <v>42.12</v>
      </c>
      <c r="J165" s="32" t="n">
        <v>0.57</v>
      </c>
      <c r="K165" s="32" t="n">
        <v>8829919</v>
      </c>
      <c r="L165" s="31" t="n">
        <v>85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72.44</v>
      </c>
      <c r="P165" s="32" t="n">
        <v>40.2</v>
      </c>
      <c r="Q165" s="32" t="n">
        <v>36.44</v>
      </c>
      <c r="R165" s="31" t="inlineStr">
        <is>
          <t>Near 52W High Breakout</t>
        </is>
      </c>
      <c r="S165" s="31" t="inlineStr">
        <is>
          <t>Nifty 50</t>
        </is>
      </c>
      <c r="T165" s="32" t="n">
        <v>-3.39</v>
      </c>
      <c r="U165" s="32" t="n">
        <v>141.93</v>
      </c>
      <c r="V165" s="32" t="n">
        <v>150.41</v>
      </c>
      <c r="W165" s="32" t="n">
        <v>25.27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Between 1.5 to 2</t>
        </is>
      </c>
      <c r="BU165" s="31">
        <f>IF(BT165="Above 2",0,IF(BT165="Between 1.5 to 2",5,IF(BT165="Less than 1.5",10,0)))</f>
        <v/>
      </c>
      <c r="BV165" s="31" t="inlineStr">
        <is>
          <t>Negative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More than 1.2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IF(B166=0,"",RANK(B166,$B$2:$B$280,0))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SCHAEFFLER</t>
        </is>
      </c>
      <c r="D166" s="31" t="inlineStr">
        <is>
          <t>Schaeffler India Ltd</t>
        </is>
      </c>
      <c r="E166" s="31" t="inlineStr">
        <is>
          <t>industrials</t>
        </is>
      </c>
      <c r="F166" s="31" t="inlineStr">
        <is>
          <t>bearings</t>
        </is>
      </c>
      <c r="G166" s="31" t="inlineStr">
        <is>
          <t>largecap</t>
        </is>
      </c>
      <c r="H166" s="32" t="n">
        <v>65336.5</v>
      </c>
      <c r="I166" s="32" t="n">
        <v>4199.2</v>
      </c>
      <c r="J166" s="32" t="n">
        <v>0.46</v>
      </c>
      <c r="K166" s="32" t="n">
        <v>62994</v>
      </c>
      <c r="L166" s="31" t="n">
        <v>9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54.26</v>
      </c>
      <c r="P166" s="32" t="n">
        <v>16.35</v>
      </c>
      <c r="Q166" s="32" t="n">
        <v>3563.82</v>
      </c>
      <c r="R166" s="31" t="inlineStr">
        <is>
          <t>Near 52W High Breakout</t>
        </is>
      </c>
      <c r="S166" s="31" t="inlineStr">
        <is>
          <t>Nifty 50</t>
        </is>
      </c>
      <c r="T166" s="32" t="n">
        <v>-3.39</v>
      </c>
      <c r="U166" s="32" t="n">
        <v>4.98</v>
      </c>
      <c r="V166" s="32" t="n">
        <v>8.66</v>
      </c>
      <c r="W166" s="32" t="n">
        <v>0.97</v>
      </c>
      <c r="X166" s="31" t="inlineStr">
        <is>
          <t>Cyclical in an Upturn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0 to 20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IF(B167=0,"",RANK(B167,$B$2:$B$280,0))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DIACABS</t>
        </is>
      </c>
      <c r="D167" s="31" t="inlineStr">
        <is>
          <t>Diamond Power Infrastructure Ltd</t>
        </is>
      </c>
      <c r="E167" s="31" t="inlineStr">
        <is>
          <t>industrials</t>
        </is>
      </c>
      <c r="F167" s="31" t="inlineStr">
        <is>
          <t>cables - power</t>
        </is>
      </c>
      <c r="G167" s="31" t="inlineStr">
        <is>
          <t>midcap</t>
        </is>
      </c>
      <c r="H167" s="32" t="n">
        <v>14179.21</v>
      </c>
      <c r="I167" s="32" t="n">
        <v>269.14</v>
      </c>
      <c r="J167" s="32" t="n">
        <v>0.03</v>
      </c>
      <c r="K167" s="32" t="n">
        <v>9492628</v>
      </c>
      <c r="L167" s="31" t="n">
        <v>87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80.84</v>
      </c>
      <c r="P167" s="32" t="n">
        <v>53.41</v>
      </c>
      <c r="Q167" s="32" t="n">
        <v>202.48</v>
      </c>
      <c r="R167" s="31" t="inlineStr">
        <is>
          <t>Near 52W High Breakout</t>
        </is>
      </c>
      <c r="S167" s="31" t="inlineStr">
        <is>
          <t>Nifty Energy</t>
        </is>
      </c>
      <c r="T167" s="32" t="n">
        <v>11.87</v>
      </c>
      <c r="U167" s="32" t="n">
        <v>65.25</v>
      </c>
      <c r="V167" s="32" t="n">
        <v>47.71</v>
      </c>
      <c r="W167" s="32" t="n">
        <v>27.6</v>
      </c>
      <c r="X167" s="31" t="inlineStr">
        <is>
          <t>Cyclical in an Upturn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Above 40</t>
        </is>
      </c>
      <c r="AY167" s="31">
        <f>IF(AX167="Above 40",20,IF(AX167="20 to 40",10,IF(AX167="0 to 20",-5,0)))</f>
        <v/>
      </c>
      <c r="AZ167" s="31" t="inlineStr">
        <is>
          <t>Above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Negative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IF(B168=0,"",RANK(B168,$B$2:$B$280,0))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3" t="inlineStr">
        <is>
          <t>ARE&amp;M</t>
        </is>
      </c>
      <c r="D168" s="33" t="inlineStr">
        <is>
          <t>Amara Raja Energy &amp; Mobility Ltd</t>
        </is>
      </c>
      <c r="E168" s="31" t="inlineStr">
        <is>
          <t>auto</t>
        </is>
      </c>
      <c r="F168" s="31" t="inlineStr">
        <is>
          <t>auto ancillaries</t>
        </is>
      </c>
      <c r="G168" s="31" t="inlineStr">
        <is>
          <t>midcap</t>
        </is>
      </c>
      <c r="H168" s="32" t="n">
        <v>16563.8</v>
      </c>
      <c r="I168" s="32" t="n">
        <v>902.15</v>
      </c>
      <c r="J168" s="32" t="n">
        <v>-0.31</v>
      </c>
      <c r="K168" s="32" t="n">
        <v>538622</v>
      </c>
      <c r="L168" s="31" t="n">
        <v>4</v>
      </c>
      <c r="M168" s="31" t="inlineStr">
        <is>
          <t>Underperforming</t>
        </is>
      </c>
      <c r="N168" s="32">
        <f>IF(M168="Underperforming",-5,IF(L168&gt;=95,15,IF(L168&gt;=90,10,IF(L168&gt;=80,5,0))))</f>
        <v/>
      </c>
      <c r="O168" s="32" t="n">
        <v>56.06</v>
      </c>
      <c r="P168" s="32" t="n">
        <v>12.35</v>
      </c>
      <c r="Q168" s="32" t="n">
        <v>743.41</v>
      </c>
      <c r="R168" s="31" t="inlineStr">
        <is>
          <t>Earnings / Momentum Support</t>
        </is>
      </c>
      <c r="S168" s="31" t="inlineStr">
        <is>
          <t>Nifty Auto</t>
        </is>
      </c>
      <c r="T168" s="32" t="n">
        <v>14.92</v>
      </c>
      <c r="U168" s="32" t="n">
        <v>-8.300000000000001</v>
      </c>
      <c r="V168" s="32" t="n">
        <v>-20.2</v>
      </c>
      <c r="W168" s="32" t="n">
        <v>-0.9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Less than 1.5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IF(B169=0,"",RANK(B169,$B$2:$B$280,0))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DEEPAKFERT</t>
        </is>
      </c>
      <c r="D169" s="31" t="inlineStr">
        <is>
          <t>Deepak Fertilizers And Petrochemicals Corporation Limited</t>
        </is>
      </c>
      <c r="E169" s="31" t="inlineStr">
        <is>
          <t>chemicals</t>
        </is>
      </c>
      <c r="F169" s="31" t="inlineStr">
        <is>
          <t>chemicals</t>
        </is>
      </c>
      <c r="G169" s="31" t="inlineStr">
        <is>
          <t>largecap</t>
        </is>
      </c>
      <c r="H169" s="32" t="n">
        <v>20282.63</v>
      </c>
      <c r="I169" s="32" t="n">
        <v>1598.9</v>
      </c>
      <c r="J169" s="32" t="n">
        <v>-0.49</v>
      </c>
      <c r="K169" s="32" t="n">
        <v>145306</v>
      </c>
      <c r="L169" s="31" t="n">
        <v>40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65.5</v>
      </c>
      <c r="P169" s="32" t="n">
        <v>42.7</v>
      </c>
      <c r="Q169" s="32" t="n">
        <v>1289.94</v>
      </c>
      <c r="R169" s="31" t="inlineStr">
        <is>
          <t>Near 52W High Breakout</t>
        </is>
      </c>
      <c r="S169" s="31" t="inlineStr">
        <is>
          <t>Nifty 50</t>
        </is>
      </c>
      <c r="T169" s="32" t="n">
        <v>-3.39</v>
      </c>
      <c r="U169" s="32" t="n">
        <v>4.98</v>
      </c>
      <c r="V169" s="32" t="n">
        <v>8.66</v>
      </c>
      <c r="W169" s="32" t="n">
        <v>8.359999999999999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Less than 50%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Between 0.7 to 1.2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IF(B170=0,"",RANK(B170,$B$2:$B$280,0))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RELTD</t>
        </is>
      </c>
      <c r="D170" s="31" t="inlineStr">
        <is>
          <t>Ravindra Energy Ltd</t>
        </is>
      </c>
      <c r="E170" s="31" t="inlineStr">
        <is>
          <t>industrials</t>
        </is>
      </c>
      <c r="F170" s="31" t="inlineStr">
        <is>
          <t>electric equipment</t>
        </is>
      </c>
      <c r="G170" s="31" t="inlineStr">
        <is>
          <t>smallcap</t>
        </is>
      </c>
      <c r="H170" s="32" t="n">
        <v>3499.63</v>
      </c>
      <c r="I170" s="32" t="n">
        <v>175</v>
      </c>
      <c r="J170" s="32" t="n">
        <v>-0.71</v>
      </c>
      <c r="K170" s="32" t="n">
        <v>172325</v>
      </c>
      <c r="L170" s="31" t="n">
        <v>45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63.03</v>
      </c>
      <c r="P170" s="32" t="n">
        <v>20.9</v>
      </c>
      <c r="Q170" s="32" t="n">
        <v>126.69</v>
      </c>
      <c r="R170" s="31" t="inlineStr">
        <is>
          <t>Near 52W High Breakout</t>
        </is>
      </c>
      <c r="S170" s="31" t="inlineStr">
        <is>
          <t>Nifty 50</t>
        </is>
      </c>
      <c r="T170" s="32" t="n">
        <v>-3.39</v>
      </c>
      <c r="U170" s="32" t="n">
        <v>26.11</v>
      </c>
      <c r="V170" s="32" t="n">
        <v>30.53</v>
      </c>
      <c r="W170" s="32" t="n">
        <v>9.289999999999999</v>
      </c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More than 1.2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IF(B171=0,"",RANK(B171,$B$2:$B$280,0))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BHARATFORG</t>
        </is>
      </c>
      <c r="D171" s="31" t="inlineStr">
        <is>
          <t>Bharat Forge Limited</t>
        </is>
      </c>
      <c r="E171" s="31" t="inlineStr">
        <is>
          <t>industrials</t>
        </is>
      </c>
      <c r="F171" s="31" t="inlineStr">
        <is>
          <t>castings &amp; forgings</t>
        </is>
      </c>
      <c r="G171" s="31" t="inlineStr">
        <is>
          <t>largecap</t>
        </is>
      </c>
      <c r="H171" s="32" t="n">
        <v>105265.56</v>
      </c>
      <c r="I171" s="32" t="n">
        <v>2185.5</v>
      </c>
      <c r="J171" s="32" t="n">
        <v>-0.74</v>
      </c>
      <c r="K171" s="32" t="n">
        <v>796313</v>
      </c>
      <c r="L171" s="31" t="n">
        <v>70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72.51000000000001</v>
      </c>
      <c r="P171" s="32" t="n">
        <v>44.4</v>
      </c>
      <c r="Q171" s="32" t="n">
        <v>1843.75</v>
      </c>
      <c r="R171" s="31" t="inlineStr">
        <is>
          <t>Near 52W High Breakout</t>
        </is>
      </c>
      <c r="S171" s="31" t="inlineStr">
        <is>
          <t>Nifty 50</t>
        </is>
      </c>
      <c r="T171" s="32" t="n">
        <v>-3.39</v>
      </c>
      <c r="U171" s="32" t="n">
        <v>82.28</v>
      </c>
      <c r="V171" s="32" t="n">
        <v>88.67</v>
      </c>
      <c r="W171" s="32" t="n">
        <v>16.9</v>
      </c>
      <c r="X171" s="31" t="inlineStr">
        <is>
          <t>Cyclical in an Upturn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Above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Less than 12%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Between 50% to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Between 0.7 to 1.2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IF(B172=0,"",RANK(B172,$B$2:$B$280,0))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3" t="inlineStr">
        <is>
          <t>SUNDRMFAST</t>
        </is>
      </c>
      <c r="D172" s="33" t="inlineStr">
        <is>
          <t>Sundram Fasteners Limited</t>
        </is>
      </c>
      <c r="E172" s="31" t="inlineStr">
        <is>
          <t>auto</t>
        </is>
      </c>
      <c r="F172" s="31" t="inlineStr">
        <is>
          <t>auto ancillaries</t>
        </is>
      </c>
      <c r="G172" s="31" t="inlineStr">
        <is>
          <t>largecap</t>
        </is>
      </c>
      <c r="H172" s="32" t="n">
        <v>20276.34</v>
      </c>
      <c r="I172" s="32" t="n">
        <v>952.25</v>
      </c>
      <c r="J172" s="32" t="n">
        <v>-1.32</v>
      </c>
      <c r="K172" s="32" t="n">
        <v>37161</v>
      </c>
      <c r="L172" s="31" t="n">
        <v>18</v>
      </c>
      <c r="M172" s="31" t="inlineStr">
        <is>
          <t>Underperforming</t>
        </is>
      </c>
      <c r="N172" s="32">
        <f>IF(M172="Underperforming",-5,IF(L172&gt;=95,15,IF(L172&gt;=90,10,IF(L172&gt;=80,5,0))))</f>
        <v/>
      </c>
      <c r="O172" s="32" t="n">
        <v>62.46</v>
      </c>
      <c r="P172" s="32" t="n">
        <v>13.96</v>
      </c>
      <c r="Q172" s="32" t="n">
        <v>818.2</v>
      </c>
      <c r="R172" s="31" t="inlineStr">
        <is>
          <t>Earnings / Momentum Support</t>
        </is>
      </c>
      <c r="S172" s="31" t="inlineStr">
        <is>
          <t>Nifty Auto</t>
        </is>
      </c>
      <c r="T172" s="32" t="n">
        <v>14.92</v>
      </c>
      <c r="U172" s="32" t="n">
        <v>-4.27</v>
      </c>
      <c r="V172" s="32" t="n">
        <v>-16.7</v>
      </c>
      <c r="W172" s="32" t="n">
        <v>3.54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0 to 20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IF(B173=0,"",RANK(B173,$B$2:$B$280,0))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3" t="inlineStr">
        <is>
          <t>SRF</t>
        </is>
      </c>
      <c r="D173" s="33" t="inlineStr">
        <is>
          <t>Srf Limited</t>
        </is>
      </c>
      <c r="E173" s="31" t="inlineStr">
        <is>
          <t>chemicals</t>
        </is>
      </c>
      <c r="F173" s="31" t="inlineStr">
        <is>
          <t>chemicals</t>
        </is>
      </c>
      <c r="G173" s="31" t="inlineStr">
        <is>
          <t>largecap</t>
        </is>
      </c>
      <c r="H173" s="32" t="n">
        <v>87119.25999999999</v>
      </c>
      <c r="I173" s="32" t="n">
        <v>2867.2</v>
      </c>
      <c r="J173" s="32" t="n">
        <v>-2.44</v>
      </c>
      <c r="K173" s="32" t="n">
        <v>1576048</v>
      </c>
      <c r="L173" s="31" t="n">
        <v>15</v>
      </c>
      <c r="M173" s="31" t="inlineStr">
        <is>
          <t>Underperforming</t>
        </is>
      </c>
      <c r="N173" s="32">
        <f>IF(M173="Underperforming",-5,IF(L173&gt;=95,15,IF(L173&gt;=90,10,IF(L173&gt;=80,5,0))))</f>
        <v/>
      </c>
      <c r="O173" s="32" t="n">
        <v>58.26</v>
      </c>
      <c r="P173" s="32" t="n">
        <v>12.41</v>
      </c>
      <c r="Q173" s="32" t="n">
        <v>2387.22</v>
      </c>
      <c r="R173" s="31" t="inlineStr">
        <is>
          <t>Earnings / Momentum Support</t>
        </is>
      </c>
      <c r="S173" s="31" t="inlineStr">
        <is>
          <t>Nifty 50</t>
        </is>
      </c>
      <c r="T173" s="32" t="n">
        <v>-3.39</v>
      </c>
      <c r="U173" s="32" t="n">
        <v>-5.41</v>
      </c>
      <c r="V173" s="32" t="n">
        <v>-2.1</v>
      </c>
      <c r="W173" s="32" t="n">
        <v>2.31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Oligopoly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Shallow Cyclical (2 to 3 Years Growth)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3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Sideways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IF(B174=0,"",RANK(B174,$B$2:$B$280,0))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INOXINDIA</t>
        </is>
      </c>
      <c r="D174" s="31" t="inlineStr">
        <is>
          <t>Inox India Ltd</t>
        </is>
      </c>
      <c r="E174" s="31" t="inlineStr">
        <is>
          <t>industrials</t>
        </is>
      </c>
      <c r="F174" s="31" t="inlineStr">
        <is>
          <t>packaging</t>
        </is>
      </c>
      <c r="G174" s="31" t="inlineStr">
        <is>
          <t>midcap</t>
        </is>
      </c>
      <c r="H174" s="32" t="n">
        <v>19004.06</v>
      </c>
      <c r="I174" s="32" t="n">
        <v>2042.2</v>
      </c>
      <c r="J174" s="32" t="n">
        <v>-2.46</v>
      </c>
      <c r="K174" s="32" t="n">
        <v>270060</v>
      </c>
      <c r="L174" s="31" t="n">
        <v>78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83.44</v>
      </c>
      <c r="P174" s="32" t="n">
        <v>66.33</v>
      </c>
      <c r="Q174" s="32" t="n">
        <v>1570.39</v>
      </c>
      <c r="R174" s="31" t="inlineStr">
        <is>
          <t>Near 52W High Breakout</t>
        </is>
      </c>
      <c r="S174" s="31" t="inlineStr">
        <is>
          <t>Nifty 50</t>
        </is>
      </c>
      <c r="T174" s="32" t="n">
        <v>-3.39</v>
      </c>
      <c r="U174" s="32" t="n">
        <v>70.08</v>
      </c>
      <c r="V174" s="32" t="n">
        <v>76.04000000000001</v>
      </c>
      <c r="W174" s="32" t="n">
        <v>19.98</v>
      </c>
      <c r="X174" s="31" t="inlineStr">
        <is>
          <t>Cyclical in an Upturn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Above 40</t>
        </is>
      </c>
      <c r="AY174" s="31">
        <f>IF(AX174="Above 40",20,IF(AX174="20 to 40",10,IF(AX174="0 to 20",-5,0)))</f>
        <v/>
      </c>
      <c r="AZ174" s="31" t="inlineStr">
        <is>
          <t>Above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Blue sky scenario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Between 12 to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Less than 50%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IF(B175=0,"",RANK(B175,$B$2:$B$280,0))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GREAVESCOT</t>
        </is>
      </c>
      <c r="D175" s="31" t="inlineStr">
        <is>
          <t>Greaves Cotton Limited</t>
        </is>
      </c>
      <c r="E175" s="31" t="inlineStr">
        <is>
          <t>industrials</t>
        </is>
      </c>
      <c r="F175" s="31" t="inlineStr">
        <is>
          <t>engines</t>
        </is>
      </c>
      <c r="G175" s="31" t="inlineStr">
        <is>
          <t>midcap</t>
        </is>
      </c>
      <c r="H175" s="32" t="n">
        <v>5779.76</v>
      </c>
      <c r="I175" s="32" t="n">
        <v>239.88</v>
      </c>
      <c r="J175" s="32" t="n">
        <v>-3.32</v>
      </c>
      <c r="K175" s="32" t="n">
        <v>1449781</v>
      </c>
      <c r="L175" s="31" t="n">
        <v>71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65.75</v>
      </c>
      <c r="P175" s="32" t="n">
        <v>27.69</v>
      </c>
      <c r="Q175" s="32" t="n">
        <v>204.31</v>
      </c>
      <c r="R175" s="31" t="inlineStr">
        <is>
          <t>Earnings / Momentum Support</t>
        </is>
      </c>
      <c r="S175" s="31" t="inlineStr">
        <is>
          <t>Nifty 50</t>
        </is>
      </c>
      <c r="T175" s="32" t="n">
        <v>-3.39</v>
      </c>
      <c r="U175" s="32" t="n">
        <v>19.85</v>
      </c>
      <c r="V175" s="32" t="n">
        <v>24.05</v>
      </c>
      <c r="W175" s="32" t="n">
        <v>17.39</v>
      </c>
      <c r="X175" s="31" t="inlineStr">
        <is>
          <t>Cyclical in an Upturn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IF(B176=0,"",RANK(B176,$B$2:$B$280,0))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3" t="inlineStr">
        <is>
          <t>GPTHEALTH</t>
        </is>
      </c>
      <c r="D176" s="33" t="inlineStr">
        <is>
          <t>GPT Healthcare Ltd</t>
        </is>
      </c>
      <c r="E176" s="31" t="inlineStr">
        <is>
          <t>healthcare</t>
        </is>
      </c>
      <c r="F176" s="31" t="inlineStr">
        <is>
          <t>healthcare</t>
        </is>
      </c>
      <c r="G176" s="31" t="inlineStr">
        <is>
          <t>smallcap</t>
        </is>
      </c>
      <c r="H176" s="32" t="n">
        <v>1239.27</v>
      </c>
      <c r="I176" s="32" t="n">
        <v>156</v>
      </c>
      <c r="J176" s="32" t="n">
        <v>3.29</v>
      </c>
      <c r="K176" s="32" t="n">
        <v>139718</v>
      </c>
      <c r="L176" s="31" t="n">
        <v>17</v>
      </c>
      <c r="M176" s="31" t="inlineStr">
        <is>
          <t>Underperforming</t>
        </is>
      </c>
      <c r="N176" s="32">
        <f>IF(M176="Underperforming",-5,IF(L176&gt;=95,15,IF(L176&gt;=90,10,IF(L176&gt;=80,5,0))))</f>
        <v/>
      </c>
      <c r="O176" s="32" t="n">
        <v>62.49</v>
      </c>
      <c r="P176" s="32" t="n">
        <v>35.02</v>
      </c>
      <c r="Q176" s="32" t="n">
        <v>130.09</v>
      </c>
      <c r="R176" s="31" t="inlineStr">
        <is>
          <t>Earnings / Momentum Support</t>
        </is>
      </c>
      <c r="S176" s="31" t="inlineStr">
        <is>
          <t>Nifty Pharma</t>
        </is>
      </c>
      <c r="T176" s="32" t="n">
        <v>13.63</v>
      </c>
      <c r="U176" s="32" t="n">
        <v>-1.92</v>
      </c>
      <c r="V176" s="32" t="n">
        <v>-13.69</v>
      </c>
      <c r="W176" s="32" t="n">
        <v>2.83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Yes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Annuity, Lower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Between 12 to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IF(B177=0,"",RANK(B177,$B$2:$B$280,0))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APOLLOHOSP</t>
        </is>
      </c>
      <c r="D177" s="31" t="inlineStr">
        <is>
          <t>Apollo Hospitals Enterprise Limited</t>
        </is>
      </c>
      <c r="E177" s="31" t="inlineStr">
        <is>
          <t>healthcare</t>
        </is>
      </c>
      <c r="F177" s="31" t="inlineStr">
        <is>
          <t>healthcare</t>
        </is>
      </c>
      <c r="G177" s="31" t="inlineStr">
        <is>
          <t>largecap</t>
        </is>
      </c>
      <c r="H177" s="32" t="n">
        <v>128349.37</v>
      </c>
      <c r="I177" s="32" t="n">
        <v>8938</v>
      </c>
      <c r="J177" s="32" t="n">
        <v>0.13</v>
      </c>
      <c r="K177" s="32" t="n">
        <v>158333</v>
      </c>
      <c r="L177" s="31" t="n">
        <v>37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71.44</v>
      </c>
      <c r="P177" s="32" t="n">
        <v>25.63</v>
      </c>
      <c r="Q177" s="32" t="n">
        <v>7953.84</v>
      </c>
      <c r="R177" s="31" t="inlineStr">
        <is>
          <t>Near 52W High Breakout</t>
        </is>
      </c>
      <c r="S177" s="31" t="inlineStr">
        <is>
          <t>Nifty Pharma</t>
        </is>
      </c>
      <c r="T177" s="32" t="n">
        <v>13.63</v>
      </c>
      <c r="U177" s="32" t="n">
        <v>19.99</v>
      </c>
      <c r="V177" s="32" t="n">
        <v>5.59</v>
      </c>
      <c r="W177" s="32" t="n">
        <v>7.37</v>
      </c>
      <c r="X177" s="31" t="inlineStr">
        <is>
          <t>Cyclical in an Upturn</t>
        </is>
      </c>
      <c r="Y177" s="31">
        <f>IF(X177="Growing Industry",10,IF(X177="Cyclical in an Upturn",5,0))</f>
        <v/>
      </c>
      <c r="Z177" s="31" t="inlineStr">
        <is>
          <t>Oligopoly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Cyclical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B2C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Fully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Above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Yes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Between 1.5 to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IF(B178=0,"",RANK(B178,$B$2:$B$280,0))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3" t="inlineStr">
        <is>
          <t>BIOCON</t>
        </is>
      </c>
      <c r="D178" s="33" t="inlineStr">
        <is>
          <t>Biocon Limited</t>
        </is>
      </c>
      <c r="E178" s="31" t="inlineStr">
        <is>
          <t>healthcare</t>
        </is>
      </c>
      <c r="F178" s="31" t="inlineStr">
        <is>
          <t>pharmaceuticals - indian - bulk drugs &amp; formln</t>
        </is>
      </c>
      <c r="G178" s="31" t="inlineStr">
        <is>
          <t>largecap</t>
        </is>
      </c>
      <c r="H178" s="32" t="n">
        <v>71755.42999999999</v>
      </c>
      <c r="I178" s="32" t="n">
        <v>437.95</v>
      </c>
      <c r="J178" s="32" t="n">
        <v>-0.53</v>
      </c>
      <c r="K178" s="32" t="n">
        <v>6102944</v>
      </c>
      <c r="L178" s="31" t="n">
        <v>38</v>
      </c>
      <c r="M178" s="31" t="inlineStr">
        <is>
          <t>Underperforming</t>
        </is>
      </c>
      <c r="N178" s="32">
        <f>IF(M178="Underperforming",-5,IF(L178&gt;=95,15,IF(L178&gt;=90,10,IF(L178&gt;=80,5,0))))</f>
        <v/>
      </c>
      <c r="O178" s="32" t="n">
        <v>64.97</v>
      </c>
      <c r="P178" s="32" t="n">
        <v>22.63</v>
      </c>
      <c r="Q178" s="32" t="n">
        <v>364.89</v>
      </c>
      <c r="R178" s="31" t="inlineStr">
        <is>
          <t>Near 52W High Breakout</t>
        </is>
      </c>
      <c r="S178" s="31" t="inlineStr">
        <is>
          <t>Nifty Pharma</t>
        </is>
      </c>
      <c r="T178" s="32" t="n">
        <v>13.63</v>
      </c>
      <c r="U178" s="32" t="n">
        <v>11.25</v>
      </c>
      <c r="V178" s="32" t="n">
        <v>-2.1</v>
      </c>
      <c r="W178" s="32" t="n">
        <v>7.85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Yes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Annuity, Lower One Time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Blue sky scenario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Between 50% to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IF(B179=0,"",RANK(B179,$B$2:$B$280,0))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TECHM</t>
        </is>
      </c>
      <c r="D179" s="31" t="inlineStr">
        <is>
          <t>Tech Mahindra Limited</t>
        </is>
      </c>
      <c r="E179" s="31" t="inlineStr">
        <is>
          <t>i.t</t>
        </is>
      </c>
      <c r="F179" s="31" t="inlineStr">
        <is>
          <t>computers - software - large</t>
        </is>
      </c>
      <c r="G179" s="31" t="inlineStr">
        <is>
          <t>largecap</t>
        </is>
      </c>
      <c r="H179" s="32" t="n">
        <v>154452.38</v>
      </c>
      <c r="I179" s="32" t="n">
        <v>1560.6</v>
      </c>
      <c r="J179" s="32" t="n">
        <v>-1</v>
      </c>
      <c r="K179" s="32" t="n">
        <v>975928</v>
      </c>
      <c r="L179" s="31" t="n">
        <v>32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59.76</v>
      </c>
      <c r="P179" s="32" t="n">
        <v>11.89</v>
      </c>
      <c r="Q179" s="32" t="n">
        <v>1279.53</v>
      </c>
      <c r="R179" s="31" t="inlineStr">
        <is>
          <t>Earnings / Momentum Support</t>
        </is>
      </c>
      <c r="S179" s="31" t="inlineStr">
        <is>
          <t>Nifty IT</t>
        </is>
      </c>
      <c r="T179" s="32" t="n">
        <v>-19.86</v>
      </c>
      <c r="U179" s="32" t="n">
        <v>10.67</v>
      </c>
      <c r="V179" s="32" t="n">
        <v>38.09</v>
      </c>
      <c r="W179" s="32" t="n">
        <v>6.62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Headwind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Annuity, Lower One Time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IF(B180=0,"",RANK(B180,$B$2:$B$280,0))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GANDHAR</t>
        </is>
      </c>
      <c r="D180" s="31" t="inlineStr">
        <is>
          <t>Gandhar Oil Refinery (India) Ltd</t>
        </is>
      </c>
      <c r="E180" s="31" t="inlineStr">
        <is>
          <t>energy</t>
        </is>
      </c>
      <c r="F180" s="31" t="inlineStr">
        <is>
          <t>refineries</t>
        </is>
      </c>
      <c r="G180" s="31" t="inlineStr">
        <is>
          <t>smallcap</t>
        </is>
      </c>
      <c r="H180" s="32" t="n">
        <v>2223.53</v>
      </c>
      <c r="I180" s="32" t="n">
        <v>236.19</v>
      </c>
      <c r="J180" s="32" t="n">
        <v>3.97</v>
      </c>
      <c r="K180" s="32" t="n">
        <v>6966378</v>
      </c>
      <c r="L180" s="31" t="n">
        <v>85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78.59999999999999</v>
      </c>
      <c r="P180" s="32" t="n">
        <v>47.62</v>
      </c>
      <c r="Q180" s="32" t="n">
        <v>183.36</v>
      </c>
      <c r="R180" s="31" t="inlineStr">
        <is>
          <t>Volume Spike &amp; Near 52W High Breakout</t>
        </is>
      </c>
      <c r="S180" s="31" t="inlineStr">
        <is>
          <t>Nifty Energy</t>
        </is>
      </c>
      <c r="T180" s="32" t="n">
        <v>11.87</v>
      </c>
      <c r="U180" s="32" t="n">
        <v>42.2</v>
      </c>
      <c r="V180" s="32" t="n">
        <v>27.11</v>
      </c>
      <c r="W180" s="32" t="n">
        <v>26</v>
      </c>
      <c r="X180" s="31" t="inlineStr">
        <is>
          <t>Cyclical in an Upturn</t>
        </is>
      </c>
      <c r="Y180" s="31">
        <f>IF(X180="Growing Industry",10,IF(X180="Cyclical in an Upturn",5,0))</f>
        <v/>
      </c>
      <c r="Z180" s="31" t="inlineStr">
        <is>
          <t>Oligopoly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Yes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Cyclical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Volatile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Above 40</t>
        </is>
      </c>
      <c r="AY180" s="31">
        <f>IF(AX180="Above 40",20,IF(AX180="20 to 40",10,IF(AX180="0 to 20",-5,0)))</f>
        <v/>
      </c>
      <c r="AZ180" s="31" t="inlineStr">
        <is>
          <t>Above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Blue sky scenario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Between 50% to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IF(B181=0,"",RANK(B181,$B$2:$B$280,0))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RRKABEL</t>
        </is>
      </c>
      <c r="D181" s="31" t="inlineStr">
        <is>
          <t>R R Kabel Ltd</t>
        </is>
      </c>
      <c r="E181" s="31" t="inlineStr">
        <is>
          <t>industrials</t>
        </is>
      </c>
      <c r="F181" s="31" t="inlineStr">
        <is>
          <t>cables - power</t>
        </is>
      </c>
      <c r="G181" s="31" t="inlineStr">
        <is>
          <t>largecap</t>
        </is>
      </c>
      <c r="H181" s="32" t="n">
        <v>26527.77</v>
      </c>
      <c r="I181" s="32" t="n">
        <v>2432.4</v>
      </c>
      <c r="J181" s="32" t="n">
        <v>3.71</v>
      </c>
      <c r="K181" s="32" t="n">
        <v>1393150</v>
      </c>
      <c r="L181" s="31" t="n">
        <v>88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70.94</v>
      </c>
      <c r="P181" s="32" t="n">
        <v>60.82</v>
      </c>
      <c r="Q181" s="32" t="n">
        <v>1959.49</v>
      </c>
      <c r="R181" s="31" t="inlineStr">
        <is>
          <t>Near 52W High Breakout</t>
        </is>
      </c>
      <c r="S181" s="31" t="inlineStr">
        <is>
          <t>Nifty Energy</t>
        </is>
      </c>
      <c r="T181" s="32" t="n">
        <v>11.87</v>
      </c>
      <c r="U181" s="32" t="n">
        <v>75.16</v>
      </c>
      <c r="V181" s="32" t="n">
        <v>56.57</v>
      </c>
      <c r="W181" s="32" t="n">
        <v>28.58</v>
      </c>
      <c r="X181" s="31" t="inlineStr">
        <is>
          <t>Cyclical in an Upturn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Above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Negative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Blue sky scenario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Between 1.5 to 2</t>
        </is>
      </c>
      <c r="BU181" s="31">
        <f>IF(BT181="Above 2",0,IF(BT181="Between 1.5 to 2",5,IF(BT181="Less than 1.5",10,0)))</f>
        <v/>
      </c>
      <c r="BV181" s="31" t="inlineStr">
        <is>
          <t>Less than 50%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IF(B182=0,"",RANK(B182,$B$2:$B$280,0))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TVSMOTOR</t>
        </is>
      </c>
      <c r="D182" s="31" t="inlineStr">
        <is>
          <t>Tvs Motor Company Limited</t>
        </is>
      </c>
      <c r="E182" s="31" t="inlineStr">
        <is>
          <t>auto</t>
        </is>
      </c>
      <c r="F182" s="31" t="inlineStr">
        <is>
          <t>automobiles - motorcycles / mopeds</t>
        </is>
      </c>
      <c r="G182" s="31" t="inlineStr">
        <is>
          <t>largecap</t>
        </is>
      </c>
      <c r="H182" s="32" t="n">
        <v>180153.03</v>
      </c>
      <c r="I182" s="32" t="n">
        <v>3907.6</v>
      </c>
      <c r="J182" s="32" t="n">
        <v>3.05</v>
      </c>
      <c r="K182" s="32" t="n">
        <v>3225280</v>
      </c>
      <c r="L182" s="31" t="n">
        <v>49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62.28</v>
      </c>
      <c r="P182" s="32" t="n">
        <v>10.56</v>
      </c>
      <c r="Q182" s="32" t="n">
        <v>3228.16</v>
      </c>
      <c r="R182" s="31" t="inlineStr">
        <is>
          <t>Near 52W High Breakout</t>
        </is>
      </c>
      <c r="S182" s="31" t="inlineStr">
        <is>
          <t>Nifty Auto</t>
        </is>
      </c>
      <c r="T182" s="32" t="n">
        <v>14.92</v>
      </c>
      <c r="U182" s="32" t="n">
        <v>41.34</v>
      </c>
      <c r="V182" s="32" t="n">
        <v>22.99</v>
      </c>
      <c r="W182" s="32" t="n">
        <v>10.2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0 to 20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Less than 1.5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More than 1.2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IF(B183=0,"",RANK(B183,$B$2:$B$280,0))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IRISDOREME</t>
        </is>
      </c>
      <c r="D183" s="31" t="inlineStr">
        <is>
          <t>Iris Clothings Ltd</t>
        </is>
      </c>
      <c r="E183" s="31" t="inlineStr">
        <is>
          <t>consumer discretionary</t>
        </is>
      </c>
      <c r="F183" s="31" t="inlineStr">
        <is>
          <t>textiles - products</t>
        </is>
      </c>
      <c r="G183" s="31" t="inlineStr">
        <is>
          <t>smallcap</t>
        </is>
      </c>
      <c r="H183" s="32" t="n">
        <v>876.1</v>
      </c>
      <c r="I183" s="32" t="n">
        <v>46.89</v>
      </c>
      <c r="J183" s="32" t="n">
        <v>1.87</v>
      </c>
      <c r="K183" s="32" t="n">
        <v>184335</v>
      </c>
      <c r="L183" s="31" t="n">
        <v>67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74.48</v>
      </c>
      <c r="P183" s="32" t="n">
        <v>28.46</v>
      </c>
      <c r="Q183" s="32" t="n">
        <v>34.42</v>
      </c>
      <c r="R183" s="31" t="inlineStr">
        <is>
          <t>Near 52W High Breakout</t>
        </is>
      </c>
      <c r="S183" s="31" t="inlineStr">
        <is>
          <t>Nifty 50</t>
        </is>
      </c>
      <c r="T183" s="32" t="n">
        <v>-3.39</v>
      </c>
      <c r="U183" s="32" t="n">
        <v>53.15</v>
      </c>
      <c r="V183" s="32" t="n">
        <v>58.52</v>
      </c>
      <c r="W183" s="32" t="n">
        <v>16.03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Negative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IF(B184=0,"",RANK(B184,$B$2:$B$280,0))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3MINDIA</t>
        </is>
      </c>
      <c r="D184" s="31" t="inlineStr">
        <is>
          <t>3m India Limited</t>
        </is>
      </c>
      <c r="E184" s="31" t="inlineStr">
        <is>
          <t>miscellaneous</t>
        </is>
      </c>
      <c r="F184" s="31" t="inlineStr">
        <is>
          <t>diversified - large</t>
        </is>
      </c>
      <c r="G184" s="31" t="inlineStr">
        <is>
          <t>largecap</t>
        </is>
      </c>
      <c r="H184" s="32" t="n">
        <v>39619.25</v>
      </c>
      <c r="I184" s="32" t="n">
        <v>35800</v>
      </c>
      <c r="J184" s="32" t="n">
        <v>1.79</v>
      </c>
      <c r="K184" s="32" t="n">
        <v>5695</v>
      </c>
      <c r="L184" s="31" t="n">
        <v>27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61.59</v>
      </c>
      <c r="P184" s="32" t="n">
        <v>11.38</v>
      </c>
      <c r="Q184" s="32" t="n">
        <v>29854.48</v>
      </c>
      <c r="R184" s="31" t="inlineStr">
        <is>
          <t>Near 52W High Breakout</t>
        </is>
      </c>
      <c r="S184" s="31" t="inlineStr">
        <is>
          <t>Nifty 50</t>
        </is>
      </c>
      <c r="T184" s="32" t="n">
        <v>-3.39</v>
      </c>
      <c r="U184" s="32" t="n">
        <v>16.05</v>
      </c>
      <c r="V184" s="32" t="n">
        <v>20.12</v>
      </c>
      <c r="W184" s="32" t="n">
        <v>5.46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0 to 20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Between 50% to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IF(B185=0,"",RANK(B185,$B$2:$B$280,0))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3" t="inlineStr">
        <is>
          <t>ASKAUTOLTD</t>
        </is>
      </c>
      <c r="D185" s="33" t="inlineStr">
        <is>
          <t>ASK Automotive Ltd</t>
        </is>
      </c>
      <c r="E185" s="31" t="inlineStr">
        <is>
          <t>auto</t>
        </is>
      </c>
      <c r="F185" s="31" t="inlineStr">
        <is>
          <t>auto ancillaries</t>
        </is>
      </c>
      <c r="G185" s="31" t="inlineStr">
        <is>
          <t>midcap</t>
        </is>
      </c>
      <c r="H185" s="32" t="n">
        <v>9561.42</v>
      </c>
      <c r="I185" s="32" t="n">
        <v>485.3</v>
      </c>
      <c r="J185" s="32" t="n">
        <v>0.06</v>
      </c>
      <c r="K185" s="32" t="n">
        <v>564115</v>
      </c>
      <c r="L185" s="31" t="n">
        <v>12</v>
      </c>
      <c r="M185" s="31" t="inlineStr">
        <is>
          <t>Underperforming</t>
        </is>
      </c>
      <c r="N185" s="32">
        <f>IF(M185="Underperforming",-5,IF(L185&gt;=95,15,IF(L185&gt;=90,10,IF(L185&gt;=80,5,0))))</f>
        <v/>
      </c>
      <c r="O185" s="32" t="n">
        <v>59.16</v>
      </c>
      <c r="P185" s="32" t="n">
        <v>8.98</v>
      </c>
      <c r="Q185" s="32" t="n">
        <v>391.61</v>
      </c>
      <c r="R185" s="31" t="inlineStr">
        <is>
          <t>Earnings / Momentum Support</t>
        </is>
      </c>
      <c r="S185" s="31" t="inlineStr">
        <is>
          <t>Nifty Auto</t>
        </is>
      </c>
      <c r="T185" s="32" t="n">
        <v>14.92</v>
      </c>
      <c r="U185" s="32" t="n">
        <v>-4.52</v>
      </c>
      <c r="V185" s="32" t="n">
        <v>-16.92</v>
      </c>
      <c r="W185" s="32" t="n">
        <v>2.11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0 to 20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Less than 1.5</t>
        </is>
      </c>
      <c r="BU185" s="31">
        <f>IF(BT185="Above 2",0,IF(BT185="Between 1.5 to 2",5,IF(BT185="Less than 1.5",10,0)))</f>
        <v/>
      </c>
      <c r="BV185" s="31" t="inlineStr">
        <is>
          <t>Between 50% to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IF(B186=0,"",RANK(B186,$B$2:$B$280,0))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OAL</t>
        </is>
      </c>
      <c r="D186" s="31" t="inlineStr">
        <is>
          <t>Oriental Aromatics Ltd</t>
        </is>
      </c>
      <c r="E186" s="31" t="inlineStr">
        <is>
          <t>chemicals</t>
        </is>
      </c>
      <c r="F186" s="31" t="inlineStr">
        <is>
          <t>chemicals</t>
        </is>
      </c>
      <c r="G186" s="31" t="inlineStr">
        <is>
          <t>smallcap</t>
        </is>
      </c>
      <c r="H186" s="32" t="n">
        <v>1171.31</v>
      </c>
      <c r="I186" s="32" t="n">
        <v>346.35</v>
      </c>
      <c r="J186" s="32" t="n">
        <v>-0.49</v>
      </c>
      <c r="K186" s="32" t="n">
        <v>24777</v>
      </c>
      <c r="L186" s="31" t="n">
        <v>13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59.25</v>
      </c>
      <c r="P186" s="32" t="n">
        <v>24.05</v>
      </c>
      <c r="Q186" s="32" t="n">
        <v>264.4</v>
      </c>
      <c r="R186" s="31" t="inlineStr">
        <is>
          <t>Earnings / Momentum Support</t>
        </is>
      </c>
      <c r="S186" s="31" t="inlineStr">
        <is>
          <t>Nifty IT</t>
        </is>
      </c>
      <c r="T186" s="32" t="n">
        <v>-19.86</v>
      </c>
      <c r="U186" s="32" t="n">
        <v>-8.48</v>
      </c>
      <c r="V186" s="32" t="n">
        <v>14.19</v>
      </c>
      <c r="W186" s="32" t="n">
        <v>2.19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Less than 50%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IF(B187=0,"",RANK(B187,$B$2:$B$280,0))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MOSCHIP</t>
        </is>
      </c>
      <c r="D187" s="31" t="inlineStr">
        <is>
          <t>Moschip Technologies Ltd</t>
        </is>
      </c>
      <c r="E187" s="31" t="inlineStr">
        <is>
          <t>i.t</t>
        </is>
      </c>
      <c r="F187" s="31" t="inlineStr">
        <is>
          <t>computers - hardware</t>
        </is>
      </c>
      <c r="G187" s="31" t="inlineStr">
        <is>
          <t>smallcap</t>
        </is>
      </c>
      <c r="H187" s="32" t="n">
        <v>4769.95</v>
      </c>
      <c r="I187" s="32" t="n">
        <v>243.88</v>
      </c>
      <c r="J187" s="32" t="n">
        <v>-0.57</v>
      </c>
      <c r="K187" s="32" t="n">
        <v>4332919</v>
      </c>
      <c r="L187" s="31" t="n">
        <v>71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62.76</v>
      </c>
      <c r="P187" s="32" t="n">
        <v>20.92</v>
      </c>
      <c r="Q187" s="32" t="n">
        <v>177.94</v>
      </c>
      <c r="R187" s="31" t="inlineStr">
        <is>
          <t>Earnings / Momentum Support</t>
        </is>
      </c>
      <c r="S187" s="31" t="inlineStr">
        <is>
          <t>Nifty IT</t>
        </is>
      </c>
      <c r="T187" s="32" t="n">
        <v>-19.86</v>
      </c>
      <c r="U187" s="32" t="n">
        <v>45.38</v>
      </c>
      <c r="V187" s="32" t="n">
        <v>81.41</v>
      </c>
      <c r="W187" s="32" t="n">
        <v>17.24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Less than 12%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IF(B188=0,"",RANK(B188,$B$2:$B$280,0))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ADANIENSOL</t>
        </is>
      </c>
      <c r="D188" s="31" t="inlineStr">
        <is>
          <t>Adani Energy Solutions Ltd</t>
        </is>
      </c>
      <c r="E188" s="31" t="inlineStr">
        <is>
          <t>power &amp; utilities</t>
        </is>
      </c>
      <c r="F188" s="31" t="inlineStr">
        <is>
          <t>power generation and supply</t>
        </is>
      </c>
      <c r="G188" s="31" t="inlineStr">
        <is>
          <t>largecap</t>
        </is>
      </c>
      <c r="H188" s="32" t="n">
        <v>209215.38</v>
      </c>
      <c r="I188" s="32" t="n">
        <v>1724.4</v>
      </c>
      <c r="J188" s="32" t="n">
        <v>-0.99</v>
      </c>
      <c r="K188" s="32" t="n">
        <v>2410541</v>
      </c>
      <c r="L188" s="31" t="n">
        <v>84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76.02</v>
      </c>
      <c r="P188" s="32" t="n">
        <v>54.01</v>
      </c>
      <c r="Q188" s="32" t="n">
        <v>1383.99</v>
      </c>
      <c r="R188" s="31" t="inlineStr">
        <is>
          <t>Near 52W High Breakout</t>
        </is>
      </c>
      <c r="S188" s="31" t="inlineStr">
        <is>
          <t>Nifty IT</t>
        </is>
      </c>
      <c r="T188" s="32" t="n">
        <v>-19.86</v>
      </c>
      <c r="U188" s="32" t="n">
        <v>111.03</v>
      </c>
      <c r="V188" s="32" t="n">
        <v>163.31</v>
      </c>
      <c r="W188" s="32" t="n">
        <v>23.92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Above 40</t>
        </is>
      </c>
      <c r="AY188" s="31">
        <f>IF(AX188="Above 40",20,IF(AX188="20 to 40",10,IF(AX188="0 to 20",-5,0)))</f>
        <v/>
      </c>
      <c r="AZ188" s="31" t="inlineStr">
        <is>
          <t>Above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Less than 12%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More than 1.2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IF(B189=0,"",RANK(B189,$B$2:$B$280,0))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HEG</t>
        </is>
      </c>
      <c r="D189" s="31" t="inlineStr">
        <is>
          <t>Heg Limited</t>
        </is>
      </c>
      <c r="E189" s="31" t="inlineStr">
        <is>
          <t>industrials</t>
        </is>
      </c>
      <c r="F189" s="31" t="inlineStr">
        <is>
          <t>electrodes - graphites</t>
        </is>
      </c>
      <c r="G189" s="31" t="inlineStr">
        <is>
          <t>midcap</t>
        </is>
      </c>
      <c r="H189" s="32" t="n">
        <v>11674.18</v>
      </c>
      <c r="I189" s="32" t="n">
        <v>598.85</v>
      </c>
      <c r="J189" s="32" t="n">
        <v>-1.01</v>
      </c>
      <c r="K189" s="32" t="n">
        <v>1035151</v>
      </c>
      <c r="L189" s="31" t="n">
        <v>14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57.19</v>
      </c>
      <c r="P189" s="32" t="n">
        <v>25.45</v>
      </c>
      <c r="Q189" s="32" t="n">
        <v>502.61</v>
      </c>
      <c r="R189" s="31" t="inlineStr">
        <is>
          <t>Earnings / Momentum Support</t>
        </is>
      </c>
      <c r="S189" s="31" t="inlineStr">
        <is>
          <t>Nifty 50</t>
        </is>
      </c>
      <c r="T189" s="32" t="n">
        <v>-3.39</v>
      </c>
      <c r="U189" s="32" t="n">
        <v>17.65</v>
      </c>
      <c r="V189" s="32" t="n">
        <v>21.77</v>
      </c>
      <c r="W189" s="32" t="n">
        <v>2.24</v>
      </c>
      <c r="X189" s="31" t="inlineStr">
        <is>
          <t>Cyclical in an Upturn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Less than 50%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IF(B190=0,"",RANK(B190,$B$2:$B$280,0))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STOVEKRAFT</t>
        </is>
      </c>
      <c r="D190" s="31" t="inlineStr">
        <is>
          <t>Stove Kraft Ltd</t>
        </is>
      </c>
      <c r="E190" s="31" t="inlineStr">
        <is>
          <t>consumer discretionary</t>
        </is>
      </c>
      <c r="F190" s="31" t="inlineStr">
        <is>
          <t>domestic appliances</t>
        </is>
      </c>
      <c r="G190" s="31" t="inlineStr">
        <is>
          <t>smallcap</t>
        </is>
      </c>
      <c r="H190" s="32" t="n">
        <v>2571.61</v>
      </c>
      <c r="I190" s="32" t="n">
        <v>762.65</v>
      </c>
      <c r="J190" s="32" t="n">
        <v>-1.82</v>
      </c>
      <c r="K190" s="32" t="n">
        <v>59708</v>
      </c>
      <c r="L190" s="31" t="n">
        <v>71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69.47</v>
      </c>
      <c r="P190" s="32" t="n">
        <v>43.2</v>
      </c>
      <c r="Q190" s="32" t="n">
        <v>632.5700000000001</v>
      </c>
      <c r="R190" s="31" t="inlineStr">
        <is>
          <t>Near 52W High Breakout</t>
        </is>
      </c>
      <c r="S190" s="31" t="inlineStr">
        <is>
          <t>Nifty 50</t>
        </is>
      </c>
      <c r="T190" s="32" t="n">
        <v>-3.39</v>
      </c>
      <c r="U190" s="32" t="n">
        <v>33.49</v>
      </c>
      <c r="V190" s="32" t="n">
        <v>38.17</v>
      </c>
      <c r="W190" s="32" t="n">
        <v>17.23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Above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Negative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IF(B191=0,"",RANK(B191,$B$2:$B$280,0))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HIRECT</t>
        </is>
      </c>
      <c r="D191" s="31" t="inlineStr">
        <is>
          <t>Hind Rectifiers Limited</t>
        </is>
      </c>
      <c r="E191" s="31" t="inlineStr">
        <is>
          <t>consumer discretionary</t>
        </is>
      </c>
      <c r="F191" s="31" t="inlineStr">
        <is>
          <t>electronics - components</t>
        </is>
      </c>
      <c r="G191" s="31" t="inlineStr">
        <is>
          <t>smallcap</t>
        </is>
      </c>
      <c r="H191" s="32" t="n">
        <v>4497.95</v>
      </c>
      <c r="I191" s="32" t="n">
        <v>1278.4</v>
      </c>
      <c r="J191" s="32" t="n">
        <v>-2.31</v>
      </c>
      <c r="K191" s="32" t="n">
        <v>129059</v>
      </c>
      <c r="L191" s="31" t="n">
        <v>85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75.54000000000001</v>
      </c>
      <c r="P191" s="32" t="n">
        <v>31.73</v>
      </c>
      <c r="Q191" s="32" t="n">
        <v>893.01</v>
      </c>
      <c r="R191" s="31" t="inlineStr">
        <is>
          <t>Near 52W High Breakout</t>
        </is>
      </c>
      <c r="S191" s="31" t="inlineStr">
        <is>
          <t>Nifty 50</t>
        </is>
      </c>
      <c r="T191" s="32" t="n">
        <v>-3.39</v>
      </c>
      <c r="U191" s="32" t="n">
        <v>89.42</v>
      </c>
      <c r="V191" s="32" t="n">
        <v>96.06</v>
      </c>
      <c r="W191" s="32" t="n">
        <v>25.16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Above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Blue sky scenario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Less than 12%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Between 0.7 to 1.2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IF(B192=0,"",RANK(B192,$B$2:$B$280,0))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MBAPL</t>
        </is>
      </c>
      <c r="D192" s="31" t="inlineStr">
        <is>
          <t>Madhya Bharat Agro Products Ltd</t>
        </is>
      </c>
      <c r="E192" s="31" t="inlineStr">
        <is>
          <t>chemicals</t>
        </is>
      </c>
      <c r="F192" s="31" t="inlineStr">
        <is>
          <t>fertilizers</t>
        </is>
      </c>
      <c r="G192" s="31" t="inlineStr">
        <is>
          <t>smallcap</t>
        </is>
      </c>
      <c r="H192" s="32" t="n">
        <v>1259.64</v>
      </c>
      <c r="I192" s="32" t="n">
        <v>139.25</v>
      </c>
      <c r="J192" s="32" t="n">
        <v>-3.13</v>
      </c>
      <c r="K192" s="32" t="n">
        <v>5003738</v>
      </c>
      <c r="L192" s="31" t="n">
        <v>75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81.52</v>
      </c>
      <c r="P192" s="32" t="n">
        <v>57.84</v>
      </c>
      <c r="Q192" s="32" t="n">
        <v>108.76</v>
      </c>
      <c r="R192" s="31" t="inlineStr">
        <is>
          <t>Volume Spike &amp; Near 52W High Breakout</t>
        </is>
      </c>
      <c r="S192" s="31" t="inlineStr">
        <is>
          <t>Nifty 50</t>
        </is>
      </c>
      <c r="T192" s="32" t="n">
        <v>-3.39</v>
      </c>
      <c r="U192" s="32" t="n">
        <v>62.36</v>
      </c>
      <c r="V192" s="32" t="n">
        <v>68.05</v>
      </c>
      <c r="W192" s="32" t="n">
        <v>18.85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Above 40</t>
        </is>
      </c>
      <c r="AY192" s="31">
        <f>IF(AX192="Above 40",20,IF(AX192="20 to 40",10,IF(AX192="0 to 20",-5,0)))</f>
        <v/>
      </c>
      <c r="AZ192" s="31" t="inlineStr">
        <is>
          <t>Above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Blue sky scenario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Between 12 to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More than 1.2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IF(B193=0,"",RANK(B193,$B$2:$B$280,0))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TORNTPHARM</t>
        </is>
      </c>
      <c r="D193" s="31" t="inlineStr">
        <is>
          <t>Torrent Pharmaceuticals Limited</t>
        </is>
      </c>
      <c r="E193" s="31" t="inlineStr">
        <is>
          <t>healthcare</t>
        </is>
      </c>
      <c r="F193" s="31" t="inlineStr">
        <is>
          <t>pharmaceuticals - indian - formulations</t>
        </is>
      </c>
      <c r="G193" s="31" t="inlineStr">
        <is>
          <t>largecap</t>
        </is>
      </c>
      <c r="H193" s="32" t="n">
        <v>170600.19</v>
      </c>
      <c r="I193" s="32" t="n">
        <v>5033.4</v>
      </c>
      <c r="J193" s="32" t="n">
        <v>-0.14</v>
      </c>
      <c r="K193" s="32" t="n">
        <v>290321</v>
      </c>
      <c r="L193" s="31" t="n">
        <v>55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71.8</v>
      </c>
      <c r="P193" s="32" t="n">
        <v>38.31</v>
      </c>
      <c r="Q193" s="32" t="n">
        <v>4308.43</v>
      </c>
      <c r="R193" s="31" t="inlineStr">
        <is>
          <t>Near 52W High Breakout</t>
        </is>
      </c>
      <c r="S193" s="31" t="inlineStr">
        <is>
          <t>Nifty Pharma</t>
        </is>
      </c>
      <c r="T193" s="32" t="n">
        <v>13.63</v>
      </c>
      <c r="U193" s="32" t="n">
        <v>40.91</v>
      </c>
      <c r="V193" s="32" t="n">
        <v>24</v>
      </c>
      <c r="W193" s="32" t="n">
        <v>11.92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Yes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Annuity, Lower One Time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Blue sky scenario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Less than 12%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Between 50% to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Between 0.7 to 1.2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IF(B194=0,"",RANK(B194,$B$2:$B$280,0))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AVADHSUGAR</t>
        </is>
      </c>
      <c r="D194" s="31" t="inlineStr">
        <is>
          <t>Avadh Sugar &amp; Energy</t>
        </is>
      </c>
      <c r="E194" s="31" t="inlineStr">
        <is>
          <t>fmcg</t>
        </is>
      </c>
      <c r="F194" s="31" t="inlineStr">
        <is>
          <t>sugar</t>
        </is>
      </c>
      <c r="G194" s="31" t="inlineStr">
        <is>
          <t>smallcap</t>
        </is>
      </c>
      <c r="H194" s="32" t="n">
        <v>1105.42</v>
      </c>
      <c r="I194" s="32" t="n">
        <v>545</v>
      </c>
      <c r="J194" s="32" t="n">
        <v>-1.3</v>
      </c>
      <c r="K194" s="32" t="n">
        <v>23128</v>
      </c>
      <c r="L194" s="31" t="n">
        <v>45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71.53</v>
      </c>
      <c r="P194" s="32" t="n">
        <v>35.25</v>
      </c>
      <c r="Q194" s="32" t="n">
        <v>422.17</v>
      </c>
      <c r="R194" s="31" t="inlineStr">
        <is>
          <t>Near 52W High Breakout</t>
        </is>
      </c>
      <c r="S194" s="31" t="inlineStr">
        <is>
          <t>Nifty FMCG</t>
        </is>
      </c>
      <c r="T194" s="32" t="n">
        <v>-9.800000000000001</v>
      </c>
      <c r="U194" s="32" t="n">
        <v>19.61</v>
      </c>
      <c r="V194" s="32" t="n">
        <v>32.6</v>
      </c>
      <c r="W194" s="32" t="n">
        <v>9.25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B2C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Annuity, Lower One Time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Less than 12%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Between 50% to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More than 1.2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IF(B195=0,"",RANK(B195,$B$2:$B$280,0))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HTMEDIA</t>
        </is>
      </c>
      <c r="D195" s="31" t="inlineStr">
        <is>
          <t>Ht Media Limited</t>
        </is>
      </c>
      <c r="E195" s="31" t="inlineStr">
        <is>
          <t>media</t>
        </is>
      </c>
      <c r="F195" s="31" t="inlineStr">
        <is>
          <t>entertainment / electronic media software</t>
        </is>
      </c>
      <c r="G195" s="31" t="inlineStr">
        <is>
          <t>smallcap</t>
        </is>
      </c>
      <c r="H195" s="32" t="n">
        <v>610.33</v>
      </c>
      <c r="I195" s="32" t="n">
        <v>25.75</v>
      </c>
      <c r="J195" s="32" t="n">
        <v>-1.79</v>
      </c>
      <c r="K195" s="32" t="n">
        <v>89161</v>
      </c>
      <c r="L195" s="31" t="n">
        <v>27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62.23</v>
      </c>
      <c r="P195" s="32" t="n">
        <v>17.14</v>
      </c>
      <c r="Q195" s="32" t="n">
        <v>19.44</v>
      </c>
      <c r="R195" s="31" t="inlineStr">
        <is>
          <t>Earnings / Momentum Support</t>
        </is>
      </c>
      <c r="S195" s="31" t="inlineStr">
        <is>
          <t>Nifty IT</t>
        </is>
      </c>
      <c r="T195" s="32" t="n">
        <v>-19.86</v>
      </c>
      <c r="U195" s="32" t="n">
        <v>6.38</v>
      </c>
      <c r="V195" s="32" t="n">
        <v>32.74</v>
      </c>
      <c r="W195" s="32" t="n">
        <v>5.36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Annuity, Lower One Time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0 to 20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IF(B196=0,"",RANK(B196,$B$2:$B$280,0))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BLSE</t>
        </is>
      </c>
      <c r="D196" s="31" t="inlineStr">
        <is>
          <t>BLS E-Services Ltd</t>
        </is>
      </c>
      <c r="E196" s="31" t="inlineStr">
        <is>
          <t>i.t</t>
        </is>
      </c>
      <c r="F196" s="31" t="inlineStr">
        <is>
          <t>computers - software - medium / small</t>
        </is>
      </c>
      <c r="G196" s="31" t="inlineStr">
        <is>
          <t>smallcap</t>
        </is>
      </c>
      <c r="H196" s="32" t="n">
        <v>2439.04</v>
      </c>
      <c r="I196" s="32" t="n">
        <v>259.5</v>
      </c>
      <c r="J196" s="32" t="n">
        <v>-3.33</v>
      </c>
      <c r="K196" s="32" t="n">
        <v>210297</v>
      </c>
      <c r="L196" s="31" t="n">
        <v>74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69.11</v>
      </c>
      <c r="P196" s="32" t="n">
        <v>33.94</v>
      </c>
      <c r="Q196" s="32" t="n">
        <v>214.47</v>
      </c>
      <c r="R196" s="31" t="inlineStr">
        <is>
          <t>Earnings / Momentum Support</t>
        </is>
      </c>
      <c r="S196" s="31" t="inlineStr">
        <is>
          <t>Nifty IT</t>
        </is>
      </c>
      <c r="T196" s="32" t="n">
        <v>-19.86</v>
      </c>
      <c r="U196" s="32" t="n">
        <v>41.86</v>
      </c>
      <c r="V196" s="32" t="n">
        <v>77</v>
      </c>
      <c r="W196" s="32" t="n">
        <v>18.17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Annuity, Lower One Time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Less than 12%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Between 50% to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IF(B197=0,"",RANK(B197,$B$2:$B$280,0))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SENCO</t>
        </is>
      </c>
      <c r="D197" s="31" t="inlineStr">
        <is>
          <t>Senco Gold Ltd</t>
        </is>
      </c>
      <c r="E197" s="31" t="inlineStr">
        <is>
          <t>consumer discretionary</t>
        </is>
      </c>
      <c r="F197" s="31" t="inlineStr">
        <is>
          <t>diamond cutting / jewellery</t>
        </is>
      </c>
      <c r="G197" s="31" t="inlineStr">
        <is>
          <t>midcap</t>
        </is>
      </c>
      <c r="H197" s="32" t="n">
        <v>6188.62</v>
      </c>
      <c r="I197" s="32" t="n">
        <v>391.65</v>
      </c>
      <c r="J197" s="32" t="n">
        <v>3.67</v>
      </c>
      <c r="K197" s="32" t="n">
        <v>5477340</v>
      </c>
      <c r="L197" s="31" t="n">
        <v>40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64</v>
      </c>
      <c r="P197" s="32" t="n">
        <v>26.31</v>
      </c>
      <c r="Q197" s="32" t="n">
        <v>298.73</v>
      </c>
      <c r="R197" s="31" t="inlineStr">
        <is>
          <t>Near 52W High Breakout</t>
        </is>
      </c>
      <c r="S197" s="31" t="inlineStr">
        <is>
          <t>Nifty 50</t>
        </is>
      </c>
      <c r="T197" s="32" t="n">
        <v>-3.39</v>
      </c>
      <c r="U197" s="32" t="n">
        <v>15.72</v>
      </c>
      <c r="V197" s="32" t="n">
        <v>19.78</v>
      </c>
      <c r="W197" s="32" t="n">
        <v>8.08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Negative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Between 0.7 to 1.2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IF(B198=0,"",RANK(B198,$B$2:$B$280,0))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KAPSTON</t>
        </is>
      </c>
      <c r="D198" s="31" t="inlineStr">
        <is>
          <t>Kapston Services Ltd</t>
        </is>
      </c>
      <c r="E198" s="31" t="inlineStr">
        <is>
          <t>miscellaneous</t>
        </is>
      </c>
      <c r="F198" s="31" t="inlineStr">
        <is>
          <t>miscellaneous</t>
        </is>
      </c>
      <c r="G198" s="31" t="inlineStr">
        <is>
          <t>smallcap</t>
        </is>
      </c>
      <c r="H198" s="32" t="n">
        <v>1375.38</v>
      </c>
      <c r="I198" s="32" t="n">
        <v>464</v>
      </c>
      <c r="J198" s="32" t="n">
        <v>2.67</v>
      </c>
      <c r="K198" s="32" t="n">
        <v>75879</v>
      </c>
      <c r="L198" s="31" t="n">
        <v>83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74.81999999999999</v>
      </c>
      <c r="P198" s="32" t="n">
        <v>21.89</v>
      </c>
      <c r="Q198" s="32" t="n">
        <v>351.96</v>
      </c>
      <c r="R198" s="31" t="inlineStr">
        <is>
          <t>Near 52W High Breakout</t>
        </is>
      </c>
      <c r="S198" s="31" t="inlineStr">
        <is>
          <t>Nifty 50</t>
        </is>
      </c>
      <c r="T198" s="32" t="n">
        <v>-3.39</v>
      </c>
      <c r="U198" s="32" t="n">
        <v>94.19</v>
      </c>
      <c r="V198" s="32" t="n">
        <v>101</v>
      </c>
      <c r="W198" s="32" t="n">
        <v>23.83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Blue sky scenario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Less than 50% and Borrowings are increasing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More than 1.2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IF(B199=0,"",RANK(B199,$B$2:$B$280,0))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SUYOG</t>
        </is>
      </c>
      <c r="D199" s="31" t="inlineStr">
        <is>
          <t>Suyog Telematics Ltd</t>
        </is>
      </c>
      <c r="E199" s="31" t="inlineStr">
        <is>
          <t>telecom</t>
        </is>
      </c>
      <c r="F199" s="31" t="inlineStr">
        <is>
          <t>transmisson line towers / equipment</t>
        </is>
      </c>
      <c r="G199" s="31" t="inlineStr">
        <is>
          <t>smallcap</t>
        </is>
      </c>
      <c r="H199" s="32" t="n">
        <v>985.8200000000001</v>
      </c>
      <c r="I199" s="32" t="n">
        <v>851.9</v>
      </c>
      <c r="J199" s="32" t="n">
        <v>1.25</v>
      </c>
      <c r="K199" s="32" t="n">
        <v>14281</v>
      </c>
      <c r="L199" s="31" t="n">
        <v>25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58.01</v>
      </c>
      <c r="P199" s="32" t="n">
        <v>16.3</v>
      </c>
      <c r="Q199" s="32" t="n">
        <v>647.95</v>
      </c>
      <c r="R199" s="31" t="inlineStr">
        <is>
          <t>Near 52W High Breakout</t>
        </is>
      </c>
      <c r="S199" s="31" t="inlineStr">
        <is>
          <t>Nifty 50</t>
        </is>
      </c>
      <c r="T199" s="32" t="n">
        <v>-3.39</v>
      </c>
      <c r="U199" s="32" t="n">
        <v>-0.71</v>
      </c>
      <c r="V199" s="32" t="n">
        <v>2.77</v>
      </c>
      <c r="W199" s="32" t="n">
        <v>5.06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Oligopoly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Yes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0 to 20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Less than 50%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Between 0.7 to 1.2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IF(B200=0,"",RANK(B200,$B$2:$B$280,0))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3" t="inlineStr">
        <is>
          <t>SICALLOG</t>
        </is>
      </c>
      <c r="D200" s="33" t="inlineStr">
        <is>
          <t>Sical Logistics Ltd</t>
        </is>
      </c>
      <c r="E200" s="31" t="inlineStr">
        <is>
          <t>transportation</t>
        </is>
      </c>
      <c r="F200" s="31" t="inlineStr">
        <is>
          <t>miscellaneous</t>
        </is>
      </c>
      <c r="G200" s="31" t="inlineStr">
        <is>
          <t>smallcap</t>
        </is>
      </c>
      <c r="H200" s="32" t="n">
        <v>785.48</v>
      </c>
      <c r="I200" s="32" t="n">
        <v>99.26000000000001</v>
      </c>
      <c r="J200" s="32" t="n">
        <v>0.82</v>
      </c>
      <c r="K200" s="32" t="n">
        <v>247368</v>
      </c>
      <c r="L200" s="31" t="n">
        <v>44</v>
      </c>
      <c r="M200" s="31" t="inlineStr">
        <is>
          <t>Underperforming</t>
        </is>
      </c>
      <c r="N200" s="32">
        <f>IF(M200="Underperforming",-5,IF(L200&gt;=95,15,IF(L200&gt;=90,10,IF(L200&gt;=80,5,0))))</f>
        <v/>
      </c>
      <c r="O200" s="32" t="n">
        <v>65.84999999999999</v>
      </c>
      <c r="P200" s="32" t="n">
        <v>25.73</v>
      </c>
      <c r="Q200" s="32" t="n">
        <v>73.79000000000001</v>
      </c>
      <c r="R200" s="31" t="inlineStr">
        <is>
          <t>Earnings / Momentum Support</t>
        </is>
      </c>
      <c r="S200" s="31" t="inlineStr">
        <is>
          <t>Nifty 50</t>
        </is>
      </c>
      <c r="T200" s="32" t="n">
        <v>-3.39</v>
      </c>
      <c r="U200" s="32" t="n">
        <v>-10.94</v>
      </c>
      <c r="V200" s="32" t="n">
        <v>-7.82</v>
      </c>
      <c r="W200" s="32" t="n">
        <v>9.109999999999999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Less than 1.5</t>
        </is>
      </c>
      <c r="BU200" s="31">
        <f>IF(BT200="Above 2",0,IF(BT200="Between 1.5 to 2",5,IF(BT200="Less than 1.5",10,0)))</f>
        <v/>
      </c>
      <c r="BV200" s="31" t="inlineStr">
        <is>
          <t>Between 50% to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More than 1.2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IF(B201=0,"",RANK(B201,$B$2:$B$280,0))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GOODLUCK</t>
        </is>
      </c>
      <c r="D201" s="31" t="inlineStr">
        <is>
          <t>Goodluck India Limited</t>
        </is>
      </c>
      <c r="E201" s="31" t="inlineStr">
        <is>
          <t>metals &amp; mining</t>
        </is>
      </c>
      <c r="F201" s="31" t="inlineStr">
        <is>
          <t>steel - medium / small</t>
        </is>
      </c>
      <c r="G201" s="31" t="inlineStr">
        <is>
          <t>midcap</t>
        </is>
      </c>
      <c r="H201" s="32" t="n">
        <v>5165.6</v>
      </c>
      <c r="I201" s="32" t="n">
        <v>1554.6</v>
      </c>
      <c r="J201" s="32" t="n">
        <v>0.03</v>
      </c>
      <c r="K201" s="32" t="n">
        <v>69272</v>
      </c>
      <c r="L201" s="31" t="n">
        <v>68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65.25</v>
      </c>
      <c r="P201" s="32" t="n">
        <v>38.45</v>
      </c>
      <c r="Q201" s="32" t="n">
        <v>1194.96</v>
      </c>
      <c r="R201" s="31" t="inlineStr">
        <is>
          <t>Near 52W High Breakout</t>
        </is>
      </c>
      <c r="S201" s="31" t="inlineStr">
        <is>
          <t>Nifty Metal</t>
        </is>
      </c>
      <c r="T201" s="32" t="n">
        <v>33.29</v>
      </c>
      <c r="U201" s="32" t="n">
        <v>50.04</v>
      </c>
      <c r="V201" s="32" t="n">
        <v>12.56</v>
      </c>
      <c r="W201" s="32" t="n">
        <v>16.09</v>
      </c>
      <c r="X201" s="31" t="inlineStr">
        <is>
          <t>Cyclical in an Upturn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Cyclical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Volatile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Blue sky scenario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Less than 1.5</t>
        </is>
      </c>
      <c r="BU201" s="31">
        <f>IF(BT201="Above 2",0,IF(BT201="Between 1.5 to 2",5,IF(BT201="Less than 1.5",10,0)))</f>
        <v/>
      </c>
      <c r="BV201" s="31" t="inlineStr">
        <is>
          <t>Less than 50%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Between 0.7 to 1.2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IF(B202=0,"",RANK(B202,$B$2:$B$280,0))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NHPC</t>
        </is>
      </c>
      <c r="D202" s="31" t="inlineStr">
        <is>
          <t>Nhpc Limited</t>
        </is>
      </c>
      <c r="E202" s="31" t="inlineStr">
        <is>
          <t>power &amp; utilities</t>
        </is>
      </c>
      <c r="F202" s="31" t="inlineStr">
        <is>
          <t>power generation and supply</t>
        </is>
      </c>
      <c r="G202" s="31" t="inlineStr">
        <is>
          <t>largecap</t>
        </is>
      </c>
      <c r="H202" s="32" t="n">
        <v>80671.67</v>
      </c>
      <c r="I202" s="32" t="n">
        <v>80.28</v>
      </c>
      <c r="J202" s="32" t="n">
        <v>-0.04</v>
      </c>
      <c r="K202" s="32" t="n">
        <v>9932886</v>
      </c>
      <c r="L202" s="31" t="n">
        <v>5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53.68</v>
      </c>
      <c r="P202" s="32" t="n">
        <v>15.97</v>
      </c>
      <c r="Q202" s="32" t="n">
        <v>70.52</v>
      </c>
      <c r="R202" s="31" t="inlineStr">
        <is>
          <t>Earnings / Momentum Support</t>
        </is>
      </c>
      <c r="S202" s="31" t="inlineStr">
        <is>
          <t>Nifty IT</t>
        </is>
      </c>
      <c r="T202" s="32" t="n">
        <v>-19.86</v>
      </c>
      <c r="U202" s="32" t="n">
        <v>-1.51</v>
      </c>
      <c r="V202" s="32" t="n">
        <v>22.9</v>
      </c>
      <c r="W202" s="32" t="n">
        <v>-0.18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0 to 20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Less than 1.5</t>
        </is>
      </c>
      <c r="BU202" s="31">
        <f>IF(BT202="Above 2",0,IF(BT202="Between 1.5 to 2",5,IF(BT202="Less than 1.5",10,0)))</f>
        <v/>
      </c>
      <c r="BV202" s="31" t="inlineStr">
        <is>
          <t>Between 50% to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Between 0.7 to 1.2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IF(B203=0,"",RANK(B203,$B$2:$B$280,0))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3" t="inlineStr">
        <is>
          <t>MUNJALSHOW</t>
        </is>
      </c>
      <c r="D203" s="33" t="inlineStr">
        <is>
          <t>Munjal Showa Limited</t>
        </is>
      </c>
      <c r="E203" s="31" t="inlineStr">
        <is>
          <t>auto</t>
        </is>
      </c>
      <c r="F203" s="31" t="inlineStr">
        <is>
          <t>auto ancillaries</t>
        </is>
      </c>
      <c r="G203" s="31" t="inlineStr">
        <is>
          <t>smallcap</t>
        </is>
      </c>
      <c r="H203" s="32" t="n">
        <v>547.01</v>
      </c>
      <c r="I203" s="32" t="n">
        <v>136.15</v>
      </c>
      <c r="J203" s="32" t="n">
        <v>-0.45</v>
      </c>
      <c r="K203" s="32" t="n">
        <v>17296</v>
      </c>
      <c r="L203" s="31" t="n">
        <v>7</v>
      </c>
      <c r="M203" s="31" t="inlineStr">
        <is>
          <t>Underperforming</t>
        </is>
      </c>
      <c r="N203" s="32">
        <f>IF(M203="Underperforming",-5,IF(L203&gt;=95,15,IF(L203&gt;=90,10,IF(L203&gt;=80,5,0))))</f>
        <v/>
      </c>
      <c r="O203" s="32" t="n">
        <v>57.52</v>
      </c>
      <c r="P203" s="32" t="n">
        <v>26.78</v>
      </c>
      <c r="Q203" s="32" t="n">
        <v>116.54</v>
      </c>
      <c r="R203" s="31" t="inlineStr">
        <is>
          <t>Earnings / Momentum Support</t>
        </is>
      </c>
      <c r="S203" s="31" t="inlineStr">
        <is>
          <t>Nifty Auto</t>
        </is>
      </c>
      <c r="T203" s="32" t="n">
        <v>14.92</v>
      </c>
      <c r="U203" s="32" t="n">
        <v>-6.3</v>
      </c>
      <c r="V203" s="32" t="n">
        <v>-18.46</v>
      </c>
      <c r="W203" s="32" t="n">
        <v>0.41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Between 1.5 to 2</t>
        </is>
      </c>
      <c r="BU203" s="31">
        <f>IF(BT203="Above 2",0,IF(BT203="Between 1.5 to 2",5,IF(BT203="Less than 1.5",10,0)))</f>
        <v/>
      </c>
      <c r="BV203" s="31" t="inlineStr">
        <is>
          <t>Negative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IF(B204=0,"",RANK(B204,$B$2:$B$280,0))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3" t="inlineStr">
        <is>
          <t>KECL</t>
        </is>
      </c>
      <c r="D204" s="33" t="inlineStr">
        <is>
          <t>Kirloskar Electric Company Limited</t>
        </is>
      </c>
      <c r="E204" s="31" t="inlineStr">
        <is>
          <t>industrials</t>
        </is>
      </c>
      <c r="F204" s="31" t="inlineStr">
        <is>
          <t>electric equipment</t>
        </is>
      </c>
      <c r="G204" s="31" t="inlineStr">
        <is>
          <t>smallcap</t>
        </is>
      </c>
      <c r="H204" s="32" t="n">
        <v>848.17</v>
      </c>
      <c r="I204" s="32" t="n">
        <v>127.1</v>
      </c>
      <c r="J204" s="32" t="n">
        <v>-0.48</v>
      </c>
      <c r="K204" s="32" t="n">
        <v>187318</v>
      </c>
      <c r="L204" s="31" t="n">
        <v>19</v>
      </c>
      <c r="M204" s="31" t="inlineStr">
        <is>
          <t>Underperforming</t>
        </is>
      </c>
      <c r="N204" s="32">
        <f>IF(M204="Underperforming",-5,IF(L204&gt;=95,15,IF(L204&gt;=90,10,IF(L204&gt;=80,5,0))))</f>
        <v/>
      </c>
      <c r="O204" s="32" t="n">
        <v>59.27</v>
      </c>
      <c r="P204" s="32" t="n">
        <v>28.91</v>
      </c>
      <c r="Q204" s="32" t="n">
        <v>90.26000000000001</v>
      </c>
      <c r="R204" s="31" t="inlineStr">
        <is>
          <t>Volume Spike / Accumulation</t>
        </is>
      </c>
      <c r="S204" s="31" t="inlineStr">
        <is>
          <t>Nifty Infra</t>
        </is>
      </c>
      <c r="T204" s="32" t="n">
        <v>3.35</v>
      </c>
      <c r="U204" s="32" t="n">
        <v>-3.62</v>
      </c>
      <c r="V204" s="32" t="n">
        <v>-6.74</v>
      </c>
      <c r="W204" s="32" t="n">
        <v>3.87</v>
      </c>
      <c r="X204" s="31" t="inlineStr">
        <is>
          <t>Cyclical in an Upturn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Between 50% to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Between 0.7 to 1.2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IF(B205=0,"",RANK(B205,$B$2:$B$280,0))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MACPOWER</t>
        </is>
      </c>
      <c r="D205" s="31" t="inlineStr">
        <is>
          <t>Macpower CNC Machines Ltd</t>
        </is>
      </c>
      <c r="E205" s="31" t="inlineStr">
        <is>
          <t>industrials</t>
        </is>
      </c>
      <c r="F205" s="31" t="inlineStr">
        <is>
          <t>engineering</t>
        </is>
      </c>
      <c r="G205" s="31" t="inlineStr">
        <is>
          <t>smallcap</t>
        </is>
      </c>
      <c r="H205" s="32" t="n">
        <v>1348.76</v>
      </c>
      <c r="I205" s="32" t="n">
        <v>1340.9</v>
      </c>
      <c r="J205" s="32" t="n">
        <v>-0.54</v>
      </c>
      <c r="K205" s="32" t="n">
        <v>6068</v>
      </c>
      <c r="L205" s="31" t="n">
        <v>54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63.06</v>
      </c>
      <c r="P205" s="32" t="n">
        <v>28.37</v>
      </c>
      <c r="Q205" s="32" t="n">
        <v>1003.8</v>
      </c>
      <c r="R205" s="31" t="inlineStr">
        <is>
          <t>Earnings / Momentum Support</t>
        </is>
      </c>
      <c r="S205" s="31" t="inlineStr">
        <is>
          <t>Nifty 50</t>
        </is>
      </c>
      <c r="T205" s="32" t="n">
        <v>-3.39</v>
      </c>
      <c r="U205" s="32" t="n">
        <v>28.93</v>
      </c>
      <c r="V205" s="32" t="n">
        <v>33.44</v>
      </c>
      <c r="W205" s="32" t="n">
        <v>11.45</v>
      </c>
      <c r="X205" s="31" t="inlineStr">
        <is>
          <t>Cyclical in an Upturn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Between 12 to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Less than 50%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IF(B206=0,"",RANK(B206,$B$2:$B$280,0))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MMFL</t>
        </is>
      </c>
      <c r="D206" s="31" t="inlineStr">
        <is>
          <t>Mm Forgings Limited</t>
        </is>
      </c>
      <c r="E206" s="31" t="inlineStr">
        <is>
          <t>industrials</t>
        </is>
      </c>
      <c r="F206" s="31" t="inlineStr">
        <is>
          <t>castings &amp; forgings</t>
        </is>
      </c>
      <c r="G206" s="31" t="inlineStr">
        <is>
          <t>smallcap</t>
        </is>
      </c>
      <c r="H206" s="32" t="n">
        <v>2683.25</v>
      </c>
      <c r="I206" s="32" t="n">
        <v>552.1</v>
      </c>
      <c r="J206" s="32" t="n">
        <v>-0.66</v>
      </c>
      <c r="K206" s="32" t="n">
        <v>114175</v>
      </c>
      <c r="L206" s="31" t="n">
        <v>58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71.68000000000001</v>
      </c>
      <c r="P206" s="32" t="n">
        <v>18.1</v>
      </c>
      <c r="Q206" s="32" t="n">
        <v>427.23</v>
      </c>
      <c r="R206" s="31" t="inlineStr">
        <is>
          <t>Near 52W High Breakout</t>
        </is>
      </c>
      <c r="S206" s="31" t="inlineStr">
        <is>
          <t>Nifty 50</t>
        </is>
      </c>
      <c r="T206" s="32" t="n">
        <v>-3.39</v>
      </c>
      <c r="U206" s="32" t="n">
        <v>56.33</v>
      </c>
      <c r="V206" s="32" t="n">
        <v>61.81</v>
      </c>
      <c r="W206" s="32" t="n">
        <v>12.83</v>
      </c>
      <c r="X206" s="31" t="inlineStr">
        <is>
          <t>Cyclical in an Upturn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0 to 20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Less than 1.5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More than 1.2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IF(B207=0,"",RANK(B207,$B$2:$B$280,0))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NAVINFLUOR</t>
        </is>
      </c>
      <c r="D207" s="31" t="inlineStr">
        <is>
          <t>Navin Fluorine International Limited</t>
        </is>
      </c>
      <c r="E207" s="31" t="inlineStr">
        <is>
          <t>chemicals</t>
        </is>
      </c>
      <c r="F207" s="31" t="inlineStr">
        <is>
          <t>chemicals</t>
        </is>
      </c>
      <c r="G207" s="31" t="inlineStr">
        <is>
          <t>largecap</t>
        </is>
      </c>
      <c r="H207" s="32" t="n">
        <v>40394.13</v>
      </c>
      <c r="I207" s="32" t="n">
        <v>7789</v>
      </c>
      <c r="J207" s="32" t="n">
        <v>-1.18</v>
      </c>
      <c r="K207" s="32" t="n">
        <v>188907</v>
      </c>
      <c r="L207" s="31" t="n">
        <v>61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71.86</v>
      </c>
      <c r="P207" s="32" t="n">
        <v>51.25</v>
      </c>
      <c r="Q207" s="32" t="n">
        <v>6481.33</v>
      </c>
      <c r="R207" s="31" t="inlineStr">
        <is>
          <t>Near 52W High Breakout</t>
        </is>
      </c>
      <c r="S207" s="31" t="inlineStr">
        <is>
          <t>Nifty 50</t>
        </is>
      </c>
      <c r="T207" s="32" t="n">
        <v>-3.39</v>
      </c>
      <c r="U207" s="32" t="n">
        <v>56.03</v>
      </c>
      <c r="V207" s="32" t="n">
        <v>61.49</v>
      </c>
      <c r="W207" s="32" t="n">
        <v>13.8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Oligopoly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Shallow Cyclical (2 to 3 Years Growth)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3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Between 50% to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IF(B208=0,"",RANK(B208,$B$2:$B$280,0))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3" t="inlineStr">
        <is>
          <t>JUBLINGREA</t>
        </is>
      </c>
      <c r="D208" s="33" t="inlineStr">
        <is>
          <t>Jubilant Ingrevia Ltd</t>
        </is>
      </c>
      <c r="E208" s="31" t="inlineStr">
        <is>
          <t>chemicals</t>
        </is>
      </c>
      <c r="F208" s="31" t="inlineStr">
        <is>
          <t>chemicals</t>
        </is>
      </c>
      <c r="G208" s="31" t="inlineStr">
        <is>
          <t>midcap</t>
        </is>
      </c>
      <c r="H208" s="32" t="n">
        <v>12165.89</v>
      </c>
      <c r="I208" s="32" t="n">
        <v>743.75</v>
      </c>
      <c r="J208" s="32" t="n">
        <v>-2.63</v>
      </c>
      <c r="K208" s="32" t="n">
        <v>4886609</v>
      </c>
      <c r="L208" s="31" t="n">
        <v>5</v>
      </c>
      <c r="M208" s="31" t="inlineStr">
        <is>
          <t>Underperforming</t>
        </is>
      </c>
      <c r="N208" s="32">
        <f>IF(M208="Underperforming",-5,IF(L208&gt;=95,15,IF(L208&gt;=90,10,IF(L208&gt;=80,5,0))))</f>
        <v/>
      </c>
      <c r="O208" s="32" t="n">
        <v>60.22</v>
      </c>
      <c r="P208" s="32" t="n">
        <v>18.31</v>
      </c>
      <c r="Q208" s="32" t="n">
        <v>567.51</v>
      </c>
      <c r="R208" s="31" t="inlineStr">
        <is>
          <t>Volume Spike &amp; Near 52W High Breakout</t>
        </is>
      </c>
      <c r="S208" s="31" t="inlineStr">
        <is>
          <t>Nifty 50</t>
        </is>
      </c>
      <c r="T208" s="32" t="n">
        <v>-3.39</v>
      </c>
      <c r="U208" s="32" t="n">
        <v>-4.24</v>
      </c>
      <c r="V208" s="32" t="n">
        <v>-0.89</v>
      </c>
      <c r="W208" s="32" t="n">
        <v>-0.27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0 to 20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Between 12 to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IF(B209=0,"",RANK(B209,$B$2:$B$280,0))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GALAPREC</t>
        </is>
      </c>
      <c r="D209" s="31" t="inlineStr">
        <is>
          <t>Gala Precision Engineering Ltd</t>
        </is>
      </c>
      <c r="E209" s="31" t="inlineStr">
        <is>
          <t>industrials</t>
        </is>
      </c>
      <c r="F209" s="31" t="inlineStr">
        <is>
          <t>fasteners</t>
        </is>
      </c>
      <c r="G209" s="31" t="inlineStr">
        <is>
          <t>smallcap</t>
        </is>
      </c>
      <c r="H209" s="32" t="n">
        <v>1539.48</v>
      </c>
      <c r="I209" s="32" t="n">
        <v>1167</v>
      </c>
      <c r="J209" s="32" t="n">
        <v>-2.85</v>
      </c>
      <c r="K209" s="32" t="n">
        <v>29834</v>
      </c>
      <c r="L209" s="31" t="n">
        <v>79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76.31</v>
      </c>
      <c r="P209" s="32" t="n">
        <v>46.19</v>
      </c>
      <c r="Q209" s="32" t="n">
        <v>905.05</v>
      </c>
      <c r="R209" s="31" t="inlineStr">
        <is>
          <t>Near 52W High Breakout</t>
        </is>
      </c>
      <c r="S209" s="31" t="inlineStr">
        <is>
          <t>Nifty 50</t>
        </is>
      </c>
      <c r="T209" s="32" t="n">
        <v>-3.39</v>
      </c>
      <c r="U209" s="32" t="n">
        <v>36.08</v>
      </c>
      <c r="V209" s="32" t="n">
        <v>40.85</v>
      </c>
      <c r="W209" s="32" t="n">
        <v>20.52</v>
      </c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Above 40</t>
        </is>
      </c>
      <c r="AY209" s="31">
        <f>IF(AX209="Above 40",20,IF(AX209="20 to 40",10,IF(AX209="0 to 20",-5,0)))</f>
        <v/>
      </c>
      <c r="AZ209" s="31" t="inlineStr">
        <is>
          <t>Above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Less than 50%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IF(B210=0,"",RANK(B210,$B$2:$B$280,0))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3" t="inlineStr">
        <is>
          <t>SHYAMMETL</t>
        </is>
      </c>
      <c r="D210" s="33" t="inlineStr">
        <is>
          <t>Shyam Metalics &amp; Energy Ltd</t>
        </is>
      </c>
      <c r="E210" s="31" t="inlineStr">
        <is>
          <t>metals &amp; mining</t>
        </is>
      </c>
      <c r="F210" s="31" t="inlineStr">
        <is>
          <t>steel - large</t>
        </is>
      </c>
      <c r="G210" s="31" t="inlineStr">
        <is>
          <t>largecap</t>
        </is>
      </c>
      <c r="H210" s="32" t="n">
        <v>29661.95</v>
      </c>
      <c r="I210" s="32" t="n">
        <v>1030.15</v>
      </c>
      <c r="J210" s="32" t="n">
        <v>-3.06</v>
      </c>
      <c r="K210" s="32" t="n">
        <v>276198</v>
      </c>
      <c r="L210" s="31" t="n">
        <v>36</v>
      </c>
      <c r="M210" s="31" t="inlineStr">
        <is>
          <t>Underperforming</t>
        </is>
      </c>
      <c r="N210" s="32">
        <f>IF(M210="Underperforming",-5,IF(L210&gt;=95,15,IF(L210&gt;=90,10,IF(L210&gt;=80,5,0))))</f>
        <v/>
      </c>
      <c r="O210" s="32" t="n">
        <v>65.97</v>
      </c>
      <c r="P210" s="32" t="n">
        <v>17.94</v>
      </c>
      <c r="Q210" s="32" t="n">
        <v>841.05</v>
      </c>
      <c r="R210" s="31" t="inlineStr">
        <is>
          <t>Near 52W High Breakout</t>
        </is>
      </c>
      <c r="S210" s="31" t="inlineStr">
        <is>
          <t>Nifty Metal</t>
        </is>
      </c>
      <c r="T210" s="32" t="n">
        <v>33.29</v>
      </c>
      <c r="U210" s="32" t="n">
        <v>6.76</v>
      </c>
      <c r="V210" s="32" t="n">
        <v>-19.91</v>
      </c>
      <c r="W210" s="32" t="n">
        <v>7.25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Cyclical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Volatile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0 to 20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Blue sky scenario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Less than 1.5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IF(B211=0,"",RANK(B211,$B$2:$B$280,0))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OMAXE</t>
        </is>
      </c>
      <c r="D211" s="31" t="inlineStr">
        <is>
          <t>Omaxe Limited</t>
        </is>
      </c>
      <c r="E211" s="31" t="inlineStr">
        <is>
          <t>realty</t>
        </is>
      </c>
      <c r="F211" s="31" t="inlineStr">
        <is>
          <t>construction</t>
        </is>
      </c>
      <c r="G211" s="31" t="inlineStr">
        <is>
          <t>smallcap</t>
        </is>
      </c>
      <c r="H211" s="32" t="n">
        <v>1696.22</v>
      </c>
      <c r="I211" s="32" t="n">
        <v>89.65000000000001</v>
      </c>
      <c r="J211" s="32" t="n">
        <v>-3.33</v>
      </c>
      <c r="K211" s="32" t="n">
        <v>285763</v>
      </c>
      <c r="L211" s="31" t="n">
        <v>9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59.76</v>
      </c>
      <c r="P211" s="32" t="n">
        <v>22.56</v>
      </c>
      <c r="Q211" s="32" t="n">
        <v>66.36</v>
      </c>
      <c r="R211" s="31" t="inlineStr">
        <is>
          <t>Earnings / Momentum Support</t>
        </is>
      </c>
      <c r="S211" s="31" t="inlineStr">
        <is>
          <t>Nifty Realty</t>
        </is>
      </c>
      <c r="T211" s="32" t="n">
        <v>-5.01</v>
      </c>
      <c r="U211" s="32" t="n">
        <v>-4.96</v>
      </c>
      <c r="V211" s="32" t="n">
        <v>0.05</v>
      </c>
      <c r="W211" s="32" t="n">
        <v>0.95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Negative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IF(B212=0,"",RANK(B212,$B$2:$B$280,0))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3" t="inlineStr">
        <is>
          <t>GODREJPROP</t>
        </is>
      </c>
      <c r="D212" s="33" t="inlineStr">
        <is>
          <t>Godrej Properties Limited</t>
        </is>
      </c>
      <c r="E212" s="31" t="inlineStr">
        <is>
          <t>realty</t>
        </is>
      </c>
      <c r="F212" s="31" t="inlineStr">
        <is>
          <t>construction</t>
        </is>
      </c>
      <c r="G212" s="31" t="inlineStr">
        <is>
          <t>largecap</t>
        </is>
      </c>
      <c r="H212" s="32" t="n">
        <v>65194.34</v>
      </c>
      <c r="I212" s="32" t="n">
        <v>2081.1</v>
      </c>
      <c r="J212" s="32" t="n">
        <v>-3.84</v>
      </c>
      <c r="K212" s="32" t="n">
        <v>928743</v>
      </c>
      <c r="L212" s="31" t="n">
        <v>20</v>
      </c>
      <c r="M212" s="31" t="inlineStr">
        <is>
          <t>Underperforming</t>
        </is>
      </c>
      <c r="N212" s="32">
        <f>IF(M212="Underperforming",-5,IF(L212&gt;=95,15,IF(L212&gt;=90,10,IF(L212&gt;=80,5,0))))</f>
        <v/>
      </c>
      <c r="O212" s="32" t="n">
        <v>61.4</v>
      </c>
      <c r="P212" s="32" t="n">
        <v>10.35</v>
      </c>
      <c r="Q212" s="32" t="n">
        <v>1731.73</v>
      </c>
      <c r="R212" s="31" t="inlineStr">
        <is>
          <t>Earnings / Momentum Support</t>
        </is>
      </c>
      <c r="S212" s="31" t="inlineStr">
        <is>
          <t>Nifty Realty</t>
        </is>
      </c>
      <c r="T212" s="32" t="n">
        <v>-5.01</v>
      </c>
      <c r="U212" s="32" t="n">
        <v>-6.84</v>
      </c>
      <c r="V212" s="32" t="n">
        <v>-1.92</v>
      </c>
      <c r="W212" s="32" t="n">
        <v>3.96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0 to 20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Less than 1.5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Between 0.7 to 1.2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IF(B213=0,"",RANK(B213,$B$2:$B$280,0))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RPGLIFE</t>
        </is>
      </c>
      <c r="D213" s="31" t="inlineStr">
        <is>
          <t>Rpg Life Sciences Limited</t>
        </is>
      </c>
      <c r="E213" s="31" t="inlineStr">
        <is>
          <t>healthcare</t>
        </is>
      </c>
      <c r="F213" s="31" t="inlineStr">
        <is>
          <t>pharmaceuticals - indian - bulk drugs &amp; formln</t>
        </is>
      </c>
      <c r="G213" s="31" t="inlineStr">
        <is>
          <t>smallcap</t>
        </is>
      </c>
      <c r="H213" s="32" t="n">
        <v>4958.23</v>
      </c>
      <c r="I213" s="32" t="n">
        <v>3004.9</v>
      </c>
      <c r="J213" s="32" t="n">
        <v>0.23</v>
      </c>
      <c r="K213" s="32" t="n">
        <v>35064</v>
      </c>
      <c r="L213" s="31" t="n">
        <v>66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77.78</v>
      </c>
      <c r="P213" s="32" t="n">
        <v>26.72</v>
      </c>
      <c r="Q213" s="32" t="n">
        <v>2400.27</v>
      </c>
      <c r="R213" s="31" t="inlineStr">
        <is>
          <t>Volume Spike &amp; Near 52W High Breakout</t>
        </is>
      </c>
      <c r="S213" s="31" t="inlineStr">
        <is>
          <t>Nifty Pharma</t>
        </is>
      </c>
      <c r="T213" s="32" t="n">
        <v>13.63</v>
      </c>
      <c r="U213" s="32" t="n">
        <v>21.78</v>
      </c>
      <c r="V213" s="32" t="n">
        <v>7.17</v>
      </c>
      <c r="W213" s="32" t="n">
        <v>15.78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Yes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Annuity, Lower One Time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Above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Blue sky scenario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Less than 12%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Less than 50%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IF(B214=0,"",RANK(B214,$B$2:$B$280,0))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APCOTEXIND</t>
        </is>
      </c>
      <c r="D214" s="31" t="inlineStr">
        <is>
          <t>Apcotex Industries Limited</t>
        </is>
      </c>
      <c r="E214" s="31" t="inlineStr">
        <is>
          <t>chemicals</t>
        </is>
      </c>
      <c r="F214" s="31" t="inlineStr">
        <is>
          <t>miscellaneous</t>
        </is>
      </c>
      <c r="G214" s="31" t="inlineStr">
        <is>
          <t>smallcap</t>
        </is>
      </c>
      <c r="H214" s="32" t="n">
        <v>2894.5</v>
      </c>
      <c r="I214" s="32" t="n">
        <v>553.5</v>
      </c>
      <c r="J214" s="32" t="n">
        <v>-0.86</v>
      </c>
      <c r="K214" s="32" t="n">
        <v>106623</v>
      </c>
      <c r="L214" s="31" t="n">
        <v>71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68.06</v>
      </c>
      <c r="P214" s="32" t="n">
        <v>53.97</v>
      </c>
      <c r="Q214" s="32" t="n">
        <v>421.23</v>
      </c>
      <c r="R214" s="31" t="inlineStr">
        <is>
          <t>Near 52W High Breakout</t>
        </is>
      </c>
      <c r="S214" s="31" t="inlineStr">
        <is>
          <t>Nifty 50</t>
        </is>
      </c>
      <c r="T214" s="32" t="n">
        <v>-3.39</v>
      </c>
      <c r="U214" s="32" t="n">
        <v>42.71</v>
      </c>
      <c r="V214" s="32" t="n">
        <v>47.71</v>
      </c>
      <c r="W214" s="32" t="n">
        <v>17.24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Oligopoly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Cyclical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Fully One Time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Above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1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Sideways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Overhead supply in last 2 years in last 2 years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Between 50% to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IF(B215=0,"",RANK(B215,$B$2:$B$280,0))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VENKEYS</t>
        </is>
      </c>
      <c r="D215" s="31" t="inlineStr">
        <is>
          <t>Venky's (india) Limited</t>
        </is>
      </c>
      <c r="E215" s="31" t="inlineStr">
        <is>
          <t>fmcg</t>
        </is>
      </c>
      <c r="F215" s="31" t="inlineStr">
        <is>
          <t>miscellaneous</t>
        </is>
      </c>
      <c r="G215" s="31" t="inlineStr">
        <is>
          <t>smallcap</t>
        </is>
      </c>
      <c r="H215" s="32" t="n">
        <v>2152.12</v>
      </c>
      <c r="I215" s="32" t="n">
        <v>1502.1</v>
      </c>
      <c r="J215" s="32" t="n">
        <v>-1.68</v>
      </c>
      <c r="K215" s="32" t="n">
        <v>21658</v>
      </c>
      <c r="L215" s="31" t="n">
        <v>4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53.31</v>
      </c>
      <c r="P215" s="32" t="n">
        <v>37.32</v>
      </c>
      <c r="Q215" s="32" t="n">
        <v>1301.84</v>
      </c>
      <c r="R215" s="31" t="inlineStr">
        <is>
          <t>Earnings / Momentum Support</t>
        </is>
      </c>
      <c r="S215" s="31" t="inlineStr">
        <is>
          <t>Nifty FMCG</t>
        </is>
      </c>
      <c r="T215" s="32" t="n">
        <v>-9.800000000000001</v>
      </c>
      <c r="U215" s="32" t="n">
        <v>-2.22</v>
      </c>
      <c r="V215" s="32" t="n">
        <v>8.4</v>
      </c>
      <c r="W215" s="32" t="n">
        <v>-0.65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Headwind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B2C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Annuity, Lower One Time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1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IF(B216=0,"",RANK(B216,$B$2:$B$280,0))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HUHTAMAKI</t>
        </is>
      </c>
      <c r="D216" s="31" t="inlineStr">
        <is>
          <t>Huhtamaki India Ltd</t>
        </is>
      </c>
      <c r="E216" s="31" t="inlineStr">
        <is>
          <t>industrials</t>
        </is>
      </c>
      <c r="F216" s="31" t="inlineStr">
        <is>
          <t>packaging</t>
        </is>
      </c>
      <c r="G216" s="31" t="inlineStr">
        <is>
          <t>smallcap</t>
        </is>
      </c>
      <c r="H216" s="32" t="n">
        <v>1995.21</v>
      </c>
      <c r="I216" s="32" t="n">
        <v>291.98</v>
      </c>
      <c r="J216" s="32" t="n">
        <v>10.52</v>
      </c>
      <c r="K216" s="32" t="n">
        <v>24962728</v>
      </c>
      <c r="L216" s="31" t="n">
        <v>83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78.79000000000001</v>
      </c>
      <c r="P216" s="32" t="n">
        <v>19.32</v>
      </c>
      <c r="Q216" s="32" t="n">
        <v>229.34</v>
      </c>
      <c r="R216" s="31" t="inlineStr">
        <is>
          <t>Volume Spike &amp; Near 52W High Breakout</t>
        </is>
      </c>
      <c r="S216" s="31" t="inlineStr">
        <is>
          <t>Nifty Infra</t>
        </is>
      </c>
      <c r="T216" s="32" t="n">
        <v>3.35</v>
      </c>
      <c r="U216" s="32" t="n">
        <v>35.01</v>
      </c>
      <c r="V216" s="32" t="n">
        <v>30.64</v>
      </c>
      <c r="W216" s="32" t="n">
        <v>23.6</v>
      </c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Above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IF(B217=0,"",RANK(B217,$B$2:$B$280,0))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3" t="inlineStr">
        <is>
          <t>ASIANHOTNR</t>
        </is>
      </c>
      <c r="D217" s="33" t="inlineStr">
        <is>
          <t>Asian Hotels (north) Limited</t>
        </is>
      </c>
      <c r="E217" s="31" t="inlineStr">
        <is>
          <t>services</t>
        </is>
      </c>
      <c r="F217" s="31" t="inlineStr">
        <is>
          <t>hotels</t>
        </is>
      </c>
      <c r="G217" s="31" t="inlineStr">
        <is>
          <t>smallcap</t>
        </is>
      </c>
      <c r="H217" s="32" t="n">
        <v>1255.76</v>
      </c>
      <c r="I217" s="32" t="n">
        <v>324</v>
      </c>
      <c r="J217" s="32" t="n">
        <v>10</v>
      </c>
      <c r="K217" s="32" t="n">
        <v>28791</v>
      </c>
      <c r="L217" s="31" t="n">
        <v>3</v>
      </c>
      <c r="M217" s="31" t="inlineStr">
        <is>
          <t>Underperforming</t>
        </is>
      </c>
      <c r="N217" s="32">
        <f>IF(M217="Underperforming",-5,IF(L217&gt;=95,15,IF(L217&gt;=90,10,IF(L217&gt;=80,5,0))))</f>
        <v/>
      </c>
      <c r="O217" s="32" t="n">
        <v>51.78</v>
      </c>
      <c r="P217" s="32" t="n">
        <v>25.96</v>
      </c>
      <c r="Q217" s="32" t="n">
        <v>223.29</v>
      </c>
      <c r="R217" s="31" t="inlineStr">
        <is>
          <t>Earnings / Momentum Support</t>
        </is>
      </c>
      <c r="S217" s="31" t="inlineStr">
        <is>
          <t>Nifty 50</t>
        </is>
      </c>
      <c r="T217" s="32" t="n">
        <v>-3.39</v>
      </c>
      <c r="U217" s="32" t="n">
        <v>-13.31</v>
      </c>
      <c r="V217" s="32" t="n">
        <v>-10.28</v>
      </c>
      <c r="W217" s="32" t="n">
        <v>-1.25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Less than 12%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Less than 1.5</t>
        </is>
      </c>
      <c r="BU217" s="31">
        <f>IF(BT217="Above 2",0,IF(BT217="Between 1.5 to 2",5,IF(BT217="Less than 1.5",10,0)))</f>
        <v/>
      </c>
      <c r="BV217" s="31" t="inlineStr">
        <is>
          <t>Negative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IF(B218=0,"",RANK(B218,$B$2:$B$280,0))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SPECIALITY</t>
        </is>
      </c>
      <c r="D218" s="31" t="inlineStr">
        <is>
          <t>Speciality Restaurants Limited</t>
        </is>
      </c>
      <c r="E218" s="31" t="inlineStr">
        <is>
          <t>services</t>
        </is>
      </c>
      <c r="F218" s="31" t="inlineStr">
        <is>
          <t>hotels</t>
        </is>
      </c>
      <c r="G218" s="31" t="inlineStr">
        <is>
          <t>smallcap</t>
        </is>
      </c>
      <c r="H218" s="32" t="n">
        <v>634.6799999999999</v>
      </c>
      <c r="I218" s="32" t="n">
        <v>134</v>
      </c>
      <c r="J218" s="32" t="n">
        <v>1.84</v>
      </c>
      <c r="K218" s="32" t="n">
        <v>22724</v>
      </c>
      <c r="L218" s="31" t="n">
        <v>39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63.55</v>
      </c>
      <c r="P218" s="32" t="n">
        <v>19.69</v>
      </c>
      <c r="Q218" s="32" t="n">
        <v>95.67</v>
      </c>
      <c r="R218" s="31" t="inlineStr">
        <is>
          <t>Earnings / Momentum Support</t>
        </is>
      </c>
      <c r="S218" s="31" t="inlineStr">
        <is>
          <t>Nifty 50</t>
        </is>
      </c>
      <c r="T218" s="32" t="n">
        <v>-3.39</v>
      </c>
      <c r="U218" s="32" t="n">
        <v>0.11</v>
      </c>
      <c r="V218" s="32" t="n">
        <v>3.62</v>
      </c>
      <c r="W218" s="32" t="n">
        <v>7.96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0 to 20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IF(B219=0,"",RANK(B219,$B$2:$B$280,0))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MAHLIFE</t>
        </is>
      </c>
      <c r="D219" s="31" t="inlineStr">
        <is>
          <t>Mahindra Lifespace Developers Limited</t>
        </is>
      </c>
      <c r="E219" s="31" t="inlineStr">
        <is>
          <t>realty</t>
        </is>
      </c>
      <c r="F219" s="31" t="inlineStr">
        <is>
          <t>construction</t>
        </is>
      </c>
      <c r="G219" s="31" t="inlineStr">
        <is>
          <t>midcap</t>
        </is>
      </c>
      <c r="H219" s="32" t="n">
        <v>7876.61</v>
      </c>
      <c r="I219" s="32" t="n">
        <v>374.1</v>
      </c>
      <c r="J219" s="32" t="n">
        <v>1.33</v>
      </c>
      <c r="K219" s="32" t="n">
        <v>168313</v>
      </c>
      <c r="L219" s="31" t="n">
        <v>23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57.96</v>
      </c>
      <c r="P219" s="32" t="n">
        <v>10.54</v>
      </c>
      <c r="Q219" s="32" t="n">
        <v>311.62</v>
      </c>
      <c r="R219" s="31" t="inlineStr">
        <is>
          <t>Earnings / Momentum Support</t>
        </is>
      </c>
      <c r="S219" s="31" t="inlineStr">
        <is>
          <t>Nifty Realty</t>
        </is>
      </c>
      <c r="T219" s="32" t="n">
        <v>-5.01</v>
      </c>
      <c r="U219" s="32" t="n">
        <v>2.07</v>
      </c>
      <c r="V219" s="32" t="n">
        <v>7.45</v>
      </c>
      <c r="W219" s="32" t="n">
        <v>4.67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IF(B220=0,"",RANK(B220,$B$2:$B$280,0))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INDIACEM</t>
        </is>
      </c>
      <c r="D220" s="31" t="inlineStr">
        <is>
          <t>The India Cements Limited</t>
        </is>
      </c>
      <c r="E220" s="31" t="inlineStr">
        <is>
          <t>building materials</t>
        </is>
      </c>
      <c r="F220" s="31" t="inlineStr">
        <is>
          <t>cement - south india</t>
        </is>
      </c>
      <c r="G220" s="31" t="inlineStr">
        <is>
          <t>midcap</t>
        </is>
      </c>
      <c r="H220" s="32" t="n">
        <v>12557.03</v>
      </c>
      <c r="I220" s="32" t="n">
        <v>409.65</v>
      </c>
      <c r="J220" s="32" t="n">
        <v>1.1</v>
      </c>
      <c r="K220" s="32" t="n">
        <v>776701</v>
      </c>
      <c r="L220" s="31" t="n">
        <v>18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54.81</v>
      </c>
      <c r="P220" s="32" t="n">
        <v>20.04</v>
      </c>
      <c r="Q220" s="32" t="n">
        <v>321.92</v>
      </c>
      <c r="R220" s="31" t="inlineStr">
        <is>
          <t>Volume Spike / Accumulation</t>
        </is>
      </c>
      <c r="S220" s="31" t="inlineStr">
        <is>
          <t>Nifty Infra</t>
        </is>
      </c>
      <c r="T220" s="32" t="n">
        <v>3.35</v>
      </c>
      <c r="U220" s="32" t="n">
        <v>14.08</v>
      </c>
      <c r="V220" s="32" t="n">
        <v>10.38</v>
      </c>
      <c r="W220" s="32" t="n">
        <v>2.94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Headwind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1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IF(B221=0,"",RANK(B221,$B$2:$B$280,0))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TITAN</t>
        </is>
      </c>
      <c r="D221" s="31" t="inlineStr">
        <is>
          <t>Titan Company Limited</t>
        </is>
      </c>
      <c r="E221" s="31" t="inlineStr">
        <is>
          <t>consumer discretionary</t>
        </is>
      </c>
      <c r="F221" s="31" t="inlineStr">
        <is>
          <t>diamond cutting / jewellery</t>
        </is>
      </c>
      <c r="G221" s="31" t="inlineStr">
        <is>
          <t>largecap</t>
        </is>
      </c>
      <c r="H221" s="32" t="n">
        <v>416256.3</v>
      </c>
      <c r="I221" s="32" t="n">
        <v>4711.6</v>
      </c>
      <c r="J221" s="32" t="n">
        <v>0.49</v>
      </c>
      <c r="K221" s="32" t="n">
        <v>996484</v>
      </c>
      <c r="L221" s="31" t="n">
        <v>39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64.73</v>
      </c>
      <c r="P221" s="32" t="n">
        <v>17.38</v>
      </c>
      <c r="Q221" s="32" t="n">
        <v>4067.51</v>
      </c>
      <c r="R221" s="31" t="inlineStr">
        <is>
          <t>Near 52W High Breakout</t>
        </is>
      </c>
      <c r="S221" s="31" t="inlineStr">
        <is>
          <t>Nifty 50</t>
        </is>
      </c>
      <c r="T221" s="32" t="n">
        <v>-3.39</v>
      </c>
      <c r="U221" s="32" t="n">
        <v>36.51</v>
      </c>
      <c r="V221" s="32" t="n">
        <v>41.29</v>
      </c>
      <c r="W221" s="32" t="n">
        <v>7.91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0 to 20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Blue sky scenario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More than 1.2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IF(B222=0,"",RANK(B222,$B$2:$B$280,0))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3" t="inlineStr">
        <is>
          <t>VSSL</t>
        </is>
      </c>
      <c r="D222" s="33" t="inlineStr">
        <is>
          <t>Vardhman Special Steels Limited</t>
        </is>
      </c>
      <c r="E222" s="31" t="inlineStr">
        <is>
          <t>metals &amp; mining</t>
        </is>
      </c>
      <c r="F222" s="31" t="inlineStr">
        <is>
          <t>steel - medium / small</t>
        </is>
      </c>
      <c r="G222" s="31" t="inlineStr">
        <is>
          <t>smallcap</t>
        </is>
      </c>
      <c r="H222" s="32" t="n">
        <v>2932.96</v>
      </c>
      <c r="I222" s="32" t="n">
        <v>303.3</v>
      </c>
      <c r="J222" s="32" t="n">
        <v>-0.02</v>
      </c>
      <c r="K222" s="32" t="n">
        <v>1647664</v>
      </c>
      <c r="L222" s="31" t="n">
        <v>37</v>
      </c>
      <c r="M222" s="31" t="inlineStr">
        <is>
          <t>Underperforming</t>
        </is>
      </c>
      <c r="N222" s="32">
        <f>IF(M222="Underperforming",-5,IF(L222&gt;=95,15,IF(L222&gt;=90,10,IF(L222&gt;=80,5,0))))</f>
        <v/>
      </c>
      <c r="O222" s="32" t="n">
        <v>65.17</v>
      </c>
      <c r="P222" s="32" t="n">
        <v>19.01</v>
      </c>
      <c r="Q222" s="32" t="n">
        <v>240.63</v>
      </c>
      <c r="R222" s="31" t="inlineStr">
        <is>
          <t>Volume Spike &amp; Near 52W High Breakout</t>
        </is>
      </c>
      <c r="S222" s="31" t="inlineStr">
        <is>
          <t>Nifty Metal</t>
        </is>
      </c>
      <c r="T222" s="32" t="n">
        <v>33.29</v>
      </c>
      <c r="U222" s="32" t="n">
        <v>18.86</v>
      </c>
      <c r="V222" s="32" t="n">
        <v>-10.83</v>
      </c>
      <c r="W222" s="32" t="n">
        <v>7.41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Cyclical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Volatile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0 to 20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Blue sky scenario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Less than 1.5</t>
        </is>
      </c>
      <c r="BU222" s="31">
        <f>IF(BT222="Above 2",0,IF(BT222="Between 1.5 to 2",5,IF(BT222="Less than 1.5",10,0)))</f>
        <v/>
      </c>
      <c r="BV222" s="31" t="inlineStr">
        <is>
          <t>Between 50% to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IF(B223=0,"",RANK(B223,$B$2:$B$280,0))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TEXINFRA</t>
        </is>
      </c>
      <c r="D223" s="31" t="inlineStr">
        <is>
          <t>Texmaco Infrastructure &amp; Holdings Limited</t>
        </is>
      </c>
      <c r="E223" s="31" t="inlineStr">
        <is>
          <t>realty</t>
        </is>
      </c>
      <c r="F223" s="31" t="inlineStr">
        <is>
          <t>construction</t>
        </is>
      </c>
      <c r="G223" s="31" t="inlineStr">
        <is>
          <t>smallcap</t>
        </is>
      </c>
      <c r="H223" s="32" t="n">
        <v>1452.79</v>
      </c>
      <c r="I223" s="32" t="n">
        <v>113.99</v>
      </c>
      <c r="J223" s="32" t="n">
        <v>-0.02</v>
      </c>
      <c r="K223" s="32" t="n">
        <v>94111</v>
      </c>
      <c r="L223" s="31" t="n">
        <v>33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66.16</v>
      </c>
      <c r="P223" s="32" t="n">
        <v>31.38</v>
      </c>
      <c r="Q223" s="32" t="n">
        <v>94.5</v>
      </c>
      <c r="R223" s="31" t="inlineStr">
        <is>
          <t>Near 52W High Breakout</t>
        </is>
      </c>
      <c r="S223" s="31" t="inlineStr">
        <is>
          <t>Nifty Realty</t>
        </is>
      </c>
      <c r="T223" s="32" t="n">
        <v>-5.01</v>
      </c>
      <c r="U223" s="32" t="n">
        <v>15.28</v>
      </c>
      <c r="V223" s="32" t="n">
        <v>21.36</v>
      </c>
      <c r="W223" s="32" t="n">
        <v>6.74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Negative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IF(B224=0,"",RANK(B224,$B$2:$B$280,0))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RGL</t>
        </is>
      </c>
      <c r="D224" s="31" t="inlineStr">
        <is>
          <t>Renaissance Global Ltd</t>
        </is>
      </c>
      <c r="E224" s="31" t="inlineStr">
        <is>
          <t>consumer discretionary</t>
        </is>
      </c>
      <c r="F224" s="31" t="inlineStr">
        <is>
          <t>diamond cutting / jewellery</t>
        </is>
      </c>
      <c r="G224" s="31" t="inlineStr">
        <is>
          <t>smallcap</t>
        </is>
      </c>
      <c r="H224" s="32" t="n">
        <v>1285.12</v>
      </c>
      <c r="I224" s="32" t="n">
        <v>119.7</v>
      </c>
      <c r="J224" s="32" t="n">
        <v>-0.03</v>
      </c>
      <c r="K224" s="32" t="n">
        <v>277443</v>
      </c>
      <c r="L224" s="31" t="n">
        <v>29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56.43</v>
      </c>
      <c r="P224" s="32" t="n">
        <v>11.65</v>
      </c>
      <c r="Q224" s="32" t="n">
        <v>90.81999999999999</v>
      </c>
      <c r="R224" s="31" t="inlineStr">
        <is>
          <t>Earnings / Momentum Support</t>
        </is>
      </c>
      <c r="S224" s="31" t="inlineStr">
        <is>
          <t>Nifty 50</t>
        </is>
      </c>
      <c r="T224" s="32" t="n">
        <v>-3.39</v>
      </c>
      <c r="U224" s="32" t="n">
        <v>5.64</v>
      </c>
      <c r="V224" s="32" t="n">
        <v>9.34</v>
      </c>
      <c r="W224" s="32" t="n">
        <v>5.84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0 to 20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Between 1.5 to 2</t>
        </is>
      </c>
      <c r="BU224" s="31">
        <f>IF(BT224="Above 2",0,IF(BT224="Between 1.5 to 2",5,IF(BT224="Less than 1.5",10,0)))</f>
        <v/>
      </c>
      <c r="BV224" s="31" t="inlineStr">
        <is>
          <t>Less than 50%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IF(B225=0,"",RANK(B225,$B$2:$B$280,0))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3" t="inlineStr">
        <is>
          <t>JSWSTEEL</t>
        </is>
      </c>
      <c r="D225" s="33" t="inlineStr">
        <is>
          <t>Jsw Steel Limited</t>
        </is>
      </c>
      <c r="E225" s="31" t="inlineStr">
        <is>
          <t>metals &amp; mining</t>
        </is>
      </c>
      <c r="F225" s="31" t="inlineStr">
        <is>
          <t>steel - large</t>
        </is>
      </c>
      <c r="G225" s="31" t="inlineStr">
        <is>
          <t>largecap</t>
        </is>
      </c>
      <c r="H225" s="32" t="n">
        <v>309936.84</v>
      </c>
      <c r="I225" s="32" t="n">
        <v>1266.9</v>
      </c>
      <c r="J225" s="32" t="n">
        <v>-0.04</v>
      </c>
      <c r="K225" s="32" t="n">
        <v>3988786</v>
      </c>
      <c r="L225" s="31" t="n">
        <v>23</v>
      </c>
      <c r="M225" s="31" t="inlineStr">
        <is>
          <t>Underperforming</t>
        </is>
      </c>
      <c r="N225" s="32">
        <f>IF(M225="Underperforming",-5,IF(L225&gt;=95,15,IF(L225&gt;=90,10,IF(L225&gt;=80,5,0))))</f>
        <v/>
      </c>
      <c r="O225" s="32" t="n">
        <v>57.69</v>
      </c>
      <c r="P225" s="32" t="n">
        <v>29.11</v>
      </c>
      <c r="Q225" s="32" t="n">
        <v>1125.16</v>
      </c>
      <c r="R225" s="31" t="inlineStr">
        <is>
          <t>Near 52W High Breakout</t>
        </is>
      </c>
      <c r="S225" s="31" t="inlineStr">
        <is>
          <t>Nifty Metal</t>
        </is>
      </c>
      <c r="T225" s="32" t="n">
        <v>33.29</v>
      </c>
      <c r="U225" s="32" t="n">
        <v>24.08</v>
      </c>
      <c r="V225" s="32" t="n">
        <v>-6.91</v>
      </c>
      <c r="W225" s="32" t="n">
        <v>4.78</v>
      </c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Cyclical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Volatile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Blue sky scenario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Between 0.7 to 1.2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IF(B226=0,"",RANK(B226,$B$2:$B$280,0))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HAL</t>
        </is>
      </c>
      <c r="D226" s="31" t="inlineStr">
        <is>
          <t>Hindustan Aeronautics Ltd</t>
        </is>
      </c>
      <c r="E226" s="31" t="inlineStr">
        <is>
          <t>aerospace &amp; defence</t>
        </is>
      </c>
      <c r="F226" s="31" t="inlineStr">
        <is>
          <t>engineering</t>
        </is>
      </c>
      <c r="G226" s="31" t="inlineStr">
        <is>
          <t>largecap</t>
        </is>
      </c>
      <c r="H226" s="32" t="n">
        <v>306412.64</v>
      </c>
      <c r="I226" s="32" t="n">
        <v>4574.8</v>
      </c>
      <c r="J226" s="32" t="n">
        <v>-0.15</v>
      </c>
      <c r="K226" s="32" t="n">
        <v>976586</v>
      </c>
      <c r="L226" s="31" t="n">
        <v>12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57.46</v>
      </c>
      <c r="P226" s="32" t="n">
        <v>18.48</v>
      </c>
      <c r="Q226" s="32" t="n">
        <v>4058.06</v>
      </c>
      <c r="R226" s="31" t="inlineStr">
        <is>
          <t>Earnings / Momentum Support</t>
        </is>
      </c>
      <c r="S226" s="31" t="inlineStr">
        <is>
          <t>Nifty 500</t>
        </is>
      </c>
      <c r="T226" s="32" t="n">
        <v>0.57</v>
      </c>
      <c r="U226" s="32" t="n">
        <v>1.66</v>
      </c>
      <c r="V226" s="32" t="n">
        <v>1.09</v>
      </c>
      <c r="W226" s="32" t="n">
        <v>1.98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0 to 20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IF(B227=0,"",RANK(B227,$B$2:$B$280,0))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EICHERMOT</t>
        </is>
      </c>
      <c r="D227" s="31" t="inlineStr">
        <is>
          <t>Eicher Motors Limited</t>
        </is>
      </c>
      <c r="E227" s="31" t="inlineStr">
        <is>
          <t>auto</t>
        </is>
      </c>
      <c r="F227" s="31" t="inlineStr">
        <is>
          <t>automobiles - motorcycles / mopeds</t>
        </is>
      </c>
      <c r="G227" s="31" t="inlineStr">
        <is>
          <t>largecap</t>
        </is>
      </c>
      <c r="H227" s="32" t="n">
        <v>210933.91</v>
      </c>
      <c r="I227" s="32" t="n">
        <v>7632</v>
      </c>
      <c r="J227" s="32" t="n">
        <v>-0.75</v>
      </c>
      <c r="K227" s="32" t="n">
        <v>409801</v>
      </c>
      <c r="L227" s="31" t="n">
        <v>44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57.93</v>
      </c>
      <c r="P227" s="32" t="n">
        <v>6.99</v>
      </c>
      <c r="Q227" s="32" t="n">
        <v>6432.3</v>
      </c>
      <c r="R227" s="31" t="inlineStr">
        <is>
          <t>Earnings / Momentum Support</t>
        </is>
      </c>
      <c r="S227" s="31" t="inlineStr">
        <is>
          <t>Nifty Auto</t>
        </is>
      </c>
      <c r="T227" s="32" t="n">
        <v>14.92</v>
      </c>
      <c r="U227" s="32" t="n">
        <v>42.3</v>
      </c>
      <c r="V227" s="32" t="n">
        <v>23.82</v>
      </c>
      <c r="W227" s="32" t="n">
        <v>9.220000000000001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Less than 12%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IF(B228=0,"",RANK(B228,$B$2:$B$280,0))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ASAL</t>
        </is>
      </c>
      <c r="D228" s="33" t="inlineStr">
        <is>
          <t>Automotive Stampings And Assemblies Limited</t>
        </is>
      </c>
      <c r="E228" s="31" t="inlineStr">
        <is>
          <t>auto</t>
        </is>
      </c>
      <c r="F228" s="31" t="inlineStr">
        <is>
          <t>auto ancillaries</t>
        </is>
      </c>
      <c r="G228" s="31" t="inlineStr">
        <is>
          <t>smallcap</t>
        </is>
      </c>
      <c r="H228" s="32" t="n">
        <v>875</v>
      </c>
      <c r="I228" s="32" t="n">
        <v>546.45</v>
      </c>
      <c r="J228" s="32" t="n">
        <v>-0.92</v>
      </c>
      <c r="K228" s="32" t="n">
        <v>42154</v>
      </c>
      <c r="L228" s="31" t="n">
        <v>19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61.2</v>
      </c>
      <c r="P228" s="32" t="n">
        <v>20.15</v>
      </c>
      <c r="Q228" s="32" t="n">
        <v>420.31</v>
      </c>
      <c r="R228" s="31" t="inlineStr">
        <is>
          <t>Earnings / Momentum Support</t>
        </is>
      </c>
      <c r="S228" s="31" t="inlineStr">
        <is>
          <t>Nifty Auto</t>
        </is>
      </c>
      <c r="T228" s="32" t="n">
        <v>14.92</v>
      </c>
      <c r="U228" s="32" t="n">
        <v>-0.85</v>
      </c>
      <c r="V228" s="32" t="n">
        <v>-13.72</v>
      </c>
      <c r="W228" s="32" t="n">
        <v>3.79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More than 1.2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IF(B229=0,"",RANK(B229,$B$2:$B$280,0))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GODREJIND</t>
        </is>
      </c>
      <c r="D229" s="31" t="inlineStr">
        <is>
          <t>Godrej Industries Limited</t>
        </is>
      </c>
      <c r="E229" s="31" t="inlineStr">
        <is>
          <t>chemicals</t>
        </is>
      </c>
      <c r="F229" s="31" t="inlineStr">
        <is>
          <t>chemicals</t>
        </is>
      </c>
      <c r="G229" s="31" t="inlineStr">
        <is>
          <t>largecap</t>
        </is>
      </c>
      <c r="H229" s="32" t="n">
        <v>46495.91</v>
      </c>
      <c r="I229" s="32" t="n">
        <v>1354.9</v>
      </c>
      <c r="J229" s="32" t="n">
        <v>-1.85</v>
      </c>
      <c r="K229" s="32" t="n">
        <v>100923</v>
      </c>
      <c r="L229" s="31" t="n">
        <v>56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65.51000000000001</v>
      </c>
      <c r="P229" s="32" t="n">
        <v>35.7</v>
      </c>
      <c r="Q229" s="32" t="n">
        <v>1100.75</v>
      </c>
      <c r="R229" s="31" t="inlineStr">
        <is>
          <t>Near 52W High Breakout</t>
        </is>
      </c>
      <c r="S229" s="31" t="inlineStr">
        <is>
          <t>Nifty 50</t>
        </is>
      </c>
      <c r="T229" s="32" t="n">
        <v>-3.39</v>
      </c>
      <c r="U229" s="32" t="n">
        <v>19.29</v>
      </c>
      <c r="V229" s="32" t="n">
        <v>23.47</v>
      </c>
      <c r="W229" s="32" t="n">
        <v>12.11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Blue sky scenario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Negative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More than 1.2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IF(B230=0,"",RANK(B230,$B$2:$B$280,0))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AZAD</t>
        </is>
      </c>
      <c r="D230" s="31" t="inlineStr">
        <is>
          <t>Azad Engineering Ltd</t>
        </is>
      </c>
      <c r="E230" s="31" t="inlineStr">
        <is>
          <t>aerospace &amp; defence</t>
        </is>
      </c>
      <c r="F230" s="31" t="inlineStr">
        <is>
          <t>engineering</t>
        </is>
      </c>
      <c r="G230" s="31" t="inlineStr">
        <is>
          <t>midcap</t>
        </is>
      </c>
      <c r="H230" s="32" t="n">
        <v>15361.41</v>
      </c>
      <c r="I230" s="32" t="n">
        <v>2326.7</v>
      </c>
      <c r="J230" s="32" t="n">
        <v>-2.18</v>
      </c>
      <c r="K230" s="32" t="n">
        <v>300798</v>
      </c>
      <c r="L230" s="31" t="n">
        <v>58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62.43</v>
      </c>
      <c r="P230" s="32" t="n">
        <v>31.33</v>
      </c>
      <c r="Q230" s="32" t="n">
        <v>1899.32</v>
      </c>
      <c r="R230" s="31" t="inlineStr">
        <is>
          <t>Earnings / Momentum Support</t>
        </is>
      </c>
      <c r="S230" s="31" t="inlineStr">
        <is>
          <t>Nifty 50</t>
        </is>
      </c>
      <c r="T230" s="32" t="n">
        <v>-3.39</v>
      </c>
      <c r="U230" s="32" t="n">
        <v>49.66</v>
      </c>
      <c r="V230" s="32" t="n">
        <v>54.9</v>
      </c>
      <c r="W230" s="32" t="n">
        <v>12.7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Negative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IF(B231=0,"",RANK(B231,$B$2:$B$280,0))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SOUTHWEST</t>
        </is>
      </c>
      <c r="D231" s="31" t="inlineStr">
        <is>
          <t>South West Pinnacle Exploration Ltd</t>
        </is>
      </c>
      <c r="E231" s="31" t="inlineStr">
        <is>
          <t>metals &amp; mining</t>
        </is>
      </c>
      <c r="F231" s="31" t="inlineStr">
        <is>
          <t>mining / minerals / metals</t>
        </is>
      </c>
      <c r="G231" s="31" t="inlineStr">
        <is>
          <t>smallcap</t>
        </is>
      </c>
      <c r="H231" s="32" t="n">
        <v>743.04</v>
      </c>
      <c r="I231" s="32" t="n">
        <v>242.56</v>
      </c>
      <c r="J231" s="32" t="n">
        <v>-2.62</v>
      </c>
      <c r="K231" s="32" t="n">
        <v>797274</v>
      </c>
      <c r="L231" s="31" t="n">
        <v>61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57.43</v>
      </c>
      <c r="P231" s="32" t="n">
        <v>32.06</v>
      </c>
      <c r="Q231" s="32" t="n">
        <v>179.27</v>
      </c>
      <c r="R231" s="31" t="inlineStr">
        <is>
          <t>Earnings / Momentum Support</t>
        </is>
      </c>
      <c r="S231" s="31" t="inlineStr">
        <is>
          <t>Nifty Metal</t>
        </is>
      </c>
      <c r="T231" s="32" t="n">
        <v>33.29</v>
      </c>
      <c r="U231" s="32" t="n">
        <v>70.67</v>
      </c>
      <c r="V231" s="32" t="n">
        <v>28.04</v>
      </c>
      <c r="W231" s="32" t="n">
        <v>13.8</v>
      </c>
      <c r="X231" s="31" t="inlineStr">
        <is>
          <t>Cyclical in an Upturn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Cyclical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Volatile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IF(B232=0,"",RANK(B232,$B$2:$B$280,0))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INDSWFTLAB</t>
        </is>
      </c>
      <c r="D232" s="31" t="inlineStr">
        <is>
          <t>Ind-swift Laboratories Limited</t>
        </is>
      </c>
      <c r="E232" s="31" t="inlineStr">
        <is>
          <t>healthcare</t>
        </is>
      </c>
      <c r="F232" s="31" t="inlineStr">
        <is>
          <t>pharmaceuticals - indian - bulk drugs &amp; formln</t>
        </is>
      </c>
      <c r="G232" s="31" t="inlineStr">
        <is>
          <t>smallcap</t>
        </is>
      </c>
      <c r="H232" s="32" t="n">
        <v>2063.24</v>
      </c>
      <c r="I232" s="32" t="n">
        <v>233.07</v>
      </c>
      <c r="J232" s="32" t="n">
        <v>-1.91</v>
      </c>
      <c r="K232" s="32" t="n">
        <v>447639</v>
      </c>
      <c r="L232" s="31" t="n">
        <v>92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79.26000000000001</v>
      </c>
      <c r="P232" s="32" t="n">
        <v>50.37</v>
      </c>
      <c r="Q232" s="32" t="n">
        <v>190.99</v>
      </c>
      <c r="R232" s="31" t="inlineStr">
        <is>
          <t>Earnings / Momentum Support</t>
        </is>
      </c>
      <c r="S232" s="31" t="inlineStr">
        <is>
          <t>Nifty Pharma</t>
        </is>
      </c>
      <c r="T232" s="32" t="n">
        <v>13.63</v>
      </c>
      <c r="U232" s="32" t="n">
        <v>122.71</v>
      </c>
      <c r="V232" s="32" t="n">
        <v>95.98999999999999</v>
      </c>
      <c r="W232" s="32" t="n">
        <v>33.91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Yes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Annuity, Lower One Time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Above 40</t>
        </is>
      </c>
      <c r="AY232" s="31">
        <f>IF(AX232="Above 40",20,IF(AX232="20 to 40",10,IF(AX232="0 to 20",-5,0)))</f>
        <v/>
      </c>
      <c r="AZ232" s="31" t="inlineStr">
        <is>
          <t>Above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Less than 12%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Negative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IF(B233=0,"",RANK(B233,$B$2:$B$280,0))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EMAMIPAP</t>
        </is>
      </c>
      <c r="D233" s="31" t="inlineStr">
        <is>
          <t>Emami Paper Mills Ltd</t>
        </is>
      </c>
      <c r="E233" s="31" t="inlineStr">
        <is>
          <t>building materials</t>
        </is>
      </c>
      <c r="F233" s="31" t="inlineStr">
        <is>
          <t>paper</t>
        </is>
      </c>
      <c r="G233" s="31" t="inlineStr">
        <is>
          <t>smallcap</t>
        </is>
      </c>
      <c r="H233" s="32" t="n">
        <v>598.09</v>
      </c>
      <c r="I233" s="32" t="n">
        <v>118.63</v>
      </c>
      <c r="J233" s="32" t="n">
        <v>20</v>
      </c>
      <c r="K233" s="32" t="n">
        <v>1427994</v>
      </c>
      <c r="L233" s="31" t="n">
        <v>77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76.97</v>
      </c>
      <c r="P233" s="32" t="n">
        <v>9.800000000000001</v>
      </c>
      <c r="Q233" s="32" t="n">
        <v>92.90000000000001</v>
      </c>
      <c r="R233" s="31" t="inlineStr">
        <is>
          <t>Volume Spike &amp; Near 52W High Breakout</t>
        </is>
      </c>
      <c r="S233" s="31" t="inlineStr">
        <is>
          <t>Nifty Infra</t>
        </is>
      </c>
      <c r="T233" s="32" t="n">
        <v>3.35</v>
      </c>
      <c r="U233" s="32" t="n">
        <v>22.72</v>
      </c>
      <c r="V233" s="32" t="n">
        <v>18.75</v>
      </c>
      <c r="W233" s="32" t="n">
        <v>19.58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0 to 20</t>
        </is>
      </c>
      <c r="AY233" s="31">
        <f>IF(AX233="Above 40",20,IF(AX233="20 to 40",10,IF(AX233="0 to 20",-5,0)))</f>
        <v/>
      </c>
      <c r="AZ233" s="31" t="inlineStr">
        <is>
          <t>Above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Blue sky scenario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More than 1.2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IF(B234=0,"",RANK(B234,$B$2:$B$280,0))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ANANTRAJ</t>
        </is>
      </c>
      <c r="D234" s="31" t="inlineStr">
        <is>
          <t>Anant Raj Limited</t>
        </is>
      </c>
      <c r="E234" s="31" t="inlineStr">
        <is>
          <t>realty</t>
        </is>
      </c>
      <c r="F234" s="31" t="inlineStr">
        <is>
          <t>construction</t>
        </is>
      </c>
      <c r="G234" s="31" t="inlineStr">
        <is>
          <t>largecap</t>
        </is>
      </c>
      <c r="H234" s="32" t="n">
        <v>21911.11</v>
      </c>
      <c r="I234" s="32" t="n">
        <v>616.35</v>
      </c>
      <c r="J234" s="32" t="n">
        <v>1.23</v>
      </c>
      <c r="K234" s="32" t="n">
        <v>7842392</v>
      </c>
      <c r="L234" s="31" t="n">
        <v>46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60.64</v>
      </c>
      <c r="P234" s="32" t="n">
        <v>16.87</v>
      </c>
      <c r="Q234" s="32" t="n">
        <v>464.03</v>
      </c>
      <c r="R234" s="31" t="inlineStr">
        <is>
          <t>Earnings / Momentum Support</t>
        </is>
      </c>
      <c r="S234" s="31" t="inlineStr">
        <is>
          <t>Nifty Realty</t>
        </is>
      </c>
      <c r="T234" s="32" t="n">
        <v>-5.01</v>
      </c>
      <c r="U234" s="32" t="n">
        <v>7.48</v>
      </c>
      <c r="V234" s="32" t="n">
        <v>13.15</v>
      </c>
      <c r="W234" s="32" t="n">
        <v>9.539999999999999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Between 1.5 to 2</t>
        </is>
      </c>
      <c r="BU234" s="31">
        <f>IF(BT234="Above 2",0,IF(BT234="Between 1.5 to 2",5,IF(BT234="Less than 1.5",10,0)))</f>
        <v/>
      </c>
      <c r="BV234" s="31" t="inlineStr">
        <is>
          <t>Negative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IF(B235=0,"",RANK(B235,$B$2:$B$280,0))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KRISHANA</t>
        </is>
      </c>
      <c r="D235" s="31" t="inlineStr">
        <is>
          <t>Krishana Phoschem Ltd</t>
        </is>
      </c>
      <c r="E235" s="31" t="inlineStr">
        <is>
          <t>chemicals</t>
        </is>
      </c>
      <c r="F235" s="31" t="inlineStr">
        <is>
          <t>fertilizers</t>
        </is>
      </c>
      <c r="G235" s="31" t="inlineStr">
        <is>
          <t>smallcap</t>
        </is>
      </c>
      <c r="H235" s="32" t="n">
        <v>883.21</v>
      </c>
      <c r="I235" s="32" t="n">
        <v>143.65</v>
      </c>
      <c r="J235" s="32" t="n">
        <v>0.5600000000000001</v>
      </c>
      <c r="K235" s="32" t="n">
        <v>3031428</v>
      </c>
      <c r="L235" s="31" t="n">
        <v>48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64.92</v>
      </c>
      <c r="P235" s="32" t="n">
        <v>43.02</v>
      </c>
      <c r="Q235" s="32" t="n">
        <v>115.34</v>
      </c>
      <c r="R235" s="31" t="inlineStr">
        <is>
          <t>Earnings / Momentum Support</t>
        </is>
      </c>
      <c r="S235" s="31" t="inlineStr">
        <is>
          <t>Nifty 50</t>
        </is>
      </c>
      <c r="T235" s="32" t="n">
        <v>-3.39</v>
      </c>
      <c r="U235" s="32" t="n">
        <v>37.17</v>
      </c>
      <c r="V235" s="32" t="n">
        <v>41.97</v>
      </c>
      <c r="W235" s="32" t="n">
        <v>9.880000000000001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Above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Negative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Less than 1.5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More than 1.2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IF(B236=0,"",RANK(B236,$B$2:$B$280,0))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3" t="inlineStr">
        <is>
          <t>ENDURANCE</t>
        </is>
      </c>
      <c r="D236" s="33" t="inlineStr">
        <is>
          <t>Endurance Technologies Limited</t>
        </is>
      </c>
      <c r="E236" s="31" t="inlineStr">
        <is>
          <t>auto</t>
        </is>
      </c>
      <c r="F236" s="31" t="inlineStr">
        <is>
          <t>auto ancillaries</t>
        </is>
      </c>
      <c r="G236" s="31" t="inlineStr">
        <is>
          <t>largecap</t>
        </is>
      </c>
      <c r="H236" s="32" t="n">
        <v>38710.42</v>
      </c>
      <c r="I236" s="32" t="n">
        <v>2738.2</v>
      </c>
      <c r="J236" s="32" t="n">
        <v>-0.5</v>
      </c>
      <c r="K236" s="32" t="n">
        <v>83719</v>
      </c>
      <c r="L236" s="31" t="n">
        <v>28</v>
      </c>
      <c r="M236" s="31" t="inlineStr">
        <is>
          <t>Underperforming</t>
        </is>
      </c>
      <c r="N236" s="32">
        <f>IF(M236="Underperforming",-5,IF(L236&gt;=95,15,IF(L236&gt;=90,10,IF(L236&gt;=80,5,0))))</f>
        <v/>
      </c>
      <c r="O236" s="32" t="n">
        <v>58.48</v>
      </c>
      <c r="P236" s="32" t="n">
        <v>14.81</v>
      </c>
      <c r="Q236" s="32" t="n">
        <v>2225.91</v>
      </c>
      <c r="R236" s="31" t="inlineStr">
        <is>
          <t>Earnings / Momentum Support</t>
        </is>
      </c>
      <c r="S236" s="31" t="inlineStr">
        <is>
          <t>Nifty Auto</t>
        </is>
      </c>
      <c r="T236" s="32" t="n">
        <v>14.92</v>
      </c>
      <c r="U236" s="32" t="n">
        <v>6.57</v>
      </c>
      <c r="V236" s="32" t="n">
        <v>-7.26</v>
      </c>
      <c r="W236" s="32" t="n">
        <v>5.76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0 to 20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Between 12 to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IF(B237=0,"",RANK(B237,$B$2:$B$280,0))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NAUKRI</t>
        </is>
      </c>
      <c r="D237" s="31" t="inlineStr">
        <is>
          <t>Info Edge (india) Limited</t>
        </is>
      </c>
      <c r="E237" s="31" t="inlineStr">
        <is>
          <t>i.t</t>
        </is>
      </c>
      <c r="F237" s="31" t="inlineStr">
        <is>
          <t>miscellaneous</t>
        </is>
      </c>
      <c r="G237" s="31" t="inlineStr">
        <is>
          <t>largecap</t>
        </is>
      </c>
      <c r="H237" s="32" t="n">
        <v>78309.75999999999</v>
      </c>
      <c r="I237" s="32" t="n">
        <v>1189.3</v>
      </c>
      <c r="J237" s="32" t="n">
        <v>-1.52</v>
      </c>
      <c r="K237" s="32" t="n">
        <v>1736169</v>
      </c>
      <c r="L237" s="31" t="n">
        <v>11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60.9</v>
      </c>
      <c r="P237" s="32" t="n">
        <v>18.93</v>
      </c>
      <c r="Q237" s="32" t="n">
        <v>969.1799999999999</v>
      </c>
      <c r="R237" s="31" t="inlineStr">
        <is>
          <t>Earnings / Momentum Support</t>
        </is>
      </c>
      <c r="S237" s="31" t="inlineStr">
        <is>
          <t>Nifty IT</t>
        </is>
      </c>
      <c r="T237" s="32" t="n">
        <v>-19.86</v>
      </c>
      <c r="U237" s="32" t="n">
        <v>-16.88</v>
      </c>
      <c r="V237" s="32" t="n">
        <v>3.71</v>
      </c>
      <c r="W237" s="32" t="n">
        <v>1.57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Headwind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0 to 20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IF(B238=0,"",RANK(B238,$B$2:$B$280,0))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PRESTIGE</t>
        </is>
      </c>
      <c r="D238" s="31" t="inlineStr">
        <is>
          <t>Prestige Estates Projects Limited</t>
        </is>
      </c>
      <c r="E238" s="31" t="inlineStr">
        <is>
          <t>realty</t>
        </is>
      </c>
      <c r="F238" s="31" t="inlineStr">
        <is>
          <t>construction</t>
        </is>
      </c>
      <c r="G238" s="31" t="inlineStr">
        <is>
          <t>largecap</t>
        </is>
      </c>
      <c r="H238" s="32" t="n">
        <v>73521.34</v>
      </c>
      <c r="I238" s="32" t="n">
        <v>1663.1</v>
      </c>
      <c r="J238" s="32" t="n">
        <v>-2.57</v>
      </c>
      <c r="K238" s="32" t="n">
        <v>723434</v>
      </c>
      <c r="L238" s="31" t="n">
        <v>26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60.75</v>
      </c>
      <c r="P238" s="32" t="n">
        <v>14.29</v>
      </c>
      <c r="Q238" s="32" t="n">
        <v>1401.32</v>
      </c>
      <c r="R238" s="31" t="inlineStr">
        <is>
          <t>Earnings / Momentum Support</t>
        </is>
      </c>
      <c r="S238" s="31" t="inlineStr">
        <is>
          <t>Nifty Realty</t>
        </is>
      </c>
      <c r="T238" s="32" t="n">
        <v>-5.01</v>
      </c>
      <c r="U238" s="32" t="n">
        <v>-0.24</v>
      </c>
      <c r="V238" s="32" t="n">
        <v>5.01</v>
      </c>
      <c r="W238" s="32" t="n">
        <v>5.1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Between 0.7 to 1.2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IF(B239=0,"",RANK(B239,$B$2:$B$280,0))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MUKANDLTD</t>
        </is>
      </c>
      <c r="D239" s="33" t="inlineStr">
        <is>
          <t>Mukand Limited</t>
        </is>
      </c>
      <c r="E239" s="31" t="inlineStr">
        <is>
          <t>metals &amp; mining</t>
        </is>
      </c>
      <c r="F239" s="31" t="inlineStr">
        <is>
          <t>steel - medium / small</t>
        </is>
      </c>
      <c r="G239" s="31" t="inlineStr">
        <is>
          <t>smallcap</t>
        </is>
      </c>
      <c r="H239" s="32" t="n">
        <v>2107.9</v>
      </c>
      <c r="I239" s="32" t="n">
        <v>141.99</v>
      </c>
      <c r="J239" s="32" t="n">
        <v>-2.67</v>
      </c>
      <c r="K239" s="32" t="n">
        <v>114061</v>
      </c>
      <c r="L239" s="31" t="n">
        <v>10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57.85</v>
      </c>
      <c r="P239" s="32" t="n">
        <v>41.86</v>
      </c>
      <c r="Q239" s="32" t="n">
        <v>115.29</v>
      </c>
      <c r="R239" s="31" t="inlineStr">
        <is>
          <t>Near 52W High Breakout</t>
        </is>
      </c>
      <c r="S239" s="31" t="inlineStr">
        <is>
          <t>Nifty Metal</t>
        </is>
      </c>
      <c r="T239" s="32" t="n">
        <v>33.29</v>
      </c>
      <c r="U239" s="32" t="n">
        <v>2.25</v>
      </c>
      <c r="V239" s="32" t="n">
        <v>-23.29</v>
      </c>
      <c r="W239" s="32" t="n">
        <v>1.24</v>
      </c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Cyclical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Volatile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Above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Less than 1.5</t>
        </is>
      </c>
      <c r="BU239" s="31">
        <f>IF(BT239="Above 2",0,IF(BT239="Between 1.5 to 2",5,IF(BT239="Less than 1.5",10,0)))</f>
        <v/>
      </c>
      <c r="BV239" s="31" t="inlineStr">
        <is>
          <t>Negative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Between 0.7 to 1.2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IF(B240=0,"",RANK(B240,$B$2:$B$280,0))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3" t="inlineStr">
        <is>
          <t>INDIANHUME</t>
        </is>
      </c>
      <c r="D240" s="33" t="inlineStr">
        <is>
          <t>Indian Hume Pipe Company Limited</t>
        </is>
      </c>
      <c r="E240" s="31" t="inlineStr">
        <is>
          <t>realty</t>
        </is>
      </c>
      <c r="F240" s="31" t="inlineStr">
        <is>
          <t>construction</t>
        </is>
      </c>
      <c r="G240" s="31" t="inlineStr">
        <is>
          <t>smallcap</t>
        </is>
      </c>
      <c r="H240" s="32" t="n">
        <v>2079.61</v>
      </c>
      <c r="I240" s="32" t="n">
        <v>382.1</v>
      </c>
      <c r="J240" s="32" t="n">
        <v>-3.2</v>
      </c>
      <c r="K240" s="32" t="n">
        <v>63430</v>
      </c>
      <c r="L240" s="31" t="n">
        <v>18</v>
      </c>
      <c r="M240" s="31" t="inlineStr">
        <is>
          <t>Underperforming</t>
        </is>
      </c>
      <c r="N240" s="32">
        <f>IF(M240="Underperforming",-5,IF(L240&gt;=95,15,IF(L240&gt;=90,10,IF(L240&gt;=80,5,0))))</f>
        <v/>
      </c>
      <c r="O240" s="32" t="n">
        <v>60.63</v>
      </c>
      <c r="P240" s="32" t="n">
        <v>13.91</v>
      </c>
      <c r="Q240" s="32" t="n">
        <v>299.72</v>
      </c>
      <c r="R240" s="31" t="inlineStr">
        <is>
          <t>Earnings / Momentum Support</t>
        </is>
      </c>
      <c r="S240" s="31" t="inlineStr">
        <is>
          <t>Nifty Realty</t>
        </is>
      </c>
      <c r="T240" s="32" t="n">
        <v>-5.01</v>
      </c>
      <c r="U240" s="32" t="n">
        <v>-8.960000000000001</v>
      </c>
      <c r="V240" s="32" t="n">
        <v>-4.16</v>
      </c>
      <c r="W240" s="32" t="n">
        <v>3.06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0 to 20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IF(B241=0,"",RANK(B241,$B$2:$B$280,0))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UFLEX</t>
        </is>
      </c>
      <c r="D241" s="33" t="inlineStr">
        <is>
          <t>Uflex Limited</t>
        </is>
      </c>
      <c r="E241" s="31" t="inlineStr">
        <is>
          <t>industrials</t>
        </is>
      </c>
      <c r="F241" s="31" t="inlineStr">
        <is>
          <t>packaging</t>
        </is>
      </c>
      <c r="G241" s="31" t="inlineStr">
        <is>
          <t>smallcap</t>
        </is>
      </c>
      <c r="H241" s="32" t="n">
        <v>3175.14</v>
      </c>
      <c r="I241" s="32" t="n">
        <v>490.7</v>
      </c>
      <c r="J241" s="32" t="n">
        <v>11.6</v>
      </c>
      <c r="K241" s="32" t="n">
        <v>11738381</v>
      </c>
      <c r="L241" s="31" t="n">
        <v>18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60.42</v>
      </c>
      <c r="P241" s="32" t="n">
        <v>10.64</v>
      </c>
      <c r="Q241" s="32" t="n">
        <v>381.42</v>
      </c>
      <c r="R241" s="31" t="inlineStr">
        <is>
          <t>Volume Spike / Accumulation</t>
        </is>
      </c>
      <c r="S241" s="31" t="inlineStr">
        <is>
          <t>Nifty 50</t>
        </is>
      </c>
      <c r="T241" s="32" t="n">
        <v>-3.39</v>
      </c>
      <c r="U241" s="32" t="n">
        <v>-15.95</v>
      </c>
      <c r="V241" s="32" t="n">
        <v>-13.01</v>
      </c>
      <c r="W241" s="32" t="n">
        <v>3.02</v>
      </c>
      <c r="X241" s="31" t="inlineStr">
        <is>
          <t>Cyclical in an Upturn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Between 12 to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Less than 1.5</t>
        </is>
      </c>
      <c r="BU241" s="31">
        <f>IF(BT241="Above 2",0,IF(BT241="Between 1.5 to 2",5,IF(BT241="Less than 1.5",10,0)))</f>
        <v/>
      </c>
      <c r="BV241" s="31" t="inlineStr">
        <is>
          <t>Between 50% to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More than 1.2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IF(B242=0,"",RANK(B242,$B$2:$B$280,0))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3" t="inlineStr">
        <is>
          <t>SANATHAN</t>
        </is>
      </c>
      <c r="D242" s="33" t="inlineStr">
        <is>
          <t>Sanathan Textiles Ltd</t>
        </is>
      </c>
      <c r="E242" s="31" t="inlineStr">
        <is>
          <t>textiles</t>
        </is>
      </c>
      <c r="F242" s="31" t="inlineStr">
        <is>
          <t>textiles - cotton/blended</t>
        </is>
      </c>
      <c r="G242" s="31" t="inlineStr">
        <is>
          <t>smallcap</t>
        </is>
      </c>
      <c r="H242" s="32" t="n">
        <v>3944.62</v>
      </c>
      <c r="I242" s="32" t="n">
        <v>495.6</v>
      </c>
      <c r="J242" s="32" t="n">
        <v>6.04</v>
      </c>
      <c r="K242" s="32" t="n">
        <v>96141</v>
      </c>
      <c r="L242" s="31" t="n">
        <v>13</v>
      </c>
      <c r="M242" s="31" t="inlineStr">
        <is>
          <t>Underperforming</t>
        </is>
      </c>
      <c r="N242" s="32">
        <f>IF(M242="Underperforming",-5,IF(L242&gt;=95,15,IF(L242&gt;=90,10,IF(L242&gt;=80,5,0))))</f>
        <v/>
      </c>
      <c r="O242" s="32" t="n">
        <v>67.13</v>
      </c>
      <c r="P242" s="32" t="n">
        <v>12.5</v>
      </c>
      <c r="Q242" s="32" t="n">
        <v>387.69</v>
      </c>
      <c r="R242" s="31" t="inlineStr">
        <is>
          <t>Volume Spike &amp; Near 52W High Breakout</t>
        </is>
      </c>
      <c r="S242" s="31" t="inlineStr">
        <is>
          <t>Nifty 50</t>
        </is>
      </c>
      <c r="T242" s="32" t="n">
        <v>-3.39</v>
      </c>
      <c r="U242" s="32" t="n">
        <v>-5.33</v>
      </c>
      <c r="V242" s="32" t="n">
        <v>-2.01</v>
      </c>
      <c r="W242" s="32" t="n">
        <v>2.16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Less than 12%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Between 0.7 to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IF(B243=0,"",RANK(B243,$B$2:$B$280,0))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3" t="inlineStr">
        <is>
          <t>GANESHHOU</t>
        </is>
      </c>
      <c r="D243" s="33" t="inlineStr">
        <is>
          <t>Ganesh Housing Ltd</t>
        </is>
      </c>
      <c r="E243" s="31" t="inlineStr">
        <is>
          <t>realty</t>
        </is>
      </c>
      <c r="F243" s="31" t="inlineStr">
        <is>
          <t>construction</t>
        </is>
      </c>
      <c r="G243" s="31" t="inlineStr">
        <is>
          <t>midcap</t>
        </is>
      </c>
      <c r="H243" s="32" t="n">
        <v>6745.18</v>
      </c>
      <c r="I243" s="32" t="n">
        <v>820</v>
      </c>
      <c r="J243" s="32" t="n">
        <v>1.37</v>
      </c>
      <c r="K243" s="32" t="n">
        <v>80507</v>
      </c>
      <c r="L243" s="31" t="n">
        <v>23</v>
      </c>
      <c r="M243" s="31" t="inlineStr">
        <is>
          <t>Underperforming</t>
        </is>
      </c>
      <c r="N243" s="32">
        <f>IF(M243="Underperforming",-5,IF(L243&gt;=95,15,IF(L243&gt;=90,10,IF(L243&gt;=80,5,0))))</f>
        <v/>
      </c>
      <c r="O243" s="32" t="n">
        <v>58.7</v>
      </c>
      <c r="P243" s="32" t="n">
        <v>17.37</v>
      </c>
      <c r="Q243" s="32" t="n">
        <v>679.49</v>
      </c>
      <c r="R243" s="31" t="inlineStr">
        <is>
          <t>Earnings / Momentum Support</t>
        </is>
      </c>
      <c r="S243" s="31" t="inlineStr">
        <is>
          <t>Nifty Realty</t>
        </is>
      </c>
      <c r="T243" s="32" t="n">
        <v>-5.01</v>
      </c>
      <c r="U243" s="32" t="n">
        <v>-7.75</v>
      </c>
      <c r="V243" s="32" t="n">
        <v>-2.89</v>
      </c>
      <c r="W243" s="32" t="n">
        <v>4.61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Less than 12%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Between 50% to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IF(B244=0,"",RANK(B244,$B$2:$B$280,0))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3" t="inlineStr">
        <is>
          <t>KAMDHENU</t>
        </is>
      </c>
      <c r="D244" s="33" t="inlineStr">
        <is>
          <t>Kamdhenu Limited</t>
        </is>
      </c>
      <c r="E244" s="31" t="inlineStr">
        <is>
          <t>metals &amp; mining</t>
        </is>
      </c>
      <c r="F244" s="31" t="inlineStr">
        <is>
          <t>steel - medium / small</t>
        </is>
      </c>
      <c r="G244" s="31" t="inlineStr">
        <is>
          <t>smallcap</t>
        </is>
      </c>
      <c r="H244" s="32" t="n">
        <v>945.15</v>
      </c>
      <c r="I244" s="32" t="n">
        <v>33.64</v>
      </c>
      <c r="J244" s="32" t="n">
        <v>0.33</v>
      </c>
      <c r="K244" s="32" t="n">
        <v>445658</v>
      </c>
      <c r="L244" s="31" t="n">
        <v>69</v>
      </c>
      <c r="M244" s="31" t="inlineStr">
        <is>
          <t>Underperforming</t>
        </is>
      </c>
      <c r="N244" s="32">
        <f>IF(M244="Underperforming",-5,IF(L244&gt;=95,15,IF(L244&gt;=90,10,IF(L244&gt;=80,5,0))))</f>
        <v/>
      </c>
      <c r="O244" s="32" t="n">
        <v>70.27</v>
      </c>
      <c r="P244" s="32" t="n">
        <v>30.76</v>
      </c>
      <c r="Q244" s="32" t="n">
        <v>25.01</v>
      </c>
      <c r="R244" s="31" t="inlineStr">
        <is>
          <t>Near 52W High Breakout</t>
        </is>
      </c>
      <c r="S244" s="31" t="inlineStr">
        <is>
          <t>Nifty Metal</t>
        </is>
      </c>
      <c r="T244" s="32" t="n">
        <v>33.29</v>
      </c>
      <c r="U244" s="32" t="n">
        <v>14.07</v>
      </c>
      <c r="V244" s="32" t="n">
        <v>-14.42</v>
      </c>
      <c r="W244" s="32" t="n">
        <v>16.52</v>
      </c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Cyclical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Volatile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Between 50% to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IF(B245=0,"",RANK(B245,$B$2:$B$280,0))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FCL</t>
        </is>
      </c>
      <c r="D245" s="31" t="inlineStr">
        <is>
          <t>Fineotex Chemical Limited</t>
        </is>
      </c>
      <c r="E245" s="31" t="inlineStr">
        <is>
          <t>chemicals</t>
        </is>
      </c>
      <c r="F245" s="31" t="inlineStr">
        <is>
          <t>chemicals</t>
        </is>
      </c>
      <c r="G245" s="31" t="inlineStr">
        <is>
          <t>smallcap</t>
        </is>
      </c>
      <c r="H245" s="32" t="n">
        <v>4663.83</v>
      </c>
      <c r="I245" s="32" t="n">
        <v>39.88</v>
      </c>
      <c r="J245" s="32" t="n">
        <v>-0.42</v>
      </c>
      <c r="K245" s="32" t="n">
        <v>10375259</v>
      </c>
      <c r="L245" s="31" t="n">
        <v>87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64.83</v>
      </c>
      <c r="P245" s="32" t="n">
        <v>45.96</v>
      </c>
      <c r="Q245" s="32" t="n">
        <v>31.69</v>
      </c>
      <c r="R245" s="31" t="inlineStr">
        <is>
          <t>Earnings / Momentum Support</t>
        </is>
      </c>
      <c r="S245" s="31" t="inlineStr">
        <is>
          <t>Nifty 50</t>
        </is>
      </c>
      <c r="T245" s="32" t="n">
        <v>-3.39</v>
      </c>
      <c r="U245" s="32" t="n">
        <v>48.59</v>
      </c>
      <c r="V245" s="32" t="n">
        <v>53.8</v>
      </c>
      <c r="W245" s="32" t="n">
        <v>26.77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Above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Negative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Negative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IF(B246=0,"",RANK(B246,$B$2:$B$280,0))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PANAMAPET</t>
        </is>
      </c>
      <c r="D246" s="31" t="inlineStr">
        <is>
          <t>Panama Petrochem Limited</t>
        </is>
      </c>
      <c r="E246" s="31" t="inlineStr">
        <is>
          <t>energy</t>
        </is>
      </c>
      <c r="F246" s="31" t="inlineStr">
        <is>
          <t>petrochemicals</t>
        </is>
      </c>
      <c r="G246" s="31" t="inlineStr">
        <is>
          <t>smallcap</t>
        </is>
      </c>
      <c r="H246" s="32" t="n">
        <v>2778.77</v>
      </c>
      <c r="I246" s="32" t="n">
        <v>457</v>
      </c>
      <c r="J246" s="32" t="n">
        <v>-0.51</v>
      </c>
      <c r="K246" s="32" t="n">
        <v>91471</v>
      </c>
      <c r="L246" s="31" t="n">
        <v>82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67.70999999999999</v>
      </c>
      <c r="P246" s="32" t="n">
        <v>39.2</v>
      </c>
      <c r="Q246" s="32" t="n">
        <v>352.58</v>
      </c>
      <c r="R246" s="31" t="inlineStr">
        <is>
          <t>Earnings / Momentum Support</t>
        </is>
      </c>
      <c r="S246" s="31" t="inlineStr">
        <is>
          <t>Nifty Energy</t>
        </is>
      </c>
      <c r="T246" s="32" t="n">
        <v>11.87</v>
      </c>
      <c r="U246" s="32" t="n">
        <v>33.92</v>
      </c>
      <c r="V246" s="32" t="n">
        <v>19.71</v>
      </c>
      <c r="W246" s="32" t="n">
        <v>23.2</v>
      </c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Oligopoly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Yes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Cyclical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Volatile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Less than 1.5</t>
        </is>
      </c>
      <c r="BU246" s="31">
        <f>IF(BT246="Above 2",0,IF(BT246="Between 1.5 to 2",5,IF(BT246="Less than 1.5",10,0)))</f>
        <v/>
      </c>
      <c r="BV246" s="31" t="inlineStr">
        <is>
          <t>Negative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IF(B247=0,"",RANK(B247,$B$2:$B$280,0))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AVL</t>
        </is>
      </c>
      <c r="D247" s="31" t="inlineStr">
        <is>
          <t>Aditya Vision Ltd</t>
        </is>
      </c>
      <c r="E247" s="31" t="inlineStr">
        <is>
          <t>consumer discretionary</t>
        </is>
      </c>
      <c r="F247" s="31" t="inlineStr">
        <is>
          <t>trading</t>
        </is>
      </c>
      <c r="G247" s="31" t="inlineStr">
        <is>
          <t>midcap</t>
        </is>
      </c>
      <c r="H247" s="32" t="n">
        <v>8286.139999999999</v>
      </c>
      <c r="I247" s="32" t="n">
        <v>635.35</v>
      </c>
      <c r="J247" s="32" t="n">
        <v>-0.98</v>
      </c>
      <c r="K247" s="32" t="n">
        <v>96379</v>
      </c>
      <c r="L247" s="31" t="n">
        <v>73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66</v>
      </c>
      <c r="P247" s="32" t="n">
        <v>39.97</v>
      </c>
      <c r="Q247" s="32" t="n">
        <v>525.12</v>
      </c>
      <c r="R247" s="31" t="inlineStr">
        <is>
          <t>Near 52W High Breakout</t>
        </is>
      </c>
      <c r="S247" s="31" t="inlineStr">
        <is>
          <t>Nifty 50</t>
        </is>
      </c>
      <c r="T247" s="32" t="n">
        <v>-3.39</v>
      </c>
      <c r="U247" s="32" t="n">
        <v>64.06999999999999</v>
      </c>
      <c r="V247" s="32" t="n">
        <v>69.81999999999999</v>
      </c>
      <c r="W247" s="32" t="n">
        <v>17.77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Negative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Blue sky scenario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Between 1.5 to 2</t>
        </is>
      </c>
      <c r="BU247" s="31">
        <f>IF(BT247="Above 2",0,IF(BT247="Between 1.5 to 2",5,IF(BT247="Less than 1.5",10,0)))</f>
        <v/>
      </c>
      <c r="BV247" s="31" t="inlineStr">
        <is>
          <t>Less than 50%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Between 0.7 to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IF(B248=0,"",RANK(B248,$B$2:$B$280,0))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SHREECEM</t>
        </is>
      </c>
      <c r="D248" s="33" t="inlineStr">
        <is>
          <t>Shree Cements Limited</t>
        </is>
      </c>
      <c r="E248" s="31" t="inlineStr">
        <is>
          <t>building materials</t>
        </is>
      </c>
      <c r="F248" s="31" t="inlineStr">
        <is>
          <t>cement - north india</t>
        </is>
      </c>
      <c r="G248" s="31" t="inlineStr">
        <is>
          <t>largecap</t>
        </is>
      </c>
      <c r="H248" s="32" t="n">
        <v>98302</v>
      </c>
      <c r="I248" s="32" t="n">
        <v>26690</v>
      </c>
      <c r="J248" s="32" t="n">
        <v>-2.04</v>
      </c>
      <c r="K248" s="32" t="n">
        <v>11740</v>
      </c>
      <c r="L248" s="31" t="n">
        <v>3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56.74</v>
      </c>
      <c r="P248" s="32" t="n">
        <v>14.1</v>
      </c>
      <c r="Q248" s="32" t="n">
        <v>22910.47</v>
      </c>
      <c r="R248" s="31" t="inlineStr">
        <is>
          <t>Earnings / Momentum Support</t>
        </is>
      </c>
      <c r="S248" s="31" t="inlineStr">
        <is>
          <t>Nifty Infra</t>
        </is>
      </c>
      <c r="T248" s="32" t="n">
        <v>3.35</v>
      </c>
      <c r="U248" s="32" t="n">
        <v>-13.2</v>
      </c>
      <c r="V248" s="32" t="n">
        <v>-16.01</v>
      </c>
      <c r="W248" s="32" t="n">
        <v>-1.15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Less than 12%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IF(B249=0,"",RANK(B249,$B$2:$B$280,0))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3" t="inlineStr">
        <is>
          <t>TIMETECHNO</t>
        </is>
      </c>
      <c r="D249" s="33" t="inlineStr">
        <is>
          <t>Time Technoplast Limited</t>
        </is>
      </c>
      <c r="E249" s="31" t="inlineStr">
        <is>
          <t>plastic products</t>
        </is>
      </c>
      <c r="F249" s="31" t="inlineStr">
        <is>
          <t>plastics products</t>
        </is>
      </c>
      <c r="G249" s="31" t="inlineStr">
        <is>
          <t>midcap</t>
        </is>
      </c>
      <c r="H249" s="32" t="n">
        <v>10260.71</v>
      </c>
      <c r="I249" s="32" t="n">
        <v>203.1</v>
      </c>
      <c r="J249" s="32" t="n">
        <v>-2.29</v>
      </c>
      <c r="K249" s="32" t="n">
        <v>2443956</v>
      </c>
      <c r="L249" s="31" t="n">
        <v>9</v>
      </c>
      <c r="M249" s="31" t="inlineStr">
        <is>
          <t>Underperforming</t>
        </is>
      </c>
      <c r="N249" s="32">
        <f>IF(M249="Underperforming",-5,IF(L249&gt;=95,15,IF(L249&gt;=90,10,IF(L249&gt;=80,5,0))))</f>
        <v/>
      </c>
      <c r="O249" s="32" t="n">
        <v>60.02</v>
      </c>
      <c r="P249" s="32" t="n">
        <v>8.609999999999999</v>
      </c>
      <c r="Q249" s="32" t="n">
        <v>160.65</v>
      </c>
      <c r="R249" s="31" t="inlineStr">
        <is>
          <t>Earnings / Momentum Support</t>
        </is>
      </c>
      <c r="S249" s="31" t="inlineStr">
        <is>
          <t>Nifty 50</t>
        </is>
      </c>
      <c r="T249" s="32" t="n">
        <v>-3.39</v>
      </c>
      <c r="U249" s="32" t="n">
        <v>-8.970000000000001</v>
      </c>
      <c r="V249" s="32" t="n">
        <v>-5.79</v>
      </c>
      <c r="W249" s="32" t="n">
        <v>0.73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0 to 20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Between 1.5 to 2</t>
        </is>
      </c>
      <c r="BU249" s="31">
        <f>IF(BT249="Above 2",0,IF(BT249="Between 1.5 to 2",5,IF(BT249="Less than 1.5",10,0)))</f>
        <v/>
      </c>
      <c r="BV249" s="31" t="inlineStr">
        <is>
          <t>Less than 50%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IF(B250=0,"",RANK(B250,$B$2:$B$280,0))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HCG</t>
        </is>
      </c>
      <c r="D250" s="31" t="inlineStr">
        <is>
          <t>Healthcare Global Enterprises Limited</t>
        </is>
      </c>
      <c r="E250" s="31" t="inlineStr">
        <is>
          <t>healthcare</t>
        </is>
      </c>
      <c r="F250" s="31" t="inlineStr">
        <is>
          <t>healthcare</t>
        </is>
      </c>
      <c r="G250" s="31" t="inlineStr">
        <is>
          <t>midcap</t>
        </is>
      </c>
      <c r="H250" s="32" t="n">
        <v>9872.610000000001</v>
      </c>
      <c r="I250" s="32" t="n">
        <v>670.95</v>
      </c>
      <c r="J250" s="32" t="n">
        <v>1.47</v>
      </c>
      <c r="K250" s="32" t="n">
        <v>111257</v>
      </c>
      <c r="L250" s="31" t="n">
        <v>41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61.25</v>
      </c>
      <c r="P250" s="32" t="n">
        <v>22.45</v>
      </c>
      <c r="Q250" s="32" t="n">
        <v>545.0700000000001</v>
      </c>
      <c r="R250" s="31" t="inlineStr">
        <is>
          <t>Earnings / Momentum Support</t>
        </is>
      </c>
      <c r="S250" s="31" t="inlineStr">
        <is>
          <t>Nifty Pharma</t>
        </is>
      </c>
      <c r="T250" s="32" t="n">
        <v>13.63</v>
      </c>
      <c r="U250" s="32" t="n">
        <v>17.71</v>
      </c>
      <c r="V250" s="32" t="n">
        <v>3.59</v>
      </c>
      <c r="W250" s="32" t="n">
        <v>8.48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Yes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Annuity, Lower One Time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Less than 12%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More than 1.2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IF(B251=0,"",RANK(B251,$B$2:$B$280,0))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EIFFL</t>
        </is>
      </c>
      <c r="D251" s="31" t="inlineStr">
        <is>
          <t>Euro India Fresh Foods Ltd</t>
        </is>
      </c>
      <c r="E251" s="31" t="inlineStr">
        <is>
          <t>fmcg</t>
        </is>
      </c>
      <c r="F251" s="31" t="inlineStr">
        <is>
          <t>food - processing - indian</t>
        </is>
      </c>
      <c r="G251" s="31" t="inlineStr">
        <is>
          <t>smallcap</t>
        </is>
      </c>
      <c r="H251" s="32" t="n">
        <v>809.84</v>
      </c>
      <c r="I251" s="32" t="n">
        <v>329.95</v>
      </c>
      <c r="J251" s="32" t="n">
        <v>1.04</v>
      </c>
      <c r="K251" s="32" t="n">
        <v>20211</v>
      </c>
      <c r="L251" s="31" t="n">
        <v>53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65.5</v>
      </c>
      <c r="P251" s="32" t="n">
        <v>26.61</v>
      </c>
      <c r="Q251" s="32" t="n">
        <v>255.28</v>
      </c>
      <c r="R251" s="31" t="inlineStr">
        <is>
          <t>Earnings / Momentum Support</t>
        </is>
      </c>
      <c r="S251" s="31" t="inlineStr">
        <is>
          <t>Nifty FMCG</t>
        </is>
      </c>
      <c r="T251" s="32" t="n">
        <v>-9.800000000000001</v>
      </c>
      <c r="U251" s="32" t="n">
        <v>29.78</v>
      </c>
      <c r="V251" s="32" t="n">
        <v>43.87</v>
      </c>
      <c r="W251" s="32" t="n">
        <v>11.1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B2C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Annuity, Lower One Time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Between 1.5 to 2</t>
        </is>
      </c>
      <c r="BU251" s="31">
        <f>IF(BT251="Above 2",0,IF(BT251="Between 1.5 to 2",5,IF(BT251="Less than 1.5",10,0)))</f>
        <v/>
      </c>
      <c r="BV251" s="31" t="inlineStr">
        <is>
          <t>Between 50% to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Between 0.7 to 1.2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IF(B252=0,"",RANK(B252,$B$2:$B$280,0))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RITCO</t>
        </is>
      </c>
      <c r="D252" s="31" t="inlineStr">
        <is>
          <t>Ritco Logistics Ltd</t>
        </is>
      </c>
      <c r="E252" s="31" t="inlineStr">
        <is>
          <t>transportation</t>
        </is>
      </c>
      <c r="F252" s="31" t="inlineStr">
        <is>
          <t>miscellaneous</t>
        </is>
      </c>
      <c r="G252" s="31" t="inlineStr">
        <is>
          <t>smallcap</t>
        </is>
      </c>
      <c r="H252" s="32" t="n">
        <v>800.86</v>
      </c>
      <c r="I252" s="32" t="n">
        <v>288.1</v>
      </c>
      <c r="J252" s="32" t="n">
        <v>2.97</v>
      </c>
      <c r="K252" s="32" t="n">
        <v>213986</v>
      </c>
      <c r="L252" s="31" t="n">
        <v>41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62.35</v>
      </c>
      <c r="P252" s="32" t="n">
        <v>28.46</v>
      </c>
      <c r="Q252" s="32" t="n">
        <v>213.76</v>
      </c>
      <c r="R252" s="31" t="inlineStr">
        <is>
          <t>Near 52W High Breakout</t>
        </is>
      </c>
      <c r="S252" s="31" t="inlineStr">
        <is>
          <t>Nifty 50</t>
        </is>
      </c>
      <c r="T252" s="32" t="n">
        <v>-3.39</v>
      </c>
      <c r="U252" s="32" t="n">
        <v>-0.66</v>
      </c>
      <c r="V252" s="32" t="n">
        <v>2.83</v>
      </c>
      <c r="W252" s="32" t="n">
        <v>8.44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Negative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More than 1.2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IF(B253=0,"",RANK(B253,$B$2:$B$280,0))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BHAGERIA</t>
        </is>
      </c>
      <c r="D253" s="31" t="inlineStr">
        <is>
          <t>Bhageria Industries Limited</t>
        </is>
      </c>
      <c r="E253" s="31" t="inlineStr">
        <is>
          <t>chemicals</t>
        </is>
      </c>
      <c r="F253" s="31" t="inlineStr">
        <is>
          <t>dyes and pigments</t>
        </is>
      </c>
      <c r="G253" s="31" t="inlineStr">
        <is>
          <t>smallcap</t>
        </is>
      </c>
      <c r="H253" s="32" t="n">
        <v>928.62</v>
      </c>
      <c r="I253" s="32" t="n">
        <v>217.9</v>
      </c>
      <c r="J253" s="32" t="n">
        <v>2.41</v>
      </c>
      <c r="K253" s="32" t="n">
        <v>52553</v>
      </c>
      <c r="L253" s="31" t="n">
        <v>44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62.12</v>
      </c>
      <c r="P253" s="32" t="n">
        <v>23.51</v>
      </c>
      <c r="Q253" s="32" t="n">
        <v>166.9</v>
      </c>
      <c r="R253" s="31" t="inlineStr">
        <is>
          <t>Earnings / Momentum Support</t>
        </is>
      </c>
      <c r="S253" s="31" t="inlineStr">
        <is>
          <t>Nifty 50</t>
        </is>
      </c>
      <c r="T253" s="32" t="n">
        <v>-3.39</v>
      </c>
      <c r="U253" s="32" t="n">
        <v>11.2</v>
      </c>
      <c r="V253" s="32" t="n">
        <v>15.1</v>
      </c>
      <c r="W253" s="32" t="n">
        <v>9.199999999999999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Less than 12%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IF(B254=0,"",RANK(B254,$B$2:$B$280,0))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3" t="inlineStr">
        <is>
          <t>KKCL</t>
        </is>
      </c>
      <c r="D254" s="33" t="inlineStr">
        <is>
          <t>Kewal Kiran Clothing Limited</t>
        </is>
      </c>
      <c r="E254" s="31" t="inlineStr">
        <is>
          <t>consumer discretionary</t>
        </is>
      </c>
      <c r="F254" s="31" t="inlineStr">
        <is>
          <t>textiles - products</t>
        </is>
      </c>
      <c r="G254" s="31" t="inlineStr">
        <is>
          <t>smallcap</t>
        </is>
      </c>
      <c r="H254" s="32" t="n">
        <v>3151.51</v>
      </c>
      <c r="I254" s="32" t="n">
        <v>503</v>
      </c>
      <c r="J254" s="32" t="n">
        <v>-1.64</v>
      </c>
      <c r="K254" s="32" t="n">
        <v>27158</v>
      </c>
      <c r="L254" s="31" t="n">
        <v>5</v>
      </c>
      <c r="M254" s="31" t="inlineStr">
        <is>
          <t>Underperforming</t>
        </is>
      </c>
      <c r="N254" s="32">
        <f>IF(M254="Underperforming",-5,IF(L254&gt;=95,15,IF(L254&gt;=90,10,IF(L254&gt;=80,5,0))))</f>
        <v/>
      </c>
      <c r="O254" s="32" t="n">
        <v>55.33</v>
      </c>
      <c r="P254" s="32" t="n">
        <v>13.26</v>
      </c>
      <c r="Q254" s="32" t="n">
        <v>416.84</v>
      </c>
      <c r="R254" s="31" t="inlineStr">
        <is>
          <t>Earnings / Momentum Support</t>
        </is>
      </c>
      <c r="S254" s="31" t="inlineStr">
        <is>
          <t>Nifty 50</t>
        </is>
      </c>
      <c r="T254" s="32" t="n">
        <v>-3.39</v>
      </c>
      <c r="U254" s="32" t="n">
        <v>-7.84</v>
      </c>
      <c r="V254" s="32" t="n">
        <v>-4.62</v>
      </c>
      <c r="W254" s="32" t="n">
        <v>-0.19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Negative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Less than 1.5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IF(B255=0,"",RANK(B255,$B$2:$B$280,0))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3" t="inlineStr">
        <is>
          <t>LLOYDSME</t>
        </is>
      </c>
      <c r="D255" s="33" t="inlineStr">
        <is>
          <t>Lloyds Metals &amp; Energy Ltd</t>
        </is>
      </c>
      <c r="E255" s="31" t="inlineStr">
        <is>
          <t>metals &amp; mining</t>
        </is>
      </c>
      <c r="F255" s="31" t="inlineStr">
        <is>
          <t>mining / minerals / metals</t>
        </is>
      </c>
      <c r="G255" s="31" t="inlineStr">
        <is>
          <t>largecap</t>
        </is>
      </c>
      <c r="H255" s="32" t="n">
        <v>109001.3</v>
      </c>
      <c r="I255" s="32" t="n">
        <v>1871.7</v>
      </c>
      <c r="J255" s="32" t="n">
        <v>-3.34</v>
      </c>
      <c r="K255" s="32" t="n">
        <v>401672</v>
      </c>
      <c r="L255" s="31" t="n">
        <v>43</v>
      </c>
      <c r="M255" s="31" t="inlineStr">
        <is>
          <t>Underperforming</t>
        </is>
      </c>
      <c r="N255" s="32">
        <f>IF(M255="Underperforming",-5,IF(L255&gt;=95,15,IF(L255&gt;=90,10,IF(L255&gt;=80,5,0))))</f>
        <v/>
      </c>
      <c r="O255" s="32" t="n">
        <v>71.89</v>
      </c>
      <c r="P255" s="32" t="n">
        <v>44.69</v>
      </c>
      <c r="Q255" s="32" t="n">
        <v>1534.01</v>
      </c>
      <c r="R255" s="31" t="inlineStr">
        <is>
          <t>Near 52W High Breakout</t>
        </is>
      </c>
      <c r="S255" s="31" t="inlineStr">
        <is>
          <t>Nifty Metal</t>
        </is>
      </c>
      <c r="T255" s="32" t="n">
        <v>33.29</v>
      </c>
      <c r="U255" s="32" t="n">
        <v>24.5</v>
      </c>
      <c r="V255" s="32" t="n">
        <v>-6.6</v>
      </c>
      <c r="W255" s="32" t="n">
        <v>9.039999999999999</v>
      </c>
      <c r="X255" s="31" t="inlineStr">
        <is>
          <t>Cyclical in an Upturn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Cyclical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Volatile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Above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Blue sky scenario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Less than 50% and Borrowings are increasing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More than 1.2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IF(B256=0,"",RANK(B256,$B$2:$B$280,0))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3" t="inlineStr">
        <is>
          <t>ETHOSLTD</t>
        </is>
      </c>
      <c r="D256" s="33" t="inlineStr">
        <is>
          <t>Ethos Ltd</t>
        </is>
      </c>
      <c r="E256" s="31" t="inlineStr">
        <is>
          <t>consumer discretionary</t>
        </is>
      </c>
      <c r="F256" s="31" t="inlineStr">
        <is>
          <t>trading</t>
        </is>
      </c>
      <c r="G256" s="31" t="inlineStr">
        <is>
          <t>midcap</t>
        </is>
      </c>
      <c r="H256" s="32" t="n">
        <v>7043.7</v>
      </c>
      <c r="I256" s="32" t="n">
        <v>2621.3</v>
      </c>
      <c r="J256" s="32" t="n">
        <v>-0.42</v>
      </c>
      <c r="K256" s="32" t="n">
        <v>25591</v>
      </c>
      <c r="L256" s="31" t="n">
        <v>3</v>
      </c>
      <c r="M256" s="31" t="inlineStr">
        <is>
          <t>Underperforming</t>
        </is>
      </c>
      <c r="N256" s="32">
        <f>IF(M256="Underperforming",-5,IF(L256&gt;=95,15,IF(L256&gt;=90,10,IF(L256&gt;=80,5,0))))</f>
        <v/>
      </c>
      <c r="O256" s="32" t="n">
        <v>55.83</v>
      </c>
      <c r="P256" s="32" t="n">
        <v>8.970000000000001</v>
      </c>
      <c r="Q256" s="32" t="n">
        <v>2060.8</v>
      </c>
      <c r="R256" s="31" t="inlineStr">
        <is>
          <t>Earnings / Momentum Support</t>
        </is>
      </c>
      <c r="S256" s="31" t="inlineStr">
        <is>
          <t>Nifty 50</t>
        </is>
      </c>
      <c r="T256" s="32" t="n">
        <v>-3.39</v>
      </c>
      <c r="U256" s="32" t="n">
        <v>-8.369999999999999</v>
      </c>
      <c r="V256" s="32" t="n">
        <v>-5.15</v>
      </c>
      <c r="W256" s="32" t="n">
        <v>-1.61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0 to 20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Less than 12%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Less than 50%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IF(B257=0,"",RANK(B257,$B$2:$B$280,0))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3" t="inlineStr">
        <is>
          <t>TCPLPACK</t>
        </is>
      </c>
      <c r="D257" s="33" t="inlineStr">
        <is>
          <t>TCPL Packaging Ltd</t>
        </is>
      </c>
      <c r="E257" s="31" t="inlineStr">
        <is>
          <t>industrials</t>
        </is>
      </c>
      <c r="F257" s="31" t="inlineStr">
        <is>
          <t>packaging</t>
        </is>
      </c>
      <c r="G257" s="31" t="inlineStr">
        <is>
          <t>smallcap</t>
        </is>
      </c>
      <c r="H257" s="32" t="n">
        <v>3119.94</v>
      </c>
      <c r="I257" s="32" t="n">
        <v>3314</v>
      </c>
      <c r="J257" s="32" t="n">
        <v>-3.34</v>
      </c>
      <c r="K257" s="32" t="n">
        <v>10822</v>
      </c>
      <c r="L257" s="31" t="n">
        <v>23</v>
      </c>
      <c r="M257" s="31" t="inlineStr">
        <is>
          <t>Underperforming</t>
        </is>
      </c>
      <c r="N257" s="32">
        <f>IF(M257="Underperforming",-5,IF(L257&gt;=95,15,IF(L257&gt;=90,10,IF(L257&gt;=80,5,0))))</f>
        <v/>
      </c>
      <c r="O257" s="32" t="n">
        <v>64.92</v>
      </c>
      <c r="P257" s="32" t="n">
        <v>16.42</v>
      </c>
      <c r="Q257" s="32" t="n">
        <v>2516.78</v>
      </c>
      <c r="R257" s="31" t="inlineStr">
        <is>
          <t>Earnings / Momentum Support</t>
        </is>
      </c>
      <c r="S257" s="31" t="inlineStr">
        <is>
          <t>Nifty 50</t>
        </is>
      </c>
      <c r="T257" s="32" t="n">
        <v>-3.39</v>
      </c>
      <c r="U257" s="32" t="n">
        <v>-9.109999999999999</v>
      </c>
      <c r="V257" s="32" t="n">
        <v>-5.93</v>
      </c>
      <c r="W257" s="32" t="n">
        <v>4.7</v>
      </c>
      <c r="X257" s="31" t="inlineStr">
        <is>
          <t>Cyclical in an Upturn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0 to 20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Between 0.7 to 1.2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IF(B258=0,"",RANK(B258,$B$2:$B$280,0))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3" t="inlineStr">
        <is>
          <t>ENTERO</t>
        </is>
      </c>
      <c r="D258" s="33" t="inlineStr">
        <is>
          <t>Entero Healthcare Solutions Ltd</t>
        </is>
      </c>
      <c r="E258" s="31" t="inlineStr">
        <is>
          <t>healthcare</t>
        </is>
      </c>
      <c r="F258" s="31" t="inlineStr">
        <is>
          <t>trading</t>
        </is>
      </c>
      <c r="G258" s="31" t="inlineStr">
        <is>
          <t>midcap</t>
        </is>
      </c>
      <c r="H258" s="32" t="n">
        <v>5297.89</v>
      </c>
      <c r="I258" s="32" t="n">
        <v>1241</v>
      </c>
      <c r="J258" s="32" t="n">
        <v>1.92</v>
      </c>
      <c r="K258" s="32" t="n">
        <v>104859</v>
      </c>
      <c r="L258" s="31" t="n">
        <v>7</v>
      </c>
      <c r="M258" s="31" t="inlineStr">
        <is>
          <t>Underperforming</t>
        </is>
      </c>
      <c r="N258" s="32">
        <f>IF(M258="Underperforming",-5,IF(L258&gt;=95,15,IF(L258&gt;=90,10,IF(L258&gt;=80,5,0))))</f>
        <v/>
      </c>
      <c r="O258" s="32" t="n">
        <v>54.54</v>
      </c>
      <c r="P258" s="32" t="n">
        <v>17.98</v>
      </c>
      <c r="Q258" s="32" t="n">
        <v>1038.16</v>
      </c>
      <c r="R258" s="31" t="inlineStr">
        <is>
          <t>Earnings / Momentum Support</t>
        </is>
      </c>
      <c r="S258" s="31" t="inlineStr">
        <is>
          <t>Nifty Pharma</t>
        </is>
      </c>
      <c r="T258" s="32" t="n">
        <v>13.63</v>
      </c>
      <c r="U258" s="32" t="n">
        <v>1.8</v>
      </c>
      <c r="V258" s="32" t="n">
        <v>-10.41</v>
      </c>
      <c r="W258" s="32" t="n">
        <v>0.41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Yes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Annuity, Lower One Time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0 to 20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Less than 50%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IF(B259=0,"",RANK(B259,$B$2:$B$280,0))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SILVERTUC</t>
        </is>
      </c>
      <c r="D259" s="33" t="inlineStr">
        <is>
          <t>Silver Touch Technologies Ltd</t>
        </is>
      </c>
      <c r="E259" s="31" t="inlineStr">
        <is>
          <t>i.t</t>
        </is>
      </c>
      <c r="F259" s="31" t="inlineStr">
        <is>
          <t>computers - software - medium / small</t>
        </is>
      </c>
      <c r="G259" s="31" t="inlineStr">
        <is>
          <t>smallcap</t>
        </is>
      </c>
      <c r="H259" s="32" t="n">
        <v>2462.78</v>
      </c>
      <c r="I259" s="32" t="n">
        <v>195.93</v>
      </c>
      <c r="J259" s="32" t="n">
        <v>0.89</v>
      </c>
      <c r="K259" s="32" t="n">
        <v>304264</v>
      </c>
      <c r="L259" s="31" t="n">
        <v>2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42.91</v>
      </c>
      <c r="P259" s="32" t="n">
        <v>25.35</v>
      </c>
      <c r="Q259" s="32" t="n">
        <v>98.98999999999999</v>
      </c>
      <c r="R259" s="31" t="inlineStr">
        <is>
          <t>Earnings / Momentum Support</t>
        </is>
      </c>
      <c r="S259" s="31" t="inlineStr">
        <is>
          <t>Nifty IT</t>
        </is>
      </c>
      <c r="T259" s="32" t="n">
        <v>-19.86</v>
      </c>
      <c r="U259" s="32" t="n">
        <v>-75.05</v>
      </c>
      <c r="V259" s="32" t="n">
        <v>-68.86</v>
      </c>
      <c r="W259" s="32" t="n">
        <v>-2.26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Annuity, Lower One Time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Below 45</t>
        </is>
      </c>
      <c r="BA259" s="31">
        <f>IF(AZ259="Between 50 to 75",10,IF(AZ259="Above 75",0,0))</f>
        <v/>
      </c>
      <c r="BB259" s="31" t="inlineStr">
        <is>
          <t>Stage 4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Between 1.5 to 2</t>
        </is>
      </c>
      <c r="BU259" s="31">
        <f>IF(BT259="Above 2",0,IF(BT259="Between 1.5 to 2",5,IF(BT259="Less than 1.5",10,0)))</f>
        <v/>
      </c>
      <c r="BV259" s="31" t="inlineStr">
        <is>
          <t>Less than 50%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IF(B260=0,"",RANK(B260,$B$2:$B$280,0))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3" t="inlineStr">
        <is>
          <t>ARVINDFASN</t>
        </is>
      </c>
      <c r="D260" s="33" t="inlineStr">
        <is>
          <t>Arvind Fashions Ltd</t>
        </is>
      </c>
      <c r="E260" s="31" t="inlineStr">
        <is>
          <t>consumer discretionary</t>
        </is>
      </c>
      <c r="F260" s="31" t="inlineStr">
        <is>
          <t>trading</t>
        </is>
      </c>
      <c r="G260" s="31" t="inlineStr">
        <is>
          <t>midcap</t>
        </is>
      </c>
      <c r="H260" s="32" t="n">
        <v>6295.82</v>
      </c>
      <c r="I260" s="32" t="n">
        <v>474.95</v>
      </c>
      <c r="J260" s="32" t="n">
        <v>0.83</v>
      </c>
      <c r="K260" s="32" t="n">
        <v>991956</v>
      </c>
      <c r="L260" s="31" t="n">
        <v>8</v>
      </c>
      <c r="M260" s="31" t="inlineStr">
        <is>
          <t>Underperforming</t>
        </is>
      </c>
      <c r="N260" s="32">
        <f>IF(M260="Underperforming",-5,IF(L260&gt;=95,15,IF(L260&gt;=90,10,IF(L260&gt;=80,5,0))))</f>
        <v/>
      </c>
      <c r="O260" s="32" t="n">
        <v>53</v>
      </c>
      <c r="P260" s="32" t="n">
        <v>10.07</v>
      </c>
      <c r="Q260" s="32" t="n">
        <v>376.42</v>
      </c>
      <c r="R260" s="31" t="inlineStr">
        <is>
          <t>Volume Spike / Accumulation</t>
        </is>
      </c>
      <c r="S260" s="31" t="inlineStr">
        <is>
          <t>Nifty 50</t>
        </is>
      </c>
      <c r="T260" s="32" t="n">
        <v>-3.39</v>
      </c>
      <c r="U260" s="32" t="n">
        <v>-4.74</v>
      </c>
      <c r="V260" s="32" t="n">
        <v>-1.4</v>
      </c>
      <c r="W260" s="32" t="n">
        <v>0.5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1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Between 50% to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Between 0.7 to 1.2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IF(B261=0,"",RANK(B261,$B$2:$B$280,0))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TBOTEK</t>
        </is>
      </c>
      <c r="D261" s="31" t="inlineStr">
        <is>
          <t>TBO Tek Ltd</t>
        </is>
      </c>
      <c r="E261" s="31" t="inlineStr">
        <is>
          <t>i.t</t>
        </is>
      </c>
      <c r="F261" s="31" t="inlineStr">
        <is>
          <t>travel agencies</t>
        </is>
      </c>
      <c r="G261" s="31" t="inlineStr">
        <is>
          <t>midcap</t>
        </is>
      </c>
      <c r="H261" s="32" t="n">
        <v>15909.2</v>
      </c>
      <c r="I261" s="32" t="n">
        <v>1469.1</v>
      </c>
      <c r="J261" s="32" t="n">
        <v>0.27</v>
      </c>
      <c r="K261" s="32" t="n">
        <v>54854</v>
      </c>
      <c r="L261" s="31" t="n">
        <v>29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57.1</v>
      </c>
      <c r="P261" s="32" t="n">
        <v>15.16</v>
      </c>
      <c r="Q261" s="32" t="n">
        <v>1173.88</v>
      </c>
      <c r="R261" s="31" t="inlineStr">
        <is>
          <t>Earnings / Momentum Support</t>
        </is>
      </c>
      <c r="S261" s="31" t="inlineStr">
        <is>
          <t>Nifty IT</t>
        </is>
      </c>
      <c r="T261" s="32" t="n">
        <v>-19.86</v>
      </c>
      <c r="U261" s="32" t="n">
        <v>7.17</v>
      </c>
      <c r="V261" s="32" t="n">
        <v>33.73</v>
      </c>
      <c r="W261" s="32" t="n">
        <v>5.87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Less than 12%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Negative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IF(B262=0,"",RANK(B262,$B$2:$B$280,0))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3" t="inlineStr">
        <is>
          <t>RAJRATAN</t>
        </is>
      </c>
      <c r="D262" s="33" t="inlineStr">
        <is>
          <t>Rajratan Global Wire Ltd</t>
        </is>
      </c>
      <c r="E262" s="31" t="inlineStr">
        <is>
          <t>metals &amp; mining</t>
        </is>
      </c>
      <c r="F262" s="31" t="inlineStr">
        <is>
          <t>steel - medium / small</t>
        </is>
      </c>
      <c r="G262" s="31" t="inlineStr">
        <is>
          <t>smallcap</t>
        </is>
      </c>
      <c r="H262" s="32" t="n">
        <v>2588.81</v>
      </c>
      <c r="I262" s="32" t="n">
        <v>495.35</v>
      </c>
      <c r="J262" s="32" t="n">
        <v>-2.85</v>
      </c>
      <c r="K262" s="32" t="n">
        <v>139256</v>
      </c>
      <c r="L262" s="31" t="n">
        <v>41</v>
      </c>
      <c r="M262" s="31" t="inlineStr">
        <is>
          <t>Underperforming</t>
        </is>
      </c>
      <c r="N262" s="32">
        <f>IF(M262="Underperforming",-5,IF(L262&gt;=95,15,IF(L262&gt;=90,10,IF(L262&gt;=80,5,0))))</f>
        <v/>
      </c>
      <c r="O262" s="32" t="n">
        <v>62.71</v>
      </c>
      <c r="P262" s="32" t="n">
        <v>11.97</v>
      </c>
      <c r="Q262" s="32" t="n">
        <v>363.06</v>
      </c>
      <c r="R262" s="31" t="inlineStr">
        <is>
          <t>Volume Spike / Accumulation</t>
        </is>
      </c>
      <c r="S262" s="31" t="inlineStr">
        <is>
          <t>Nifty Metal</t>
        </is>
      </c>
      <c r="T262" s="32" t="n">
        <v>33.29</v>
      </c>
      <c r="U262" s="32" t="n">
        <v>23.94</v>
      </c>
      <c r="V262" s="32" t="n">
        <v>-7.02</v>
      </c>
      <c r="W262" s="32" t="n">
        <v>8.609999999999999</v>
      </c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Cyclical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Volatile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0 to 20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Less than 12%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Between 50% to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IF(B263=0,"",RANK(B263,$B$2:$B$280,0))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3" t="inlineStr">
        <is>
          <t>ABBOTINDIA</t>
        </is>
      </c>
      <c r="D263" s="33" t="inlineStr">
        <is>
          <t>Abbott India Limited</t>
        </is>
      </c>
      <c r="E263" s="31" t="inlineStr">
        <is>
          <t>healthcare</t>
        </is>
      </c>
      <c r="F263" s="31" t="inlineStr">
        <is>
          <t>pharmaceuticals - multinational</t>
        </is>
      </c>
      <c r="G263" s="31" t="inlineStr">
        <is>
          <t>largecap</t>
        </is>
      </c>
      <c r="H263" s="32" t="n">
        <v>61197.99</v>
      </c>
      <c r="I263" s="32" t="n">
        <v>28900</v>
      </c>
      <c r="J263" s="32" t="n">
        <v>0.35</v>
      </c>
      <c r="K263" s="32" t="n">
        <v>21903</v>
      </c>
      <c r="L263" s="31" t="n">
        <v>6</v>
      </c>
      <c r="M263" s="31" t="inlineStr">
        <is>
          <t>Underperforming</t>
        </is>
      </c>
      <c r="N263" s="32">
        <f>IF(M263="Underperforming",-5,IF(L263&gt;=95,15,IF(L263&gt;=90,10,IF(L263&gt;=80,5,0))))</f>
        <v/>
      </c>
      <c r="O263" s="32" t="n">
        <v>61.27</v>
      </c>
      <c r="P263" s="32" t="n">
        <v>13.46</v>
      </c>
      <c r="Q263" s="32" t="n">
        <v>25398.29</v>
      </c>
      <c r="R263" s="31" t="inlineStr">
        <is>
          <t>Earnings / Momentum Support</t>
        </is>
      </c>
      <c r="S263" s="31" t="inlineStr">
        <is>
          <t>Nifty Pharma</t>
        </is>
      </c>
      <c r="T263" s="32" t="n">
        <v>13.63</v>
      </c>
      <c r="U263" s="32" t="n">
        <v>-14.45</v>
      </c>
      <c r="V263" s="32" t="n">
        <v>-24.71</v>
      </c>
      <c r="W263" s="32" t="n">
        <v>0.32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Yes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Annuity, Lower One Time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1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Less than 12%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IF(B264=0,"",RANK(B264,$B$2:$B$280,0))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PNGJL</t>
        </is>
      </c>
      <c r="D264" s="31" t="inlineStr">
        <is>
          <t>P N Gadgil Jewellers Ltd</t>
        </is>
      </c>
      <c r="E264" s="31" t="inlineStr">
        <is>
          <t>consumer discretionary</t>
        </is>
      </c>
      <c r="F264" s="31" t="inlineStr">
        <is>
          <t>diamond cutting / jewellery</t>
        </is>
      </c>
      <c r="G264" s="31" t="inlineStr">
        <is>
          <t>midcap</t>
        </is>
      </c>
      <c r="H264" s="32" t="n">
        <v>8152.68</v>
      </c>
      <c r="I264" s="32" t="n">
        <v>636.6</v>
      </c>
      <c r="J264" s="32" t="n">
        <v>5.97</v>
      </c>
      <c r="K264" s="32" t="n">
        <v>2511882</v>
      </c>
      <c r="L264" s="31" t="n">
        <v>11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56.76</v>
      </c>
      <c r="P264" s="32" t="n">
        <v>11.92</v>
      </c>
      <c r="Q264" s="32" t="n">
        <v>576.85</v>
      </c>
      <c r="R264" s="31" t="inlineStr">
        <is>
          <t>Earnings / Momentum Support</t>
        </is>
      </c>
      <c r="S264" s="31" t="inlineStr">
        <is>
          <t>Nifty 50</t>
        </is>
      </c>
      <c r="T264" s="32" t="n">
        <v>-3.39</v>
      </c>
      <c r="U264" s="32" t="n">
        <v>9.44</v>
      </c>
      <c r="V264" s="32" t="n">
        <v>13.27</v>
      </c>
      <c r="W264" s="32" t="n">
        <v>1.82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1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Less than 1.5</t>
        </is>
      </c>
      <c r="BU264" s="31">
        <f>IF(BT264="Above 2",0,IF(BT264="Between 1.5 to 2",5,IF(BT264="Less than 1.5",10,0)))</f>
        <v/>
      </c>
      <c r="BV264" s="31" t="inlineStr">
        <is>
          <t>Negative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Between 0.7 to 1.2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IF(B265=0,"",RANK(B265,$B$2:$B$280,0))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ICEMAKE</t>
        </is>
      </c>
      <c r="D265" s="31" t="inlineStr">
        <is>
          <t>ICE Make Refrigeration Ltd</t>
        </is>
      </c>
      <c r="E265" s="31" t="inlineStr">
        <is>
          <t>industrials</t>
        </is>
      </c>
      <c r="F265" s="31" t="inlineStr">
        <is>
          <t>engineering</t>
        </is>
      </c>
      <c r="G265" s="31" t="inlineStr">
        <is>
          <t>smallcap</t>
        </is>
      </c>
      <c r="H265" s="32" t="n">
        <v>1323.45</v>
      </c>
      <c r="I265" s="32" t="n">
        <v>878.9</v>
      </c>
      <c r="J265" s="32" t="n">
        <v>4.79</v>
      </c>
      <c r="K265" s="32" t="n">
        <v>229621</v>
      </c>
      <c r="L265" s="31" t="n">
        <v>24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61.08</v>
      </c>
      <c r="P265" s="32" t="n">
        <v>17.95</v>
      </c>
      <c r="Q265" s="32" t="n">
        <v>673.98</v>
      </c>
      <c r="R265" s="31" t="inlineStr">
        <is>
          <t>Near 52W High Breakout</t>
        </is>
      </c>
      <c r="S265" s="31" t="inlineStr">
        <is>
          <t>Nifty 50</t>
        </is>
      </c>
      <c r="T265" s="32" t="n">
        <v>-3.39</v>
      </c>
      <c r="U265" s="32" t="n">
        <v>12.26</v>
      </c>
      <c r="V265" s="32" t="n">
        <v>16.19</v>
      </c>
      <c r="W265" s="32" t="n">
        <v>4.91</v>
      </c>
      <c r="X265" s="31" t="inlineStr">
        <is>
          <t>Cyclical in an Upturn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Less than 12%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Negative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Between 0.7 to 1.2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IF(B266=0,"",RANK(B266,$B$2:$B$280,0))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3" t="inlineStr">
        <is>
          <t>OIL</t>
        </is>
      </c>
      <c r="D266" s="33" t="inlineStr">
        <is>
          <t>Oil India Limited</t>
        </is>
      </c>
      <c r="E266" s="31" t="inlineStr">
        <is>
          <t>energy</t>
        </is>
      </c>
      <c r="F266" s="31" t="inlineStr">
        <is>
          <t>oil drilling / allied services</t>
        </is>
      </c>
      <c r="G266" s="31" t="inlineStr">
        <is>
          <t>largecap</t>
        </is>
      </c>
      <c r="H266" s="32" t="n">
        <v>72408.45</v>
      </c>
      <c r="I266" s="32" t="n">
        <v>451.15</v>
      </c>
      <c r="J266" s="32" t="n">
        <v>1.35</v>
      </c>
      <c r="K266" s="32" t="n">
        <v>2534069</v>
      </c>
      <c r="L266" s="31" t="n">
        <v>7</v>
      </c>
      <c r="M266" s="31" t="inlineStr">
        <is>
          <t>Underperforming</t>
        </is>
      </c>
      <c r="N266" s="32">
        <f>IF(M266="Underperforming",-5,IF(L266&gt;=95,15,IF(L266&gt;=90,10,IF(L266&gt;=80,5,0))))</f>
        <v/>
      </c>
      <c r="O266" s="32" t="n">
        <v>50.48</v>
      </c>
      <c r="P266" s="32" t="n">
        <v>20.75</v>
      </c>
      <c r="Q266" s="32" t="n">
        <v>429.74</v>
      </c>
      <c r="R266" s="31" t="inlineStr">
        <is>
          <t>Earnings / Momentum Support</t>
        </is>
      </c>
      <c r="S266" s="31" t="inlineStr">
        <is>
          <t>Nifty Energy</t>
        </is>
      </c>
      <c r="T266" s="32" t="n">
        <v>11.87</v>
      </c>
      <c r="U266" s="32" t="n">
        <v>6.61</v>
      </c>
      <c r="V266" s="32" t="n">
        <v>-4.71</v>
      </c>
      <c r="W266" s="32" t="n">
        <v>0.48</v>
      </c>
      <c r="X266" s="31" t="inlineStr">
        <is>
          <t>Cyclical in an Upturn</t>
        </is>
      </c>
      <c r="Y266" s="31">
        <f>IF(X266="Growing Industry",10,IF(X266="Cyclical in an Upturn",5,0))</f>
        <v/>
      </c>
      <c r="Z266" s="31" t="inlineStr">
        <is>
          <t>Oligopoly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Yes</t>
        </is>
      </c>
      <c r="AC266" s="31">
        <f>IF(AB266="No",5,0)</f>
        <v/>
      </c>
      <c r="AD266" s="31" t="inlineStr">
        <is>
          <t>Headwind</t>
        </is>
      </c>
      <c r="AE266" s="31">
        <f>IF(AD266="Tailwind",10,0)</f>
        <v/>
      </c>
      <c r="AF266" s="31" t="inlineStr">
        <is>
          <t>Cyclical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Volatile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1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Less than 1.5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IF(B267=0,"",RANK(B267,$B$2:$B$280,0))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OPTIEMUS</t>
        </is>
      </c>
      <c r="D267" s="31" t="inlineStr">
        <is>
          <t>Optiemus Infracom Ltd</t>
        </is>
      </c>
      <c r="E267" s="31" t="inlineStr">
        <is>
          <t>telecom</t>
        </is>
      </c>
      <c r="F267" s="31" t="inlineStr">
        <is>
          <t>trading</t>
        </is>
      </c>
      <c r="G267" s="31" t="inlineStr">
        <is>
          <t>midcap</t>
        </is>
      </c>
      <c r="H267" s="32" t="n">
        <v>5368.78</v>
      </c>
      <c r="I267" s="32" t="n">
        <v>612.1</v>
      </c>
      <c r="J267" s="32" t="n">
        <v>1.12</v>
      </c>
      <c r="K267" s="32" t="n">
        <v>606196</v>
      </c>
      <c r="L267" s="31" t="n">
        <v>66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69.8</v>
      </c>
      <c r="P267" s="32" t="n">
        <v>19.92</v>
      </c>
      <c r="Q267" s="32" t="n">
        <v>465.26</v>
      </c>
      <c r="R267" s="31" t="inlineStr">
        <is>
          <t>Earnings / Momentum Support</t>
        </is>
      </c>
      <c r="S267" s="31" t="inlineStr">
        <is>
          <t>Nifty 50</t>
        </is>
      </c>
      <c r="T267" s="32" t="n">
        <v>-3.39</v>
      </c>
      <c r="U267" s="32" t="n">
        <v>7.08</v>
      </c>
      <c r="V267" s="32" t="n">
        <v>10.83</v>
      </c>
      <c r="W267" s="32" t="n">
        <v>15.73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Oligopoly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Yes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0 to 20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Less than 12%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Yes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Negative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IF(B268=0,"",RANK(B268,$B$2:$B$280,0))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3" t="inlineStr">
        <is>
          <t>GRAVITA</t>
        </is>
      </c>
      <c r="D268" s="33" t="inlineStr">
        <is>
          <t>Gravita India Limited</t>
        </is>
      </c>
      <c r="E268" s="31" t="inlineStr">
        <is>
          <t>metals &amp; mining</t>
        </is>
      </c>
      <c r="F268" s="31" t="inlineStr">
        <is>
          <t>mining / minerals / metals</t>
        </is>
      </c>
      <c r="G268" s="31" t="inlineStr">
        <is>
          <t>midcap</t>
        </is>
      </c>
      <c r="H268" s="32" t="n">
        <v>13318.74</v>
      </c>
      <c r="I268" s="32" t="n">
        <v>1799</v>
      </c>
      <c r="J268" s="32" t="n">
        <v>-0.3</v>
      </c>
      <c r="K268" s="32" t="n">
        <v>229321</v>
      </c>
      <c r="L268" s="31" t="n">
        <v>14</v>
      </c>
      <c r="M268" s="31" t="inlineStr">
        <is>
          <t>Underperforming</t>
        </is>
      </c>
      <c r="N268" s="32">
        <f>IF(M268="Underperforming",-5,IF(L268&gt;=95,15,IF(L268&gt;=90,10,IF(L268&gt;=80,5,0))))</f>
        <v/>
      </c>
      <c r="O268" s="32" t="n">
        <v>56.9</v>
      </c>
      <c r="P268" s="32" t="n">
        <v>16.74</v>
      </c>
      <c r="Q268" s="32" t="n">
        <v>1467.95</v>
      </c>
      <c r="R268" s="31" t="inlineStr">
        <is>
          <t>Near 52W High Breakout</t>
        </is>
      </c>
      <c r="S268" s="31" t="inlineStr">
        <is>
          <t>Nifty Metal</t>
        </is>
      </c>
      <c r="T268" s="32" t="n">
        <v>33.29</v>
      </c>
      <c r="U268" s="32" t="n">
        <v>-4.96</v>
      </c>
      <c r="V268" s="32" t="n">
        <v>-28.7</v>
      </c>
      <c r="W268" s="32" t="n">
        <v>2.23</v>
      </c>
      <c r="X268" s="31" t="inlineStr">
        <is>
          <t>Cyclical in an Upturn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Cyclical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Volatile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Less than 12%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Less than 50%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IF(B269=0,"",RANK(B269,$B$2:$B$280,0))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MRPL</t>
        </is>
      </c>
      <c r="D269" s="31" t="inlineStr">
        <is>
          <t>Mangalore Refinery And Petrochemicals Limited</t>
        </is>
      </c>
      <c r="E269" s="31" t="inlineStr">
        <is>
          <t>energy</t>
        </is>
      </c>
      <c r="F269" s="31" t="inlineStr">
        <is>
          <t>refineries</t>
        </is>
      </c>
      <c r="G269" s="31" t="inlineStr">
        <is>
          <t>largecap</t>
        </is>
      </c>
      <c r="H269" s="32" t="n">
        <v>30900.07</v>
      </c>
      <c r="I269" s="32" t="n">
        <v>174.66</v>
      </c>
      <c r="J269" s="32" t="n">
        <v>-0.9399999999999999</v>
      </c>
      <c r="K269" s="32" t="n">
        <v>16106437</v>
      </c>
      <c r="L269" s="31" t="n">
        <v>20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56.08</v>
      </c>
      <c r="P269" s="32" t="n">
        <v>14.87</v>
      </c>
      <c r="Q269" s="32" t="n">
        <v>138.31</v>
      </c>
      <c r="R269" s="31" t="inlineStr">
        <is>
          <t>Earnings / Momentum Support</t>
        </is>
      </c>
      <c r="S269" s="31" t="inlineStr">
        <is>
          <t>Nifty Energy</t>
        </is>
      </c>
      <c r="T269" s="32" t="n">
        <v>11.87</v>
      </c>
      <c r="U269" s="32" t="n">
        <v>26.65</v>
      </c>
      <c r="V269" s="32" t="n">
        <v>13.21</v>
      </c>
      <c r="W269" s="32" t="n">
        <v>4</v>
      </c>
      <c r="X269" s="31" t="inlineStr">
        <is>
          <t>Cyclical in an Upturn</t>
        </is>
      </c>
      <c r="Y269" s="31">
        <f>IF(X269="Growing Industry",10,IF(X269="Cyclical in an Upturn",5,0))</f>
        <v/>
      </c>
      <c r="Z269" s="31" t="inlineStr">
        <is>
          <t>Oligopoly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Yes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Cyclical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Volatile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Between 0.7 to 1.2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IF(B270=0,"",RANK(B270,$B$2:$B$280,0))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3" t="inlineStr">
        <is>
          <t>BHARTIHEXA</t>
        </is>
      </c>
      <c r="D270" s="33" t="inlineStr">
        <is>
          <t>Bharti Hexacom Ltd</t>
        </is>
      </c>
      <c r="E270" s="31" t="inlineStr">
        <is>
          <t>telecom-service</t>
        </is>
      </c>
      <c r="F270" s="31" t="inlineStr">
        <is>
          <t>telecommunications - service provider</t>
        </is>
      </c>
      <c r="G270" s="31" t="inlineStr">
        <is>
          <t>largecap</t>
        </is>
      </c>
      <c r="H270" s="32" t="n">
        <v>82555</v>
      </c>
      <c r="I270" s="32" t="n">
        <v>1635</v>
      </c>
      <c r="J270" s="32" t="n">
        <v>-0.98</v>
      </c>
      <c r="K270" s="32" t="n">
        <v>40608</v>
      </c>
      <c r="L270" s="31" t="n">
        <v>5</v>
      </c>
      <c r="M270" s="31" t="inlineStr">
        <is>
          <t>Underperforming</t>
        </is>
      </c>
      <c r="N270" s="32">
        <f>IF(M270="Underperforming",-5,IF(L270&gt;=95,15,IF(L270&gt;=90,10,IF(L270&gt;=80,5,0))))</f>
        <v/>
      </c>
      <c r="O270" s="32" t="n">
        <v>56.41</v>
      </c>
      <c r="P270" s="32" t="n">
        <v>23.76</v>
      </c>
      <c r="Q270" s="32" t="n">
        <v>1350.76</v>
      </c>
      <c r="R270" s="31" t="inlineStr">
        <is>
          <t>Earnings / Momentum Support</t>
        </is>
      </c>
      <c r="S270" s="31" t="inlineStr">
        <is>
          <t>Nifty 50</t>
        </is>
      </c>
      <c r="T270" s="32" t="n">
        <v>-3.39</v>
      </c>
      <c r="U270" s="32" t="n">
        <v>-8.08</v>
      </c>
      <c r="V270" s="32" t="n">
        <v>-4.86</v>
      </c>
      <c r="W270" s="32" t="n">
        <v>-0.19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Oligopoly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Yes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20 to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1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Less than 12%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Between 0.7 to 1.2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IF(B271=0,"",RANK(B271,$B$2:$B$280,0))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3" t="inlineStr">
        <is>
          <t>GANDHITUBE</t>
        </is>
      </c>
      <c r="D271" s="33" t="inlineStr">
        <is>
          <t>Gandhi Special Tubes Limited</t>
        </is>
      </c>
      <c r="E271" s="31" t="inlineStr">
        <is>
          <t>metals &amp; mining</t>
        </is>
      </c>
      <c r="F271" s="31" t="inlineStr">
        <is>
          <t>steel - medium / small</t>
        </is>
      </c>
      <c r="G271" s="31" t="inlineStr">
        <is>
          <t>smallcap</t>
        </is>
      </c>
      <c r="H271" s="32" t="n">
        <v>1059.41</v>
      </c>
      <c r="I271" s="32" t="n">
        <v>870.1</v>
      </c>
      <c r="J271" s="32" t="n">
        <v>-0.2</v>
      </c>
      <c r="K271" s="32" t="n">
        <v>3916</v>
      </c>
      <c r="L271" s="31" t="n">
        <v>25</v>
      </c>
      <c r="M271" s="31" t="inlineStr">
        <is>
          <t>Underperforming</t>
        </is>
      </c>
      <c r="N271" s="32">
        <f>IF(M271="Underperforming",-5,IF(L271&gt;=95,15,IF(L271&gt;=90,10,IF(L271&gt;=80,5,0))))</f>
        <v/>
      </c>
      <c r="O271" s="32" t="n">
        <v>54.83</v>
      </c>
      <c r="P271" s="32" t="n">
        <v>11.73</v>
      </c>
      <c r="Q271" s="32" t="n">
        <v>771.36</v>
      </c>
      <c r="R271" s="31" t="inlineStr">
        <is>
          <t>Earnings / Momentum Support</t>
        </is>
      </c>
      <c r="S271" s="31" t="inlineStr">
        <is>
          <t>Nifty Metal</t>
        </is>
      </c>
      <c r="T271" s="32" t="n">
        <v>33.29</v>
      </c>
      <c r="U271" s="32" t="n">
        <v>18.17</v>
      </c>
      <c r="V271" s="32" t="n">
        <v>-11.35</v>
      </c>
      <c r="W271" s="32" t="n">
        <v>5.04</v>
      </c>
      <c r="X271" s="31" t="inlineStr">
        <is>
          <t>Cyclical in an Upturn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Cyclical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Volatile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Less than 12%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Between 50% to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IF(B272=0,"",RANK(B272,$B$2:$B$280,0))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DEEPAKNTR</t>
        </is>
      </c>
      <c r="D272" s="33" t="inlineStr">
        <is>
          <t>Deepak Nitrite Limited</t>
        </is>
      </c>
      <c r="E272" s="31" t="inlineStr">
        <is>
          <t>chemicals</t>
        </is>
      </c>
      <c r="F272" s="31" t="inlineStr">
        <is>
          <t>chemicals</t>
        </is>
      </c>
      <c r="G272" s="31" t="inlineStr">
        <is>
          <t>largecap</t>
        </is>
      </c>
      <c r="H272" s="32" t="n">
        <v>23300.02</v>
      </c>
      <c r="I272" s="32" t="n">
        <v>1696</v>
      </c>
      <c r="J272" s="32" t="n">
        <v>-0.72</v>
      </c>
      <c r="K272" s="32" t="n">
        <v>95795</v>
      </c>
      <c r="L272" s="31" t="n">
        <v>2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53.21</v>
      </c>
      <c r="P272" s="32" t="n">
        <v>13.17</v>
      </c>
      <c r="Q272" s="32" t="n">
        <v>1553.41</v>
      </c>
      <c r="R272" s="31" t="inlineStr">
        <is>
          <t>Earnings / Momentum Support</t>
        </is>
      </c>
      <c r="S272" s="31" t="inlineStr">
        <is>
          <t>Nifty 50</t>
        </is>
      </c>
      <c r="T272" s="32" t="n">
        <v>-3.39</v>
      </c>
      <c r="U272" s="32" t="n">
        <v>-10.49</v>
      </c>
      <c r="V272" s="32" t="n">
        <v>-7.35</v>
      </c>
      <c r="W272" s="32" t="n">
        <v>-1.9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0 to 20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1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Less than 12%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Between 50% to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IF(B273=0,"",RANK(B273,$B$2:$B$280,0))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3" t="inlineStr">
        <is>
          <t>ULTRACEMCO</t>
        </is>
      </c>
      <c r="D273" s="33" t="inlineStr">
        <is>
          <t>Ultratech Cement Limited</t>
        </is>
      </c>
      <c r="E273" s="31" t="inlineStr">
        <is>
          <t>building materials</t>
        </is>
      </c>
      <c r="F273" s="31" t="inlineStr">
        <is>
          <t>cement - north india</t>
        </is>
      </c>
      <c r="G273" s="31" t="inlineStr">
        <is>
          <t>largecap</t>
        </is>
      </c>
      <c r="H273" s="32" t="n">
        <v>356384.99</v>
      </c>
      <c r="I273" s="32" t="n">
        <v>11893</v>
      </c>
      <c r="J273" s="32" t="n">
        <v>-1.66</v>
      </c>
      <c r="K273" s="32" t="n">
        <v>283753</v>
      </c>
      <c r="L273" s="31" t="n">
        <v>4</v>
      </c>
      <c r="M273" s="31" t="inlineStr">
        <is>
          <t>Underperforming</t>
        </is>
      </c>
      <c r="N273" s="32">
        <f>IF(M273="Underperforming",-5,IF(L273&gt;=95,15,IF(L273&gt;=90,10,IF(L273&gt;=80,5,0))))</f>
        <v/>
      </c>
      <c r="O273" s="32" t="n">
        <v>53.59</v>
      </c>
      <c r="P273" s="32" t="n">
        <v>12.97</v>
      </c>
      <c r="Q273" s="32" t="n">
        <v>10306.25</v>
      </c>
      <c r="R273" s="31" t="inlineStr">
        <is>
          <t>Earnings / Momentum Support</t>
        </is>
      </c>
      <c r="S273" s="31" t="inlineStr">
        <is>
          <t>Nifty Infra</t>
        </is>
      </c>
      <c r="T273" s="32" t="n">
        <v>3.35</v>
      </c>
      <c r="U273" s="32" t="n">
        <v>-2.91</v>
      </c>
      <c r="V273" s="32" t="n">
        <v>-6.06</v>
      </c>
      <c r="W273" s="32" t="n">
        <v>-0.74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Headwind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1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Between 12 to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IF(B274=0,"",RANK(B274,$B$2:$B$280,0))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3" t="inlineStr">
        <is>
          <t>HINDOILEXP</t>
        </is>
      </c>
      <c r="D274" s="33" t="inlineStr">
        <is>
          <t>Hindustan Oil Exploration Company Limited</t>
        </is>
      </c>
      <c r="E274" s="31" t="inlineStr">
        <is>
          <t>energy</t>
        </is>
      </c>
      <c r="F274" s="31" t="inlineStr">
        <is>
          <t>oil drilling / allied services</t>
        </is>
      </c>
      <c r="G274" s="31" t="inlineStr">
        <is>
          <t>smallcap</t>
        </is>
      </c>
      <c r="H274" s="32" t="n">
        <v>2148.29</v>
      </c>
      <c r="I274" s="32" t="n">
        <v>164.06</v>
      </c>
      <c r="J274" s="32" t="n">
        <v>0.99</v>
      </c>
      <c r="K274" s="32" t="n">
        <v>460667</v>
      </c>
      <c r="L274" s="31" t="n">
        <v>15</v>
      </c>
      <c r="M274" s="31" t="inlineStr">
        <is>
          <t>Underperforming</t>
        </is>
      </c>
      <c r="N274" s="32">
        <f>IF(M274="Underperforming",-5,IF(L274&gt;=95,15,IF(L274&gt;=90,10,IF(L274&gt;=80,5,0))))</f>
        <v/>
      </c>
      <c r="O274" s="32" t="n">
        <v>54.13</v>
      </c>
      <c r="P274" s="32" t="n">
        <v>34.19</v>
      </c>
      <c r="Q274" s="32" t="n">
        <v>130.69</v>
      </c>
      <c r="R274" s="31" t="inlineStr">
        <is>
          <t>Earnings / Momentum Support</t>
        </is>
      </c>
      <c r="S274" s="31" t="inlineStr">
        <is>
          <t>Nifty Energy</t>
        </is>
      </c>
      <c r="T274" s="32" t="n">
        <v>11.87</v>
      </c>
      <c r="U274" s="32" t="n">
        <v>1.32</v>
      </c>
      <c r="V274" s="32" t="n">
        <v>-9.43</v>
      </c>
      <c r="W274" s="32" t="n">
        <v>2.41</v>
      </c>
      <c r="X274" s="31" t="inlineStr">
        <is>
          <t>Cyclical in an Upturn</t>
        </is>
      </c>
      <c r="Y274" s="31">
        <f>IF(X274="Growing Industry",10,IF(X274="Cyclical in an Upturn",5,0))</f>
        <v/>
      </c>
      <c r="Z274" s="31" t="inlineStr">
        <is>
          <t>Oligopoly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Yes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Cyclical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Volatile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1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Less than 12%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IF(B275=0,"",RANK(B275,$B$2:$B$280,0))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BHARTIARTL</t>
        </is>
      </c>
      <c r="D275" s="31" t="inlineStr">
        <is>
          <t>Bharti Airtel Limited</t>
        </is>
      </c>
      <c r="E275" s="31" t="inlineStr">
        <is>
          <t>telecom-service</t>
        </is>
      </c>
      <c r="F275" s="31" t="inlineStr">
        <is>
          <t>telecommunications - service provider</t>
        </is>
      </c>
      <c r="G275" s="31" t="inlineStr">
        <is>
          <t>largecap</t>
        </is>
      </c>
      <c r="H275" s="32" t="n">
        <v>1216026.51</v>
      </c>
      <c r="I275" s="32" t="n">
        <v>1949</v>
      </c>
      <c r="J275" s="32" t="n">
        <v>0.03</v>
      </c>
      <c r="K275" s="32" t="n">
        <v>6589709</v>
      </c>
      <c r="L275" s="31" t="n">
        <v>11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54.67</v>
      </c>
      <c r="P275" s="32" t="n">
        <v>18.06</v>
      </c>
      <c r="Q275" s="32" t="n">
        <v>1696.67</v>
      </c>
      <c r="R275" s="31" t="inlineStr">
        <is>
          <t>Earnings / Momentum Support</t>
        </is>
      </c>
      <c r="S275" s="31" t="inlineStr">
        <is>
          <t>Nifty 50</t>
        </is>
      </c>
      <c r="T275" s="32" t="n">
        <v>-3.39</v>
      </c>
      <c r="U275" s="32" t="n">
        <v>0.57</v>
      </c>
      <c r="V275" s="32" t="n">
        <v>4.1</v>
      </c>
      <c r="W275" s="32" t="n">
        <v>1.75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Oligopoly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Yes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1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Less than 12%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Between 0.7 to 1.2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IF(B276=0,"",RANK(B276,$B$2:$B$280,0))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NRAIL</t>
        </is>
      </c>
      <c r="D276" s="31" t="inlineStr">
        <is>
          <t>N R Agarwal Industries Ltd</t>
        </is>
      </c>
      <c r="E276" s="31" t="inlineStr">
        <is>
          <t>building materials</t>
        </is>
      </c>
      <c r="F276" s="31" t="inlineStr">
        <is>
          <t>paper</t>
        </is>
      </c>
      <c r="G276" s="31" t="inlineStr">
        <is>
          <t>smallcap</t>
        </is>
      </c>
      <c r="H276" s="32" t="n">
        <v>733.61</v>
      </c>
      <c r="I276" s="32" t="n">
        <v>449.05</v>
      </c>
      <c r="J276" s="32" t="n">
        <v>4.18</v>
      </c>
      <c r="K276" s="32" t="n">
        <v>13416</v>
      </c>
      <c r="L276" s="31" t="n">
        <v>29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51.54</v>
      </c>
      <c r="P276" s="32" t="n">
        <v>19.59</v>
      </c>
      <c r="Q276" s="32" t="n">
        <v>382.87</v>
      </c>
      <c r="R276" s="31" t="inlineStr">
        <is>
          <t>Earnings / Momentum Support</t>
        </is>
      </c>
      <c r="S276" s="31" t="inlineStr">
        <is>
          <t>Nifty Infra</t>
        </is>
      </c>
      <c r="T276" s="32" t="n">
        <v>3.35</v>
      </c>
      <c r="U276" s="32" t="n">
        <v>31.28</v>
      </c>
      <c r="V276" s="32" t="n">
        <v>27.03</v>
      </c>
      <c r="W276" s="32" t="n">
        <v>5.91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1</t>
        </is>
      </c>
      <c r="BC276" s="31">
        <f>IF(BB276="Stage 2",20,IF(BB276="Stage 1",0,IF(BB276="Stage 3",5,IF(BB276="Stage 4",-5,0))))</f>
        <v/>
      </c>
      <c r="BD276" s="31" t="inlineStr">
        <is>
          <t>Negative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Less than 1.5</t>
        </is>
      </c>
      <c r="BU276" s="31">
        <f>IF(BT276="Above 2",0,IF(BT276="Between 1.5 to 2",5,IF(BT276="Less than 1.5",10,0)))</f>
        <v/>
      </c>
      <c r="BV276" s="31" t="inlineStr">
        <is>
          <t>Between 50% to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Between 0.7 to 1.2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IF(B277=0,"",RANK(B277,$B$2:$B$280,0))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3" t="inlineStr">
        <is>
          <t>JSL</t>
        </is>
      </c>
      <c r="D277" s="33" t="inlineStr">
        <is>
          <t>Jindal Stainless Limited</t>
        </is>
      </c>
      <c r="E277" s="31" t="inlineStr">
        <is>
          <t>metals &amp; mining</t>
        </is>
      </c>
      <c r="F277" s="31" t="inlineStr">
        <is>
          <t>steel - large</t>
        </is>
      </c>
      <c r="G277" s="31" t="inlineStr">
        <is>
          <t>largecap</t>
        </is>
      </c>
      <c r="H277" s="32" t="n">
        <v>60928.73</v>
      </c>
      <c r="I277" s="32" t="n">
        <v>738.4</v>
      </c>
      <c r="J277" s="32" t="n">
        <v>-0.09</v>
      </c>
      <c r="K277" s="32" t="n">
        <v>181606</v>
      </c>
      <c r="L277" s="31" t="n">
        <v>14</v>
      </c>
      <c r="M277" s="31" t="inlineStr">
        <is>
          <t>Underperforming</t>
        </is>
      </c>
      <c r="N277" s="32">
        <f>IF(M277="Underperforming",-5,IF(L277&gt;=95,15,IF(L277&gt;=90,10,IF(L277&gt;=80,5,0))))</f>
        <v/>
      </c>
      <c r="O277" s="32" t="n">
        <v>51.4</v>
      </c>
      <c r="P277" s="32" t="n">
        <v>12.86</v>
      </c>
      <c r="Q277" s="32" t="n">
        <v>634.66</v>
      </c>
      <c r="R277" s="31" t="inlineStr">
        <is>
          <t>Earnings / Momentum Support</t>
        </is>
      </c>
      <c r="S277" s="31" t="inlineStr">
        <is>
          <t>Nifty Metal</t>
        </is>
      </c>
      <c r="T277" s="32" t="n">
        <v>33.29</v>
      </c>
      <c r="U277" s="32" t="n">
        <v>12.98</v>
      </c>
      <c r="V277" s="32" t="n">
        <v>-15.24</v>
      </c>
      <c r="W277" s="32" t="n">
        <v>2.23</v>
      </c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Headwind</t>
        </is>
      </c>
      <c r="AE277" s="31">
        <f>IF(AD277="Tailwind",10,0)</f>
        <v/>
      </c>
      <c r="AF277" s="31" t="inlineStr">
        <is>
          <t>Cyclical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Volatile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1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Less than 1.5</t>
        </is>
      </c>
      <c r="BU277" s="31">
        <f>IF(BT277="Above 2",0,IF(BT277="Between 1.5 to 2",5,IF(BT277="Less than 1.5",10,0)))</f>
        <v/>
      </c>
      <c r="BV277" s="31" t="inlineStr">
        <is>
          <t>Between 50% to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IF(B278=0,"",RANK(B278,$B$2:$B$280,0))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BALAMINES</t>
        </is>
      </c>
      <c r="D278" s="31" t="inlineStr">
        <is>
          <t>Balaji Amines Limited</t>
        </is>
      </c>
      <c r="E278" s="31" t="inlineStr">
        <is>
          <t>chemicals</t>
        </is>
      </c>
      <c r="F278" s="31" t="inlineStr">
        <is>
          <t>chemicals</t>
        </is>
      </c>
      <c r="G278" s="31" t="inlineStr">
        <is>
          <t>midcap</t>
        </is>
      </c>
      <c r="H278" s="32" t="n">
        <v>7667.7</v>
      </c>
      <c r="I278" s="32" t="n">
        <v>2380.3</v>
      </c>
      <c r="J278" s="32" t="n">
        <v>0.58</v>
      </c>
      <c r="K278" s="32" t="n">
        <v>213501</v>
      </c>
      <c r="L278" s="31" t="n">
        <v>90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75.01000000000001</v>
      </c>
      <c r="P278" s="32" t="n">
        <v>61.77</v>
      </c>
      <c r="Q278" s="32" t="n">
        <v>1792.52</v>
      </c>
      <c r="R278" s="31" t="inlineStr">
        <is>
          <t>Near 52W High Breakout</t>
        </is>
      </c>
      <c r="S278" s="31" t="inlineStr">
        <is>
          <t>Nifty 50</t>
        </is>
      </c>
      <c r="T278" s="32" t="n">
        <v>-3.39</v>
      </c>
      <c r="U278" s="32" t="n">
        <v>43.15</v>
      </c>
      <c r="V278" s="32" t="n">
        <v>48.17</v>
      </c>
      <c r="W278" s="32" t="n">
        <v>31.54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Duopoly That Cooperate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Headwind</t>
        </is>
      </c>
      <c r="AE278" s="31">
        <f>IF(AD278="Tailwind",10,0)</f>
        <v/>
      </c>
      <c r="AF278" s="31" t="inlineStr">
        <is>
          <t>Shallow Cyclical (2 to 3 Years Growth)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20 to 40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4</t>
        </is>
      </c>
      <c r="BC278" s="31">
        <f>IF(BB278="Stage 2",20,IF(BB278="Stage 1",0,IF(BB278="Stage 3",5,IF(BB278="Stage 4",-5,0))))</f>
        <v/>
      </c>
      <c r="BD278" s="31" t="inlineStr">
        <is>
          <t>Negative Trend</t>
        </is>
      </c>
      <c r="BE278" s="31">
        <f>IF(BD278="Positive Trend",20,IF(BD278="Negative Trend",-10,0))</f>
        <v/>
      </c>
      <c r="BF278" s="31" t="inlineStr">
        <is>
          <t>Downtrend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Overhead supply in last 2 years in last 2 years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No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Less than 1.5</t>
        </is>
      </c>
      <c r="BU278" s="31">
        <f>IF(BT278="Above 2",0,IF(BT278="Between 1.5 to 2",5,IF(BT278="Less than 1.5",10,0)))</f>
        <v/>
      </c>
      <c r="BV278" s="31" t="inlineStr">
        <is>
          <t>Between 50% to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IF(B279=0,"",RANK(B279,$B$2:$B$280,0))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3" t="inlineStr">
        <is>
          <t>ARIHANT</t>
        </is>
      </c>
      <c r="D279" s="33" t="inlineStr">
        <is>
          <t>Arihant Foundations &amp; Housing Limited</t>
        </is>
      </c>
      <c r="E279" s="31" t="inlineStr">
        <is>
          <t>realty</t>
        </is>
      </c>
      <c r="F279" s="31" t="inlineStr">
        <is>
          <t>construction</t>
        </is>
      </c>
      <c r="G279" s="31" t="inlineStr">
        <is>
          <t>smallcap</t>
        </is>
      </c>
      <c r="H279" s="32" t="n">
        <v>911.71</v>
      </c>
      <c r="I279" s="32" t="n">
        <v>919.4</v>
      </c>
      <c r="J279" s="32" t="n">
        <v>0.5</v>
      </c>
      <c r="K279" s="32" t="n">
        <v>6564</v>
      </c>
      <c r="L279" s="31" t="n">
        <v>1</v>
      </c>
      <c r="M279" s="31" t="inlineStr">
        <is>
          <t>Underperforming</t>
        </is>
      </c>
      <c r="N279" s="32">
        <f>IF(M279="Underperforming",-5,IF(L279&gt;=95,15,IF(L279&gt;=90,10,IF(L279&gt;=80,5,0))))</f>
        <v/>
      </c>
      <c r="O279" s="32" t="n">
        <v>47.96</v>
      </c>
      <c r="P279" s="32" t="n">
        <v>22.27</v>
      </c>
      <c r="Q279" s="32" t="n">
        <v>528.45</v>
      </c>
      <c r="R279" s="31" t="inlineStr">
        <is>
          <t>Earnings / Momentum Support</t>
        </is>
      </c>
      <c r="S279" s="31" t="inlineStr">
        <is>
          <t>Nifty Realty</t>
        </is>
      </c>
      <c r="T279" s="32" t="n">
        <v>-5.01</v>
      </c>
      <c r="U279" s="32" t="n">
        <v>-20.58</v>
      </c>
      <c r="V279" s="32" t="n">
        <v>-16.4</v>
      </c>
      <c r="W279" s="32" t="n">
        <v>-4.63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Headwind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20 to 40</t>
        </is>
      </c>
      <c r="AY279" s="31">
        <f>IF(AX279="Above 40",20,IF(AX279="20 to 40",10,IF(AX279="0 to 20",-5,0)))</f>
        <v/>
      </c>
      <c r="AZ279" s="31" t="inlineStr">
        <is>
          <t>Below 45</t>
        </is>
      </c>
      <c r="BA279" s="31">
        <f>IF(AZ279="Between 50 to 75",10,IF(AZ279="Above 75",0,0))</f>
        <v/>
      </c>
      <c r="BB279" s="31" t="inlineStr">
        <is>
          <t>Stage 4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More than 1.2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IF(B280=0,"",RANK(B280,$B$2:$B$280,0))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FLUOROCHEM</t>
        </is>
      </c>
      <c r="D280" s="31" t="inlineStr">
        <is>
          <t>Gujarat Fluorochemicals Ltd</t>
        </is>
      </c>
      <c r="E280" s="31" t="inlineStr">
        <is>
          <t>chemicals</t>
        </is>
      </c>
      <c r="F280" s="31" t="inlineStr">
        <is>
          <t>chemicals</t>
        </is>
      </c>
      <c r="G280" s="31" t="inlineStr">
        <is>
          <t>largecap</t>
        </is>
      </c>
      <c r="H280" s="32" t="n">
        <v>50608.99</v>
      </c>
      <c r="I280" s="32" t="n">
        <v>4590</v>
      </c>
      <c r="J280" s="32" t="n">
        <v>-0.37</v>
      </c>
      <c r="K280" s="32" t="n">
        <v>217738</v>
      </c>
      <c r="L280" s="31" t="n">
        <v>61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74.48999999999999</v>
      </c>
      <c r="P280" s="32" t="n">
        <v>20.91</v>
      </c>
      <c r="Q280" s="32" t="n">
        <v>3803.28</v>
      </c>
      <c r="R280" s="31" t="inlineStr">
        <is>
          <t>Volume Spike &amp; Near 52W High Breakout</t>
        </is>
      </c>
      <c r="S280" s="31" t="inlineStr">
        <is>
          <t>Nifty 50</t>
        </is>
      </c>
      <c r="T280" s="32" t="n">
        <v>-3.39</v>
      </c>
      <c r="U280" s="32" t="n">
        <v>30.92</v>
      </c>
      <c r="V280" s="32" t="n">
        <v>35.51</v>
      </c>
      <c r="W280" s="32" t="n">
        <v>13.93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Oligopoly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Shallow Cyclical (2 to 3 Years Growth)</t>
        </is>
      </c>
      <c r="AG280" s="31">
        <f>IF(AF280="Structural (10 Years Consistency)",10,IF(AF280="Shallow Cyclical (2 to 3 years growth)",5,0))</f>
        <v/>
      </c>
      <c r="AH280" s="31" t="inlineStr">
        <is>
          <t>Yes due to Product Mix change or Operating Leverage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Volatile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Yes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Allocated capital in Non-core Areas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Above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3</t>
        </is>
      </c>
      <c r="BC280" s="31">
        <f>IF(BB280="Stage 2",20,IF(BB280="Stage 1",0,IF(BB280="Stage 3",5,IF(BB280="Stage 4",-5,0))))</f>
        <v/>
      </c>
      <c r="BD280" s="31" t="inlineStr">
        <is>
          <t>Negative Trend</t>
        </is>
      </c>
      <c r="BE280" s="31">
        <f>IF(BD280="Positive Trend",20,IF(BD280="Negative Trend",-10,0))</f>
        <v/>
      </c>
      <c r="BF280" s="31" t="inlineStr">
        <is>
          <t>Sideways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Overhead supply in last 2 years in last 2 years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Less than 1.5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More than 15%</t>
        </is>
      </c>
      <c r="CC280" s="31">
        <f>IF(CB280="More than 15%",-10,IF(CB280="Less than 15%",10,0))</f>
        <v/>
      </c>
      <c r="CD280" s="31" t="inlineStr">
        <is>
          <t>Yes Upto 10%</t>
        </is>
      </c>
      <c r="CE280" s="31">
        <f>IF(CD280="Yes, more than 10%",-10,IF(CD280="No",10,0))</f>
        <v/>
      </c>
    </row>
  </sheetData>
  <autoFilter ref="A1:CE280"/>
  <conditionalFormatting sqref="B2:B28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8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8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8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8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8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8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8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8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8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8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8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8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8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8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8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8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8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8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8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8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8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8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8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8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8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8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8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8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8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8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8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80">
    <cfRule type="cellIs" priority="36" operator="equal" dxfId="3" stopIfTrue="1">
      <formula>"Underperforming"</formula>
    </cfRule>
  </conditionalFormatting>
  <conditionalFormatting sqref="N2:N280">
    <cfRule type="cellIs" priority="37" operator="equal" dxfId="3" stopIfTrue="1">
      <formula>-5</formula>
    </cfRule>
  </conditionalFormatting>
  <conditionalFormatting sqref="Q2:Q280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80" showDropDown="0" showInputMessage="0" showErrorMessage="0" allowBlank="1" type="list">
      <formula1>"Growing Industry,Stagnant Industry,Cyclical in an Upturn"</formula1>
    </dataValidation>
    <dataValidation sqref="Z2:Z28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80" showDropDown="0" showInputMessage="0" showErrorMessage="0" allowBlank="1" type="list">
      <formula1>"Yes,No"</formula1>
    </dataValidation>
    <dataValidation sqref="AD2:AD280" showDropDown="0" showInputMessage="0" showErrorMessage="0" allowBlank="1" type="list">
      <formula1>"Tailwind,Headwind"</formula1>
    </dataValidation>
    <dataValidation sqref="AF2:AF280" showDropDown="0" showInputMessage="0" showErrorMessage="0" allowBlank="1" type="list">
      <formula1>"Structural (10 Years Consistency),Shallow Cyclical (2 to 3 Years Growth),Cyclical"</formula1>
    </dataValidation>
    <dataValidation sqref="AH2:AH280" showDropDown="0" showInputMessage="0" showErrorMessage="0" allowBlank="1" type="list">
      <formula1>"Yes due to Product Mix change or Operating Leverage,Yes, these are peak margins,No"</formula1>
    </dataValidation>
    <dataValidation sqref="AJ2:AJ280" showDropDown="0" showInputMessage="0" showErrorMessage="0" allowBlank="1" type="list">
      <formula1>"Stable,Volatile"</formula1>
    </dataValidation>
    <dataValidation sqref="AL2:AL280" showDropDown="0" showInputMessage="0" showErrorMessage="0" allowBlank="1" type="list">
      <formula1>"Yes,No"</formula1>
    </dataValidation>
    <dataValidation sqref="AN2:AN280" showDropDown="0" showInputMessage="0" showErrorMessage="0" allowBlank="1" type="list">
      <formula1>"B2C,B2B,B2G"</formula1>
    </dataValidation>
    <dataValidation sqref="AP2:AP280" showDropDown="0" showInputMessage="0" showErrorMessage="0" allowBlank="1" type="list">
      <formula1>"Yes,No"</formula1>
    </dataValidation>
    <dataValidation sqref="AR2:AR280" showDropDown="0" showInputMessage="0" showErrorMessage="0" allowBlank="1" type="list">
      <formula1>"Fully Annuity,Higher Annuity, Lower One time,Higher One Time, Lower Annuity,Fully One Time"</formula1>
    </dataValidation>
    <dataValidation sqref="AT2:AT280" showDropDown="0" showInputMessage="0" showErrorMessage="0" allowBlank="1" type="list">
      <formula1>"Good,Allocated capital in Non-core Areas"</formula1>
    </dataValidation>
    <dataValidation sqref="AV2:AV280" showDropDown="0" showInputMessage="0" showErrorMessage="0" allowBlank="1" type="list">
      <formula1>"Yes for more than 2 years,Yes only for next 1 to 2 years,No"</formula1>
    </dataValidation>
    <dataValidation sqref="AX2:AX280" showDropDown="0" showInputMessage="0" showErrorMessage="0" allowBlank="1" type="list">
      <formula1>"Above 40,20 to 40,0 to 20"</formula1>
    </dataValidation>
    <dataValidation sqref="AZ2:AZ280" showDropDown="0" showInputMessage="0" showErrorMessage="0" allowBlank="1" type="list">
      <formula1>"Between 50 to 75,Above 75,Below 45"</formula1>
    </dataValidation>
    <dataValidation sqref="BB2:BB280" showDropDown="0" showInputMessage="0" showErrorMessage="0" allowBlank="1" type="list">
      <formula1>"Stage 1,Stage 2,Stage 3,Stage 4"</formula1>
    </dataValidation>
    <dataValidation sqref="BD2:BD280" showDropDown="0" showInputMessage="0" showErrorMessage="0" allowBlank="1" type="list">
      <formula1>"Positive Trend,Negative Trend"</formula1>
    </dataValidation>
    <dataValidation sqref="BF2:BF280" showDropDown="0" showInputMessage="0" showErrorMessage="0" allowBlank="1" type="list">
      <formula1>"Uptrend,Sideways,Downtrend"</formula1>
    </dataValidation>
    <dataValidation sqref="BH2:BH280" showDropDown="0" showInputMessage="0" showErrorMessage="0" allowBlank="1" type="list">
      <formula1>"Uptrend,Sideways,Downtrend"</formula1>
    </dataValidation>
    <dataValidation sqref="BJ2:BJ28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80" showDropDown="0" showInputMessage="0" showErrorMessage="0" allowBlank="1" type="list">
      <formula1>"Yes,No"</formula1>
    </dataValidation>
    <dataValidation sqref="BN2:BN280" showDropDown="0" showInputMessage="0" showErrorMessage="0" allowBlank="1" type="list">
      <formula1>"More than 20%,Between 12 to 20%,Less than 12%"</formula1>
    </dataValidation>
    <dataValidation sqref="BP2:BP280" showDropDown="0" showInputMessage="0" showErrorMessage="0" allowBlank="1" type="list">
      <formula1>"Yes,No"</formula1>
    </dataValidation>
    <dataValidation sqref="BR2:BR280" showDropDown="0" showInputMessage="0" showErrorMessage="0" allowBlank="1" type="list">
      <formula1>"Yes,No"</formula1>
    </dataValidation>
    <dataValidation sqref="BT2:BT280" showDropDown="0" showInputMessage="0" showErrorMessage="0" allowBlank="1" type="list">
      <formula1>"Above 2,Between 1.5 to 2,Less than 1.5"</formula1>
    </dataValidation>
    <dataValidation sqref="BV2:BV280" showDropDown="0" showInputMessage="0" showErrorMessage="0" allowBlank="1" type="list">
      <formula1>"Above 70%,Between 50% to 70%,Less than 50%,Less than 50% and Borrowings are increasing,Negative"</formula1>
    </dataValidation>
    <dataValidation sqref="BX2:BX280" showDropDown="0" showInputMessage="0" showErrorMessage="0" allowBlank="1" type="list">
      <formula1>"More than 1.2,Between 0.7 to 1.2,Less than 0.7"</formula1>
    </dataValidation>
    <dataValidation sqref="BZ2:BZ280" showDropDown="0" showInputMessage="0" showErrorMessage="0" allowBlank="1" type="list">
      <formula1>"Yes,No"</formula1>
    </dataValidation>
    <dataValidation sqref="CB2:CB280" showDropDown="0" showInputMessage="0" showErrorMessage="0" allowBlank="1" type="list">
      <formula1>"More than 15%,Less than 15%"</formula1>
    </dataValidation>
    <dataValidation sqref="CD2:CD28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IF(B2=0,"",RANK(B2,$B$2:$B$46,0))</f>
        <v/>
      </c>
      <c r="B2" s="32">
        <f>SUM(N2,Y2,AA2,AC2,AE2,AG2,AI2,AK2,AM2,AO2,AQ2,AS2,AU2,AW2,AY2,BA2,BC2,BE2,BG2,BI2,BK2,BM2,BO2,BQ2,BS2,BU2,BW2,BY2,CA2)</f>
        <v/>
      </c>
      <c r="C2" s="31" t="inlineStr">
        <is>
          <t>KTKBANK</t>
        </is>
      </c>
      <c r="D2" s="31" t="inlineStr">
        <is>
          <t>The Karnataka Bank Limited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10638.86</v>
      </c>
      <c r="I2" s="32" t="n">
        <v>276.25</v>
      </c>
      <c r="J2" s="32" t="n">
        <v>-1.8</v>
      </c>
      <c r="K2" s="32" t="n">
        <v>2902375</v>
      </c>
      <c r="L2" s="31" t="n">
        <v>56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65.36</v>
      </c>
      <c r="P2" s="32" t="n">
        <v>48.21</v>
      </c>
      <c r="Q2" s="32" t="n">
        <v>225.17</v>
      </c>
      <c r="R2" s="31" t="inlineStr">
        <is>
          <t>Near 52W High Breakout</t>
        </is>
      </c>
      <c r="S2" s="31" t="inlineStr">
        <is>
          <t>Nifty Bank</t>
        </is>
      </c>
      <c r="T2" s="32" t="n">
        <v>1.06</v>
      </c>
      <c r="U2" s="32" t="n">
        <v>51.16</v>
      </c>
      <c r="V2" s="32" t="n">
        <v>49.58</v>
      </c>
      <c r="W2" s="32" t="n">
        <v>12.28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IF(B3=0,"",RANK(B3,$B$2:$B$46,0))</f>
        <v/>
      </c>
      <c r="B3" s="32">
        <f>SUM(N3,Y3,AA3,AC3,AE3,AG3,AI3,AK3,AM3,AO3,AQ3,AS3,AU3,AW3,AY3,BA3,BC3,BE3,BG3,BI3,BK3,BM3,BO3,BQ3,BS3,BU3,BW3,BY3,CA3)</f>
        <v/>
      </c>
      <c r="C3" s="31" t="inlineStr">
        <is>
          <t>PAISALO</t>
        </is>
      </c>
      <c r="D3" s="31" t="inlineStr">
        <is>
          <t>Paisalo Digital Ltd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midcap</t>
        </is>
      </c>
      <c r="H3" s="32" t="n">
        <v>6564.93</v>
      </c>
      <c r="I3" s="32" t="n">
        <v>73.23</v>
      </c>
      <c r="J3" s="32" t="n">
        <v>1.45</v>
      </c>
      <c r="K3" s="32" t="n">
        <v>10991378</v>
      </c>
      <c r="L3" s="31" t="n">
        <v>91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81.95</v>
      </c>
      <c r="P3" s="32" t="n">
        <v>54.84</v>
      </c>
      <c r="Q3" s="32" t="n">
        <v>57.13</v>
      </c>
      <c r="R3" s="31" t="inlineStr">
        <is>
          <t>Near 52W High Breakout</t>
        </is>
      </c>
      <c r="S3" s="31" t="inlineStr">
        <is>
          <t>Nifty Bank</t>
        </is>
      </c>
      <c r="T3" s="32" t="n">
        <v>1.06</v>
      </c>
      <c r="U3" s="32" t="n">
        <v>125.76</v>
      </c>
      <c r="V3" s="32" t="n">
        <v>123.4</v>
      </c>
      <c r="W3" s="32" t="n">
        <v>32.24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IF(B4=0,"",RANK(B4,$B$2:$B$46,0))</f>
        <v/>
      </c>
      <c r="B4" s="32">
        <f>SUM(N4,Y4,AA4,AC4,AE4,AG4,AI4,AK4,AM4,AO4,AQ4,AS4,AU4,AW4,AY4,BA4,BC4,BE4,BG4,BI4,BK4,BM4,BO4,BQ4,BS4,BU4,BW4,BY4,CA4)</f>
        <v/>
      </c>
      <c r="C4" s="31" t="inlineStr">
        <is>
          <t>WELINV</t>
        </is>
      </c>
      <c r="D4" s="31" t="inlineStr">
        <is>
          <t>Welspun Investments And Commercials Limited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691.35</v>
      </c>
      <c r="I4" s="32" t="n">
        <v>1891.9</v>
      </c>
      <c r="J4" s="32" t="n">
        <v>0.01</v>
      </c>
      <c r="K4" s="32" t="n">
        <v>147</v>
      </c>
      <c r="L4" s="31" t="n">
        <v>76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75.13</v>
      </c>
      <c r="P4" s="32" t="n">
        <v>52.99</v>
      </c>
      <c r="Q4" s="32" t="n">
        <v>1439.24</v>
      </c>
      <c r="R4" s="31" t="inlineStr">
        <is>
          <t>Near 52W High Breakout</t>
        </is>
      </c>
      <c r="S4" s="31" t="inlineStr">
        <is>
          <t>Nifty Bank</t>
        </is>
      </c>
      <c r="T4" s="32" t="n">
        <v>1.06</v>
      </c>
      <c r="U4" s="32" t="n">
        <v>76.81</v>
      </c>
      <c r="V4" s="32" t="n">
        <v>74.95999999999999</v>
      </c>
      <c r="W4" s="32" t="n">
        <v>19.23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IF(B5=0,"",RANK(B5,$B$2:$B$46,0))</f>
        <v/>
      </c>
      <c r="B5" s="32">
        <f>SUM(N5,Y5,AA5,AC5,AE5,AG5,AI5,AK5,AM5,AO5,AQ5,AS5,AU5,AW5,AY5,BA5,BC5,BE5,BG5,BI5,BK5,BM5,BO5,BQ5,BS5,BU5,BW5,BY5,CA5)</f>
        <v/>
      </c>
      <c r="C5" s="31" t="inlineStr">
        <is>
          <t>UJJIVANSFB</t>
        </is>
      </c>
      <c r="D5" s="31" t="inlineStr">
        <is>
          <t>Ujjivan Small Finance Bank Ltd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12766.71</v>
      </c>
      <c r="I5" s="32" t="n">
        <v>65.05</v>
      </c>
      <c r="J5" s="32" t="n">
        <v>-0.88</v>
      </c>
      <c r="K5" s="32" t="n">
        <v>8401094</v>
      </c>
      <c r="L5" s="31" t="n">
        <v>55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62.59</v>
      </c>
      <c r="P5" s="32" t="n">
        <v>27.92</v>
      </c>
      <c r="Q5" s="32" t="n">
        <v>51.61</v>
      </c>
      <c r="R5" s="31" t="inlineStr">
        <is>
          <t>Near 52W High Breakout</t>
        </is>
      </c>
      <c r="S5" s="31" t="inlineStr">
        <is>
          <t>Nifty Bank</t>
        </is>
      </c>
      <c r="T5" s="32" t="n">
        <v>1.06</v>
      </c>
      <c r="U5" s="32" t="n">
        <v>50.16</v>
      </c>
      <c r="V5" s="32" t="n">
        <v>48.59</v>
      </c>
      <c r="W5" s="32" t="n">
        <v>12.09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IF(B6=0,"",RANK(B6,$B$2:$B$46,0))</f>
        <v/>
      </c>
      <c r="B6" s="32">
        <f>SUM(N6,Y6,AA6,AC6,AE6,AG6,AI6,AK6,AM6,AO6,AQ6,AS6,AU6,AW6,AY6,BA6,BC6,BE6,BG6,BI6,BK6,BM6,BO6,BQ6,BS6,BU6,BW6,BY6,CA6)</f>
        <v/>
      </c>
      <c r="C6" s="31" t="inlineStr">
        <is>
          <t>TMB</t>
        </is>
      </c>
      <c r="D6" s="31" t="inlineStr">
        <is>
          <t>Tamilnad Mercantile Bank Ltd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midcap</t>
        </is>
      </c>
      <c r="H6" s="32" t="n">
        <v>12960.27</v>
      </c>
      <c r="I6" s="32" t="n">
        <v>810.65</v>
      </c>
      <c r="J6" s="32" t="n">
        <v>-0.95</v>
      </c>
      <c r="K6" s="32" t="n">
        <v>105660</v>
      </c>
      <c r="L6" s="31" t="n">
        <v>76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68.27</v>
      </c>
      <c r="P6" s="32" t="n">
        <v>35.95</v>
      </c>
      <c r="Q6" s="32" t="n">
        <v>649.83</v>
      </c>
      <c r="R6" s="31" t="inlineStr">
        <is>
          <t>Near 52W High Breakout</t>
        </is>
      </c>
      <c r="S6" s="31" t="inlineStr">
        <is>
          <t>Nifty Bank</t>
        </is>
      </c>
      <c r="T6" s="32" t="n">
        <v>1.06</v>
      </c>
      <c r="U6" s="32" t="n">
        <v>85.51000000000001</v>
      </c>
      <c r="V6" s="32" t="n">
        <v>83.56999999999999</v>
      </c>
      <c r="W6" s="32" t="n">
        <v>19.49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IF(B7=0,"",RANK(B7,$B$2:$B$46,0))</f>
        <v/>
      </c>
      <c r="B7" s="32">
        <f>SUM(N7,Y7,AA7,AC7,AE7,AG7,AI7,AK7,AM7,AO7,AQ7,AS7,AU7,AW7,AY7,BA7,BC7,BE7,BG7,BI7,BK7,BM7,BO7,BQ7,BS7,BU7,BW7,BY7,CA7)</f>
        <v/>
      </c>
      <c r="C7" s="31" t="inlineStr">
        <is>
          <t>TFCILTD</t>
        </is>
      </c>
      <c r="D7" s="31" t="inlineStr">
        <is>
          <t>Tourism Finance Corporation Of India Limited</t>
        </is>
      </c>
      <c r="E7" s="31" t="inlineStr">
        <is>
          <t>financials</t>
        </is>
      </c>
      <c r="F7" s="31" t="inlineStr">
        <is>
          <t>finance - term-lending institutions</t>
        </is>
      </c>
      <c r="G7" s="31" t="inlineStr">
        <is>
          <t>smallcap</t>
        </is>
      </c>
      <c r="H7" s="32" t="n">
        <v>3852.43</v>
      </c>
      <c r="I7" s="32" t="n">
        <v>81.81</v>
      </c>
      <c r="J7" s="32" t="n">
        <v>-1.68</v>
      </c>
      <c r="K7" s="32" t="n">
        <v>6962756</v>
      </c>
      <c r="L7" s="31" t="n">
        <v>52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59.41</v>
      </c>
      <c r="P7" s="32" t="n">
        <v>41.32</v>
      </c>
      <c r="Q7" s="32" t="n">
        <v>63.79</v>
      </c>
      <c r="R7" s="31" t="inlineStr">
        <is>
          <t>Near 52W High Breakout</t>
        </is>
      </c>
      <c r="S7" s="31" t="inlineStr">
        <is>
          <t>Nifty Bank</t>
        </is>
      </c>
      <c r="T7" s="32" t="n">
        <v>1.06</v>
      </c>
      <c r="U7" s="32" t="n">
        <v>41.75</v>
      </c>
      <c r="V7" s="32" t="n">
        <v>40.27</v>
      </c>
      <c r="W7" s="32" t="n">
        <v>10.75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IF(B8=0,"",RANK(B8,$B$2:$B$46,0))</f>
        <v/>
      </c>
      <c r="B8" s="32">
        <f>SUM(N8,Y8,AA8,AC8,AE8,AG8,AI8,AK8,AM8,AO8,AQ8,AS8,AU8,AW8,AY8,BA8,BC8,BE8,BG8,BI8,BK8,BM8,BO8,BQ8,BS8,BU8,BW8,BY8,CA8)</f>
        <v/>
      </c>
      <c r="C8" s="31" t="inlineStr">
        <is>
          <t>CUB</t>
        </is>
      </c>
      <c r="D8" s="31" t="inlineStr">
        <is>
          <t>City Union Bank Limited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largecap</t>
        </is>
      </c>
      <c r="H8" s="32" t="n">
        <v>22771.26</v>
      </c>
      <c r="I8" s="32" t="n">
        <v>223.53</v>
      </c>
      <c r="J8" s="32" t="n">
        <v>-2.74</v>
      </c>
      <c r="K8" s="32" t="n">
        <v>1247514</v>
      </c>
      <c r="L8" s="31" t="n">
        <v>51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62.2</v>
      </c>
      <c r="P8" s="32" t="n">
        <v>21.74</v>
      </c>
      <c r="Q8" s="32" t="n">
        <v>182.69</v>
      </c>
      <c r="R8" s="31" t="inlineStr">
        <is>
          <t>Near 52W High Breakout</t>
        </is>
      </c>
      <c r="S8" s="31" t="inlineStr">
        <is>
          <t>Nifty Bank</t>
        </is>
      </c>
      <c r="T8" s="32" t="n">
        <v>1.06</v>
      </c>
      <c r="U8" s="32" t="n">
        <v>43.89</v>
      </c>
      <c r="V8" s="32" t="n">
        <v>42.39</v>
      </c>
      <c r="W8" s="32" t="n">
        <v>10.71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IF(B9=0,"",RANK(B9,$B$2:$B$46,0))</f>
        <v/>
      </c>
      <c r="B9" s="32">
        <f>SUM(N9,Y9,AA9,AC9,AE9,AG9,AI9,AK9,AM9,AO9,AQ9,AS9,AU9,AW9,AY9,BA9,BC9,BE9,BG9,BI9,BK9,BM9,BO9,BQ9,BS9,BU9,BW9,BY9,CA9)</f>
        <v/>
      </c>
      <c r="C9" s="31" t="inlineStr">
        <is>
          <t>MANBA</t>
        </is>
      </c>
      <c r="D9" s="31" t="inlineStr">
        <is>
          <t>Manba Finance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702.5</v>
      </c>
      <c r="I9" s="32" t="n">
        <v>141</v>
      </c>
      <c r="J9" s="32" t="n">
        <v>0.84</v>
      </c>
      <c r="K9" s="32" t="n">
        <v>195805</v>
      </c>
      <c r="L9" s="31" t="n">
        <v>38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63.3</v>
      </c>
      <c r="P9" s="32" t="n">
        <v>25.04</v>
      </c>
      <c r="Q9" s="32" t="n">
        <v>111.05</v>
      </c>
      <c r="R9" s="31" t="inlineStr">
        <is>
          <t>Near 52W High Breakout</t>
        </is>
      </c>
      <c r="S9" s="31" t="inlineStr">
        <is>
          <t>Nifty Bank</t>
        </is>
      </c>
      <c r="T9" s="32" t="n">
        <v>1.06</v>
      </c>
      <c r="U9" s="32" t="n">
        <v>2.3</v>
      </c>
      <c r="V9" s="32" t="n">
        <v>1.23</v>
      </c>
      <c r="W9" s="32" t="n">
        <v>7.58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IF(B10=0,"",RANK(B10,$B$2:$B$46,0))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INDUSINDBK</t>
        </is>
      </c>
      <c r="D10" s="31" t="inlineStr">
        <is>
          <t>Indusind Bank Limited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largecap</t>
        </is>
      </c>
      <c r="H10" s="32" t="n">
        <v>82856.87</v>
      </c>
      <c r="I10" s="32" t="n">
        <v>1069.3</v>
      </c>
      <c r="J10" s="32" t="n">
        <v>0.55</v>
      </c>
      <c r="K10" s="32" t="n">
        <v>5069159</v>
      </c>
      <c r="L10" s="31" t="n">
        <v>54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69.34</v>
      </c>
      <c r="P10" s="32" t="n">
        <v>22.43</v>
      </c>
      <c r="Q10" s="32" t="n">
        <v>907.52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1.06</v>
      </c>
      <c r="U10" s="32" t="n">
        <v>30.03</v>
      </c>
      <c r="V10" s="32" t="n">
        <v>28.67</v>
      </c>
      <c r="W10" s="32" t="n">
        <v>11.5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IF(B11=0,"",RANK(B11,$B$2:$B$46,0))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ESAFSFB</t>
        </is>
      </c>
      <c r="D11" s="31" t="inlineStr">
        <is>
          <t>ESAF Small Finance Bank Ltd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smallcap</t>
        </is>
      </c>
      <c r="H11" s="32" t="n">
        <v>1864.64</v>
      </c>
      <c r="I11" s="32" t="n">
        <v>35.71</v>
      </c>
      <c r="J11" s="32" t="n">
        <v>-1.24</v>
      </c>
      <c r="K11" s="32" t="n">
        <v>1759969</v>
      </c>
      <c r="L11" s="31" t="n">
        <v>64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64.77</v>
      </c>
      <c r="P11" s="32" t="n">
        <v>25.35</v>
      </c>
      <c r="Q11" s="32" t="n">
        <v>27.3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1.06</v>
      </c>
      <c r="U11" s="32" t="n">
        <v>11.84</v>
      </c>
      <c r="V11" s="32" t="n">
        <v>10.67</v>
      </c>
      <c r="W11" s="32" t="n">
        <v>15.36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IF(B12=0,"",RANK(B12,$B$2:$B$46,0))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RANEHOLDIN</t>
        </is>
      </c>
      <c r="D12" s="31" t="inlineStr">
        <is>
          <t>Rane Holdings Limited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smallcap</t>
        </is>
      </c>
      <c r="H12" s="32" t="n">
        <v>2514.18</v>
      </c>
      <c r="I12" s="32" t="n">
        <v>1732.3</v>
      </c>
      <c r="J12" s="32" t="n">
        <v>-1.62</v>
      </c>
      <c r="K12" s="32" t="n">
        <v>10128</v>
      </c>
      <c r="L12" s="31" t="n">
        <v>70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67.70999999999999</v>
      </c>
      <c r="P12" s="32" t="n">
        <v>36.16</v>
      </c>
      <c r="Q12" s="32" t="n">
        <v>1384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1.06</v>
      </c>
      <c r="U12" s="32" t="n">
        <v>13.27</v>
      </c>
      <c r="V12" s="32" t="n">
        <v>12.09</v>
      </c>
      <c r="W12" s="32" t="n">
        <v>16.9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IF(B13=0,"",RANK(B13,$B$2:$B$46,0))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JSFB</t>
        </is>
      </c>
      <c r="D13" s="31" t="inlineStr">
        <is>
          <t>Jana Small Finance Bank Ltd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midcap</t>
        </is>
      </c>
      <c r="H13" s="32" t="n">
        <v>5915.95</v>
      </c>
      <c r="I13" s="32" t="n">
        <v>552.25</v>
      </c>
      <c r="J13" s="32" t="n">
        <v>-1.66</v>
      </c>
      <c r="K13" s="32" t="n">
        <v>760115</v>
      </c>
      <c r="L13" s="31" t="n">
        <v>44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69.13</v>
      </c>
      <c r="P13" s="32" t="n">
        <v>33.25</v>
      </c>
      <c r="Q13" s="32" t="n">
        <v>426.49</v>
      </c>
      <c r="R13" s="31" t="inlineStr">
        <is>
          <t>Volume Spike &amp; Near 52W High Breakout</t>
        </is>
      </c>
      <c r="S13" s="31" t="inlineStr">
        <is>
          <t>Nifty Bank</t>
        </is>
      </c>
      <c r="T13" s="32" t="n">
        <v>1.06</v>
      </c>
      <c r="U13" s="32" t="n">
        <v>22.33</v>
      </c>
      <c r="V13" s="32" t="n">
        <v>21.05</v>
      </c>
      <c r="W13" s="32" t="n">
        <v>9.199999999999999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IF(B14=0,"",RANK(B14,$B$2:$B$46,0))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FEDERALBNK</t>
        </is>
      </c>
      <c r="D14" s="31" t="inlineStr">
        <is>
          <t>The Federal Bank  Limited</t>
        </is>
      </c>
      <c r="E14" s="31" t="inlineStr">
        <is>
          <t>bank</t>
        </is>
      </c>
      <c r="F14" s="31" t="inlineStr">
        <is>
          <t>banks - private sector</t>
        </is>
      </c>
      <c r="G14" s="31" t="inlineStr">
        <is>
          <t>largecap</t>
        </is>
      </c>
      <c r="H14" s="32" t="n">
        <v>87740.77</v>
      </c>
      <c r="I14" s="32" t="n">
        <v>353.25</v>
      </c>
      <c r="J14" s="32" t="n">
        <v>-0.79</v>
      </c>
      <c r="K14" s="32" t="n">
        <v>4288337</v>
      </c>
      <c r="L14" s="31" t="n">
        <v>66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77.64</v>
      </c>
      <c r="P14" s="32" t="n">
        <v>29.48</v>
      </c>
      <c r="Q14" s="32" t="n">
        <v>306.9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1.06</v>
      </c>
      <c r="U14" s="32" t="n">
        <v>70.73999999999999</v>
      </c>
      <c r="V14" s="32" t="n">
        <v>68.95999999999999</v>
      </c>
      <c r="W14" s="32" t="n">
        <v>15.74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Above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IF(B15=0,"",RANK(B15,$B$2:$B$46,0))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ABCAPITAL</t>
        </is>
      </c>
      <c r="D15" s="31" t="inlineStr">
        <is>
          <t>Aditya Birla Capital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largecap</t>
        </is>
      </c>
      <c r="H15" s="32" t="n">
        <v>111842.71</v>
      </c>
      <c r="I15" s="32" t="n">
        <v>400.6</v>
      </c>
      <c r="J15" s="32" t="n">
        <v>-2.07</v>
      </c>
      <c r="K15" s="32" t="n">
        <v>4736094</v>
      </c>
      <c r="L15" s="31" t="n">
        <v>59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68.37</v>
      </c>
      <c r="P15" s="32" t="n">
        <v>24.92</v>
      </c>
      <c r="Q15" s="32" t="n">
        <v>341.38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1.06</v>
      </c>
      <c r="U15" s="32" t="n">
        <v>53.87</v>
      </c>
      <c r="V15" s="32" t="n">
        <v>52.26</v>
      </c>
      <c r="W15" s="32" t="n">
        <v>12.87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IF(B16=0,"",RANK(B16,$B$2:$B$46,0))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CGCL</t>
        </is>
      </c>
      <c r="D16" s="31" t="inlineStr">
        <is>
          <t>Capri Global Capital Limited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largecap</t>
        </is>
      </c>
      <c r="H16" s="32" t="n">
        <v>24019.21</v>
      </c>
      <c r="I16" s="32" t="n">
        <v>244</v>
      </c>
      <c r="J16" s="32" t="n">
        <v>-2.26</v>
      </c>
      <c r="K16" s="32" t="n">
        <v>2253336</v>
      </c>
      <c r="L16" s="31" t="n">
        <v>61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69.68000000000001</v>
      </c>
      <c r="P16" s="32" t="n">
        <v>35.15</v>
      </c>
      <c r="Q16" s="32" t="n">
        <v>211.78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1.06</v>
      </c>
      <c r="U16" s="32" t="n">
        <v>33.45</v>
      </c>
      <c r="V16" s="32" t="n">
        <v>32.05</v>
      </c>
      <c r="W16" s="32" t="n">
        <v>13.9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IF(B17=0,"",RANK(B17,$B$2:$B$46,0))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M&amp;MFIN</t>
        </is>
      </c>
      <c r="D17" s="31" t="inlineStr">
        <is>
          <t>Mahindra &amp; Mahindra Financial Services Limited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48628.14</v>
      </c>
      <c r="I17" s="32" t="n">
        <v>378.15</v>
      </c>
      <c r="J17" s="32" t="n">
        <v>8.09</v>
      </c>
      <c r="K17" s="32" t="n">
        <v>54586010</v>
      </c>
      <c r="L17" s="31" t="n">
        <v>69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64.89</v>
      </c>
      <c r="P17" s="32" t="n">
        <v>16.79</v>
      </c>
      <c r="Q17" s="32" t="n">
        <v>292.52</v>
      </c>
      <c r="R17" s="31" t="inlineStr">
        <is>
          <t>Volume Spike &amp; Near 52W High Breakout</t>
        </is>
      </c>
      <c r="S17" s="31" t="inlineStr">
        <is>
          <t>Nifty Bank</t>
        </is>
      </c>
      <c r="T17" s="32" t="n">
        <v>1.06</v>
      </c>
      <c r="U17" s="32" t="n">
        <v>52.59</v>
      </c>
      <c r="V17" s="32" t="n">
        <v>50.99</v>
      </c>
      <c r="W17" s="32" t="n">
        <v>16.59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IF(B18=0,"",RANK(B18,$B$2:$B$46,0))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SOUTHBANK</t>
        </is>
      </c>
      <c r="D18" s="31" t="inlineStr">
        <is>
          <t>The South Indian Bank Limited</t>
        </is>
      </c>
      <c r="E18" s="31" t="inlineStr">
        <is>
          <t>bank</t>
        </is>
      </c>
      <c r="F18" s="31" t="inlineStr">
        <is>
          <t>banks - private sector</t>
        </is>
      </c>
      <c r="G18" s="31" t="inlineStr">
        <is>
          <t>midcap</t>
        </is>
      </c>
      <c r="H18" s="32" t="n">
        <v>12378.22</v>
      </c>
      <c r="I18" s="32" t="n">
        <v>48</v>
      </c>
      <c r="J18" s="32" t="n">
        <v>1.52</v>
      </c>
      <c r="K18" s="32" t="n">
        <v>24456012</v>
      </c>
      <c r="L18" s="31" t="n">
        <v>69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64.33</v>
      </c>
      <c r="P18" s="32" t="n">
        <v>22.89</v>
      </c>
      <c r="Q18" s="32" t="n">
        <v>37.85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1.06</v>
      </c>
      <c r="U18" s="32" t="n">
        <v>63.65</v>
      </c>
      <c r="V18" s="32" t="n">
        <v>61.93</v>
      </c>
      <c r="W18" s="32" t="n">
        <v>16.47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less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IF(B19=0,"",RANK(B19,$B$2:$B$46,0))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KARURVYSYA</t>
        </is>
      </c>
      <c r="D19" s="31" t="inlineStr">
        <is>
          <t>Karur Vysya Bank Limited</t>
        </is>
      </c>
      <c r="E19" s="31" t="inlineStr">
        <is>
          <t>bank</t>
        </is>
      </c>
      <c r="F19" s="31" t="inlineStr">
        <is>
          <t>banks - private sector</t>
        </is>
      </c>
      <c r="G19" s="31" t="inlineStr">
        <is>
          <t>largecap</t>
        </is>
      </c>
      <c r="H19" s="32" t="n">
        <v>32894.97</v>
      </c>
      <c r="I19" s="32" t="n">
        <v>339.15</v>
      </c>
      <c r="J19" s="32" t="n">
        <v>-0.34</v>
      </c>
      <c r="K19" s="32" t="n">
        <v>16009675</v>
      </c>
      <c r="L19" s="31" t="n">
        <v>58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69.05</v>
      </c>
      <c r="P19" s="32" t="n">
        <v>15.29</v>
      </c>
      <c r="Q19" s="32" t="n">
        <v>275.94</v>
      </c>
      <c r="R19" s="31" t="inlineStr">
        <is>
          <t>Volume Spike &amp; Near 52W High Breakout</t>
        </is>
      </c>
      <c r="S19" s="31" t="inlineStr">
        <is>
          <t>Nifty Bank</t>
        </is>
      </c>
      <c r="T19" s="32" t="n">
        <v>1.06</v>
      </c>
      <c r="U19" s="32" t="n">
        <v>57.74</v>
      </c>
      <c r="V19" s="32" t="n">
        <v>56.09</v>
      </c>
      <c r="W19" s="32" t="n">
        <v>12.63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0 to 20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IF(B20=0,"",RANK(B20,$B$2:$B$46,0))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MANAPPURAM</t>
        </is>
      </c>
      <c r="D20" s="31" t="inlineStr">
        <is>
          <t>Manappuram Finance Limited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largecap</t>
        </is>
      </c>
      <c r="H20" s="32" t="n">
        <v>33041.15</v>
      </c>
      <c r="I20" s="32" t="n">
        <v>350.2</v>
      </c>
      <c r="J20" s="32" t="n">
        <v>-0.44</v>
      </c>
      <c r="K20" s="32" t="n">
        <v>4714741</v>
      </c>
      <c r="L20" s="31" t="n">
        <v>50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64.91</v>
      </c>
      <c r="P20" s="32" t="n">
        <v>14.71</v>
      </c>
      <c r="Q20" s="32" t="n">
        <v>281.66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1.06</v>
      </c>
      <c r="U20" s="32" t="n">
        <v>32.76</v>
      </c>
      <c r="V20" s="32" t="n">
        <v>31.37</v>
      </c>
      <c r="W20" s="32" t="n">
        <v>10.36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0 to 20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IF(B21=0,"",RANK(B21,$B$2:$B$46,0))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ANANDRATHI</t>
        </is>
      </c>
      <c r="D21" s="31" t="inlineStr">
        <is>
          <t>Anand Rathi Wealth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largecap</t>
        </is>
      </c>
      <c r="H21" s="32" t="n">
        <v>34722.55</v>
      </c>
      <c r="I21" s="32" t="n">
        <v>2079.7</v>
      </c>
      <c r="J21" s="32" t="n">
        <v>-0.55</v>
      </c>
      <c r="K21" s="32" t="n">
        <v>214463</v>
      </c>
      <c r="L21" s="31" t="n">
        <v>60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73.02</v>
      </c>
      <c r="P21" s="32" t="n">
        <v>49.99</v>
      </c>
      <c r="Q21" s="32" t="n">
        <v>1843.23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1.06</v>
      </c>
      <c r="U21" s="32" t="n">
        <v>60.84</v>
      </c>
      <c r="V21" s="32" t="n">
        <v>59.15</v>
      </c>
      <c r="W21" s="32" t="n">
        <v>13.79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Above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IF(B22=0,"",RANK(B22,$B$2:$B$46,0))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FUSION</t>
        </is>
      </c>
      <c r="D22" s="31" t="inlineStr">
        <is>
          <t>Fusion Micro Finance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smallcap</t>
        </is>
      </c>
      <c r="H22" s="32" t="n">
        <v>3691.75</v>
      </c>
      <c r="I22" s="32" t="n">
        <v>219.81</v>
      </c>
      <c r="J22" s="32" t="n">
        <v>-3.49</v>
      </c>
      <c r="K22" s="32" t="n">
        <v>523633</v>
      </c>
      <c r="L22" s="31" t="n">
        <v>51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61.07</v>
      </c>
      <c r="P22" s="32" t="n">
        <v>29.01</v>
      </c>
      <c r="Q22" s="32" t="n">
        <v>172.21</v>
      </c>
      <c r="R22" s="31" t="inlineStr">
        <is>
          <t>Earnings / Momentum Support</t>
        </is>
      </c>
      <c r="S22" s="31" t="inlineStr">
        <is>
          <t>Nifty Bank</t>
        </is>
      </c>
      <c r="T22" s="32" t="n">
        <v>1.06</v>
      </c>
      <c r="U22" s="32" t="n">
        <v>29.24</v>
      </c>
      <c r="V22" s="32" t="n">
        <v>27.89</v>
      </c>
      <c r="W22" s="32" t="n">
        <v>10.56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IF(B23=0,"",RANK(B23,$B$2:$B$46,0))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SHAREINDIA</t>
        </is>
      </c>
      <c r="D23" s="31" t="inlineStr">
        <is>
          <t>Share India Securities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smallcap</t>
        </is>
      </c>
      <c r="H23" s="32" t="n">
        <v>4067.53</v>
      </c>
      <c r="I23" s="32" t="n">
        <v>190.73</v>
      </c>
      <c r="J23" s="32" t="n">
        <v>2.61</v>
      </c>
      <c r="K23" s="32" t="n">
        <v>3799960</v>
      </c>
      <c r="L23" s="31" t="n">
        <v>52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69.55</v>
      </c>
      <c r="P23" s="32" t="n">
        <v>15.55</v>
      </c>
      <c r="Q23" s="32" t="n">
        <v>142.97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1.06</v>
      </c>
      <c r="U23" s="32" t="n">
        <v>11.71</v>
      </c>
      <c r="V23" s="32" t="n">
        <v>10.54</v>
      </c>
      <c r="W23" s="32" t="n">
        <v>10.72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IF(B24=0,"",RANK(B24,$B$2:$B$46,0))</f>
        <v/>
      </c>
      <c r="B24" s="32">
        <f>SUM(N24,Y24,AA24,AC24,AE24,AG24,AI24,AK24,AM24,AO24,AQ24,AS24,AU24,AW24,AY24,BA24,BC24,BE24,BG24,BI24,BK24,BM24,BO24,BQ24,BS24,BU24,BW24,BY24,CA24)</f>
        <v/>
      </c>
      <c r="C24" s="33" t="inlineStr">
        <is>
          <t>GEECEE</t>
        </is>
      </c>
      <c r="D24" s="33" t="inlineStr">
        <is>
          <t>Geecee Ventures Limited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smallcap</t>
        </is>
      </c>
      <c r="H24" s="32" t="n">
        <v>741.53</v>
      </c>
      <c r="I24" s="32" t="n">
        <v>350.85</v>
      </c>
      <c r="J24" s="32" t="n">
        <v>-1.06</v>
      </c>
      <c r="K24" s="32" t="n">
        <v>3825</v>
      </c>
      <c r="L24" s="31" t="n">
        <v>17</v>
      </c>
      <c r="M24" s="31" t="inlineStr">
        <is>
          <t>Underperforming</t>
        </is>
      </c>
      <c r="N24" s="32">
        <f>IF(M24="Underperforming",-5,IF(L24&gt;=95,15,IF(L24&gt;=90,10,IF(L24&gt;=80,5,0))))</f>
        <v/>
      </c>
      <c r="O24" s="32" t="n">
        <v>56.77</v>
      </c>
      <c r="P24" s="32" t="n">
        <v>25.35</v>
      </c>
      <c r="Q24" s="32" t="n">
        <v>272.07</v>
      </c>
      <c r="R24" s="31" t="inlineStr">
        <is>
          <t>Earnings / Momentum Support</t>
        </is>
      </c>
      <c r="S24" s="31" t="inlineStr">
        <is>
          <t>Nifty Bank</t>
        </is>
      </c>
      <c r="T24" s="32" t="n">
        <v>1.06</v>
      </c>
      <c r="U24" s="32" t="n">
        <v>-6.62</v>
      </c>
      <c r="V24" s="32" t="n">
        <v>-7.6</v>
      </c>
      <c r="W24" s="32" t="n">
        <v>2.82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IF(B25=0,"",RANK(B25,$B$2:$B$46,0))</f>
        <v/>
      </c>
      <c r="B25" s="32">
        <f>SUM(N25,Y25,AA25,AC25,AE25,AG25,AI25,AK25,AM25,AO25,AQ25,AS25,AU25,AW25,AY25,BA25,BC25,BE25,BG25,BI25,BK25,BM25,BO25,BQ25,BS25,BU25,BW25,BY25,CA25)</f>
        <v/>
      </c>
      <c r="C25" s="33" t="inlineStr">
        <is>
          <t>MONARCH</t>
        </is>
      </c>
      <c r="D25" s="33" t="inlineStr">
        <is>
          <t>Monarch Networth Capital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smallcap</t>
        </is>
      </c>
      <c r="H25" s="32" t="n">
        <v>2854.7</v>
      </c>
      <c r="I25" s="32" t="n">
        <v>356</v>
      </c>
      <c r="J25" s="32" t="n">
        <v>-1.1</v>
      </c>
      <c r="K25" s="32" t="n">
        <v>38483</v>
      </c>
      <c r="L25" s="31" t="n">
        <v>22</v>
      </c>
      <c r="M25" s="31" t="inlineStr">
        <is>
          <t>Underperforming</t>
        </is>
      </c>
      <c r="N25" s="32">
        <f>IF(M25="Underperforming",-5,IF(L25&gt;=95,15,IF(L25&gt;=90,10,IF(L25&gt;=80,5,0))))</f>
        <v/>
      </c>
      <c r="O25" s="32" t="n">
        <v>64.09999999999999</v>
      </c>
      <c r="P25" s="32" t="n">
        <v>23.09</v>
      </c>
      <c r="Q25" s="32" t="n">
        <v>292.76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1.06</v>
      </c>
      <c r="U25" s="32" t="n">
        <v>-2.41</v>
      </c>
      <c r="V25" s="32" t="n">
        <v>-3.43</v>
      </c>
      <c r="W25" s="32" t="n">
        <v>4.41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between 2.5x to 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IF(B26=0,"",RANK(B26,$B$2:$B$46,0))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CAPITALSFB</t>
        </is>
      </c>
      <c r="D26" s="31" t="inlineStr">
        <is>
          <t>Capital Small Finance Bank Ltd</t>
        </is>
      </c>
      <c r="E26" s="31" t="inlineStr">
        <is>
          <t>bank</t>
        </is>
      </c>
      <c r="F26" s="31" t="inlineStr">
        <is>
          <t>banks - private sector</t>
        </is>
      </c>
      <c r="G26" s="31" t="inlineStr">
        <is>
          <t>smallcap</t>
        </is>
      </c>
      <c r="H26" s="32" t="n">
        <v>1386.92</v>
      </c>
      <c r="I26" s="32" t="n">
        <v>300</v>
      </c>
      <c r="J26" s="32" t="n">
        <v>-1.66</v>
      </c>
      <c r="K26" s="32" t="n">
        <v>48191</v>
      </c>
      <c r="L26" s="31" t="n">
        <v>22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62.13</v>
      </c>
      <c r="P26" s="32" t="n">
        <v>27.68</v>
      </c>
      <c r="Q26" s="32" t="n">
        <v>249.26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1.06</v>
      </c>
      <c r="U26" s="32" t="n">
        <v>1.37</v>
      </c>
      <c r="V26" s="32" t="n">
        <v>0.31</v>
      </c>
      <c r="W26" s="32" t="n">
        <v>4.35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IF(B27=0,"",RANK(B27,$B$2:$B$46,0))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J&amp;KBANK</t>
        </is>
      </c>
      <c r="D27" s="31" t="inlineStr">
        <is>
          <t>The Jammu &amp; Kashmir Bank Limited</t>
        </is>
      </c>
      <c r="E27" s="31" t="inlineStr">
        <is>
          <t>bank</t>
        </is>
      </c>
      <c r="F27" s="31" t="inlineStr">
        <is>
          <t>banks - private sector</t>
        </is>
      </c>
      <c r="G27" s="31" t="inlineStr">
        <is>
          <t>largecap</t>
        </is>
      </c>
      <c r="H27" s="32" t="n">
        <v>20584.4</v>
      </c>
      <c r="I27" s="32" t="n">
        <v>179.82</v>
      </c>
      <c r="J27" s="32" t="n">
        <v>-3.8</v>
      </c>
      <c r="K27" s="32" t="n">
        <v>5190106</v>
      </c>
      <c r="L27" s="31" t="n">
        <v>79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70.55</v>
      </c>
      <c r="P27" s="32" t="n">
        <v>59.45</v>
      </c>
      <c r="Q27" s="32" t="n">
        <v>153.27</v>
      </c>
      <c r="R27" s="31" t="inlineStr">
        <is>
          <t>Earnings / Momentum Support</t>
        </is>
      </c>
      <c r="S27" s="31" t="inlineStr">
        <is>
          <t>Nifty Bank</t>
        </is>
      </c>
      <c r="T27" s="32" t="n">
        <v>1.06</v>
      </c>
      <c r="U27" s="32" t="n">
        <v>67.81999999999999</v>
      </c>
      <c r="V27" s="32" t="n">
        <v>66.06</v>
      </c>
      <c r="W27" s="32" t="n">
        <v>20.71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Above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IF(B28=0,"",RANK(B28,$B$2:$B$46,0))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CONSOFINVT</t>
        </is>
      </c>
      <c r="D28" s="31" t="inlineStr">
        <is>
          <t>Consolidated Finvest &amp; Holdings Limited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smallcap</t>
        </is>
      </c>
      <c r="H28" s="32" t="n">
        <v>898.58</v>
      </c>
      <c r="I28" s="32" t="n">
        <v>291.95</v>
      </c>
      <c r="J28" s="32" t="n">
        <v>5.03</v>
      </c>
      <c r="K28" s="32" t="n">
        <v>85070</v>
      </c>
      <c r="L28" s="31" t="n">
        <v>66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76.78</v>
      </c>
      <c r="P28" s="32" t="n">
        <v>27.19</v>
      </c>
      <c r="Q28" s="32" t="n">
        <v>227.61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1.06</v>
      </c>
      <c r="U28" s="32" t="n">
        <v>43.12</v>
      </c>
      <c r="V28" s="32" t="n">
        <v>41.62</v>
      </c>
      <c r="W28" s="32" t="n">
        <v>15.52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Above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Blue sky scenario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IF(B29=0,"",RANK(B29,$B$2:$B$46,0))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TVSHLTD</t>
        </is>
      </c>
      <c r="D29" s="31" t="inlineStr">
        <is>
          <t>TVS Holdings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largecap</t>
        </is>
      </c>
      <c r="H29" s="32" t="n">
        <v>28802.42</v>
      </c>
      <c r="I29" s="32" t="n">
        <v>14847</v>
      </c>
      <c r="J29" s="32" t="n">
        <v>4.29</v>
      </c>
      <c r="K29" s="32" t="n">
        <v>93079</v>
      </c>
      <c r="L29" s="31" t="n">
        <v>30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60.23</v>
      </c>
      <c r="P29" s="32" t="n">
        <v>12.8</v>
      </c>
      <c r="Q29" s="32" t="n">
        <v>12095.31</v>
      </c>
      <c r="R29" s="31" t="inlineStr">
        <is>
          <t>Volume Spike &amp; Near 52W High Breakout</t>
        </is>
      </c>
      <c r="S29" s="31" t="inlineStr">
        <is>
          <t>Nifty Bank</t>
        </is>
      </c>
      <c r="T29" s="32" t="n">
        <v>1.06</v>
      </c>
      <c r="U29" s="32" t="n">
        <v>24.79</v>
      </c>
      <c r="V29" s="32" t="n">
        <v>23.48</v>
      </c>
      <c r="W29" s="32" t="n">
        <v>6.09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between 2.5x to 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Blue sky scenario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IF(B30=0,"",RANK(B30,$B$2:$B$46,0))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SHRIRAMFIN</t>
        </is>
      </c>
      <c r="D30" s="31" t="inlineStr">
        <is>
          <t>Shriram Finance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largecap</t>
        </is>
      </c>
      <c r="H30" s="32" t="n">
        <v>249737.66</v>
      </c>
      <c r="I30" s="32" t="n">
        <v>1058.8</v>
      </c>
      <c r="J30" s="32" t="n">
        <v>-0.25</v>
      </c>
      <c r="K30" s="32" t="n">
        <v>3460386</v>
      </c>
      <c r="L30" s="31" t="n">
        <v>60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60.89</v>
      </c>
      <c r="P30" s="32" t="n">
        <v>11.75</v>
      </c>
      <c r="Q30" s="32" t="n">
        <v>860.6900000000001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1.06</v>
      </c>
      <c r="U30" s="32" t="n">
        <v>73.95</v>
      </c>
      <c r="V30" s="32" t="n">
        <v>72.13</v>
      </c>
      <c r="W30" s="32" t="n">
        <v>13.73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between 2.5x to 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Blue sky scenario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IF(B31=0,"",RANK(B31,$B$2:$B$46,0))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NUVAMA</t>
        </is>
      </c>
      <c r="D31" s="31" t="inlineStr">
        <is>
          <t>Nuvama Wealth Management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largecap</t>
        </is>
      </c>
      <c r="H31" s="32" t="n">
        <v>34527.15</v>
      </c>
      <c r="I31" s="32" t="n">
        <v>1882.4</v>
      </c>
      <c r="J31" s="32" t="n">
        <v>-0.49</v>
      </c>
      <c r="K31" s="32" t="n">
        <v>96364</v>
      </c>
      <c r="L31" s="31" t="n">
        <v>64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66.81</v>
      </c>
      <c r="P31" s="32" t="n">
        <v>37.78</v>
      </c>
      <c r="Q31" s="32" t="n">
        <v>1590.29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1.06</v>
      </c>
      <c r="U31" s="32" t="n">
        <v>30.56</v>
      </c>
      <c r="V31" s="32" t="n">
        <v>29.2</v>
      </c>
      <c r="W31" s="32" t="n">
        <v>14.96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above 5x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20 to 40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Blue sky scenario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IF(B32=0,"",RANK(B32,$B$2:$B$46,0))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CHOICEIN</t>
        </is>
      </c>
      <c r="D32" s="31" t="inlineStr">
        <is>
          <t>Choice International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midcap</t>
        </is>
      </c>
      <c r="H32" s="32" t="n">
        <v>18198.61</v>
      </c>
      <c r="I32" s="32" t="n">
        <v>809.2</v>
      </c>
      <c r="J32" s="32" t="n">
        <v>-0.9399999999999999</v>
      </c>
      <c r="K32" s="32" t="n">
        <v>265602</v>
      </c>
      <c r="L32" s="31" t="n">
        <v>24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60.94</v>
      </c>
      <c r="P32" s="32" t="n">
        <v>20.83</v>
      </c>
      <c r="Q32" s="32" t="n">
        <v>687.05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1.06</v>
      </c>
      <c r="U32" s="32" t="n">
        <v>7.59</v>
      </c>
      <c r="V32" s="32" t="n">
        <v>6.47</v>
      </c>
      <c r="W32" s="32" t="n">
        <v>4.92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above 5x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20 to 40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Blue sky scenario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IF(B33=0,"",RANK(B33,$B$2:$B$46,0))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MUTHOOTMF</t>
        </is>
      </c>
      <c r="D33" s="31" t="inlineStr">
        <is>
          <t>Muthoot Microfin Ltd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smallcap</t>
        </is>
      </c>
      <c r="H33" s="32" t="n">
        <v>4335.62</v>
      </c>
      <c r="I33" s="32" t="n">
        <v>250.51</v>
      </c>
      <c r="J33" s="32" t="n">
        <v>-1.49</v>
      </c>
      <c r="K33" s="32" t="n">
        <v>548460</v>
      </c>
      <c r="L33" s="31" t="n">
        <v>68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76.31</v>
      </c>
      <c r="P33" s="32" t="n">
        <v>39.47</v>
      </c>
      <c r="Q33" s="32" t="n">
        <v>192.56</v>
      </c>
      <c r="R33" s="31" t="inlineStr">
        <is>
          <t>Near 52W High Breakout</t>
        </is>
      </c>
      <c r="S33" s="31" t="inlineStr">
        <is>
          <t>Nifty Bank</t>
        </is>
      </c>
      <c r="T33" s="32" t="n">
        <v>1.06</v>
      </c>
      <c r="U33" s="32" t="n">
        <v>49.41</v>
      </c>
      <c r="V33" s="32" t="n">
        <v>47.85</v>
      </c>
      <c r="W33" s="32" t="n">
        <v>16.23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less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Above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Blue sky scenario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IF(B34=0,"",RANK(B34,$B$2:$B$46,0))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SMCGLOBAL</t>
        </is>
      </c>
      <c r="D34" s="31" t="inlineStr">
        <is>
          <t>SMC Global Securities Ltd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smallcap</t>
        </is>
      </c>
      <c r="H34" s="32" t="n">
        <v>1655.94</v>
      </c>
      <c r="I34" s="32" t="n">
        <v>80.29000000000001</v>
      </c>
      <c r="J34" s="32" t="n">
        <v>1.53</v>
      </c>
      <c r="K34" s="32" t="n">
        <v>475289</v>
      </c>
      <c r="L34" s="31" t="n">
        <v>34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60.5</v>
      </c>
      <c r="P34" s="32" t="n">
        <v>16.17</v>
      </c>
      <c r="Q34" s="32" t="n">
        <v>61.65</v>
      </c>
      <c r="R34" s="31" t="inlineStr">
        <is>
          <t>Earnings / Momentum Support</t>
        </is>
      </c>
      <c r="S34" s="31" t="inlineStr">
        <is>
          <t>Nifty Bank</t>
        </is>
      </c>
      <c r="T34" s="32" t="n">
        <v>1.06</v>
      </c>
      <c r="U34" s="32" t="n">
        <v>10.29</v>
      </c>
      <c r="V34" s="32" t="n">
        <v>9.130000000000001</v>
      </c>
      <c r="W34" s="32" t="n">
        <v>6.93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more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IF(B35=0,"",RANK(B35,$B$2:$B$46,0))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IIFL</t>
        </is>
      </c>
      <c r="D35" s="31" t="inlineStr">
        <is>
          <t>IIFL Finance Ltd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largecap</t>
        </is>
      </c>
      <c r="H35" s="32" t="n">
        <v>24320.08</v>
      </c>
      <c r="I35" s="32" t="n">
        <v>570.35</v>
      </c>
      <c r="J35" s="32" t="n">
        <v>-0.25</v>
      </c>
      <c r="K35" s="32" t="n">
        <v>3378558</v>
      </c>
      <c r="L35" s="31" t="n">
        <v>52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63.36</v>
      </c>
      <c r="P35" s="32" t="n">
        <v>17.99</v>
      </c>
      <c r="Q35" s="32" t="n">
        <v>444.13</v>
      </c>
      <c r="R35" s="31" t="inlineStr">
        <is>
          <t>Earnings / Momentum Support</t>
        </is>
      </c>
      <c r="S35" s="31" t="inlineStr">
        <is>
          <t>Nifty Bank</t>
        </is>
      </c>
      <c r="T35" s="32" t="n">
        <v>1.06</v>
      </c>
      <c r="U35" s="32" t="n">
        <v>11.17</v>
      </c>
      <c r="V35" s="32" t="n">
        <v>10</v>
      </c>
      <c r="W35" s="32" t="n">
        <v>10.85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more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IF(B36=0,"",RANK(B36,$B$2:$B$46,0))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KICL</t>
        </is>
      </c>
      <c r="D36" s="31" t="inlineStr">
        <is>
          <t>Kalyani Investment Company Limited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smallcap</t>
        </is>
      </c>
      <c r="H36" s="32" t="n">
        <v>2430.17</v>
      </c>
      <c r="I36" s="32" t="n">
        <v>5490</v>
      </c>
      <c r="J36" s="32" t="n">
        <v>-1.38</v>
      </c>
      <c r="K36" s="32" t="n">
        <v>888</v>
      </c>
      <c r="L36" s="31" t="n">
        <v>31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62.22</v>
      </c>
      <c r="P36" s="32" t="n">
        <v>28.78</v>
      </c>
      <c r="Q36" s="32" t="n">
        <v>4555.92</v>
      </c>
      <c r="R36" s="31" t="inlineStr">
        <is>
          <t>Earnings / Momentum Support</t>
        </is>
      </c>
      <c r="S36" s="31" t="inlineStr">
        <is>
          <t>Nifty Bank</t>
        </is>
      </c>
      <c r="T36" s="32" t="n">
        <v>1.06</v>
      </c>
      <c r="U36" s="32" t="n">
        <v>10.58</v>
      </c>
      <c r="V36" s="32" t="n">
        <v>9.43</v>
      </c>
      <c r="W36" s="32" t="n">
        <v>6.23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less than 2.5x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20 to 40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IF(B37=0,"",RANK(B37,$B$2:$B$46,0))</f>
        <v/>
      </c>
      <c r="B37" s="32">
        <f>SUM(N37,Y37,AA37,AC37,AE37,AG37,AI37,AK37,AM37,AO37,AQ37,AS37,AU37,AW37,AY37,BA37,BC37,BE37,BG37,BI37,BK37,BM37,BO37,BQ37,BS37,BU37,BW37,BY37,CA37)</f>
        <v/>
      </c>
      <c r="C37" s="33" t="inlineStr">
        <is>
          <t>APTUS</t>
        </is>
      </c>
      <c r="D37" s="33" t="inlineStr">
        <is>
          <t>Aptus Value Housing Finance India Ltd</t>
        </is>
      </c>
      <c r="E37" s="31" t="inlineStr">
        <is>
          <t>financials</t>
        </is>
      </c>
      <c r="F37" s="31" t="inlineStr">
        <is>
          <t>finance - housing</t>
        </is>
      </c>
      <c r="G37" s="31" t="inlineStr">
        <is>
          <t>midcap</t>
        </is>
      </c>
      <c r="H37" s="32" t="n">
        <v>15076.37</v>
      </c>
      <c r="I37" s="32" t="n">
        <v>294.65</v>
      </c>
      <c r="J37" s="32" t="n">
        <v>-2.13</v>
      </c>
      <c r="K37" s="32" t="n">
        <v>527810</v>
      </c>
      <c r="L37" s="31" t="n">
        <v>8</v>
      </c>
      <c r="M37" s="31" t="inlineStr">
        <is>
          <t>Underperforming</t>
        </is>
      </c>
      <c r="N37" s="32">
        <f>IF(M37="Underperforming",-5,IF(L37&gt;=95,15,IF(L37&gt;=90,10,IF(L37&gt;=80,5,0))))</f>
        <v/>
      </c>
      <c r="O37" s="32" t="n">
        <v>59.69</v>
      </c>
      <c r="P37" s="32" t="n">
        <v>20.52</v>
      </c>
      <c r="Q37" s="32" t="n">
        <v>245.94</v>
      </c>
      <c r="R37" s="31" t="inlineStr">
        <is>
          <t>Earnings / Momentum Support</t>
        </is>
      </c>
      <c r="S37" s="31" t="inlineStr">
        <is>
          <t>Nifty Bank</t>
        </is>
      </c>
      <c r="T37" s="32" t="n">
        <v>1.06</v>
      </c>
      <c r="U37" s="32" t="n">
        <v>-14.18</v>
      </c>
      <c r="V37" s="32" t="n">
        <v>-15.08</v>
      </c>
      <c r="W37" s="32" t="n">
        <v>0.72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between 2.5x to 5x and Growth more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20 to 40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IF(B38=0,"",RANK(B38,$B$2:$B$46,0))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GEOJITFSL</t>
        </is>
      </c>
      <c r="D38" s="31" t="inlineStr">
        <is>
          <t>Geojit Financial Services Ltd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smallcap</t>
        </is>
      </c>
      <c r="H38" s="32" t="n">
        <v>2288.8</v>
      </c>
      <c r="I38" s="32" t="n">
        <v>81.8</v>
      </c>
      <c r="J38" s="32" t="n">
        <v>-0.24</v>
      </c>
      <c r="K38" s="32" t="n">
        <v>279485</v>
      </c>
      <c r="L38" s="31" t="n">
        <v>42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66.42</v>
      </c>
      <c r="P38" s="32" t="n">
        <v>14.41</v>
      </c>
      <c r="Q38" s="32" t="n">
        <v>65.12</v>
      </c>
      <c r="R38" s="31" t="inlineStr">
        <is>
          <t>Near 52W High Breakout</t>
        </is>
      </c>
      <c r="S38" s="31" t="inlineStr">
        <is>
          <t>Nifty Bank</t>
        </is>
      </c>
      <c r="T38" s="32" t="n">
        <v>1.06</v>
      </c>
      <c r="U38" s="32" t="n">
        <v>11.29</v>
      </c>
      <c r="V38" s="32" t="n">
        <v>10.13</v>
      </c>
      <c r="W38" s="32" t="n">
        <v>8.789999999999999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less than 2.5x and Growth less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IF(B39=0,"",RANK(B39,$B$2:$B$46,0))</f>
        <v/>
      </c>
      <c r="B39" s="32">
        <f>SUM(N39,Y39,AA39,AC39,AE39,AG39,AI39,AK39,AM39,AO39,AQ39,AS39,AU39,AW39,AY39,BA39,BC39,BE39,BG39,BI39,BK39,BM39,BO39,BQ39,BS39,BU39,BW39,BY39,CA39)</f>
        <v/>
      </c>
      <c r="C39" s="33" t="inlineStr">
        <is>
          <t>INDOSTAR</t>
        </is>
      </c>
      <c r="D39" s="33" t="inlineStr">
        <is>
          <t>Indostar Capital Finance Ltd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smallcap</t>
        </is>
      </c>
      <c r="H39" s="32" t="n">
        <v>4372.49</v>
      </c>
      <c r="I39" s="32" t="n">
        <v>267</v>
      </c>
      <c r="J39" s="32" t="n">
        <v>-1.33</v>
      </c>
      <c r="K39" s="32" t="n">
        <v>76355</v>
      </c>
      <c r="L39" s="31" t="n">
        <v>34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59.81</v>
      </c>
      <c r="P39" s="32" t="n">
        <v>20.06</v>
      </c>
      <c r="Q39" s="32" t="n">
        <v>198.82</v>
      </c>
      <c r="R39" s="31" t="inlineStr">
        <is>
          <t>Earnings / Momentum Support</t>
        </is>
      </c>
      <c r="S39" s="31" t="inlineStr">
        <is>
          <t>Nifty Bank</t>
        </is>
      </c>
      <c r="T39" s="32" t="n">
        <v>1.06</v>
      </c>
      <c r="U39" s="32" t="n">
        <v>-9.34</v>
      </c>
      <c r="V39" s="32" t="n">
        <v>-10.29</v>
      </c>
      <c r="W39" s="32" t="n">
        <v>6.85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less than 2.5x and Growth less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20 to 40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IF(B40=0,"",RANK(B40,$B$2:$B$46,0))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POONAWALLA</t>
        </is>
      </c>
      <c r="D40" s="31" t="inlineStr">
        <is>
          <t>Poonawalla Fincorp Ltd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largecap</t>
        </is>
      </c>
      <c r="H40" s="32" t="n">
        <v>40784.7</v>
      </c>
      <c r="I40" s="32" t="n">
        <v>473</v>
      </c>
      <c r="J40" s="32" t="n">
        <v>2.12</v>
      </c>
      <c r="K40" s="32" t="n">
        <v>1437205</v>
      </c>
      <c r="L40" s="31" t="n">
        <v>30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59.34</v>
      </c>
      <c r="P40" s="32" t="n">
        <v>12.35</v>
      </c>
      <c r="Q40" s="32" t="n">
        <v>378.06</v>
      </c>
      <c r="R40" s="31" t="inlineStr">
        <is>
          <t>Earnings / Momentum Support</t>
        </is>
      </c>
      <c r="S40" s="31" t="inlineStr">
        <is>
          <t>Nifty Bank</t>
        </is>
      </c>
      <c r="T40" s="32" t="n">
        <v>1.06</v>
      </c>
      <c r="U40" s="32" t="n">
        <v>14.44</v>
      </c>
      <c r="V40" s="32" t="n">
        <v>13.25</v>
      </c>
      <c r="W40" s="32" t="n">
        <v>6.08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between 2.5x to 5x and Growth more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IF(B41=0,"",RANK(B41,$B$2:$B$46,0))</f>
        <v/>
      </c>
      <c r="B41" s="32">
        <f>SUM(N41,Y41,AA41,AC41,AE41,AG41,AI41,AK41,AM41,AO41,AQ41,AS41,AU41,AW41,AY41,BA41,BC41,BE41,BG41,BI41,BK41,BM41,BO41,BQ41,BS41,BU41,BW41,BY41,CA41)</f>
        <v/>
      </c>
      <c r="C41" s="31" t="inlineStr">
        <is>
          <t>BAJFINANCE</t>
        </is>
      </c>
      <c r="D41" s="31" t="inlineStr">
        <is>
          <t>Bajaj Finance Limited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largecap</t>
        </is>
      </c>
      <c r="H41" s="32" t="n">
        <v>665679.03</v>
      </c>
      <c r="I41" s="32" t="n">
        <v>1060.3</v>
      </c>
      <c r="J41" s="32" t="n">
        <v>-0.83</v>
      </c>
      <c r="K41" s="32" t="n">
        <v>6757716</v>
      </c>
      <c r="L41" s="31" t="n">
        <v>34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64.48</v>
      </c>
      <c r="P41" s="32" t="n">
        <v>12.19</v>
      </c>
      <c r="Q41" s="32" t="n">
        <v>888.09</v>
      </c>
      <c r="R41" s="31" t="inlineStr">
        <is>
          <t>Near 52W High Breakout</t>
        </is>
      </c>
      <c r="S41" s="31" t="inlineStr">
        <is>
          <t>Nifty Bank</t>
        </is>
      </c>
      <c r="T41" s="32" t="n">
        <v>1.06</v>
      </c>
      <c r="U41" s="32" t="n">
        <v>16.75</v>
      </c>
      <c r="V41" s="32" t="n">
        <v>15.53</v>
      </c>
      <c r="W41" s="32" t="n">
        <v>7.05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above 5x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Blue sky scenario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IF(B42=0,"",RANK(B42,$B$2:$B$46,0))</f>
        <v/>
      </c>
      <c r="B42" s="32">
        <f>SUM(N42,Y42,AA42,AC42,AE42,AG42,AI42,AK42,AM42,AO42,AQ42,AS42,AU42,AW42,AY42,BA42,BC42,BE42,BG42,BI42,BK42,BM42,BO42,BQ42,BS42,BU42,BW42,BY42,CA42)</f>
        <v/>
      </c>
      <c r="C42" s="33" t="inlineStr">
        <is>
          <t>ICICIBANK</t>
        </is>
      </c>
      <c r="D42" s="33" t="inlineStr">
        <is>
          <t>Icici Bank Limited</t>
        </is>
      </c>
      <c r="E42" s="31" t="inlineStr">
        <is>
          <t>bank</t>
        </is>
      </c>
      <c r="F42" s="31" t="inlineStr">
        <is>
          <t>banks - private sector</t>
        </is>
      </c>
      <c r="G42" s="31" t="inlineStr">
        <is>
          <t>largecap</t>
        </is>
      </c>
      <c r="H42" s="32" t="n">
        <v>1049571.72</v>
      </c>
      <c r="I42" s="32" t="n">
        <v>1440.7</v>
      </c>
      <c r="J42" s="32" t="n">
        <v>-1.53</v>
      </c>
      <c r="K42" s="32" t="n">
        <v>8345203</v>
      </c>
      <c r="L42" s="31" t="n">
        <v>10</v>
      </c>
      <c r="M42" s="31" t="inlineStr">
        <is>
          <t>Underperforming</t>
        </is>
      </c>
      <c r="N42" s="32">
        <f>IF(M42="Underperforming",-5,IF(L42&gt;=95,15,IF(L42&gt;=90,10,IF(L42&gt;=80,5,0))))</f>
        <v/>
      </c>
      <c r="O42" s="32" t="n">
        <v>63.51</v>
      </c>
      <c r="P42" s="32" t="n">
        <v>15.29</v>
      </c>
      <c r="Q42" s="32" t="n">
        <v>1270.06</v>
      </c>
      <c r="R42" s="31" t="inlineStr">
        <is>
          <t>Near 52W High Breakout</t>
        </is>
      </c>
      <c r="S42" s="31" t="inlineStr">
        <is>
          <t>Nifty Bank</t>
        </is>
      </c>
      <c r="T42" s="32" t="n">
        <v>1.06</v>
      </c>
      <c r="U42" s="32" t="n">
        <v>-1.71</v>
      </c>
      <c r="V42" s="32" t="n">
        <v>-2.74</v>
      </c>
      <c r="W42" s="32" t="n">
        <v>1.5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between 2.5x to 5x and Growth less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2</t>
        </is>
      </c>
      <c r="BQ42" s="31">
        <f>IF(BP42="Stage 2",20,IF(BP42="Stage 1",0,IF(BP42="Stage 3",5,IF(BP42="Stage 4",-5,0))))</f>
        <v/>
      </c>
      <c r="BR42" s="31" t="inlineStr">
        <is>
          <t>Positive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Blue sky scenario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IF(B43=0,"",RANK(B43,$B$2:$B$46,0))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ARMANFIN</t>
        </is>
      </c>
      <c r="D43" s="31" t="inlineStr">
        <is>
          <t>Arman Financial Services Limited</t>
        </is>
      </c>
      <c r="E43" s="31" t="inlineStr">
        <is>
          <t>financials</t>
        </is>
      </c>
      <c r="F43" s="31" t="inlineStr">
        <is>
          <t>finance &amp; investments</t>
        </is>
      </c>
      <c r="G43" s="31" t="inlineStr">
        <is>
          <t>smallcap</t>
        </is>
      </c>
      <c r="H43" s="32" t="n">
        <v>2086.92</v>
      </c>
      <c r="I43" s="32" t="n">
        <v>1936.6</v>
      </c>
      <c r="J43" s="32" t="n">
        <v>-2.44</v>
      </c>
      <c r="K43" s="32" t="n">
        <v>19278</v>
      </c>
      <c r="L43" s="31" t="n">
        <v>47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64.11</v>
      </c>
      <c r="P43" s="32" t="n">
        <v>17.49</v>
      </c>
      <c r="Q43" s="32" t="n">
        <v>1486.38</v>
      </c>
      <c r="R43" s="31" t="inlineStr">
        <is>
          <t>Near 52W High Breakout</t>
        </is>
      </c>
      <c r="S43" s="31" t="inlineStr">
        <is>
          <t>Nifty Bank</t>
        </is>
      </c>
      <c r="T43" s="32" t="n">
        <v>1.06</v>
      </c>
      <c r="U43" s="32" t="n">
        <v>16.4</v>
      </c>
      <c r="V43" s="32" t="n">
        <v>15.18</v>
      </c>
      <c r="W43" s="32" t="n">
        <v>9.869999999999999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Cyclical in an Uptick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Not Applicable</t>
        </is>
      </c>
      <c r="AK43" s="31">
        <f>IF(AJ43="Yes",10,0)</f>
        <v/>
      </c>
      <c r="AL43" s="31" t="inlineStr">
        <is>
          <t>Yes</t>
        </is>
      </c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Not Applicable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between 2.5x to 5x and Growth more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20 to 40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2</t>
        </is>
      </c>
      <c r="BQ43" s="31">
        <f>IF(BP43="Stage 2",20,IF(BP43="Stage 1",0,IF(BP43="Stage 3",5,IF(BP43="Stage 4",-5,0))))</f>
        <v/>
      </c>
      <c r="BR43" s="31" t="inlineStr">
        <is>
          <t>Positive Trend</t>
        </is>
      </c>
      <c r="BS43" s="31">
        <f>IF(BR43="Positive Trend",20,IF(BR43="Negative Trend",-10,0))</f>
        <v/>
      </c>
      <c r="BT43" s="31" t="inlineStr">
        <is>
          <t>Sideways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IF(B44=0,"",RANK(B44,$B$2:$B$46,0))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IIFLCAPS</t>
        </is>
      </c>
      <c r="D44" s="31" t="inlineStr">
        <is>
          <t>IIFL Capital Services Ltd</t>
        </is>
      </c>
      <c r="E44" s="31" t="inlineStr">
        <is>
          <t>financials</t>
        </is>
      </c>
      <c r="F44" s="31" t="inlineStr">
        <is>
          <t>finance &amp; investments</t>
        </is>
      </c>
      <c r="G44" s="31" t="inlineStr">
        <is>
          <t>midcap</t>
        </is>
      </c>
      <c r="H44" s="32" t="n">
        <v>10582.55</v>
      </c>
      <c r="I44" s="32" t="n">
        <v>343.1</v>
      </c>
      <c r="J44" s="32" t="n">
        <v>0.97</v>
      </c>
      <c r="K44" s="32" t="n">
        <v>1118334</v>
      </c>
      <c r="L44" s="31" t="n">
        <v>21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56.5</v>
      </c>
      <c r="P44" s="32" t="n">
        <v>16.05</v>
      </c>
      <c r="Q44" s="32" t="n">
        <v>294.45</v>
      </c>
      <c r="R44" s="31" t="inlineStr">
        <is>
          <t>Earnings / Momentum Support</t>
        </is>
      </c>
      <c r="S44" s="31" t="inlineStr">
        <is>
          <t>Nifty Bank</t>
        </is>
      </c>
      <c r="T44" s="32" t="n">
        <v>1.06</v>
      </c>
      <c r="U44" s="32" t="n">
        <v>12.82</v>
      </c>
      <c r="V44" s="32" t="n">
        <v>11.64</v>
      </c>
      <c r="W44" s="32" t="n">
        <v>4.21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No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between 2.5x to 5x and Growth less than 20%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0 to 20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2</t>
        </is>
      </c>
      <c r="BQ44" s="31">
        <f>IF(BP44="Stage 2",20,IF(BP44="Stage 1",0,IF(BP44="Stage 3",5,IF(BP44="Stage 4",-5,0))))</f>
        <v/>
      </c>
      <c r="BR44" s="31" t="inlineStr">
        <is>
          <t>Positive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IF(B45=0,"",RANK(B45,$B$2:$B$46,0))</f>
        <v/>
      </c>
      <c r="B45" s="32">
        <f>SUM(N45,Y45,AA45,AC45,AE45,AG45,AI45,AK45,AM45,AO45,AQ45,AS45,AU45,AW45,AY45,BA45,BC45,BE45,BG45,BI45,BK45,BM45,BO45,BQ45,BS45,BU45,BW45,BY45,CA45)</f>
        <v/>
      </c>
      <c r="C45" s="31" t="inlineStr">
        <is>
          <t>IDFCFIRSTB</t>
        </is>
      </c>
      <c r="D45" s="31" t="inlineStr">
        <is>
          <t>IDFC First Bank Ltd</t>
        </is>
      </c>
      <c r="E45" s="31" t="inlineStr">
        <is>
          <t>bank</t>
        </is>
      </c>
      <c r="F45" s="31" t="inlineStr">
        <is>
          <t>banks - private sector</t>
        </is>
      </c>
      <c r="G45" s="31" t="inlineStr">
        <is>
          <t>largecap</t>
        </is>
      </c>
      <c r="H45" s="32" t="n">
        <v>70347.92999999999</v>
      </c>
      <c r="I45" s="32" t="n">
        <v>80.72</v>
      </c>
      <c r="J45" s="32" t="n">
        <v>-1.15</v>
      </c>
      <c r="K45" s="32" t="n">
        <v>13767564</v>
      </c>
      <c r="L45" s="31" t="n">
        <v>38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61.4</v>
      </c>
      <c r="P45" s="32" t="n">
        <v>18.25</v>
      </c>
      <c r="Q45" s="32" t="n">
        <v>68.64</v>
      </c>
      <c r="R45" s="31" t="inlineStr">
        <is>
          <t>Earnings / Momentum Support</t>
        </is>
      </c>
      <c r="S45" s="31" t="inlineStr">
        <is>
          <t>Nifty Bank</t>
        </is>
      </c>
      <c r="T45" s="32" t="n">
        <v>1.06</v>
      </c>
      <c r="U45" s="32" t="n">
        <v>14.17</v>
      </c>
      <c r="V45" s="32" t="n">
        <v>12.98</v>
      </c>
      <c r="W45" s="32" t="n">
        <v>7.57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No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less than 2.5x and Growth less than 20%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0 to 20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2</t>
        </is>
      </c>
      <c r="BQ45" s="31">
        <f>IF(BP45="Stage 2",20,IF(BP45="Stage 1",0,IF(BP45="Stage 3",5,IF(BP45="Stage 4",-5,0))))</f>
        <v/>
      </c>
      <c r="BR45" s="31" t="inlineStr">
        <is>
          <t>Positive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IF(B46=0,"",RANK(B46,$B$2:$B$46,0))</f>
        <v/>
      </c>
      <c r="B46" s="32">
        <f>SUM(N46,Y46,AA46,AC46,AE46,AG46,AI46,AK46,AM46,AO46,AQ46,AS46,AU46,AW46,AY46,BA46,BC46,BE46,BG46,BI46,BK46,BM46,BO46,BQ46,BS46,BU46,BW46,BY46,CA46)</f>
        <v/>
      </c>
      <c r="C46" s="33" t="inlineStr">
        <is>
          <t>BAJAJFINSV</t>
        </is>
      </c>
      <c r="D46" s="33" t="inlineStr">
        <is>
          <t>Bajaj Finserv Limited</t>
        </is>
      </c>
      <c r="E46" s="31" t="inlineStr">
        <is>
          <t>financials</t>
        </is>
      </c>
      <c r="F46" s="31" t="inlineStr">
        <is>
          <t>finance &amp; investments</t>
        </is>
      </c>
      <c r="G46" s="31" t="inlineStr">
        <is>
          <t>largecap</t>
        </is>
      </c>
      <c r="H46" s="32" t="n">
        <v>304200.53</v>
      </c>
      <c r="I46" s="32" t="n">
        <v>1876.4</v>
      </c>
      <c r="J46" s="32" t="n">
        <v>-1.27</v>
      </c>
      <c r="K46" s="32" t="n">
        <v>1023902</v>
      </c>
      <c r="L46" s="31" t="n">
        <v>7</v>
      </c>
      <c r="M46" s="31" t="inlineStr">
        <is>
          <t>Underperforming</t>
        </is>
      </c>
      <c r="N46" s="32">
        <f>IF(M46="Underperforming",-5,IF(L46&gt;=95,15,IF(L46&gt;=90,10,IF(L46&gt;=80,5,0))))</f>
        <v/>
      </c>
      <c r="O46" s="32" t="n">
        <v>52.63</v>
      </c>
      <c r="P46" s="32" t="n">
        <v>14.6</v>
      </c>
      <c r="Q46" s="32" t="n">
        <v>1632.72</v>
      </c>
      <c r="R46" s="31" t="inlineStr">
        <is>
          <t>Earnings / Momentum Support</t>
        </is>
      </c>
      <c r="S46" s="31" t="inlineStr">
        <is>
          <t>Nifty Bank</t>
        </is>
      </c>
      <c r="T46" s="32" t="n">
        <v>1.06</v>
      </c>
      <c r="U46" s="32" t="n">
        <v>-5.43</v>
      </c>
      <c r="V46" s="32" t="n">
        <v>-6.42</v>
      </c>
      <c r="W46" s="32" t="n">
        <v>0.39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No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between 2.5x to 5x and Growth less than 20%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2</t>
        </is>
      </c>
      <c r="BQ46" s="31">
        <f>IF(BP46="Stage 2",20,IF(BP46="Stage 1",0,IF(BP46="Stage 3",5,IF(BP46="Stage 4",-5,0))))</f>
        <v/>
      </c>
      <c r="BR46" s="31" t="inlineStr">
        <is>
          <t>Positive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</sheetData>
  <autoFilter ref="A1:CA46"/>
  <conditionalFormatting sqref="B2:B4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6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6">
    <cfRule type="cellIs" priority="34" operator="equal" dxfId="3" stopIfTrue="1">
      <formula>"Underperforming"</formula>
    </cfRule>
  </conditionalFormatting>
  <conditionalFormatting sqref="N2:N46">
    <cfRule type="cellIs" priority="35" operator="equal" dxfId="3" stopIfTrue="1">
      <formula>-5</formula>
    </cfRule>
  </conditionalFormatting>
  <conditionalFormatting sqref="Q2:Q46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6" showDropDown="0" showInputMessage="0" showErrorMessage="0" allowBlank="1" type="list">
      <formula1>"Growing Industry,Stagnant Industry,Cyclical in an Upturn"</formula1>
    </dataValidation>
    <dataValidation sqref="Z2:Z46" showDropDown="0" showInputMessage="0" showErrorMessage="0" allowBlank="1" type="list">
      <formula1>"Fragmented with Low ROE,Fragmented with High ROE,Highly Cyclical"</formula1>
    </dataValidation>
    <dataValidation sqref="AB2:AB46" showDropDown="0" showInputMessage="0" showErrorMessage="0" allowBlank="1" type="list">
      <formula1>"Yes,No"</formula1>
    </dataValidation>
    <dataValidation sqref="AD2:AD46" showDropDown="0" showInputMessage="0" showErrorMessage="0" allowBlank="1" type="list">
      <formula1>"Tailwind,Headwind"</formula1>
    </dataValidation>
    <dataValidation sqref="AF2:AF4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6" showDropDown="0" showInputMessage="0" showErrorMessage="0" allowBlank="1" type="list">
      <formula1>"Yes,No"</formula1>
    </dataValidation>
    <dataValidation sqref="AJ2:AJ46" showDropDown="0" showInputMessage="0" showErrorMessage="0" allowBlank="1" type="list">
      <formula1>"Yes,No,Not Applicable"</formula1>
    </dataValidation>
    <dataValidation sqref="AL2:AL46" showDropDown="0" showInputMessage="0" showErrorMessage="0" allowBlank="1" type="list">
      <formula1>"Yes,No"</formula1>
    </dataValidation>
    <dataValidation sqref="AN2:AN46" showDropDown="0" showInputMessage="0" showErrorMessage="0" allowBlank="1" type="list">
      <formula1>"Yes,No"</formula1>
    </dataValidation>
    <dataValidation sqref="AP2:AP46" showDropDown="0" showInputMessage="0" showErrorMessage="0" allowBlank="1" type="list">
      <formula1>"Yes,No"</formula1>
    </dataValidation>
    <dataValidation sqref="AR2:AR46" showDropDown="0" showInputMessage="0" showErrorMessage="0" allowBlank="1" type="list">
      <formula1>"Yes,No"</formula1>
    </dataValidation>
    <dataValidation sqref="AT2:AT46" showDropDown="0" showInputMessage="0" showErrorMessage="0" allowBlank="1" type="list">
      <formula1>"No,Yes"</formula1>
    </dataValidation>
    <dataValidation sqref="AV2:AV46" showDropDown="0" showInputMessage="0" showErrorMessage="0" allowBlank="1" type="list">
      <formula1>"No,Yes"</formula1>
    </dataValidation>
    <dataValidation sqref="AX2:AX46" showDropDown="0" showInputMessage="0" showErrorMessage="0" allowBlank="1" type="list">
      <formula1>"No,Yes CEO Resignation,Yes CEO Retirement"</formula1>
    </dataValidation>
    <dataValidation sqref="AZ2:AZ46" showDropDown="0" showInputMessage="0" showErrorMessage="0" allowBlank="1" type="list">
      <formula1>"No,Yes"</formula1>
    </dataValidation>
    <dataValidation sqref="BB2:BB46" showDropDown="0" showInputMessage="0" showErrorMessage="0" allowBlank="1" type="list">
      <formula1>"No,Yes"</formula1>
    </dataValidation>
    <dataValidation sqref="BD2:BD46" showDropDown="0" showInputMessage="0" showErrorMessage="0" allowBlank="1" type="list">
      <formula1>"Yes,No"</formula1>
    </dataValidation>
    <dataValidation sqref="BF2:BF46" showDropDown="0" showInputMessage="0" showErrorMessage="0" allowBlank="1" type="list">
      <formula1>"Yes,No"</formula1>
    </dataValidation>
    <dataValidation sqref="BH2:BH46" showDropDown="0" showInputMessage="0" showErrorMessage="0" allowBlank="1" type="list">
      <formula1>"Yes,No"</formula1>
    </dataValidation>
    <dataValidation sqref="BJ2:BJ4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6" showDropDown="0" showInputMessage="0" showErrorMessage="0" allowBlank="1" type="list">
      <formula1>"Above 40,20 to 40,0 to 20"</formula1>
    </dataValidation>
    <dataValidation sqref="BN2:BN46" showDropDown="0" showInputMessage="0" showErrorMessage="0" allowBlank="1" type="list">
      <formula1>"Between 50 to 75,Above 75,Below 45"</formula1>
    </dataValidation>
    <dataValidation sqref="BP2:BP46" showDropDown="0" showInputMessage="0" showErrorMessage="0" allowBlank="1" type="list">
      <formula1>"Stage 1,Stage 2,Stage 3,Stage 4"</formula1>
    </dataValidation>
    <dataValidation sqref="BR2:BR46" showDropDown="0" showInputMessage="0" showErrorMessage="0" allowBlank="1" type="list">
      <formula1>"Positive Trend,Negative Trend"</formula1>
    </dataValidation>
    <dataValidation sqref="BT2:BT46" showDropDown="0" showInputMessage="0" showErrorMessage="0" allowBlank="1" type="list">
      <formula1>"Uptrend,Sideways,Downtrend"</formula1>
    </dataValidation>
    <dataValidation sqref="BV2:BV46" showDropDown="0" showInputMessage="0" showErrorMessage="0" allowBlank="1" type="list">
      <formula1>"Uptrend,Sideways,Downtrend"</formula1>
    </dataValidation>
    <dataValidation sqref="BX2:BX4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133.6</v>
      </c>
      <c r="E2" s="32" t="inlineStr">
        <is>
          <t>5%</t>
        </is>
      </c>
      <c r="F2" s="32" t="n">
        <v>50000</v>
      </c>
      <c r="G2" s="32" t="n">
        <v>629</v>
      </c>
      <c r="H2" s="31" t="inlineStr">
        <is>
          <t>PREMIERPOL</t>
        </is>
      </c>
      <c r="I2" s="31" t="inlineStr">
        <is>
          <t>Premier Polyfilm Limited</t>
        </is>
      </c>
      <c r="J2" s="31" t="inlineStr">
        <is>
          <t>plastic products</t>
        </is>
      </c>
      <c r="K2" s="31" t="inlineStr">
        <is>
          <t>plastics products</t>
        </is>
      </c>
      <c r="L2" s="31" t="inlineStr">
        <is>
          <t>smallcap</t>
        </is>
      </c>
      <c r="M2" s="32" t="n">
        <v>754.88</v>
      </c>
      <c r="N2" s="32" t="n">
        <v>79.48</v>
      </c>
      <c r="O2" s="32" t="n">
        <v>10.28</v>
      </c>
      <c r="P2" s="32" t="n">
        <v>1761176</v>
      </c>
      <c r="Q2" s="31" t="n">
        <v>79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71.20999999999999</v>
      </c>
      <c r="U2" s="32" t="n">
        <v>46.31</v>
      </c>
      <c r="V2" s="32" t="n">
        <v>54.55</v>
      </c>
      <c r="W2" s="31" t="inlineStr">
        <is>
          <t>Volume Spike &amp; Near 52W High Breakout</t>
        </is>
      </c>
      <c r="X2" s="31" t="inlineStr">
        <is>
          <t>Nifty 50</t>
        </is>
      </c>
      <c r="Y2" s="32" t="n">
        <v>-3.39</v>
      </c>
      <c r="Z2" s="32" t="n">
        <v>54.91</v>
      </c>
      <c r="AA2" s="32" t="n">
        <v>60.34</v>
      </c>
      <c r="AB2" s="32" t="n">
        <v>20.78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Close to 52 week high or retracement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138.9</v>
      </c>
      <c r="E3" s="32" t="inlineStr">
        <is>
          <t>5%</t>
        </is>
      </c>
      <c r="F3" s="32" t="n">
        <v>50000</v>
      </c>
      <c r="G3" s="32" t="n">
        <v>12</v>
      </c>
      <c r="H3" s="31" t="inlineStr">
        <is>
          <t>RADICO</t>
        </is>
      </c>
      <c r="I3" s="31" t="inlineStr">
        <is>
          <t>Radico Khaitan Limited</t>
        </is>
      </c>
      <c r="J3" s="31" t="inlineStr">
        <is>
          <t>fmcg</t>
        </is>
      </c>
      <c r="K3" s="31" t="inlineStr">
        <is>
          <t>breweries &amp; distilleries</t>
        </is>
      </c>
      <c r="L3" s="31" t="inlineStr">
        <is>
          <t>largecap</t>
        </is>
      </c>
      <c r="M3" s="32" t="n">
        <v>54756.49</v>
      </c>
      <c r="N3" s="32" t="n">
        <v>4147.5</v>
      </c>
      <c r="O3" s="32" t="n">
        <v>1.45</v>
      </c>
      <c r="P3" s="32" t="n">
        <v>252712</v>
      </c>
      <c r="Q3" s="31" t="n">
        <v>67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80.73</v>
      </c>
      <c r="U3" s="32" t="n">
        <v>55.17</v>
      </c>
      <c r="V3" s="32" t="n">
        <v>3530.51</v>
      </c>
      <c r="W3" s="31" t="inlineStr">
        <is>
          <t>Near 52W High Breakout</t>
        </is>
      </c>
      <c r="X3" s="31" t="inlineStr">
        <is>
          <t>Nifty FMCG</t>
        </is>
      </c>
      <c r="Y3" s="32" t="n">
        <v>-9.800000000000001</v>
      </c>
      <c r="Z3" s="32" t="n">
        <v>53.49</v>
      </c>
      <c r="AA3" s="32" t="n">
        <v>70.16</v>
      </c>
      <c r="AB3" s="32" t="n">
        <v>15.8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B2C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138.9</v>
      </c>
      <c r="E4" s="32" t="inlineStr">
        <is>
          <t>5%</t>
        </is>
      </c>
      <c r="F4" s="32" t="n">
        <v>50000</v>
      </c>
      <c r="G4" s="32" t="n">
        <v>33</v>
      </c>
      <c r="H4" s="31" t="inlineStr">
        <is>
          <t>NESTLEIND</t>
        </is>
      </c>
      <c r="I4" s="31" t="inlineStr">
        <is>
          <t>Nestle India Limited</t>
        </is>
      </c>
      <c r="J4" s="31" t="inlineStr">
        <is>
          <t>fmcg</t>
        </is>
      </c>
      <c r="K4" s="31" t="inlineStr">
        <is>
          <t>food - processing - mnc</t>
        </is>
      </c>
      <c r="L4" s="31" t="inlineStr">
        <is>
          <t>largecap</t>
        </is>
      </c>
      <c r="M4" s="32" t="n">
        <v>279971.96</v>
      </c>
      <c r="N4" s="32" t="n">
        <v>1493.6</v>
      </c>
      <c r="O4" s="32" t="n">
        <v>2.87</v>
      </c>
      <c r="P4" s="32" t="n">
        <v>6542499</v>
      </c>
      <c r="Q4" s="31" t="n">
        <v>35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67.05</v>
      </c>
      <c r="U4" s="32" t="n">
        <v>35.74</v>
      </c>
      <c r="V4" s="32" t="n">
        <v>1311.94</v>
      </c>
      <c r="W4" s="31" t="inlineStr">
        <is>
          <t>Near 52W High Breakout</t>
        </is>
      </c>
      <c r="X4" s="31" t="inlineStr">
        <is>
          <t>Nifty FMCG</t>
        </is>
      </c>
      <c r="Y4" s="32" t="n">
        <v>-9.800000000000001</v>
      </c>
      <c r="Z4" s="32" t="n">
        <v>32.67</v>
      </c>
      <c r="AA4" s="32" t="n">
        <v>47.08</v>
      </c>
      <c r="AB4" s="32" t="n">
        <v>7.06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B2C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Annuity, Lower One Time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20 to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Above 2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138.2</v>
      </c>
      <c r="E5" s="32" t="inlineStr">
        <is>
          <t>5%</t>
        </is>
      </c>
      <c r="F5" s="32" t="n">
        <v>50000</v>
      </c>
      <c r="G5" s="32" t="n">
        <v>119</v>
      </c>
      <c r="H5" s="31" t="inlineStr">
        <is>
          <t>RUBYMILLS</t>
        </is>
      </c>
      <c r="I5" s="31" t="inlineStr">
        <is>
          <t>The Ruby Mills Limited</t>
        </is>
      </c>
      <c r="J5" s="31" t="inlineStr">
        <is>
          <t>textiles</t>
        </is>
      </c>
      <c r="K5" s="31" t="inlineStr">
        <is>
          <t>textiles - composite</t>
        </is>
      </c>
      <c r="L5" s="31" t="inlineStr">
        <is>
          <t>smallcap</t>
        </is>
      </c>
      <c r="M5" s="32" t="n">
        <v>1377.23</v>
      </c>
      <c r="N5" s="32" t="n">
        <v>417.2</v>
      </c>
      <c r="O5" s="32" t="n">
        <v>1.3</v>
      </c>
      <c r="P5" s="32" t="n">
        <v>39230</v>
      </c>
      <c r="Q5" s="31" t="n">
        <v>92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81.98999999999999</v>
      </c>
      <c r="U5" s="32" t="n">
        <v>52.22</v>
      </c>
      <c r="V5" s="32" t="n">
        <v>315.82</v>
      </c>
      <c r="W5" s="31" t="inlineStr">
        <is>
          <t>Near 52W High Breakout</t>
        </is>
      </c>
      <c r="X5" s="31" t="inlineStr">
        <is>
          <t>Nifty 50</t>
        </is>
      </c>
      <c r="Y5" s="32" t="n">
        <v>-3.39</v>
      </c>
      <c r="Z5" s="32" t="n">
        <v>77.36</v>
      </c>
      <c r="AA5" s="32" t="n">
        <v>83.56999999999999</v>
      </c>
      <c r="AB5" s="32" t="n">
        <v>33.4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Less than 12%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128.9</v>
      </c>
      <c r="E6" s="32" t="inlineStr">
        <is>
          <t>5%</t>
        </is>
      </c>
      <c r="F6" s="32" t="n">
        <v>50000</v>
      </c>
      <c r="G6" s="32" t="n">
        <v>23</v>
      </c>
      <c r="H6" s="31" t="inlineStr">
        <is>
          <t>SPECTRUM</t>
        </is>
      </c>
      <c r="I6" s="31" t="inlineStr">
        <is>
          <t>Spectrum Electrical Industries Ltd</t>
        </is>
      </c>
      <c r="J6" s="31" t="inlineStr">
        <is>
          <t>industrials</t>
        </is>
      </c>
      <c r="K6" s="31" t="inlineStr">
        <is>
          <t>electric equipment</t>
        </is>
      </c>
      <c r="L6" s="31" t="inlineStr">
        <is>
          <t>smallcap</t>
        </is>
      </c>
      <c r="M6" s="32" t="n">
        <v>3350.98</v>
      </c>
      <c r="N6" s="32" t="n">
        <v>2125</v>
      </c>
      <c r="O6" s="32" t="n">
        <v>-0.35</v>
      </c>
      <c r="P6" s="32" t="n">
        <v>58170</v>
      </c>
      <c r="Q6" s="31" t="n">
        <v>89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72.01000000000001</v>
      </c>
      <c r="U6" s="32" t="n">
        <v>42.39</v>
      </c>
      <c r="V6" s="32" t="n">
        <v>1480.04</v>
      </c>
      <c r="W6" s="31" t="inlineStr">
        <is>
          <t>Near 52W High Breakout</t>
        </is>
      </c>
      <c r="X6" s="31" t="inlineStr">
        <is>
          <t>Nifty 50</t>
        </is>
      </c>
      <c r="Y6" s="32" t="n">
        <v>-3.39</v>
      </c>
      <c r="Z6" s="32" t="n">
        <v>36.37</v>
      </c>
      <c r="AA6" s="32" t="n">
        <v>41.15</v>
      </c>
      <c r="AB6" s="32" t="n">
        <v>29.26</v>
      </c>
      <c r="AC6" s="31" t="inlineStr">
        <is>
          <t>Cyclical in an Upturn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Close to 52 week high or retracement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Between 0.7 to 1.2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137.8</v>
      </c>
      <c r="E7" s="32" t="inlineStr">
        <is>
          <t>5%</t>
        </is>
      </c>
      <c r="F7" s="32" t="n">
        <v>50000</v>
      </c>
      <c r="G7" s="32" t="n">
        <v>15</v>
      </c>
      <c r="H7" s="31" t="inlineStr">
        <is>
          <t>NGLFINE</t>
        </is>
      </c>
      <c r="I7" s="31" t="inlineStr">
        <is>
          <t>NGL Fine Chem Ltd</t>
        </is>
      </c>
      <c r="J7" s="31" t="inlineStr">
        <is>
          <t>healthcare</t>
        </is>
      </c>
      <c r="K7" s="31" t="inlineStr">
        <is>
          <t>pharmaceuticals - indian - bulk drugs</t>
        </is>
      </c>
      <c r="L7" s="31" t="inlineStr">
        <is>
          <t>smallcap</t>
        </is>
      </c>
      <c r="M7" s="32" t="n">
        <v>2000.07</v>
      </c>
      <c r="N7" s="32" t="n">
        <v>3256.2</v>
      </c>
      <c r="O7" s="32" t="n">
        <v>0.58</v>
      </c>
      <c r="P7" s="32" t="n">
        <v>6920</v>
      </c>
      <c r="Q7" s="31" t="n">
        <v>90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77.36</v>
      </c>
      <c r="U7" s="32" t="n">
        <v>67.91</v>
      </c>
      <c r="V7" s="32" t="n">
        <v>2280.18</v>
      </c>
      <c r="W7" s="31" t="inlineStr">
        <is>
          <t>Near 52W High Breakout</t>
        </is>
      </c>
      <c r="X7" s="31" t="inlineStr">
        <is>
          <t>Nifty Pharma</t>
        </is>
      </c>
      <c r="Y7" s="32" t="n">
        <v>13.63</v>
      </c>
      <c r="Z7" s="32" t="n">
        <v>154.64</v>
      </c>
      <c r="AA7" s="32" t="n">
        <v>124.09</v>
      </c>
      <c r="AB7" s="32" t="n">
        <v>31.34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Yes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Annuity, Lower One Time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Between 50% to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136.7</v>
      </c>
      <c r="E8" s="32" t="inlineStr">
        <is>
          <t>5%</t>
        </is>
      </c>
      <c r="F8" s="32" t="n">
        <v>50000</v>
      </c>
      <c r="G8" s="32" t="n">
        <v>178</v>
      </c>
      <c r="H8" s="31" t="inlineStr">
        <is>
          <t>SSWL</t>
        </is>
      </c>
      <c r="I8" s="31" t="inlineStr">
        <is>
          <t>Steel Strips Wheels Limited</t>
        </is>
      </c>
      <c r="J8" s="31" t="inlineStr">
        <is>
          <t>auto</t>
        </is>
      </c>
      <c r="K8" s="31" t="inlineStr">
        <is>
          <t>auto ancillaries</t>
        </is>
      </c>
      <c r="L8" s="31" t="inlineStr">
        <is>
          <t>smallcap</t>
        </is>
      </c>
      <c r="M8" s="32" t="n">
        <v>4390.05</v>
      </c>
      <c r="N8" s="32" t="n">
        <v>279.69</v>
      </c>
      <c r="O8" s="32" t="n">
        <v>0.14</v>
      </c>
      <c r="P8" s="32" t="n">
        <v>1589909</v>
      </c>
      <c r="Q8" s="31" t="n">
        <v>55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70.98</v>
      </c>
      <c r="U8" s="32" t="n">
        <v>16.7</v>
      </c>
      <c r="V8" s="32" t="n">
        <v>216.74</v>
      </c>
      <c r="W8" s="31" t="inlineStr">
        <is>
          <t>Near 52W High Breakout</t>
        </is>
      </c>
      <c r="X8" s="31" t="inlineStr">
        <is>
          <t>Nifty Auto</t>
        </is>
      </c>
      <c r="Y8" s="32" t="n">
        <v>14.92</v>
      </c>
      <c r="Z8" s="32" t="n">
        <v>16.78</v>
      </c>
      <c r="AA8" s="32" t="n">
        <v>1.62</v>
      </c>
      <c r="AB8" s="32" t="n">
        <v>11.66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0 to 20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135.7</v>
      </c>
      <c r="E9" s="32" t="inlineStr">
        <is>
          <t>5%</t>
        </is>
      </c>
      <c r="F9" s="32" t="n">
        <v>50000</v>
      </c>
      <c r="G9" s="32" t="n">
        <v>248</v>
      </c>
      <c r="H9" s="31" t="inlineStr">
        <is>
          <t>SPORTKING</t>
        </is>
      </c>
      <c r="I9" s="31" t="inlineStr">
        <is>
          <t>Sportking India Ltd</t>
        </is>
      </c>
      <c r="J9" s="31" t="inlineStr">
        <is>
          <t>textiles</t>
        </is>
      </c>
      <c r="K9" s="31" t="inlineStr">
        <is>
          <t>textiles - spinning - synthetic / blended</t>
        </is>
      </c>
      <c r="L9" s="31" t="inlineStr">
        <is>
          <t>smallcap</t>
        </is>
      </c>
      <c r="M9" s="32" t="n">
        <v>2521.87</v>
      </c>
      <c r="N9" s="32" t="n">
        <v>200.92</v>
      </c>
      <c r="O9" s="32" t="n">
        <v>1.24</v>
      </c>
      <c r="P9" s="32" t="n">
        <v>382014</v>
      </c>
      <c r="Q9" s="31" t="n">
        <v>84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82.27</v>
      </c>
      <c r="U9" s="32" t="n">
        <v>67.93000000000001</v>
      </c>
      <c r="V9" s="32" t="n">
        <v>151.25</v>
      </c>
      <c r="W9" s="31" t="inlineStr">
        <is>
          <t>Near 52W High Breakout</t>
        </is>
      </c>
      <c r="X9" s="31" t="inlineStr">
        <is>
          <t>Nifty 50</t>
        </is>
      </c>
      <c r="Y9" s="32" t="n">
        <v>-3.39</v>
      </c>
      <c r="Z9" s="32" t="n">
        <v>56.96</v>
      </c>
      <c r="AA9" s="32" t="n">
        <v>62.46</v>
      </c>
      <c r="AB9" s="32" t="n">
        <v>24.21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Less than 12%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138.6</v>
      </c>
      <c r="E10" s="32" t="inlineStr">
        <is>
          <t>5%</t>
        </is>
      </c>
      <c r="F10" s="32" t="n">
        <v>50000</v>
      </c>
      <c r="G10" s="32" t="n">
        <v>15</v>
      </c>
      <c r="H10" s="31" t="inlineStr">
        <is>
          <t>YASHO</t>
        </is>
      </c>
      <c r="I10" s="31" t="inlineStr">
        <is>
          <t>Yasho Industries Ltd</t>
        </is>
      </c>
      <c r="J10" s="31" t="inlineStr">
        <is>
          <t>chemicals</t>
        </is>
      </c>
      <c r="K10" s="31" t="inlineStr">
        <is>
          <t>chemicals</t>
        </is>
      </c>
      <c r="L10" s="31" t="inlineStr">
        <is>
          <t>smallcap</t>
        </is>
      </c>
      <c r="M10" s="32" t="n">
        <v>3793.55</v>
      </c>
      <c r="N10" s="32" t="n">
        <v>3220</v>
      </c>
      <c r="O10" s="32" t="n">
        <v>2.3</v>
      </c>
      <c r="P10" s="32" t="n">
        <v>21841</v>
      </c>
      <c r="Q10" s="31" t="n">
        <v>97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85.48999999999999</v>
      </c>
      <c r="U10" s="32" t="n">
        <v>49.72</v>
      </c>
      <c r="V10" s="32" t="n">
        <v>2438.11</v>
      </c>
      <c r="W10" s="31" t="inlineStr">
        <is>
          <t>Near 52W High Breakout</t>
        </is>
      </c>
      <c r="X10" s="31" t="inlineStr">
        <is>
          <t>Nifty 50</t>
        </is>
      </c>
      <c r="Y10" s="32" t="n">
        <v>-3.39</v>
      </c>
      <c r="Z10" s="32" t="n">
        <v>63.94</v>
      </c>
      <c r="AA10" s="32" t="n">
        <v>69.68000000000001</v>
      </c>
      <c r="AB10" s="32" t="n">
        <v>42.81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More than 1.2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129.5</v>
      </c>
      <c r="E11" s="32" t="inlineStr">
        <is>
          <t>5%</t>
        </is>
      </c>
      <c r="F11" s="32" t="n">
        <v>50000</v>
      </c>
      <c r="G11" s="32" t="n">
        <v>4</v>
      </c>
      <c r="H11" s="31" t="inlineStr">
        <is>
          <t>BAJAJ-AUTO</t>
        </is>
      </c>
      <c r="I11" s="31" t="inlineStr">
        <is>
          <t>Bajaj Auto Limited</t>
        </is>
      </c>
      <c r="J11" s="31" t="inlineStr">
        <is>
          <t>auto</t>
        </is>
      </c>
      <c r="K11" s="31" t="inlineStr">
        <is>
          <t>automobiles - scooters and 3 - wheelers</t>
        </is>
      </c>
      <c r="L11" s="31" t="inlineStr">
        <is>
          <t>largecap</t>
        </is>
      </c>
      <c r="M11" s="32" t="n">
        <v>290775.58</v>
      </c>
      <c r="N11" s="32" t="n">
        <v>10998.5</v>
      </c>
      <c r="O11" s="32" t="n">
        <v>5.72</v>
      </c>
      <c r="P11" s="32" t="n">
        <v>1448948</v>
      </c>
      <c r="Q11" s="31" t="n">
        <v>49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67.5</v>
      </c>
      <c r="U11" s="32" t="n">
        <v>18.13</v>
      </c>
      <c r="V11" s="32" t="n">
        <v>9477.77</v>
      </c>
      <c r="W11" s="31" t="inlineStr">
        <is>
          <t>Near 52W High Breakout</t>
        </is>
      </c>
      <c r="X11" s="31" t="inlineStr">
        <is>
          <t>Nifty Auto</t>
        </is>
      </c>
      <c r="Y11" s="32" t="n">
        <v>14.92</v>
      </c>
      <c r="Z11" s="32" t="n">
        <v>38.11</v>
      </c>
      <c r="AA11" s="32" t="n">
        <v>20.18</v>
      </c>
      <c r="AB11" s="32" t="n">
        <v>10.16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0 to 20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Close to 52 week high or retracement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Less than 1.5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137.2</v>
      </c>
      <c r="E12" s="32" t="inlineStr">
        <is>
          <t>5%</t>
        </is>
      </c>
      <c r="F12" s="32" t="n">
        <v>50000</v>
      </c>
      <c r="G12" s="32" t="n">
        <v>613</v>
      </c>
      <c r="H12" s="31" t="inlineStr">
        <is>
          <t>TIRUPATIFL</t>
        </is>
      </c>
      <c r="I12" s="31" t="inlineStr">
        <is>
          <t>Tirupati Forge Ltd</t>
        </is>
      </c>
      <c r="J12" s="31" t="inlineStr">
        <is>
          <t>industrials</t>
        </is>
      </c>
      <c r="K12" s="31" t="inlineStr">
        <is>
          <t>castings &amp; forgings</t>
        </is>
      </c>
      <c r="L12" s="31" t="inlineStr">
        <is>
          <t>smallcap</t>
        </is>
      </c>
      <c r="M12" s="32" t="n">
        <v>994.12</v>
      </c>
      <c r="N12" s="32" t="n">
        <v>81.55</v>
      </c>
      <c r="O12" s="32" t="n">
        <v>5.98</v>
      </c>
      <c r="P12" s="32" t="n">
        <v>3364682</v>
      </c>
      <c r="Q12" s="31" t="n">
        <v>95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83.91</v>
      </c>
      <c r="U12" s="32" t="n">
        <v>37.76</v>
      </c>
      <c r="V12" s="32" t="n">
        <v>59.31</v>
      </c>
      <c r="W12" s="31" t="inlineStr">
        <is>
          <t>Near 52W High Breakout</t>
        </is>
      </c>
      <c r="X12" s="31" t="inlineStr">
        <is>
          <t>Nifty 50</t>
        </is>
      </c>
      <c r="Y12" s="32" t="n">
        <v>-3.39</v>
      </c>
      <c r="Z12" s="32" t="n">
        <v>104.85</v>
      </c>
      <c r="AA12" s="32" t="n">
        <v>112.03</v>
      </c>
      <c r="AB12" s="32" t="n">
        <v>35.85</v>
      </c>
      <c r="AC12" s="31" t="inlineStr">
        <is>
          <t>Cyclical in an Upturn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Less than 12%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139.3</v>
      </c>
      <c r="E13" s="32" t="inlineStr">
        <is>
          <t>5%</t>
        </is>
      </c>
      <c r="F13" s="32" t="n">
        <v>50000</v>
      </c>
      <c r="G13" s="32" t="n">
        <v>6</v>
      </c>
      <c r="H13" s="33" t="inlineStr">
        <is>
          <t>DIVISLAB</t>
        </is>
      </c>
      <c r="I13" s="33" t="inlineStr">
        <is>
          <t>Divi's Laboratories Limited</t>
        </is>
      </c>
      <c r="J13" s="31" t="inlineStr">
        <is>
          <t>healthcare</t>
        </is>
      </c>
      <c r="K13" s="31" t="inlineStr">
        <is>
          <t>pharmaceuticals - indian - bulk drugs</t>
        </is>
      </c>
      <c r="L13" s="31" t="inlineStr">
        <is>
          <t>largecap</t>
        </is>
      </c>
      <c r="M13" s="32" t="n">
        <v>194588.47</v>
      </c>
      <c r="N13" s="32" t="n">
        <v>7386.5</v>
      </c>
      <c r="O13" s="32" t="n">
        <v>0.77</v>
      </c>
      <c r="P13" s="32" t="n">
        <v>371324</v>
      </c>
      <c r="Q13" s="31" t="n">
        <v>28</v>
      </c>
      <c r="R13" s="31" t="inlineStr">
        <is>
          <t>Underperforming</t>
        </is>
      </c>
      <c r="S13" s="32">
        <f>IF(R13="Underperforming",-5,IF(Q13&gt;=95,15,IF(Q13&gt;=90,10,IF(Q13&gt;=80,5,0))))</f>
        <v/>
      </c>
      <c r="T13" s="32" t="n">
        <v>72.42</v>
      </c>
      <c r="U13" s="32" t="n">
        <v>20.65</v>
      </c>
      <c r="V13" s="32" t="n">
        <v>6442.28</v>
      </c>
      <c r="W13" s="31" t="inlineStr">
        <is>
          <t>Near 52W High Breakout</t>
        </is>
      </c>
      <c r="X13" s="31" t="inlineStr">
        <is>
          <t>Nifty Pharma</t>
        </is>
      </c>
      <c r="Y13" s="32" t="n">
        <v>13.63</v>
      </c>
      <c r="Z13" s="32" t="n">
        <v>11.64</v>
      </c>
      <c r="AA13" s="32" t="n">
        <v>-1.76</v>
      </c>
      <c r="AB13" s="32" t="n">
        <v>5.77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Between 12 to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138.2</v>
      </c>
      <c r="E14" s="32" t="inlineStr">
        <is>
          <t>5%</t>
        </is>
      </c>
      <c r="F14" s="32" t="n">
        <v>50000</v>
      </c>
      <c r="G14" s="32" t="n">
        <v>74</v>
      </c>
      <c r="H14" s="31" t="inlineStr">
        <is>
          <t>SKYGOLD</t>
        </is>
      </c>
      <c r="I14" s="31" t="inlineStr">
        <is>
          <t>Sky Gold Ltd</t>
        </is>
      </c>
      <c r="J14" s="31" t="inlineStr">
        <is>
          <t>consumer discretionary</t>
        </is>
      </c>
      <c r="K14" s="31" t="inlineStr">
        <is>
          <t>diamond cutting / jewellery</t>
        </is>
      </c>
      <c r="L14" s="31" t="inlineStr">
        <is>
          <t>midcap</t>
        </is>
      </c>
      <c r="M14" s="32" t="n">
        <v>10156.63</v>
      </c>
      <c r="N14" s="32" t="n">
        <v>671.25</v>
      </c>
      <c r="O14" s="32" t="n">
        <v>2.36</v>
      </c>
      <c r="P14" s="32" t="n">
        <v>1416347</v>
      </c>
      <c r="Q14" s="31" t="n">
        <v>91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75.59999999999999</v>
      </c>
      <c r="U14" s="32" t="n">
        <v>55.63</v>
      </c>
      <c r="V14" s="32" t="n">
        <v>503.01</v>
      </c>
      <c r="W14" s="31" t="inlineStr">
        <is>
          <t>Near 52W High Breakout</t>
        </is>
      </c>
      <c r="X14" s="31" t="inlineStr">
        <is>
          <t>Nifty 50</t>
        </is>
      </c>
      <c r="Y14" s="32" t="n">
        <v>-3.39</v>
      </c>
      <c r="Z14" s="32" t="n">
        <v>122.42</v>
      </c>
      <c r="AA14" s="32" t="n">
        <v>130.21</v>
      </c>
      <c r="AB14" s="32" t="n">
        <v>33.17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Negative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Between 0.7 to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131.5</v>
      </c>
      <c r="E15" s="32" t="inlineStr">
        <is>
          <t>5%</t>
        </is>
      </c>
      <c r="F15" s="32" t="n">
        <v>50000</v>
      </c>
      <c r="G15" s="32" t="n">
        <v>80</v>
      </c>
      <c r="H15" s="31" t="inlineStr">
        <is>
          <t>BALRAMCHIN</t>
        </is>
      </c>
      <c r="I15" s="31" t="inlineStr">
        <is>
          <t>Balrampur Chini Mills Limited</t>
        </is>
      </c>
      <c r="J15" s="31" t="inlineStr">
        <is>
          <t>fmcg</t>
        </is>
      </c>
      <c r="K15" s="31" t="inlineStr">
        <is>
          <t>sugar</t>
        </is>
      </c>
      <c r="L15" s="31" t="inlineStr">
        <is>
          <t>midcap</t>
        </is>
      </c>
      <c r="M15" s="32" t="n">
        <v>13053.14</v>
      </c>
      <c r="N15" s="32" t="n">
        <v>624.75</v>
      </c>
      <c r="O15" s="32" t="n">
        <v>1.12</v>
      </c>
      <c r="P15" s="32" t="n">
        <v>455682</v>
      </c>
      <c r="Q15" s="31" t="n">
        <v>35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76.95999999999999</v>
      </c>
      <c r="U15" s="32" t="n">
        <v>35.55</v>
      </c>
      <c r="V15" s="32" t="n">
        <v>514.6799999999999</v>
      </c>
      <c r="W15" s="31" t="inlineStr">
        <is>
          <t>Near 52W High Breakout</t>
        </is>
      </c>
      <c r="X15" s="31" t="inlineStr">
        <is>
          <t>Nifty FMCG</t>
        </is>
      </c>
      <c r="Y15" s="32" t="n">
        <v>-9.800000000000001</v>
      </c>
      <c r="Z15" s="32" t="n">
        <v>6.84</v>
      </c>
      <c r="AA15" s="32" t="n">
        <v>18.44</v>
      </c>
      <c r="AB15" s="32" t="n">
        <v>7.1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B2C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Annuity, Lower One Time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No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Between 0.7 to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139.5</v>
      </c>
      <c r="E16" s="32" t="inlineStr">
        <is>
          <t>5%</t>
        </is>
      </c>
      <c r="F16" s="32" t="n">
        <v>50000</v>
      </c>
      <c r="G16" s="32" t="n">
        <v>38</v>
      </c>
      <c r="H16" s="31" t="inlineStr">
        <is>
          <t>CHENNPETRO</t>
        </is>
      </c>
      <c r="I16" s="31" t="inlineStr">
        <is>
          <t>Chennai Petroleum Corporation Limited</t>
        </is>
      </c>
      <c r="J16" s="31" t="inlineStr">
        <is>
          <t>energy</t>
        </is>
      </c>
      <c r="K16" s="31" t="inlineStr">
        <is>
          <t>refineries</t>
        </is>
      </c>
      <c r="L16" s="31" t="inlineStr">
        <is>
          <t>midcap</t>
        </is>
      </c>
      <c r="M16" s="32" t="n">
        <v>18734.54</v>
      </c>
      <c r="N16" s="32" t="n">
        <v>1307.8</v>
      </c>
      <c r="O16" s="32" t="n">
        <v>3.95</v>
      </c>
      <c r="P16" s="32" t="n">
        <v>2966128</v>
      </c>
      <c r="Q16" s="31" t="n">
        <v>77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68.73</v>
      </c>
      <c r="U16" s="32" t="n">
        <v>48.4</v>
      </c>
      <c r="V16" s="32" t="n">
        <v>987.78</v>
      </c>
      <c r="W16" s="31" t="inlineStr">
        <is>
          <t>Near 52W High Breakout</t>
        </is>
      </c>
      <c r="X16" s="31" t="inlineStr">
        <is>
          <t>Nifty Energy</t>
        </is>
      </c>
      <c r="Y16" s="32" t="n">
        <v>11.87</v>
      </c>
      <c r="Z16" s="32" t="n">
        <v>93.12</v>
      </c>
      <c r="AA16" s="32" t="n">
        <v>72.62</v>
      </c>
      <c r="AB16" s="32" t="n">
        <v>19.76</v>
      </c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Oligopoly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Yes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Cyclical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Volatile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Between 50% to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137.3</v>
      </c>
      <c r="E17" s="32" t="inlineStr">
        <is>
          <t>5%</t>
        </is>
      </c>
      <c r="F17" s="32" t="n">
        <v>50000</v>
      </c>
      <c r="G17" s="32" t="n">
        <v>185</v>
      </c>
      <c r="H17" s="31" t="inlineStr">
        <is>
          <t>DIACABS</t>
        </is>
      </c>
      <c r="I17" s="31" t="inlineStr">
        <is>
          <t>Diamond Power Infrastructure Ltd</t>
        </is>
      </c>
      <c r="J17" s="31" t="inlineStr">
        <is>
          <t>industrials</t>
        </is>
      </c>
      <c r="K17" s="31" t="inlineStr">
        <is>
          <t>cables - power</t>
        </is>
      </c>
      <c r="L17" s="31" t="inlineStr">
        <is>
          <t>midcap</t>
        </is>
      </c>
      <c r="M17" s="32" t="n">
        <v>14179.21</v>
      </c>
      <c r="N17" s="32" t="n">
        <v>269.14</v>
      </c>
      <c r="O17" s="32" t="n">
        <v>0.03</v>
      </c>
      <c r="P17" s="32" t="n">
        <v>9492628</v>
      </c>
      <c r="Q17" s="31" t="n">
        <v>87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80.84</v>
      </c>
      <c r="U17" s="32" t="n">
        <v>53.41</v>
      </c>
      <c r="V17" s="32" t="n">
        <v>202.48</v>
      </c>
      <c r="W17" s="31" t="inlineStr">
        <is>
          <t>Near 52W High Breakout</t>
        </is>
      </c>
      <c r="X17" s="31" t="inlineStr">
        <is>
          <t>Nifty Energy</t>
        </is>
      </c>
      <c r="Y17" s="32" t="n">
        <v>11.87</v>
      </c>
      <c r="Z17" s="32" t="n">
        <v>65.25</v>
      </c>
      <c r="AA17" s="32" t="n">
        <v>47.71</v>
      </c>
      <c r="AB17" s="32" t="n">
        <v>27.6</v>
      </c>
      <c r="AC17" s="31" t="inlineStr">
        <is>
          <t>Cyclical in an Upturn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Negative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139.2</v>
      </c>
      <c r="E18" s="32" t="inlineStr">
        <is>
          <t>5%</t>
        </is>
      </c>
      <c r="F18" s="32" t="n">
        <v>50000</v>
      </c>
      <c r="G18" s="32" t="n">
        <v>5</v>
      </c>
      <c r="H18" s="31" t="inlineStr">
        <is>
          <t>APOLLOHOSP</t>
        </is>
      </c>
      <c r="I18" s="31" t="inlineStr">
        <is>
          <t>Apollo Hospitals Enterprise Limited</t>
        </is>
      </c>
      <c r="J18" s="31" t="inlineStr">
        <is>
          <t>healthcare</t>
        </is>
      </c>
      <c r="K18" s="31" t="inlineStr">
        <is>
          <t>healthcare</t>
        </is>
      </c>
      <c r="L18" s="31" t="inlineStr">
        <is>
          <t>largecap</t>
        </is>
      </c>
      <c r="M18" s="32" t="n">
        <v>128349.37</v>
      </c>
      <c r="N18" s="32" t="n">
        <v>8938</v>
      </c>
      <c r="O18" s="32" t="n">
        <v>0.13</v>
      </c>
      <c r="P18" s="32" t="n">
        <v>158333</v>
      </c>
      <c r="Q18" s="31" t="n">
        <v>37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71.44</v>
      </c>
      <c r="U18" s="32" t="n">
        <v>25.63</v>
      </c>
      <c r="V18" s="32" t="n">
        <v>7953.84</v>
      </c>
      <c r="W18" s="31" t="inlineStr">
        <is>
          <t>Near 52W High Breakout</t>
        </is>
      </c>
      <c r="X18" s="31" t="inlineStr">
        <is>
          <t>Nifty Pharma</t>
        </is>
      </c>
      <c r="Y18" s="32" t="n">
        <v>13.63</v>
      </c>
      <c r="Z18" s="32" t="n">
        <v>19.99</v>
      </c>
      <c r="AA18" s="32" t="n">
        <v>5.59</v>
      </c>
      <c r="AB18" s="32" t="n">
        <v>7.37</v>
      </c>
      <c r="AC18" s="31" t="inlineStr">
        <is>
          <t>Cyclical in an Upturn</t>
        </is>
      </c>
      <c r="AD18" s="31">
        <f>IF(AC18="Growing Industry",10,IF(AC18="Cyclical in an Upturn",5,0))</f>
        <v/>
      </c>
      <c r="AE18" s="31" t="inlineStr">
        <is>
          <t>Oligopoly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Cyclical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B2C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Fully One Time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Above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Close to 52 week high or retracement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Yes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Between 1.5 to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134</v>
      </c>
      <c r="E19" s="32" t="inlineStr">
        <is>
          <t>5%</t>
        </is>
      </c>
      <c r="F19" s="32" t="n">
        <v>50000</v>
      </c>
      <c r="G19" s="32" t="n">
        <v>211</v>
      </c>
      <c r="H19" s="31" t="inlineStr">
        <is>
          <t>GANDHAR</t>
        </is>
      </c>
      <c r="I19" s="31" t="inlineStr">
        <is>
          <t>Gandhar Oil Refinery (India) Ltd</t>
        </is>
      </c>
      <c r="J19" s="31" t="inlineStr">
        <is>
          <t>energy</t>
        </is>
      </c>
      <c r="K19" s="31" t="inlineStr">
        <is>
          <t>refineries</t>
        </is>
      </c>
      <c r="L19" s="31" t="inlineStr">
        <is>
          <t>smallcap</t>
        </is>
      </c>
      <c r="M19" s="32" t="n">
        <v>2223.53</v>
      </c>
      <c r="N19" s="32" t="n">
        <v>236.19</v>
      </c>
      <c r="O19" s="32" t="n">
        <v>3.97</v>
      </c>
      <c r="P19" s="32" t="n">
        <v>6966378</v>
      </c>
      <c r="Q19" s="31" t="n">
        <v>85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78.59999999999999</v>
      </c>
      <c r="U19" s="32" t="n">
        <v>47.62</v>
      </c>
      <c r="V19" s="32" t="n">
        <v>183.36</v>
      </c>
      <c r="W19" s="31" t="inlineStr">
        <is>
          <t>Volume Spike &amp; Near 52W High Breakout</t>
        </is>
      </c>
      <c r="X19" s="31" t="inlineStr">
        <is>
          <t>Nifty Energy</t>
        </is>
      </c>
      <c r="Y19" s="32" t="n">
        <v>11.87</v>
      </c>
      <c r="Z19" s="32" t="n">
        <v>42.2</v>
      </c>
      <c r="AA19" s="32" t="n">
        <v>27.11</v>
      </c>
      <c r="AB19" s="32" t="n">
        <v>26</v>
      </c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Oligopoly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Yes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Cyclical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Volatile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Above 40</t>
        </is>
      </c>
      <c r="BD19" s="31">
        <f>IF(BC19="Above 40",20,IF(BC19="20 to 40",10,IF(BC19="0 to 20",-5,0)))</f>
        <v/>
      </c>
      <c r="BE19" s="31" t="inlineStr">
        <is>
          <t>Above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Between 50% to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139.5</v>
      </c>
      <c r="E20" s="32" t="inlineStr">
        <is>
          <t>5%</t>
        </is>
      </c>
      <c r="F20" s="32" t="n">
        <v>50000</v>
      </c>
      <c r="G20" s="32" t="n">
        <v>107</v>
      </c>
      <c r="H20" s="31" t="inlineStr">
        <is>
          <t>KAPSTON</t>
        </is>
      </c>
      <c r="I20" s="31" t="inlineStr">
        <is>
          <t>Kapston Services Ltd</t>
        </is>
      </c>
      <c r="J20" s="31" t="inlineStr">
        <is>
          <t>miscellaneous</t>
        </is>
      </c>
      <c r="K20" s="31" t="inlineStr">
        <is>
          <t>miscellaneous</t>
        </is>
      </c>
      <c r="L20" s="31" t="inlineStr">
        <is>
          <t>smallcap</t>
        </is>
      </c>
      <c r="M20" s="32" t="n">
        <v>1375.38</v>
      </c>
      <c r="N20" s="32" t="n">
        <v>464</v>
      </c>
      <c r="O20" s="32" t="n">
        <v>2.67</v>
      </c>
      <c r="P20" s="32" t="n">
        <v>75879</v>
      </c>
      <c r="Q20" s="31" t="n">
        <v>83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74.81999999999999</v>
      </c>
      <c r="U20" s="32" t="n">
        <v>21.89</v>
      </c>
      <c r="V20" s="32" t="n">
        <v>351.96</v>
      </c>
      <c r="W20" s="31" t="inlineStr">
        <is>
          <t>Near 52W High Breakout</t>
        </is>
      </c>
      <c r="X20" s="31" t="inlineStr">
        <is>
          <t>Nifty 50</t>
        </is>
      </c>
      <c r="Y20" s="32" t="n">
        <v>-3.39</v>
      </c>
      <c r="Z20" s="32" t="n">
        <v>94.19</v>
      </c>
      <c r="AA20" s="32" t="n">
        <v>101</v>
      </c>
      <c r="AB20" s="32" t="n">
        <v>23.83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Less than 50% and Borrowings are increasing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More than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139.5</v>
      </c>
      <c r="E21" s="32" t="inlineStr">
        <is>
          <t>5%</t>
        </is>
      </c>
      <c r="F21" s="32" t="n">
        <v>50000</v>
      </c>
      <c r="G21" s="32" t="n">
        <v>10</v>
      </c>
      <c r="H21" s="31" t="inlineStr">
        <is>
          <t>TITAN</t>
        </is>
      </c>
      <c r="I21" s="31" t="inlineStr">
        <is>
          <t>Titan Company Limited</t>
        </is>
      </c>
      <c r="J21" s="31" t="inlineStr">
        <is>
          <t>consumer discretionary</t>
        </is>
      </c>
      <c r="K21" s="31" t="inlineStr">
        <is>
          <t>diamond cutting / jewellery</t>
        </is>
      </c>
      <c r="L21" s="31" t="inlineStr">
        <is>
          <t>largecap</t>
        </is>
      </c>
      <c r="M21" s="32" t="n">
        <v>416256.3</v>
      </c>
      <c r="N21" s="32" t="n">
        <v>4711.6</v>
      </c>
      <c r="O21" s="32" t="n">
        <v>0.49</v>
      </c>
      <c r="P21" s="32" t="n">
        <v>996484</v>
      </c>
      <c r="Q21" s="31" t="n">
        <v>39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64.73</v>
      </c>
      <c r="U21" s="32" t="n">
        <v>17.38</v>
      </c>
      <c r="V21" s="32" t="n">
        <v>4067.51</v>
      </c>
      <c r="W21" s="31" t="inlineStr">
        <is>
          <t>Near 52W High Breakout</t>
        </is>
      </c>
      <c r="X21" s="31" t="inlineStr">
        <is>
          <t>Nifty 50</t>
        </is>
      </c>
      <c r="Y21" s="32" t="n">
        <v>-3.39</v>
      </c>
      <c r="Z21" s="32" t="n">
        <v>36.51</v>
      </c>
      <c r="AA21" s="32" t="n">
        <v>41.29</v>
      </c>
      <c r="AB21" s="32" t="n">
        <v>7.91</v>
      </c>
      <c r="AC21" s="31" t="inlineStr">
        <is>
          <t>Growing Industry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0 to 20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More than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More than 1.2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134</v>
      </c>
      <c r="E22" s="32" t="inlineStr">
        <is>
          <t>5%</t>
        </is>
      </c>
      <c r="F22" s="32" t="n">
        <v>50000</v>
      </c>
      <c r="G22" s="32" t="n">
        <v>421</v>
      </c>
      <c r="H22" s="31" t="inlineStr">
        <is>
          <t>EMAMIPAP</t>
        </is>
      </c>
      <c r="I22" s="31" t="inlineStr">
        <is>
          <t>Emami Paper Mills Ltd</t>
        </is>
      </c>
      <c r="J22" s="31" t="inlineStr">
        <is>
          <t>building materials</t>
        </is>
      </c>
      <c r="K22" s="31" t="inlineStr">
        <is>
          <t>paper</t>
        </is>
      </c>
      <c r="L22" s="31" t="inlineStr">
        <is>
          <t>smallcap</t>
        </is>
      </c>
      <c r="M22" s="32" t="n">
        <v>598.09</v>
      </c>
      <c r="N22" s="32" t="n">
        <v>118.63</v>
      </c>
      <c r="O22" s="32" t="n">
        <v>20</v>
      </c>
      <c r="P22" s="32" t="n">
        <v>1427994</v>
      </c>
      <c r="Q22" s="31" t="n">
        <v>77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76.97</v>
      </c>
      <c r="U22" s="32" t="n">
        <v>9.800000000000001</v>
      </c>
      <c r="V22" s="32" t="n">
        <v>92.90000000000001</v>
      </c>
      <c r="W22" s="31" t="inlineStr">
        <is>
          <t>Volume Spike &amp; Near 52W High Breakout</t>
        </is>
      </c>
      <c r="X22" s="31" t="inlineStr">
        <is>
          <t>Nifty Infra</t>
        </is>
      </c>
      <c r="Y22" s="32" t="n">
        <v>3.35</v>
      </c>
      <c r="Z22" s="32" t="n">
        <v>22.72</v>
      </c>
      <c r="AA22" s="32" t="n">
        <v>18.75</v>
      </c>
      <c r="AB22" s="32" t="n">
        <v>19.58</v>
      </c>
      <c r="AC22" s="31" t="inlineStr">
        <is>
          <t>Growing Industry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Tailwind</t>
        </is>
      </c>
      <c r="AJ22" s="31">
        <f>IF(AI22="Tailwind",10,0)</f>
        <v/>
      </c>
      <c r="AK22" s="31" t="inlineStr">
        <is>
          <t>Structural (10 Years Consistency)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Stable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0 to 20</t>
        </is>
      </c>
      <c r="BD22" s="31">
        <f>IF(BC22="Above 40",20,IF(BC22="20 to 40",10,IF(BC22="0 to 20",-5,0)))</f>
        <v/>
      </c>
      <c r="BE22" s="31" t="inlineStr">
        <is>
          <t>Above 75</t>
        </is>
      </c>
      <c r="BF22" s="31">
        <f>IF(BE22="Between 50 to 75",10,IF(BE22="Above 75",0,0))</f>
        <v/>
      </c>
      <c r="BG22" s="31" t="inlineStr">
        <is>
          <t>Stage 2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Blue sky scenario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More than 20%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No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More than 1.2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139.2</v>
      </c>
      <c r="E2" s="32" t="inlineStr">
        <is>
          <t>5%</t>
        </is>
      </c>
      <c r="F2" s="32" t="n">
        <v>50000</v>
      </c>
      <c r="G2" s="32" t="n">
        <v>171</v>
      </c>
      <c r="H2" s="31" t="inlineStr">
        <is>
          <t>CONSOFINVT</t>
        </is>
      </c>
      <c r="I2" s="31" t="inlineStr">
        <is>
          <t>Consolidated Finvest &amp; Holdings Limited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smallcap</t>
        </is>
      </c>
      <c r="M2" s="32" t="n">
        <v>898.58</v>
      </c>
      <c r="N2" s="32" t="n">
        <v>291.95</v>
      </c>
      <c r="O2" s="32" t="n">
        <v>5.03</v>
      </c>
      <c r="P2" s="32" t="n">
        <v>85070</v>
      </c>
      <c r="Q2" s="31" t="n">
        <v>66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76.78</v>
      </c>
      <c r="U2" s="32" t="n">
        <v>27.19</v>
      </c>
      <c r="V2" s="32" t="n">
        <v>227.61</v>
      </c>
      <c r="W2" s="31" t="inlineStr">
        <is>
          <t>Near 52W High Breakout</t>
        </is>
      </c>
      <c r="X2" s="31" t="inlineStr">
        <is>
          <t>Nifty Bank</t>
        </is>
      </c>
      <c r="Y2" s="32" t="n">
        <v>1.06</v>
      </c>
      <c r="Z2" s="32" t="n">
        <v>43.12</v>
      </c>
      <c r="AA2" s="32" t="n">
        <v>41.62</v>
      </c>
      <c r="AB2" s="32" t="n">
        <v>15.52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less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2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IF(B2=0,"",RANK(B2,$B$2:$B$84,0))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TIMEX</t>
        </is>
      </c>
      <c r="D2" s="31" t="inlineStr">
        <is>
          <t>Timex Group India Ltd</t>
        </is>
      </c>
      <c r="E2" s="31" t="inlineStr">
        <is>
          <t>Consumer Cyclical</t>
        </is>
      </c>
      <c r="F2" s="31" t="inlineStr">
        <is>
          <t>Watches</t>
        </is>
      </c>
      <c r="G2" s="31" t="inlineStr">
        <is>
          <t>midcap</t>
        </is>
      </c>
      <c r="H2" s="32" t="n">
        <v>5666.32</v>
      </c>
      <c r="I2" s="32" t="n">
        <v>561.3</v>
      </c>
      <c r="J2" s="32" t="n">
        <v>-0.42</v>
      </c>
      <c r="K2" s="32" t="n">
        <v>0</v>
      </c>
      <c r="L2" s="31" t="n">
        <v>96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72.56</v>
      </c>
      <c r="P2" s="32" t="n">
        <v>44.88</v>
      </c>
      <c r="Q2" s="32" t="n">
        <v>434.83</v>
      </c>
      <c r="R2" s="31" t="inlineStr">
        <is>
          <t>Near 52W High Breakout</t>
        </is>
      </c>
      <c r="S2" s="31" t="inlineStr">
        <is>
          <t>Nifty 50</t>
        </is>
      </c>
      <c r="T2" s="32" t="n">
        <v>-3.39</v>
      </c>
      <c r="U2" s="32" t="n">
        <v>162.41</v>
      </c>
      <c r="V2" s="32" t="n">
        <v>171.6</v>
      </c>
      <c r="W2" s="32" t="n">
        <v>39.83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18</t>
        </is>
      </c>
      <c r="CG2" s="31">
        <f>IF(CF2&gt;20,10,IF(CF2&gt;=10,5,2))</f>
        <v/>
      </c>
    </row>
    <row r="3">
      <c r="A3" s="31">
        <f>IF(B3=0,"",RANK(B3,$B$2:$B$84,0))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RPEL</t>
        </is>
      </c>
      <c r="D3" s="31" t="inlineStr">
        <is>
          <t>Raghav Productivity Enhancers Ltd</t>
        </is>
      </c>
      <c r="E3" s="31" t="inlineStr">
        <is>
          <t>building materials</t>
        </is>
      </c>
      <c r="F3" s="31" t="inlineStr">
        <is>
          <t>Steel Products</t>
        </is>
      </c>
      <c r="G3" s="31" t="inlineStr">
        <is>
          <t>midcap</t>
        </is>
      </c>
      <c r="H3" s="32" t="n">
        <v>5858.26</v>
      </c>
      <c r="I3" s="32" t="n">
        <v>1275.7</v>
      </c>
      <c r="J3" s="32" t="n">
        <v>0.5</v>
      </c>
      <c r="K3" s="32" t="n">
        <v>0</v>
      </c>
      <c r="L3" s="31" t="n">
        <v>94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74.48999999999999</v>
      </c>
      <c r="P3" s="32" t="n">
        <v>43.22</v>
      </c>
      <c r="Q3" s="32" t="n">
        <v>1028.33</v>
      </c>
      <c r="R3" s="31" t="inlineStr">
        <is>
          <t>Near 52W High Breakout</t>
        </is>
      </c>
      <c r="S3" s="31" t="inlineStr">
        <is>
          <t>Nifty Infra</t>
        </is>
      </c>
      <c r="T3" s="32" t="n">
        <v>3.35</v>
      </c>
      <c r="U3" s="32" t="n">
        <v>93.02</v>
      </c>
      <c r="V3" s="32" t="n">
        <v>86.77</v>
      </c>
      <c r="W3" s="32" t="n">
        <v>35.69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18</t>
        </is>
      </c>
      <c r="CG3" s="31">
        <f>IF(CF3&gt;20,10,IF(CF3&gt;=10,5,2))</f>
        <v/>
      </c>
    </row>
    <row r="4">
      <c r="A4" s="31">
        <f>IF(B4=0,"",RANK(B4,$B$2:$B$84,0))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IBULLSLTD</t>
        </is>
      </c>
      <c r="D4" s="31" t="inlineStr">
        <is>
          <t>Indiabulls Limited</t>
        </is>
      </c>
      <c r="E4" s="31" t="inlineStr">
        <is>
          <t>miscellaneous</t>
        </is>
      </c>
      <c r="F4" s="31" t="inlineStr">
        <is>
          <t>Diversified</t>
        </is>
      </c>
      <c r="G4" s="31" t="inlineStr">
        <is>
          <t>midcap</t>
        </is>
      </c>
      <c r="H4" s="32" t="n">
        <v>6976.98</v>
      </c>
      <c r="I4" s="32" t="n">
        <v>29.95</v>
      </c>
      <c r="J4" s="32" t="n">
        <v>3.42</v>
      </c>
      <c r="K4" s="32" t="n">
        <v>0</v>
      </c>
      <c r="L4" s="31" t="n">
        <v>95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76.53</v>
      </c>
      <c r="P4" s="32" t="n">
        <v>45.92</v>
      </c>
      <c r="Q4" s="32" t="n">
        <v>21.46</v>
      </c>
      <c r="R4" s="31" t="inlineStr">
        <is>
          <t>Near 52W High Breakout</t>
        </is>
      </c>
      <c r="S4" s="31" t="inlineStr">
        <is>
          <t>Nifty 50</t>
        </is>
      </c>
      <c r="T4" s="32" t="n">
        <v>-3.39</v>
      </c>
      <c r="U4" s="32" t="n">
        <v>91.15000000000001</v>
      </c>
      <c r="V4" s="32" t="n">
        <v>97.84999999999999</v>
      </c>
      <c r="W4" s="32" t="n">
        <v>36.9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Between 50% to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19</t>
        </is>
      </c>
      <c r="CG4" s="31">
        <f>IF(CF4&gt;20,10,IF(CF4&gt;=10,5,2))</f>
        <v/>
      </c>
    </row>
    <row r="5">
      <c r="A5" s="31">
        <f>IF(B5=0,"",RANK(B5,$B$2:$B$84,0))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TINNARUBR</t>
        </is>
      </c>
      <c r="D5" s="31" t="inlineStr">
        <is>
          <t>Tinna Rubber &amp; Infrastructure Ltd</t>
        </is>
      </c>
      <c r="E5" s="31" t="inlineStr">
        <is>
          <t>fmcg</t>
        </is>
      </c>
      <c r="F5" s="31" t="inlineStr">
        <is>
          <t>Rubber Processing/Rubber Products</t>
        </is>
      </c>
      <c r="G5" s="31" t="inlineStr">
        <is>
          <t>smallcap</t>
        </is>
      </c>
      <c r="H5" s="32" t="n">
        <v>1964.53</v>
      </c>
      <c r="I5" s="32" t="n">
        <v>1090.45</v>
      </c>
      <c r="J5" s="32" t="n">
        <v>-4.78</v>
      </c>
      <c r="K5" s="32" t="n">
        <v>0</v>
      </c>
      <c r="L5" s="31" t="n">
        <v>74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71.40000000000001</v>
      </c>
      <c r="P5" s="32" t="n">
        <v>31.4</v>
      </c>
      <c r="Q5" s="32" t="n">
        <v>778.5</v>
      </c>
      <c r="R5" s="31" t="inlineStr">
        <is>
          <t>Volume Spike &amp; Near 52W High Breakout</t>
        </is>
      </c>
      <c r="S5" s="31" t="inlineStr">
        <is>
          <t>Nifty FMCG</t>
        </is>
      </c>
      <c r="T5" s="32" t="n">
        <v>-9.800000000000001</v>
      </c>
      <c r="U5" s="32" t="n">
        <v>18.44</v>
      </c>
      <c r="V5" s="32" t="n">
        <v>31.3</v>
      </c>
      <c r="W5" s="32" t="n">
        <v>18.24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16</t>
        </is>
      </c>
      <c r="CG5" s="31">
        <f>IF(CF5&gt;20,10,IF(CF5&gt;=10,5,2))</f>
        <v/>
      </c>
    </row>
    <row r="6">
      <c r="A6" s="31">
        <f>IF(B6=0,"",RANK(B6,$B$2:$B$84,0))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INDIAGLYCO</t>
        </is>
      </c>
      <c r="D6" s="31" t="inlineStr">
        <is>
          <t>India Glycols Ltd</t>
        </is>
      </c>
      <c r="E6" s="31" t="inlineStr">
        <is>
          <t>fmcg</t>
        </is>
      </c>
      <c r="F6" s="31" t="inlineStr">
        <is>
          <t>Alcoholic Beverages</t>
        </is>
      </c>
      <c r="G6" s="31" t="inlineStr">
        <is>
          <t>midcap</t>
        </is>
      </c>
      <c r="H6" s="32" t="n">
        <v>7641.05</v>
      </c>
      <c r="I6" s="32" t="n">
        <v>1140</v>
      </c>
      <c r="J6" s="32" t="n">
        <v>-1.21</v>
      </c>
      <c r="K6" s="32" t="n">
        <v>0</v>
      </c>
      <c r="L6" s="31" t="n">
        <v>51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63.17</v>
      </c>
      <c r="P6" s="32" t="n">
        <v>23.89</v>
      </c>
      <c r="Q6" s="32" t="n">
        <v>909.63</v>
      </c>
      <c r="R6" s="31" t="inlineStr">
        <is>
          <t>Near 52W High Breakout</t>
        </is>
      </c>
      <c r="S6" s="31" t="inlineStr">
        <is>
          <t>Nifty FMCG</t>
        </is>
      </c>
      <c r="T6" s="32" t="n">
        <v>-9.800000000000001</v>
      </c>
      <c r="U6" s="32" t="n">
        <v>33.98</v>
      </c>
      <c r="V6" s="32" t="n">
        <v>48.53</v>
      </c>
      <c r="W6" s="32" t="n">
        <v>10.56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16</t>
        </is>
      </c>
      <c r="CG6" s="31">
        <f>IF(CF6&gt;20,10,IF(CF6&gt;=10,5,2))</f>
        <v/>
      </c>
    </row>
    <row r="7">
      <c r="A7" s="31">
        <f>IF(B7=0,"",RANK(B7,$B$2:$B$84,0))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ACCENTMIC</t>
        </is>
      </c>
      <c r="D7" s="31" t="inlineStr">
        <is>
          <t>Accent Microcell Ltd</t>
        </is>
      </c>
      <c r="E7" s="31" t="inlineStr">
        <is>
          <t>unknown</t>
        </is>
      </c>
      <c r="F7" s="31" t="inlineStr">
        <is>
          <t>Pharma - Formulators</t>
        </is>
      </c>
      <c r="G7" s="31" t="inlineStr">
        <is>
          <t>smallcap</t>
        </is>
      </c>
      <c r="H7" s="32" t="n">
        <v>1182.66</v>
      </c>
      <c r="I7" s="32" t="n">
        <v>493</v>
      </c>
      <c r="J7" s="32" t="n">
        <v>-3.25</v>
      </c>
      <c r="K7" s="32" t="n">
        <v>0</v>
      </c>
      <c r="L7" s="31" t="n">
        <v>72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72.28</v>
      </c>
      <c r="P7" s="32" t="n">
        <v>63.22</v>
      </c>
      <c r="Q7" s="32" t="n">
        <v>407.54</v>
      </c>
      <c r="R7" s="31" t="inlineStr">
        <is>
          <t>Volume Spike &amp; Near 52W High Breakout</t>
        </is>
      </c>
      <c r="S7" s="31" t="inlineStr">
        <is>
          <t>Nifty 50</t>
        </is>
      </c>
      <c r="T7" s="32" t="n">
        <v>-3.39</v>
      </c>
      <c r="U7" s="32" t="n">
        <v>86.95</v>
      </c>
      <c r="V7" s="32" t="n">
        <v>93.5</v>
      </c>
      <c r="W7" s="32" t="n">
        <v>17.52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20</t>
        </is>
      </c>
      <c r="CG7" s="31">
        <f>IF(CF7&gt;20,10,IF(CF7&gt;=10,5,2))</f>
        <v/>
      </c>
    </row>
    <row r="8">
      <c r="A8" s="31">
        <f>IF(B8=0,"",RANK(B8,$B$2:$B$84,0))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MENONBE</t>
        </is>
      </c>
      <c r="D8" s="31" t="inlineStr">
        <is>
          <t>Menon Bearings Ltd</t>
        </is>
      </c>
      <c r="E8" s="31" t="inlineStr">
        <is>
          <t>auto</t>
        </is>
      </c>
      <c r="F8" s="31" t="inlineStr">
        <is>
          <t>Auto Ancillaries - Bearings</t>
        </is>
      </c>
      <c r="G8" s="31" t="inlineStr">
        <is>
          <t>smallcap</t>
        </is>
      </c>
      <c r="H8" s="32" t="n">
        <v>1167.87</v>
      </c>
      <c r="I8" s="32" t="n">
        <v>208.4</v>
      </c>
      <c r="J8" s="32" t="n">
        <v>-5.33</v>
      </c>
      <c r="K8" s="32" t="n">
        <v>0</v>
      </c>
      <c r="L8" s="31" t="n">
        <v>89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75.84999999999999</v>
      </c>
      <c r="P8" s="32" t="n">
        <v>45.49</v>
      </c>
      <c r="Q8" s="32" t="n">
        <v>156</v>
      </c>
      <c r="R8" s="31" t="inlineStr">
        <is>
          <t>Near 52W High Breakout</t>
        </is>
      </c>
      <c r="S8" s="31" t="inlineStr">
        <is>
          <t>Nifty Auto</t>
        </is>
      </c>
      <c r="T8" s="32" t="n">
        <v>14.92</v>
      </c>
      <c r="U8" s="32" t="n">
        <v>63.41</v>
      </c>
      <c r="V8" s="32" t="n">
        <v>42.2</v>
      </c>
      <c r="W8" s="32" t="n">
        <v>29.09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20</t>
        </is>
      </c>
      <c r="CG8" s="31">
        <f>IF(CF8&gt;20,10,IF(CF8&gt;=10,5,2))</f>
        <v/>
      </c>
    </row>
    <row r="9">
      <c r="A9" s="31">
        <f>IF(B9=0,"",RANK(B9,$B$2:$B$84,0))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ACUTAAS</t>
        </is>
      </c>
      <c r="D9" s="31" t="inlineStr">
        <is>
          <t>Acutaas Chemicals Ltd</t>
        </is>
      </c>
      <c r="E9" s="31" t="inlineStr">
        <is>
          <t>healthcare</t>
        </is>
      </c>
      <c r="F9" s="31" t="inlineStr">
        <is>
          <t>Pharma - API &amp; CRAMS</t>
        </is>
      </c>
      <c r="G9" s="31" t="inlineStr">
        <is>
          <t>largecap</t>
        </is>
      </c>
      <c r="H9" s="32" t="n">
        <v>30128.57</v>
      </c>
      <c r="I9" s="32" t="n">
        <v>3680</v>
      </c>
      <c r="J9" s="32" t="n">
        <v>0.08</v>
      </c>
      <c r="K9" s="32" t="n">
        <v>0</v>
      </c>
      <c r="L9" s="31" t="n">
        <v>96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72.06999999999999</v>
      </c>
      <c r="P9" s="32" t="n">
        <v>70.28</v>
      </c>
      <c r="Q9" s="32" t="n">
        <v>2913.09</v>
      </c>
      <c r="R9" s="31" t="inlineStr">
        <is>
          <t>Near 52W High Breakout</t>
        </is>
      </c>
      <c r="S9" s="31" t="inlineStr">
        <is>
          <t>Nifty Pharma</t>
        </is>
      </c>
      <c r="T9" s="32" t="n">
        <v>13.63</v>
      </c>
      <c r="U9" s="32" t="n">
        <v>216.21</v>
      </c>
      <c r="V9" s="32" t="n">
        <v>178.28</v>
      </c>
      <c r="W9" s="32" t="n">
        <v>38.83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23</t>
        </is>
      </c>
      <c r="CG9" s="31">
        <f>IF(CF9&gt;20,10,IF(CF9&gt;=10,5,2))</f>
        <v/>
      </c>
    </row>
    <row r="10">
      <c r="A10" s="31">
        <f>IF(B10=0,"",RANK(B10,$B$2:$B$84,0))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GRANULES</t>
        </is>
      </c>
      <c r="D10" s="31" t="inlineStr">
        <is>
          <t>Granules India Ltd</t>
        </is>
      </c>
      <c r="E10" s="31" t="inlineStr">
        <is>
          <t>Healthcare</t>
        </is>
      </c>
      <c r="F10" s="31" t="inlineStr">
        <is>
          <t>Pharma - API &amp; CRAMS</t>
        </is>
      </c>
      <c r="G10" s="31" t="inlineStr">
        <is>
          <t>largecap</t>
        </is>
      </c>
      <c r="H10" s="32" t="n">
        <v>21085.04</v>
      </c>
      <c r="I10" s="32" t="n">
        <v>850.9</v>
      </c>
      <c r="J10" s="32" t="n">
        <v>-2.83</v>
      </c>
      <c r="K10" s="32" t="n">
        <v>0</v>
      </c>
      <c r="L10" s="31" t="n">
        <v>74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70.40000000000001</v>
      </c>
      <c r="P10" s="32" t="n">
        <v>48.97</v>
      </c>
      <c r="Q10" s="32" t="n">
        <v>740.8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13.63</v>
      </c>
      <c r="U10" s="32" t="n">
        <v>82.56</v>
      </c>
      <c r="V10" s="32" t="n">
        <v>60.66</v>
      </c>
      <c r="W10" s="32" t="n">
        <v>18.1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Between 50% to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17</t>
        </is>
      </c>
      <c r="CG10" s="31">
        <f>IF(CF10&gt;20,10,IF(CF10&gt;=10,5,2))</f>
        <v/>
      </c>
    </row>
    <row r="11">
      <c r="A11" s="31">
        <f>IF(B11=0,"",RANK(B11,$B$2:$B$84,0))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RADICO</t>
        </is>
      </c>
      <c r="D11" s="31" t="inlineStr">
        <is>
          <t>Radico Khaitan Ltd</t>
        </is>
      </c>
      <c r="E11" s="31" t="inlineStr">
        <is>
          <t>fmcg</t>
        </is>
      </c>
      <c r="F11" s="31" t="inlineStr">
        <is>
          <t>Alcoholic Beverages</t>
        </is>
      </c>
      <c r="G11" s="31" t="inlineStr">
        <is>
          <t>largecap</t>
        </is>
      </c>
      <c r="H11" s="32" t="n">
        <v>55632.17</v>
      </c>
      <c r="I11" s="32" t="n">
        <v>4152.2</v>
      </c>
      <c r="J11" s="32" t="n">
        <v>1.56</v>
      </c>
      <c r="K11" s="32" t="n">
        <v>0</v>
      </c>
      <c r="L11" s="31" t="n">
        <v>67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80.73</v>
      </c>
      <c r="P11" s="32" t="n">
        <v>55.17</v>
      </c>
      <c r="Q11" s="32" t="n">
        <v>3530.51</v>
      </c>
      <c r="R11" s="31" t="inlineStr">
        <is>
          <t>Near 52W High Breakout</t>
        </is>
      </c>
      <c r="S11" s="31" t="inlineStr">
        <is>
          <t>Nifty FMCG</t>
        </is>
      </c>
      <c r="T11" s="32" t="n">
        <v>-9.800000000000001</v>
      </c>
      <c r="U11" s="32" t="n">
        <v>53.49</v>
      </c>
      <c r="V11" s="32" t="n">
        <v>70.16</v>
      </c>
      <c r="W11" s="32" t="n">
        <v>15.8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15</t>
        </is>
      </c>
      <c r="CG11" s="31">
        <f>IF(CF11&gt;20,10,IF(CF11&gt;=10,5,2))</f>
        <v/>
      </c>
    </row>
    <row r="12">
      <c r="A12" s="31">
        <f>IF(B12=0,"",RANK(B12,$B$2:$B$84,0))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AURUM</t>
        </is>
      </c>
      <c r="D12" s="31" t="inlineStr">
        <is>
          <t>Aurum Proptech Ltd</t>
        </is>
      </c>
      <c r="E12" s="31" t="inlineStr">
        <is>
          <t>i.t</t>
        </is>
      </c>
      <c r="F12" s="31" t="inlineStr">
        <is>
          <t>IT Enabled Services</t>
        </is>
      </c>
      <c r="G12" s="31" t="inlineStr">
        <is>
          <t>smallcap</t>
        </is>
      </c>
      <c r="H12" s="32" t="n">
        <v>1633.53</v>
      </c>
      <c r="I12" s="32" t="n">
        <v>226.65</v>
      </c>
      <c r="J12" s="32" t="n">
        <v>-0.74</v>
      </c>
      <c r="K12" s="32" t="n">
        <v>0</v>
      </c>
      <c r="L12" s="31" t="n">
        <v>43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65.77</v>
      </c>
      <c r="P12" s="32" t="n">
        <v>41.21</v>
      </c>
      <c r="Q12" s="32" t="n">
        <v>184.54</v>
      </c>
      <c r="R12" s="31" t="inlineStr">
        <is>
          <t>Volume Spike &amp; Near 52W High Breakout</t>
        </is>
      </c>
      <c r="S12" s="31" t="inlineStr">
        <is>
          <t>Nifty IT</t>
        </is>
      </c>
      <c r="T12" s="32" t="n">
        <v>-19.86</v>
      </c>
      <c r="U12" s="32" t="n">
        <v>16.32</v>
      </c>
      <c r="V12" s="32" t="n">
        <v>45.14</v>
      </c>
      <c r="W12" s="32" t="n">
        <v>8.970000000000001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Between 50% to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24</t>
        </is>
      </c>
      <c r="CG12" s="31">
        <f>IF(CF12&gt;20,10,IF(CF12&gt;=10,5,2))</f>
        <v/>
      </c>
    </row>
    <row r="13">
      <c r="A13" s="31">
        <f>IF(B13=0,"",RANK(B13,$B$2:$B$84,0))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4" t="inlineStr">
        <is>
          <t>STYLAMIND</t>
        </is>
      </c>
      <c r="D13" s="34" t="inlineStr">
        <is>
          <t>Stylam Industries Ltd</t>
        </is>
      </c>
      <c r="E13" s="31" t="inlineStr">
        <is>
          <t>building materials</t>
        </is>
      </c>
      <c r="F13" s="31" t="inlineStr">
        <is>
          <t>Plywood Boards/Laminates</t>
        </is>
      </c>
      <c r="G13" s="31" t="inlineStr">
        <is>
          <t>midcap</t>
        </is>
      </c>
      <c r="H13" s="32" t="n">
        <v>6267.39</v>
      </c>
      <c r="I13" s="32" t="n">
        <v>3698</v>
      </c>
      <c r="J13" s="32" t="n">
        <v>5.34</v>
      </c>
      <c r="K13" s="32" t="n">
        <v>0</v>
      </c>
      <c r="L13" s="31" t="n">
        <v>88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86.13</v>
      </c>
      <c r="P13" s="32" t="n">
        <v>69.23</v>
      </c>
      <c r="Q13" s="32" t="n">
        <v>2884.96</v>
      </c>
      <c r="R13" s="31" t="inlineStr">
        <is>
          <t>Volume Spike &amp; Near 52W High Breakout</t>
        </is>
      </c>
      <c r="S13" s="31" t="inlineStr">
        <is>
          <t>Nifty Infra</t>
        </is>
      </c>
      <c r="T13" s="32" t="n">
        <v>3.35</v>
      </c>
      <c r="U13" s="32" t="n">
        <v>90.72</v>
      </c>
      <c r="V13" s="32" t="n">
        <v>84.54000000000001</v>
      </c>
      <c r="W13" s="32" t="n">
        <v>27.85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19</t>
        </is>
      </c>
      <c r="CG13" s="31">
        <f>IF(CF13&gt;20,10,IF(CF13&gt;=10,5,2))</f>
        <v/>
      </c>
    </row>
    <row r="14">
      <c r="A14" s="31">
        <f>IF(B14=0,"",RANK(B14,$B$2:$B$84,0))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BHEL</t>
        </is>
      </c>
      <c r="D14" s="31" t="inlineStr">
        <is>
          <t>Bharat Heavy Electricals Ltd</t>
        </is>
      </c>
      <c r="E14" s="31" t="inlineStr">
        <is>
          <t>industrials</t>
        </is>
      </c>
      <c r="F14" s="31" t="inlineStr">
        <is>
          <t>Capital Goods - Engineering Heavy</t>
        </is>
      </c>
      <c r="G14" s="31" t="inlineStr">
        <is>
          <t>largecap</t>
        </is>
      </c>
      <c r="H14" s="32" t="n">
        <v>144871.25</v>
      </c>
      <c r="I14" s="32" t="n">
        <v>416.05</v>
      </c>
      <c r="J14" s="32" t="n">
        <v>0.67</v>
      </c>
      <c r="K14" s="32" t="n">
        <v>0</v>
      </c>
      <c r="L14" s="31" t="n">
        <v>72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66.08</v>
      </c>
      <c r="P14" s="32" t="n">
        <v>46.77</v>
      </c>
      <c r="Q14" s="32" t="n">
        <v>336.2</v>
      </c>
      <c r="R14" s="31" t="inlineStr">
        <is>
          <t>Near 52W High Breakout</t>
        </is>
      </c>
      <c r="S14" s="31" t="inlineStr">
        <is>
          <t>Nifty 50</t>
        </is>
      </c>
      <c r="T14" s="32" t="n">
        <v>-3.39</v>
      </c>
      <c r="U14" s="32" t="n">
        <v>74.34</v>
      </c>
      <c r="V14" s="32" t="n">
        <v>80.45</v>
      </c>
      <c r="W14" s="32" t="n">
        <v>17.63</v>
      </c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18</t>
        </is>
      </c>
      <c r="CG14" s="31">
        <f>IF(CF14&gt;20,10,IF(CF14&gt;=10,5,2))</f>
        <v/>
      </c>
    </row>
    <row r="15">
      <c r="A15" s="31">
        <f>IF(B15=0,"",RANK(B15,$B$2:$B$84,0))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4" t="inlineStr">
        <is>
          <t>SJS</t>
        </is>
      </c>
      <c r="D15" s="34" t="inlineStr">
        <is>
          <t>S J S Enterprises Ltd</t>
        </is>
      </c>
      <c r="E15" s="31" t="inlineStr">
        <is>
          <t>auto</t>
        </is>
      </c>
      <c r="F15" s="31" t="inlineStr">
        <is>
          <t>Auto Ancillaries - Diversified</t>
        </is>
      </c>
      <c r="G15" s="31" t="inlineStr">
        <is>
          <t>midcap</t>
        </is>
      </c>
      <c r="H15" s="32" t="n">
        <v>7182.28</v>
      </c>
      <c r="I15" s="32" t="n">
        <v>2244.1</v>
      </c>
      <c r="J15" s="32" t="n">
        <v>0.83</v>
      </c>
      <c r="K15" s="32" t="n">
        <v>0</v>
      </c>
      <c r="L15" s="31" t="n">
        <v>80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65.94</v>
      </c>
      <c r="P15" s="32" t="n">
        <v>35.55</v>
      </c>
      <c r="Q15" s="32" t="n">
        <v>1797.54</v>
      </c>
      <c r="R15" s="31" t="inlineStr">
        <is>
          <t>Near 52W High Breakout</t>
        </is>
      </c>
      <c r="S15" s="31" t="inlineStr">
        <is>
          <t>Nifty Auto</t>
        </is>
      </c>
      <c r="T15" s="32" t="n">
        <v>14.92</v>
      </c>
      <c r="U15" s="32" t="n">
        <v>79.59</v>
      </c>
      <c r="V15" s="32" t="n">
        <v>56.28</v>
      </c>
      <c r="W15" s="32" t="n">
        <v>21.08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15</t>
        </is>
      </c>
      <c r="CG15" s="31">
        <f>IF(CF15&gt;20,10,IF(CF15&gt;=10,5,2))</f>
        <v/>
      </c>
    </row>
    <row r="16">
      <c r="A16" s="31">
        <f>IF(B16=0,"",RANK(B16,$B$2:$B$84,0))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CUPID</t>
        </is>
      </c>
      <c r="D16" s="31" t="inlineStr">
        <is>
          <t>Cupid Ltd</t>
        </is>
      </c>
      <c r="E16" s="31" t="inlineStr">
        <is>
          <t>fmcg</t>
        </is>
      </c>
      <c r="F16" s="31" t="inlineStr">
        <is>
          <t>Contraceptives/Protectives</t>
        </is>
      </c>
      <c r="G16" s="31" t="inlineStr">
        <is>
          <t>largecap</t>
        </is>
      </c>
      <c r="H16" s="32" t="n">
        <v>27865.4</v>
      </c>
      <c r="I16" s="32" t="n">
        <v>207.23</v>
      </c>
      <c r="J16" s="32" t="n">
        <v>-1.9</v>
      </c>
      <c r="K16" s="32" t="n">
        <v>0</v>
      </c>
      <c r="L16" s="31" t="n">
        <v>99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82.83</v>
      </c>
      <c r="P16" s="32" t="n">
        <v>65.62</v>
      </c>
      <c r="Q16" s="32" t="n">
        <v>167.52</v>
      </c>
      <c r="R16" s="31" t="inlineStr">
        <is>
          <t>Near 52W High Breakout</t>
        </is>
      </c>
      <c r="S16" s="31" t="inlineStr">
        <is>
          <t>Nifty FMCG</t>
        </is>
      </c>
      <c r="T16" s="32" t="n">
        <v>-9.800000000000001</v>
      </c>
      <c r="U16" s="32" t="n">
        <v>599.41</v>
      </c>
      <c r="V16" s="32" t="n">
        <v>675.36</v>
      </c>
      <c r="W16" s="32" t="n">
        <v>67.23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Less than 50%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18</t>
        </is>
      </c>
      <c r="CG16" s="31">
        <f>IF(CF16&gt;20,10,IF(CF16&gt;=10,5,2))</f>
        <v/>
      </c>
    </row>
    <row r="17">
      <c r="A17" s="31">
        <f>IF(B17=0,"",RANK(B17,$B$2:$B$84,0))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SUNRAKSHAK</t>
        </is>
      </c>
      <c r="D17" s="31" t="inlineStr">
        <is>
          <t>Sunrakshakk Industries India Ltd</t>
        </is>
      </c>
      <c r="E17" s="31" t="inlineStr">
        <is>
          <t>Consumer Cyclical</t>
        </is>
      </c>
      <c r="F17" s="31" t="inlineStr">
        <is>
          <t>Textiles - Processing/Texturising</t>
        </is>
      </c>
      <c r="G17" s="31" t="inlineStr">
        <is>
          <t>smallcap</t>
        </is>
      </c>
      <c r="H17" s="32" t="n">
        <v>1156.55</v>
      </c>
      <c r="I17" s="32" t="n">
        <v>373</v>
      </c>
      <c r="J17" s="32" t="n">
        <v>1.04</v>
      </c>
      <c r="K17" s="32" t="n">
        <v>0</v>
      </c>
      <c r="L17" s="31" t="n">
        <v>68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71.08</v>
      </c>
      <c r="P17" s="32" t="n">
        <v>46.48</v>
      </c>
      <c r="Q17" s="32" t="n">
        <v>288.98</v>
      </c>
      <c r="R17" s="31" t="inlineStr">
        <is>
          <t>Volume Spike &amp; Near 52W High Breakout</t>
        </is>
      </c>
      <c r="S17" s="31" t="inlineStr">
        <is>
          <t>Nifty 50</t>
        </is>
      </c>
      <c r="T17" s="32" t="n">
        <v>-3.39</v>
      </c>
      <c r="U17" s="32" t="n">
        <v>46.87</v>
      </c>
      <c r="V17" s="32" t="n">
        <v>52.01</v>
      </c>
      <c r="W17" s="32" t="n">
        <v>16.1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Negative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19</t>
        </is>
      </c>
      <c r="CG17" s="31">
        <f>IF(CF17&gt;20,10,IF(CF17&gt;=10,5,2))</f>
        <v/>
      </c>
    </row>
    <row r="18">
      <c r="A18" s="31">
        <f>IF(B18=0,"",RANK(B18,$B$2:$B$84,0))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THANGAMAYL</t>
        </is>
      </c>
      <c r="D18" s="31" t="inlineStr">
        <is>
          <t>Thangamayil Jewellery Ltd</t>
        </is>
      </c>
      <c r="E18" s="31" t="inlineStr">
        <is>
          <t>consumer discretionary</t>
        </is>
      </c>
      <c r="F18" s="31" t="inlineStr">
        <is>
          <t>Diamond, Gems &amp; Jewellery</t>
        </is>
      </c>
      <c r="G18" s="31" t="inlineStr">
        <is>
          <t>largecap</t>
        </is>
      </c>
      <c r="H18" s="32" t="n">
        <v>20156.69</v>
      </c>
      <c r="I18" s="32" t="n">
        <v>6485</v>
      </c>
      <c r="J18" s="32" t="n">
        <v>0.5</v>
      </c>
      <c r="K18" s="32" t="n">
        <v>0</v>
      </c>
      <c r="L18" s="31" t="n">
        <v>98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76.22</v>
      </c>
      <c r="P18" s="32" t="n">
        <v>49.01</v>
      </c>
      <c r="Q18" s="32" t="n">
        <v>4909.61</v>
      </c>
      <c r="R18" s="31" t="inlineStr">
        <is>
          <t>Near 52W High Breakout</t>
        </is>
      </c>
      <c r="S18" s="31" t="inlineStr">
        <is>
          <t>Nifty 50</t>
        </is>
      </c>
      <c r="T18" s="32" t="n">
        <v>-3.39</v>
      </c>
      <c r="U18" s="32" t="n">
        <v>254.17</v>
      </c>
      <c r="V18" s="32" t="n">
        <v>266.58</v>
      </c>
      <c r="W18" s="32" t="n">
        <v>46.9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Between 50% to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19</t>
        </is>
      </c>
      <c r="CG18" s="31">
        <f>IF(CF18&gt;20,10,IF(CF18&gt;=10,5,2))</f>
        <v/>
      </c>
    </row>
    <row r="19">
      <c r="A19" s="31">
        <f>IF(B19=0,"",RANK(B19,$B$2:$B$84,0))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SGMART</t>
        </is>
      </c>
      <c r="D19" s="31" t="inlineStr">
        <is>
          <t>SG Mart Ltd</t>
        </is>
      </c>
      <c r="E19" s="31" t="inlineStr">
        <is>
          <t>Industrials</t>
        </is>
      </c>
      <c r="F19" s="31" t="inlineStr">
        <is>
          <t>Trading</t>
        </is>
      </c>
      <c r="G19" s="31" t="inlineStr">
        <is>
          <t>midcap</t>
        </is>
      </c>
      <c r="H19" s="32" t="n">
        <v>8347.309999999999</v>
      </c>
      <c r="I19" s="32" t="n">
        <v>662.3</v>
      </c>
      <c r="J19" s="32" t="n">
        <v>0.41</v>
      </c>
      <c r="K19" s="32" t="n">
        <v>0</v>
      </c>
      <c r="L19" s="31" t="n">
        <v>70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74.62</v>
      </c>
      <c r="P19" s="32" t="n">
        <v>67.26000000000001</v>
      </c>
      <c r="Q19" s="32" t="n">
        <v>500.81</v>
      </c>
      <c r="R19" s="31" t="inlineStr">
        <is>
          <t>Volume Spike &amp; Near 52W High Breakout</t>
        </is>
      </c>
      <c r="S19" s="31" t="inlineStr">
        <is>
          <t>Nifty 50</t>
        </is>
      </c>
      <c r="T19" s="32" t="n">
        <v>-4.45</v>
      </c>
      <c r="U19" s="32" t="n">
        <v>84.5</v>
      </c>
      <c r="V19" s="32" t="n">
        <v>93.09999999999999</v>
      </c>
      <c r="W19" s="32" t="n">
        <v>17.02</v>
      </c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Between 1.5 to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16</t>
        </is>
      </c>
      <c r="CG19" s="31">
        <f>IF(CF19&gt;20,10,IF(CF19&gt;=10,5,2))</f>
        <v/>
      </c>
    </row>
    <row r="20">
      <c r="A20" s="31">
        <f>IF(B20=0,"",RANK(B20,$B$2:$B$84,0))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RAIN</t>
        </is>
      </c>
      <c r="D20" s="31" t="inlineStr">
        <is>
          <t>Rain Industries Ltd</t>
        </is>
      </c>
      <c r="E20" s="31" t="inlineStr">
        <is>
          <t>miscellaneous</t>
        </is>
      </c>
      <c r="F20" s="31" t="inlineStr">
        <is>
          <t>Cement</t>
        </is>
      </c>
      <c r="G20" s="31" t="inlineStr">
        <is>
          <t>midcap</t>
        </is>
      </c>
      <c r="H20" s="32" t="n">
        <v>7268.43</v>
      </c>
      <c r="I20" s="32" t="n">
        <v>216.1</v>
      </c>
      <c r="J20" s="32" t="n">
        <v>-3.27</v>
      </c>
      <c r="K20" s="32" t="n">
        <v>0</v>
      </c>
      <c r="L20" s="31" t="n">
        <v>84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73.91</v>
      </c>
      <c r="P20" s="32" t="n">
        <v>40.47</v>
      </c>
      <c r="Q20" s="32" t="n">
        <v>163.83</v>
      </c>
      <c r="R20" s="31" t="inlineStr">
        <is>
          <t>Near 52W High Breakout</t>
        </is>
      </c>
      <c r="S20" s="31" t="inlineStr">
        <is>
          <t>Nifty 50</t>
        </is>
      </c>
      <c r="T20" s="32" t="n">
        <v>-3.39</v>
      </c>
      <c r="U20" s="32" t="n">
        <v>40.43</v>
      </c>
      <c r="V20" s="32" t="n">
        <v>45.35</v>
      </c>
      <c r="W20" s="32" t="n">
        <v>24.23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More than 1.2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16</t>
        </is>
      </c>
      <c r="CG20" s="31">
        <f>IF(CF20&gt;20,10,IF(CF20&gt;=10,5,2))</f>
        <v/>
      </c>
    </row>
    <row r="21">
      <c r="A21" s="31">
        <f>IF(B21=0,"",RANK(B21,$B$2:$B$84,0))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KPL</t>
        </is>
      </c>
      <c r="D21" s="31" t="inlineStr">
        <is>
          <t>Kwality Pharmaceuticals Ltd</t>
        </is>
      </c>
      <c r="E21" s="31" t="inlineStr">
        <is>
          <t>Healthcare</t>
        </is>
      </c>
      <c r="F21" s="31" t="inlineStr">
        <is>
          <t>Pharma - Formulators</t>
        </is>
      </c>
      <c r="G21" s="31" t="inlineStr">
        <is>
          <t>smallcap</t>
        </is>
      </c>
      <c r="H21" s="32" t="n">
        <v>2791.2</v>
      </c>
      <c r="I21" s="32" t="n">
        <v>2690</v>
      </c>
      <c r="J21" s="32" t="n">
        <v>0.03</v>
      </c>
      <c r="K21" s="32" t="n">
        <v>0</v>
      </c>
      <c r="L21" s="31" t="n">
        <v>94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77.38</v>
      </c>
      <c r="P21" s="32" t="n">
        <v>63.44</v>
      </c>
      <c r="Q21" s="32" t="n">
        <v>1997.55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13.63</v>
      </c>
      <c r="U21" s="32" t="n">
        <v>130.76</v>
      </c>
      <c r="V21" s="32" t="n">
        <v>103.07</v>
      </c>
      <c r="W21" s="32" t="n">
        <v>35.56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Less than 50%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20</t>
        </is>
      </c>
      <c r="CG21" s="31">
        <f>IF(CF21&gt;20,10,IF(CF21&gt;=10,5,2))</f>
        <v/>
      </c>
    </row>
    <row r="22">
      <c r="A22" s="31">
        <f>IF(B22=0,"",RANK(B22,$B$2:$B$84,0))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VADILALIND</t>
        </is>
      </c>
      <c r="D22" s="31" t="inlineStr">
        <is>
          <t>Vadilal Industries Ltd</t>
        </is>
      </c>
      <c r="E22" s="31" t="inlineStr">
        <is>
          <t>fmcg</t>
        </is>
      </c>
      <c r="F22" s="31" t="inlineStr">
        <is>
          <t>FMCG - Dairy Products</t>
        </is>
      </c>
      <c r="G22" s="31" t="inlineStr">
        <is>
          <t>smallcap</t>
        </is>
      </c>
      <c r="H22" s="32" t="n">
        <v>4839.21</v>
      </c>
      <c r="I22" s="32" t="n">
        <v>6732.5</v>
      </c>
      <c r="J22" s="32" t="n">
        <v>-1.24</v>
      </c>
      <c r="K22" s="32" t="n">
        <v>0</v>
      </c>
      <c r="L22" s="31" t="n">
        <v>73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73.08</v>
      </c>
      <c r="P22" s="32" t="n">
        <v>29.2</v>
      </c>
      <c r="Q22" s="32" t="n">
        <v>5424.69</v>
      </c>
      <c r="R22" s="31" t="inlineStr">
        <is>
          <t>Near 52W High Breakout</t>
        </is>
      </c>
      <c r="S22" s="31" t="inlineStr">
        <is>
          <t>Nifty FMCG</t>
        </is>
      </c>
      <c r="T22" s="32" t="n">
        <v>-9.800000000000001</v>
      </c>
      <c r="U22" s="32" t="n">
        <v>23.61</v>
      </c>
      <c r="V22" s="32" t="n">
        <v>37.03</v>
      </c>
      <c r="W22" s="32" t="n">
        <v>17.68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B2C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Between 50% to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18</t>
        </is>
      </c>
      <c r="CG22" s="31">
        <f>IF(CF22&gt;20,10,IF(CF22&gt;=10,5,2))</f>
        <v/>
      </c>
    </row>
    <row r="23">
      <c r="A23" s="31">
        <f>IF(B23=0,"",RANK(B23,$B$2:$B$84,0))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4" t="inlineStr">
        <is>
          <t>THYROCARE</t>
        </is>
      </c>
      <c r="D23" s="34" t="inlineStr">
        <is>
          <t>Thyrocare Technologies Ltd</t>
        </is>
      </c>
      <c r="E23" s="31" t="inlineStr">
        <is>
          <t>healthcare</t>
        </is>
      </c>
      <c r="F23" s="31" t="inlineStr">
        <is>
          <t>Diagnostics</t>
        </is>
      </c>
      <c r="G23" s="31" t="inlineStr">
        <is>
          <t>midcap</t>
        </is>
      </c>
      <c r="H23" s="32" t="n">
        <v>8865.51</v>
      </c>
      <c r="I23" s="32" t="n">
        <v>557</v>
      </c>
      <c r="J23" s="32" t="n">
        <v>-1.04</v>
      </c>
      <c r="K23" s="32" t="n">
        <v>0</v>
      </c>
      <c r="L23" s="31" t="n">
        <v>65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66.58</v>
      </c>
      <c r="P23" s="32" t="n">
        <v>47.84</v>
      </c>
      <c r="Q23" s="32" t="n">
        <v>422.38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13.63</v>
      </c>
      <c r="U23" s="32" t="n">
        <v>29.95</v>
      </c>
      <c r="V23" s="32" t="n">
        <v>14.36</v>
      </c>
      <c r="W23" s="32" t="n">
        <v>15.44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15</t>
        </is>
      </c>
      <c r="CG23" s="31">
        <f>IF(CF23&gt;20,10,IF(CF23&gt;=10,5,2))</f>
        <v/>
      </c>
    </row>
    <row r="24">
      <c r="A24" s="31">
        <f>IF(B24=0,"",RANK(B24,$B$2:$B$84,0))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E2E</t>
        </is>
      </c>
      <c r="D24" s="31" t="inlineStr">
        <is>
          <t>E2E Networks Ltd</t>
        </is>
      </c>
      <c r="E24" s="31" t="inlineStr">
        <is>
          <t>i.t</t>
        </is>
      </c>
      <c r="F24" s="31" t="inlineStr">
        <is>
          <t>Data Centre</t>
        </is>
      </c>
      <c r="G24" s="31" t="inlineStr">
        <is>
          <t>midcap</t>
        </is>
      </c>
      <c r="H24" s="32" t="n">
        <v>9634.83</v>
      </c>
      <c r="I24" s="32" t="n">
        <v>468.7</v>
      </c>
      <c r="J24" s="32" t="n">
        <v>5</v>
      </c>
      <c r="K24" s="32" t="n">
        <v>0</v>
      </c>
      <c r="L24" s="31" t="n">
        <v>94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67.64</v>
      </c>
      <c r="P24" s="32" t="n">
        <v>43</v>
      </c>
      <c r="Q24" s="32" t="n">
        <v>325.37</v>
      </c>
      <c r="R24" s="31" t="inlineStr">
        <is>
          <t>Near 52W High Breakout</t>
        </is>
      </c>
      <c r="S24" s="31" t="inlineStr">
        <is>
          <t>Nifty IT</t>
        </is>
      </c>
      <c r="T24" s="32" t="n">
        <v>-19.86</v>
      </c>
      <c r="U24" s="32" t="n">
        <v>119.06</v>
      </c>
      <c r="V24" s="32" t="n">
        <v>173.34</v>
      </c>
      <c r="W24" s="32" t="n">
        <v>35.09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Less than 12%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25</t>
        </is>
      </c>
      <c r="CG24" s="31">
        <f>IF(CF24&gt;20,10,IF(CF24&gt;=10,5,2))</f>
        <v/>
      </c>
    </row>
    <row r="25">
      <c r="A25" s="31">
        <f>IF(B25=0,"",RANK(B25,$B$2:$B$84,0))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CEMPRO</t>
        </is>
      </c>
      <c r="D25" s="31" t="inlineStr">
        <is>
          <t>Cemindia Projects Ltd</t>
        </is>
      </c>
      <c r="E25" s="31" t="inlineStr">
        <is>
          <t>realty</t>
        </is>
      </c>
      <c r="F25" s="31" t="inlineStr">
        <is>
          <t>Infra - Construction &amp; Contracting</t>
        </is>
      </c>
      <c r="G25" s="31" t="inlineStr">
        <is>
          <t>largecap</t>
        </is>
      </c>
      <c r="H25" s="32" t="n">
        <v>27486.01</v>
      </c>
      <c r="I25" s="32" t="n">
        <v>1600</v>
      </c>
      <c r="J25" s="32" t="n">
        <v>-2.42</v>
      </c>
      <c r="K25" s="32" t="n">
        <v>0</v>
      </c>
      <c r="L25" s="31" t="n">
        <v>98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82.77</v>
      </c>
      <c r="P25" s="32" t="n">
        <v>56.92</v>
      </c>
      <c r="Q25" s="32" t="n">
        <v>1280.09</v>
      </c>
      <c r="R25" s="31" t="inlineStr">
        <is>
          <t>Near 52W High Breakout</t>
        </is>
      </c>
      <c r="S25" s="31" t="inlineStr">
        <is>
          <t>Nifty Realty</t>
        </is>
      </c>
      <c r="T25" s="32" t="n">
        <v>-5.01</v>
      </c>
      <c r="U25" s="32" t="n">
        <v>108.16</v>
      </c>
      <c r="V25" s="32" t="n">
        <v>119.13</v>
      </c>
      <c r="W25" s="32" t="n">
        <v>55.9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Less than 50%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20</t>
        </is>
      </c>
      <c r="CG25" s="31">
        <f>IF(CF25&gt;20,10,IF(CF25&gt;=10,5,2))</f>
        <v/>
      </c>
    </row>
    <row r="26">
      <c r="A26" s="31">
        <f>IF(B26=0,"",RANK(B26,$B$2:$B$84,0))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FILATEX</t>
        </is>
      </c>
      <c r="D26" s="31" t="inlineStr">
        <is>
          <t>Filatex India Ltd</t>
        </is>
      </c>
      <c r="E26" s="31" t="inlineStr">
        <is>
          <t>textiles</t>
        </is>
      </c>
      <c r="F26" s="31" t="inlineStr">
        <is>
          <t>Textiles - Manmade Fibre - PFY/PSF</t>
        </is>
      </c>
      <c r="G26" s="31" t="inlineStr">
        <is>
          <t>smallcap</t>
        </is>
      </c>
      <c r="H26" s="32" t="n">
        <v>3168.8</v>
      </c>
      <c r="I26" s="32" t="n">
        <v>71.36</v>
      </c>
      <c r="J26" s="32" t="n">
        <v>0.08</v>
      </c>
      <c r="K26" s="32" t="n">
        <v>0</v>
      </c>
      <c r="L26" s="31" t="n">
        <v>82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75.75</v>
      </c>
      <c r="P26" s="32" t="n">
        <v>24.3</v>
      </c>
      <c r="Q26" s="32" t="n">
        <v>55.09</v>
      </c>
      <c r="R26" s="31" t="inlineStr">
        <is>
          <t>Near 52W High Breakout</t>
        </is>
      </c>
      <c r="S26" s="31" t="inlineStr">
        <is>
          <t>Nifty 50</t>
        </is>
      </c>
      <c r="T26" s="32" t="n">
        <v>-3.39</v>
      </c>
      <c r="U26" s="32" t="n">
        <v>21.31</v>
      </c>
      <c r="V26" s="32" t="n">
        <v>25.56</v>
      </c>
      <c r="W26" s="32" t="n">
        <v>23.06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Between 12 to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18</t>
        </is>
      </c>
      <c r="CG26" s="31">
        <f>IF(CF26&gt;20,10,IF(CF26&gt;=10,5,2))</f>
        <v/>
      </c>
    </row>
    <row r="27">
      <c r="A27" s="31">
        <f>IF(B27=0,"",RANK(B27,$B$2:$B$84,0))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KABRAEXTRU</t>
        </is>
      </c>
      <c r="D27" s="31" t="inlineStr">
        <is>
          <t>Kabra Extrusion Technik Ltd</t>
        </is>
      </c>
      <c r="E27" s="31" t="inlineStr">
        <is>
          <t>industrials</t>
        </is>
      </c>
      <c r="F27" s="31" t="inlineStr">
        <is>
          <t>Capital Goods - Engineering Heavy</t>
        </is>
      </c>
      <c r="G27" s="31" t="inlineStr">
        <is>
          <t>smallcap</t>
        </is>
      </c>
      <c r="H27" s="32" t="n">
        <v>1187.85</v>
      </c>
      <c r="I27" s="32" t="n">
        <v>339.65</v>
      </c>
      <c r="J27" s="32" t="n">
        <v>-5.47</v>
      </c>
      <c r="K27" s="32" t="n">
        <v>0</v>
      </c>
      <c r="L27" s="31" t="n">
        <v>59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73.31</v>
      </c>
      <c r="P27" s="32" t="n">
        <v>20.57</v>
      </c>
      <c r="Q27" s="32" t="n">
        <v>253.56</v>
      </c>
      <c r="R27" s="31" t="inlineStr">
        <is>
          <t>Near 52W High Breakout</t>
        </is>
      </c>
      <c r="S27" s="31" t="inlineStr">
        <is>
          <t>Nifty Infra</t>
        </is>
      </c>
      <c r="T27" s="32" t="n">
        <v>3.35</v>
      </c>
      <c r="U27" s="32" t="n">
        <v>17.26</v>
      </c>
      <c r="V27" s="32" t="n">
        <v>13.47</v>
      </c>
      <c r="W27" s="32" t="n">
        <v>13.58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16</t>
        </is>
      </c>
      <c r="CG27" s="31">
        <f>IF(CF27&gt;20,10,IF(CF27&gt;=10,5,2))</f>
        <v/>
      </c>
    </row>
    <row r="28">
      <c r="A28" s="31">
        <f>IF(B28=0,"",RANK(B28,$B$2:$B$84,0))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3" t="inlineStr">
        <is>
          <t>DPABHUSHAN</t>
        </is>
      </c>
      <c r="D28" s="33" t="inlineStr">
        <is>
          <t>DP Abhushan Ltd</t>
        </is>
      </c>
      <c r="E28" s="31" t="inlineStr">
        <is>
          <t>consumer discretionary</t>
        </is>
      </c>
      <c r="F28" s="31" t="inlineStr">
        <is>
          <t>Diamond, Gems &amp; Jewellery</t>
        </is>
      </c>
      <c r="G28" s="31" t="inlineStr">
        <is>
          <t>smallcap</t>
        </is>
      </c>
      <c r="H28" s="32" t="n">
        <v>3161.44</v>
      </c>
      <c r="I28" s="32" t="n">
        <v>1384.9</v>
      </c>
      <c r="J28" s="32" t="n">
        <v>-5.92</v>
      </c>
      <c r="K28" s="32" t="n">
        <v>0</v>
      </c>
      <c r="L28" s="31" t="n">
        <v>14</v>
      </c>
      <c r="M28" s="31" t="inlineStr">
        <is>
          <t>Underperforming</t>
        </is>
      </c>
      <c r="N28" s="32">
        <f>IF(M28="Underperforming",-5,IF(L28&gt;=95,15,IF(L28&gt;=90,10,IF(L28&gt;=80,5,0))))</f>
        <v/>
      </c>
      <c r="O28" s="32" t="n">
        <v>64.38</v>
      </c>
      <c r="P28" s="32" t="n">
        <v>26.87</v>
      </c>
      <c r="Q28" s="32" t="n">
        <v>998.03</v>
      </c>
      <c r="R28" s="31" t="inlineStr">
        <is>
          <t>Volume Spike / Accumulation</t>
        </is>
      </c>
      <c r="S28" s="31" t="inlineStr">
        <is>
          <t>Nifty 50</t>
        </is>
      </c>
      <c r="T28" s="32" t="n">
        <v>-3.39</v>
      </c>
      <c r="U28" s="32" t="n">
        <v>-17.41</v>
      </c>
      <c r="V28" s="32" t="n">
        <v>-14.52</v>
      </c>
      <c r="W28" s="32" t="n">
        <v>2.3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15</t>
        </is>
      </c>
      <c r="CG28" s="31">
        <f>IF(CF28&gt;20,10,IF(CF28&gt;=10,5,2))</f>
        <v/>
      </c>
    </row>
    <row r="29">
      <c r="A29" s="31">
        <f>IF(B29=0,"",RANK(B29,$B$2:$B$84,0))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HSCL</t>
        </is>
      </c>
      <c r="D29" s="31" t="inlineStr">
        <is>
          <t>Himadri Speciality Chemical Ltd</t>
        </is>
      </c>
      <c r="E29" s="31" t="inlineStr">
        <is>
          <t>chemicals</t>
        </is>
      </c>
      <c r="F29" s="31" t="inlineStr">
        <is>
          <t>Carbon Black</t>
        </is>
      </c>
      <c r="G29" s="31" t="inlineStr">
        <is>
          <t>largecap</t>
        </is>
      </c>
      <c r="H29" s="32" t="n">
        <v>38577.25</v>
      </c>
      <c r="I29" s="32" t="n">
        <v>764.6</v>
      </c>
      <c r="J29" s="32" t="n">
        <v>-4.53</v>
      </c>
      <c r="K29" s="32" t="n">
        <v>0</v>
      </c>
      <c r="L29" s="31" t="n">
        <v>72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76.5</v>
      </c>
      <c r="P29" s="32" t="n">
        <v>42.91</v>
      </c>
      <c r="Q29" s="32" t="n">
        <v>591.58</v>
      </c>
      <c r="R29" s="31" t="inlineStr">
        <is>
          <t>Near 52W High Breakout</t>
        </is>
      </c>
      <c r="S29" s="31" t="inlineStr">
        <is>
          <t>Nifty 50</t>
        </is>
      </c>
      <c r="T29" s="32" t="n">
        <v>-3.39</v>
      </c>
      <c r="U29" s="32" t="n">
        <v>54.37</v>
      </c>
      <c r="V29" s="32" t="n">
        <v>59.78</v>
      </c>
      <c r="W29" s="32" t="n">
        <v>17.57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Between 1.5 to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15</t>
        </is>
      </c>
      <c r="CG29" s="31">
        <f>IF(CF29&gt;20,10,IF(CF29&gt;=10,5,2))</f>
        <v/>
      </c>
    </row>
    <row r="30">
      <c r="A30" s="31">
        <f>IF(B30=0,"",RANK(B30,$B$2:$B$84,0))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KMCSHIL</t>
        </is>
      </c>
      <c r="D30" s="31" t="inlineStr">
        <is>
          <t>KMC Speciality Hospitals (India) Ltd</t>
        </is>
      </c>
      <c r="E30" s="31" t="inlineStr">
        <is>
          <t>Healthcare</t>
        </is>
      </c>
      <c r="F30" s="31" t="inlineStr">
        <is>
          <t>Hospitals</t>
        </is>
      </c>
      <c r="G30" s="31" t="inlineStr">
        <is>
          <t>smallcap</t>
        </is>
      </c>
      <c r="H30" s="32" t="n">
        <v>2169.03</v>
      </c>
      <c r="I30" s="32" t="n">
        <v>133</v>
      </c>
      <c r="J30" s="32" t="n">
        <v>-0.3</v>
      </c>
      <c r="K30" s="32" t="n">
        <v>0</v>
      </c>
      <c r="L30" s="31" t="n">
        <v>87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80.48999999999999</v>
      </c>
      <c r="P30" s="32" t="n">
        <v>66.92</v>
      </c>
      <c r="Q30" s="32" t="n">
        <v>106.22</v>
      </c>
      <c r="R30" s="31" t="inlineStr">
        <is>
          <t>Near 52W High Breakout</t>
        </is>
      </c>
      <c r="S30" s="31" t="inlineStr">
        <is>
          <t>Nifty Pharma</t>
        </is>
      </c>
      <c r="T30" s="32" t="n">
        <v>13.63</v>
      </c>
      <c r="U30" s="32" t="n">
        <v>105.24</v>
      </c>
      <c r="V30" s="32" t="n">
        <v>80.61</v>
      </c>
      <c r="W30" s="32" t="n">
        <v>26.5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19</t>
        </is>
      </c>
      <c r="CG30" s="31">
        <f>IF(CF30&gt;20,10,IF(CF30&gt;=10,5,2))</f>
        <v/>
      </c>
    </row>
    <row r="31">
      <c r="A31" s="31">
        <f>IF(B31=0,"",RANK(B31,$B$2:$B$84,0))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4" t="inlineStr">
        <is>
          <t>PICCADIL</t>
        </is>
      </c>
      <c r="D31" s="34" t="inlineStr">
        <is>
          <t>Piccadily Agro Industries Ltd</t>
        </is>
      </c>
      <c r="E31" s="31" t="inlineStr">
        <is>
          <t>fmcg</t>
        </is>
      </c>
      <c r="F31" s="31" t="inlineStr">
        <is>
          <t>Alcoholic Beverages</t>
        </is>
      </c>
      <c r="G31" s="31" t="inlineStr">
        <is>
          <t>midcap</t>
        </is>
      </c>
      <c r="H31" s="32" t="n">
        <v>7343.62</v>
      </c>
      <c r="I31" s="32" t="n">
        <v>745</v>
      </c>
      <c r="J31" s="32" t="n">
        <v>-1.06</v>
      </c>
      <c r="K31" s="32" t="n">
        <v>0</v>
      </c>
      <c r="L31" s="31" t="n">
        <v>40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71.23</v>
      </c>
      <c r="P31" s="32" t="n">
        <v>41.19</v>
      </c>
      <c r="Q31" s="32" t="n">
        <v>585.74</v>
      </c>
      <c r="R31" s="31" t="inlineStr">
        <is>
          <t>Near 52W High Breakout</t>
        </is>
      </c>
      <c r="S31" s="31" t="inlineStr">
        <is>
          <t>Nifty FMCG</t>
        </is>
      </c>
      <c r="T31" s="32" t="n">
        <v>-9.800000000000001</v>
      </c>
      <c r="U31" s="32" t="n">
        <v>22.53</v>
      </c>
      <c r="V31" s="32" t="n">
        <v>35.84</v>
      </c>
      <c r="W31" s="32" t="n">
        <v>8.279999999999999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B2C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Less than 12%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Between 50% to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17</t>
        </is>
      </c>
      <c r="CG31" s="31">
        <f>IF(CF31&gt;20,10,IF(CF31&gt;=10,5,2))</f>
        <v/>
      </c>
    </row>
    <row r="32">
      <c r="A32" s="31">
        <f>IF(B32=0,"",RANK(B32,$B$2:$B$84,0))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HESTERBIO</t>
        </is>
      </c>
      <c r="D32" s="31" t="inlineStr">
        <is>
          <t>Hester Biosciences Ltd</t>
        </is>
      </c>
      <c r="E32" s="31" t="inlineStr">
        <is>
          <t>healthcare</t>
        </is>
      </c>
      <c r="F32" s="31" t="inlineStr">
        <is>
          <t>Pharma - Animal</t>
        </is>
      </c>
      <c r="G32" s="31" t="inlineStr">
        <is>
          <t>smallcap</t>
        </is>
      </c>
      <c r="H32" s="32" t="n">
        <v>2068.02</v>
      </c>
      <c r="I32" s="32" t="n">
        <v>2431</v>
      </c>
      <c r="J32" s="32" t="n">
        <v>-0.78</v>
      </c>
      <c r="K32" s="32" t="n">
        <v>0</v>
      </c>
      <c r="L32" s="31" t="n">
        <v>81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75.02</v>
      </c>
      <c r="P32" s="32" t="n">
        <v>49.25</v>
      </c>
      <c r="Q32" s="32" t="n">
        <v>1868.77</v>
      </c>
      <c r="R32" s="31" t="inlineStr">
        <is>
          <t>Near 52W High Breakout</t>
        </is>
      </c>
      <c r="S32" s="31" t="inlineStr">
        <is>
          <t>Nifty Pharma</t>
        </is>
      </c>
      <c r="T32" s="32" t="n">
        <v>13.63</v>
      </c>
      <c r="U32" s="32" t="n">
        <v>35.85</v>
      </c>
      <c r="V32" s="32" t="n">
        <v>19.55</v>
      </c>
      <c r="W32" s="32" t="n">
        <v>22.21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16</t>
        </is>
      </c>
      <c r="CG32" s="31">
        <f>IF(CF32&gt;20,10,IF(CF32&gt;=10,5,2))</f>
        <v/>
      </c>
    </row>
    <row r="33">
      <c r="A33" s="31">
        <f>IF(B33=0,"",RANK(B33,$B$2:$B$84,0))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4" t="inlineStr">
        <is>
          <t>NGLFINE</t>
        </is>
      </c>
      <c r="D33" s="34" t="inlineStr">
        <is>
          <t>NGL Fine Chem Ltd</t>
        </is>
      </c>
      <c r="E33" s="31" t="inlineStr">
        <is>
          <t>healthcare</t>
        </is>
      </c>
      <c r="F33" s="31" t="inlineStr">
        <is>
          <t>Pharma - Animal</t>
        </is>
      </c>
      <c r="G33" s="31" t="inlineStr">
        <is>
          <t>smallcap</t>
        </is>
      </c>
      <c r="H33" s="32" t="n">
        <v>1985.12</v>
      </c>
      <c r="I33" s="32" t="n">
        <v>3213.2</v>
      </c>
      <c r="J33" s="32" t="n">
        <v>-0.75</v>
      </c>
      <c r="K33" s="32" t="n">
        <v>0</v>
      </c>
      <c r="L33" s="31" t="n">
        <v>90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77.36</v>
      </c>
      <c r="P33" s="32" t="n">
        <v>67.91</v>
      </c>
      <c r="Q33" s="32" t="n">
        <v>2280.18</v>
      </c>
      <c r="R33" s="31" t="inlineStr">
        <is>
          <t>Near 52W High Breakout</t>
        </is>
      </c>
      <c r="S33" s="31" t="inlineStr">
        <is>
          <t>Nifty Pharma</t>
        </is>
      </c>
      <c r="T33" s="32" t="n">
        <v>13.63</v>
      </c>
      <c r="U33" s="32" t="n">
        <v>154.64</v>
      </c>
      <c r="V33" s="32" t="n">
        <v>124.09</v>
      </c>
      <c r="W33" s="32" t="n">
        <v>31.34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Between 50% to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16</t>
        </is>
      </c>
      <c r="CG33" s="31">
        <f>IF(CF33&gt;20,10,IF(CF33&gt;=10,5,2))</f>
        <v/>
      </c>
    </row>
    <row r="34">
      <c r="A34" s="31">
        <f>IF(B34=0,"",RANK(B34,$B$2:$B$84,0))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INDNIPPON</t>
        </is>
      </c>
      <c r="D34" s="31" t="inlineStr">
        <is>
          <t>India Nippon Electricals Ltd</t>
        </is>
      </c>
      <c r="E34" s="31" t="inlineStr">
        <is>
          <t>auto</t>
        </is>
      </c>
      <c r="F34" s="31" t="inlineStr">
        <is>
          <t>Auto Ancillaries - Engine Parts</t>
        </is>
      </c>
      <c r="G34" s="31" t="inlineStr">
        <is>
          <t>smallcap</t>
        </is>
      </c>
      <c r="H34" s="32" t="n">
        <v>2749.63</v>
      </c>
      <c r="I34" s="32" t="n">
        <v>1215.5</v>
      </c>
      <c r="J34" s="32" t="n">
        <v>-2.1</v>
      </c>
      <c r="K34" s="32" t="n">
        <v>0</v>
      </c>
      <c r="L34" s="31" t="n">
        <v>85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77.81</v>
      </c>
      <c r="P34" s="32" t="n">
        <v>32.02</v>
      </c>
      <c r="Q34" s="32" t="n">
        <v>978.6900000000001</v>
      </c>
      <c r="R34" s="31" t="inlineStr">
        <is>
          <t>Near 52W High Breakout</t>
        </is>
      </c>
      <c r="S34" s="31" t="inlineStr">
        <is>
          <t>Nifty Auto</t>
        </is>
      </c>
      <c r="T34" s="32" t="n">
        <v>14.92</v>
      </c>
      <c r="U34" s="32" t="n">
        <v>59.71</v>
      </c>
      <c r="V34" s="32" t="n">
        <v>38.97</v>
      </c>
      <c r="W34" s="32" t="n">
        <v>24.68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Less than 50%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24</t>
        </is>
      </c>
      <c r="CG34" s="31">
        <f>IF(CF34&gt;20,10,IF(CF34&gt;=10,5,2))</f>
        <v/>
      </c>
    </row>
    <row r="35">
      <c r="A35" s="31">
        <f>IF(B35=0,"",RANK(B35,$B$2:$B$84,0))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SSWL</t>
        </is>
      </c>
      <c r="D35" s="31" t="inlineStr">
        <is>
          <t>Steel Strips Wheels Ltd</t>
        </is>
      </c>
      <c r="E35" s="31" t="inlineStr">
        <is>
          <t>auto</t>
        </is>
      </c>
      <c r="F35" s="31" t="inlineStr">
        <is>
          <t>Auto Ancillaries - Wheels</t>
        </is>
      </c>
      <c r="G35" s="31" t="inlineStr">
        <is>
          <t>smallcap</t>
        </is>
      </c>
      <c r="H35" s="32" t="n">
        <v>4390.05</v>
      </c>
      <c r="I35" s="32" t="n">
        <v>279.3</v>
      </c>
      <c r="J35" s="32" t="n">
        <v>0</v>
      </c>
      <c r="K35" s="32" t="n">
        <v>0</v>
      </c>
      <c r="L35" s="31" t="n">
        <v>55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70.98</v>
      </c>
      <c r="P35" s="32" t="n">
        <v>16.7</v>
      </c>
      <c r="Q35" s="32" t="n">
        <v>216.74</v>
      </c>
      <c r="R35" s="31" t="inlineStr">
        <is>
          <t>Near 52W High Breakout</t>
        </is>
      </c>
      <c r="S35" s="31" t="inlineStr">
        <is>
          <t>Nifty Auto</t>
        </is>
      </c>
      <c r="T35" s="32" t="n">
        <v>14.92</v>
      </c>
      <c r="U35" s="32" t="n">
        <v>16.78</v>
      </c>
      <c r="V35" s="32" t="n">
        <v>1.62</v>
      </c>
      <c r="W35" s="32" t="n">
        <v>11.66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0 to 20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24</t>
        </is>
      </c>
      <c r="CG35" s="31">
        <f>IF(CF35&gt;20,10,IF(CF35&gt;=10,5,2))</f>
        <v/>
      </c>
    </row>
    <row r="36">
      <c r="A36" s="31">
        <f>IF(B36=0,"",RANK(B36,$B$2:$B$84,0))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TATVA</t>
        </is>
      </c>
      <c r="D36" s="31" t="inlineStr">
        <is>
          <t>Tatva Chintan Pharma Chem Ltd</t>
        </is>
      </c>
      <c r="E36" s="31" t="inlineStr">
        <is>
          <t>chemicals</t>
        </is>
      </c>
      <c r="F36" s="31" t="inlineStr">
        <is>
          <t>Speciality Chemicals</t>
        </is>
      </c>
      <c r="G36" s="31" t="inlineStr">
        <is>
          <t>smallcap</t>
        </is>
      </c>
      <c r="H36" s="32" t="n">
        <v>3885.42</v>
      </c>
      <c r="I36" s="32" t="n">
        <v>1661</v>
      </c>
      <c r="J36" s="32" t="n">
        <v>-1.42</v>
      </c>
      <c r="K36" s="32" t="n">
        <v>0</v>
      </c>
      <c r="L36" s="31" t="n">
        <v>64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72.41</v>
      </c>
      <c r="P36" s="32" t="n">
        <v>20.34</v>
      </c>
      <c r="Q36" s="32" t="n">
        <v>1244.4</v>
      </c>
      <c r="R36" s="31" t="inlineStr">
        <is>
          <t>Volume Spike &amp; Near 52W High Breakout</t>
        </is>
      </c>
      <c r="S36" s="31" t="inlineStr">
        <is>
          <t>Nifty 50</t>
        </is>
      </c>
      <c r="T36" s="32" t="n">
        <v>-3.39</v>
      </c>
      <c r="U36" s="32" t="n">
        <v>45.46</v>
      </c>
      <c r="V36" s="32" t="n">
        <v>50.55</v>
      </c>
      <c r="W36" s="32" t="n">
        <v>15.11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23</t>
        </is>
      </c>
      <c r="CG36" s="31">
        <f>IF(CF36&gt;20,10,IF(CF36&gt;=10,5,2))</f>
        <v/>
      </c>
    </row>
    <row r="37">
      <c r="A37" s="31">
        <f>IF(B37=0,"",RANK(B37,$B$2:$B$84,0))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ADOR</t>
        </is>
      </c>
      <c r="D37" s="31" t="inlineStr">
        <is>
          <t>Ador Welding Ltd</t>
        </is>
      </c>
      <c r="E37" s="31" t="inlineStr">
        <is>
          <t>industrials</t>
        </is>
      </c>
      <c r="F37" s="31" t="inlineStr">
        <is>
          <t>Welding Equipments</t>
        </is>
      </c>
      <c r="G37" s="31" t="inlineStr">
        <is>
          <t>smallcap</t>
        </is>
      </c>
      <c r="H37" s="32" t="n">
        <v>2547.77</v>
      </c>
      <c r="I37" s="32" t="n">
        <v>1464</v>
      </c>
      <c r="J37" s="32" t="n">
        <v>-2.87</v>
      </c>
      <c r="K37" s="32" t="n">
        <v>0</v>
      </c>
      <c r="L37" s="31" t="n">
        <v>78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81.33</v>
      </c>
      <c r="P37" s="32" t="n">
        <v>38.93</v>
      </c>
      <c r="Q37" s="32" t="n">
        <v>1187.74</v>
      </c>
      <c r="R37" s="31" t="inlineStr">
        <is>
          <t>Volume Spike &amp; Near 52W High Breakout</t>
        </is>
      </c>
      <c r="S37" s="31" t="inlineStr">
        <is>
          <t>Nifty 50</t>
        </is>
      </c>
      <c r="T37" s="32" t="n">
        <v>-3.39</v>
      </c>
      <c r="U37" s="32" t="n">
        <v>43.98</v>
      </c>
      <c r="V37" s="32" t="n">
        <v>49.02</v>
      </c>
      <c r="W37" s="32" t="n">
        <v>20.27</v>
      </c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23</t>
        </is>
      </c>
      <c r="CG37" s="31">
        <f>IF(CF37&gt;20,10,IF(CF37&gt;=10,5,2))</f>
        <v/>
      </c>
    </row>
    <row r="38">
      <c r="A38" s="31">
        <f>IF(B38=0,"",RANK(B38,$B$2:$B$84,0))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4" t="inlineStr">
        <is>
          <t>BLUESTONE</t>
        </is>
      </c>
      <c r="D38" s="34" t="inlineStr">
        <is>
          <t>Bluestone Jewellery &amp; Lifestyle Ltd</t>
        </is>
      </c>
      <c r="E38" s="31" t="inlineStr">
        <is>
          <t>Consumer Cyclical</t>
        </is>
      </c>
      <c r="F38" s="31" t="inlineStr">
        <is>
          <t>Diamond, Gems &amp; Jewellery</t>
        </is>
      </c>
      <c r="G38" s="31" t="inlineStr">
        <is>
          <t>midcap</t>
        </is>
      </c>
      <c r="H38" s="32" t="n">
        <v>11887.72</v>
      </c>
      <c r="I38" s="32" t="n">
        <v>780</v>
      </c>
      <c r="J38" s="32" t="n">
        <v>7.05</v>
      </c>
      <c r="K38" s="32" t="n">
        <v>0</v>
      </c>
      <c r="L38" s="31" t="n">
        <v>80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74.34999999999999</v>
      </c>
      <c r="P38" s="32" t="n">
        <v>21.41</v>
      </c>
      <c r="Q38" s="32" t="n">
        <v>560.64</v>
      </c>
      <c r="R38" s="31" t="inlineStr">
        <is>
          <t>Volume Spike &amp; Near 52W High Breakout</t>
        </is>
      </c>
      <c r="S38" s="31" t="inlineStr">
        <is>
          <t>Nifty 50</t>
        </is>
      </c>
      <c r="T38" s="32" t="n">
        <v>-3.51</v>
      </c>
      <c r="U38" s="32" t="n">
        <v>42.04</v>
      </c>
      <c r="V38" s="32" t="n">
        <v>47.22</v>
      </c>
      <c r="W38" s="32" t="n">
        <v>21.06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B2C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Between 0.7 to 1.2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21</t>
        </is>
      </c>
      <c r="CG38" s="31">
        <f>IF(CF38&gt;20,10,IF(CF38&gt;=10,5,2))</f>
        <v/>
      </c>
    </row>
    <row r="39">
      <c r="A39" s="31">
        <f>IF(B39=0,"",RANK(B39,$B$2:$B$84,0))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KMEW</t>
        </is>
      </c>
      <c r="D39" s="31" t="inlineStr">
        <is>
          <t>Knowledge Marine &amp; Engineering Works Ltd</t>
        </is>
      </c>
      <c r="E39" s="31" t="inlineStr">
        <is>
          <t>transportation</t>
        </is>
      </c>
      <c r="F39" s="31" t="inlineStr">
        <is>
          <t>Shipping</t>
        </is>
      </c>
      <c r="G39" s="31" t="inlineStr">
        <is>
          <t>midcap</t>
        </is>
      </c>
      <c r="H39" s="32" t="n">
        <v>5928.6</v>
      </c>
      <c r="I39" s="32" t="n">
        <v>2410</v>
      </c>
      <c r="J39" s="32" t="n">
        <v>-1.73</v>
      </c>
      <c r="K39" s="32" t="n">
        <v>0</v>
      </c>
      <c r="L39" s="31" t="n">
        <v>92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70.81999999999999</v>
      </c>
      <c r="P39" s="32" t="n">
        <v>45.6</v>
      </c>
      <c r="Q39" s="32" t="n">
        <v>1748.79</v>
      </c>
      <c r="R39" s="31" t="inlineStr">
        <is>
          <t>Near 52W High Breakout</t>
        </is>
      </c>
      <c r="S39" s="31" t="inlineStr">
        <is>
          <t>Nifty 50</t>
        </is>
      </c>
      <c r="T39" s="32" t="n">
        <v>-3.39</v>
      </c>
      <c r="U39" s="32" t="n">
        <v>183.11</v>
      </c>
      <c r="V39" s="32" t="n">
        <v>193.03</v>
      </c>
      <c r="W39" s="32" t="n">
        <v>33.46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Negative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18</t>
        </is>
      </c>
      <c r="CG39" s="31">
        <f>IF(CF39&gt;20,10,IF(CF39&gt;=10,5,2))</f>
        <v/>
      </c>
    </row>
    <row r="40">
      <c r="A40" s="31">
        <f>IF(B40=0,"",RANK(B40,$B$2:$B$84,0))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GNA</t>
        </is>
      </c>
      <c r="D40" s="31" t="inlineStr">
        <is>
          <t>GNA Axles Ltd</t>
        </is>
      </c>
      <c r="E40" s="31" t="inlineStr">
        <is>
          <t>auto</t>
        </is>
      </c>
      <c r="F40" s="31" t="inlineStr">
        <is>
          <t>Auto &amp; Auto Ancl - CV</t>
        </is>
      </c>
      <c r="G40" s="31" t="inlineStr">
        <is>
          <t>smallcap</t>
        </is>
      </c>
      <c r="H40" s="32" t="n">
        <v>2199.56</v>
      </c>
      <c r="I40" s="32" t="n">
        <v>512.35</v>
      </c>
      <c r="J40" s="32" t="n">
        <v>0.5</v>
      </c>
      <c r="K40" s="32" t="n">
        <v>0</v>
      </c>
      <c r="L40" s="31" t="n">
        <v>65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65.84999999999999</v>
      </c>
      <c r="P40" s="32" t="n">
        <v>24.94</v>
      </c>
      <c r="Q40" s="32" t="n">
        <v>418.84</v>
      </c>
      <c r="R40" s="31" t="inlineStr">
        <is>
          <t>Earnings / Momentum Support</t>
        </is>
      </c>
      <c r="S40" s="31" t="inlineStr">
        <is>
          <t>Nifty Auto</t>
        </is>
      </c>
      <c r="T40" s="32" t="n">
        <v>14.92</v>
      </c>
      <c r="U40" s="32" t="n">
        <v>66.33</v>
      </c>
      <c r="V40" s="32" t="n">
        <v>44.74</v>
      </c>
      <c r="W40" s="32" t="n">
        <v>15.46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18</t>
        </is>
      </c>
      <c r="CG40" s="31">
        <f>IF(CF40&gt;20,10,IF(CF40&gt;=10,5,2))</f>
        <v/>
      </c>
    </row>
    <row r="41">
      <c r="A41" s="31">
        <f>IF(B41=0,"",RANK(B41,$B$2:$B$84,0))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4" t="inlineStr">
        <is>
          <t>LAURUSLABS</t>
        </is>
      </c>
      <c r="D41" s="34" t="inlineStr">
        <is>
          <t>Laurus Labs Ltd</t>
        </is>
      </c>
      <c r="E41" s="31" t="inlineStr">
        <is>
          <t>healthcare</t>
        </is>
      </c>
      <c r="F41" s="31" t="inlineStr">
        <is>
          <t>Pharma - API &amp; CRAMS</t>
        </is>
      </c>
      <c r="G41" s="31" t="inlineStr">
        <is>
          <t>largecap</t>
        </is>
      </c>
      <c r="H41" s="32" t="n">
        <v>85283.8</v>
      </c>
      <c r="I41" s="32" t="n">
        <v>1578.6</v>
      </c>
      <c r="J41" s="32" t="n">
        <v>-0.92</v>
      </c>
      <c r="K41" s="32" t="n">
        <v>0</v>
      </c>
      <c r="L41" s="31" t="n">
        <v>81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79.31</v>
      </c>
      <c r="P41" s="32" t="n">
        <v>54.68</v>
      </c>
      <c r="Q41" s="32" t="n">
        <v>1344.46</v>
      </c>
      <c r="R41" s="31" t="inlineStr">
        <is>
          <t>Near 52W High Breakout</t>
        </is>
      </c>
      <c r="S41" s="31" t="inlineStr">
        <is>
          <t>Nifty Pharma</t>
        </is>
      </c>
      <c r="T41" s="32" t="n">
        <v>13.63</v>
      </c>
      <c r="U41" s="32" t="n">
        <v>88.68000000000001</v>
      </c>
      <c r="V41" s="32" t="n">
        <v>66.04000000000001</v>
      </c>
      <c r="W41" s="32" t="n">
        <v>22.73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Between 12 to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14</t>
        </is>
      </c>
      <c r="CG41" s="31">
        <f>IF(CF41&gt;20,10,IF(CF41&gt;=10,5,2))</f>
        <v/>
      </c>
    </row>
    <row r="42">
      <c r="A42" s="31">
        <f>IF(B42=0,"",RANK(B42,$B$2:$B$84,0))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4" t="inlineStr">
        <is>
          <t>BAJAJ-AUTO</t>
        </is>
      </c>
      <c r="D42" s="34" t="inlineStr">
        <is>
          <t>Bajaj Auto Ltd</t>
        </is>
      </c>
      <c r="E42" s="31" t="inlineStr">
        <is>
          <t>auto</t>
        </is>
      </c>
      <c r="F42" s="31" t="inlineStr">
        <is>
          <t>Auto - 2 &amp; 3 Wheelers</t>
        </is>
      </c>
      <c r="G42" s="31" t="inlineStr">
        <is>
          <t>largecap</t>
        </is>
      </c>
      <c r="H42" s="32" t="n">
        <v>302806.35</v>
      </c>
      <c r="I42" s="32" t="n">
        <v>11019</v>
      </c>
      <c r="J42" s="32" t="n">
        <v>5.92</v>
      </c>
      <c r="K42" s="32" t="n">
        <v>0</v>
      </c>
      <c r="L42" s="31" t="n">
        <v>49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67.5</v>
      </c>
      <c r="P42" s="32" t="n">
        <v>18.13</v>
      </c>
      <c r="Q42" s="32" t="n">
        <v>9477.77</v>
      </c>
      <c r="R42" s="31" t="inlineStr">
        <is>
          <t>Near 52W High Breakout</t>
        </is>
      </c>
      <c r="S42" s="31" t="inlineStr">
        <is>
          <t>Nifty Auto</t>
        </is>
      </c>
      <c r="T42" s="32" t="n">
        <v>14.92</v>
      </c>
      <c r="U42" s="32" t="n">
        <v>38.11</v>
      </c>
      <c r="V42" s="32" t="n">
        <v>20.18</v>
      </c>
      <c r="W42" s="32" t="n">
        <v>10.16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0 to 20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20</t>
        </is>
      </c>
      <c r="CG42" s="31">
        <f>IF(CF42&gt;20,10,IF(CF42&gt;=10,5,2))</f>
        <v/>
      </c>
    </row>
    <row r="43">
      <c r="A43" s="31">
        <f>IF(B43=0,"",RANK(B43,$B$2:$B$84,0))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WELCORP</t>
        </is>
      </c>
      <c r="D43" s="31" t="inlineStr">
        <is>
          <t>Welspun Corp Ltd</t>
        </is>
      </c>
      <c r="E43" s="31" t="inlineStr">
        <is>
          <t>industrials</t>
        </is>
      </c>
      <c r="F43" s="31" t="inlineStr">
        <is>
          <t>DI Pipes/Saw Pipes</t>
        </is>
      </c>
      <c r="G43" s="31" t="inlineStr">
        <is>
          <t>largecap</t>
        </is>
      </c>
      <c r="H43" s="32" t="n">
        <v>42470.29</v>
      </c>
      <c r="I43" s="32" t="n">
        <v>1610</v>
      </c>
      <c r="J43" s="32" t="n">
        <v>-1.16</v>
      </c>
      <c r="K43" s="32" t="n">
        <v>0</v>
      </c>
      <c r="L43" s="31" t="n">
        <v>82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83.41</v>
      </c>
      <c r="P43" s="32" t="n">
        <v>68.5</v>
      </c>
      <c r="Q43" s="32" t="n">
        <v>1322.9</v>
      </c>
      <c r="R43" s="31" t="inlineStr">
        <is>
          <t>Near 52W High Breakout</t>
        </is>
      </c>
      <c r="S43" s="31" t="inlineStr">
        <is>
          <t>Nifty Metal</t>
        </is>
      </c>
      <c r="T43" s="32" t="n">
        <v>33.29</v>
      </c>
      <c r="U43" s="32" t="n">
        <v>82.34</v>
      </c>
      <c r="V43" s="32" t="n">
        <v>36.8</v>
      </c>
      <c r="W43" s="32" t="n">
        <v>22.95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Less than 12%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17</t>
        </is>
      </c>
      <c r="CG43" s="31">
        <f>IF(CF43&gt;20,10,IF(CF43&gt;=10,5,2))</f>
        <v/>
      </c>
    </row>
    <row r="44">
      <c r="A44" s="31">
        <f>IF(B44=0,"",RANK(B44,$B$2:$B$84,0))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NYKAA</t>
        </is>
      </c>
      <c r="D44" s="31" t="inlineStr">
        <is>
          <t>FSN E-Commerce Ventures Ltd</t>
        </is>
      </c>
      <c r="E44" s="31" t="inlineStr">
        <is>
          <t>i.t</t>
        </is>
      </c>
      <c r="F44" s="31" t="inlineStr">
        <is>
          <t>New age - Platform - E-Retail</t>
        </is>
      </c>
      <c r="G44" s="31" t="inlineStr">
        <is>
          <t>largecap</t>
        </is>
      </c>
      <c r="H44" s="32" t="n">
        <v>93591.85000000001</v>
      </c>
      <c r="I44" s="32" t="n">
        <v>326.8</v>
      </c>
      <c r="J44" s="32" t="n">
        <v>-0.35</v>
      </c>
      <c r="K44" s="32" t="n">
        <v>0</v>
      </c>
      <c r="L44" s="31" t="n">
        <v>63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70.84</v>
      </c>
      <c r="P44" s="32" t="n">
        <v>36.31</v>
      </c>
      <c r="Q44" s="32" t="n">
        <v>280.29</v>
      </c>
      <c r="R44" s="31" t="inlineStr">
        <is>
          <t>Near 52W High Breakout</t>
        </is>
      </c>
      <c r="S44" s="31" t="inlineStr">
        <is>
          <t>Nifty IT</t>
        </is>
      </c>
      <c r="T44" s="32" t="n">
        <v>-19.86</v>
      </c>
      <c r="U44" s="32" t="n">
        <v>53.89</v>
      </c>
      <c r="V44" s="32" t="n">
        <v>92.02</v>
      </c>
      <c r="W44" s="32" t="n">
        <v>14.45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B2C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Between 0.7 to 1.2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16</t>
        </is>
      </c>
      <c r="CG44" s="31">
        <f>IF(CF44&gt;20,10,IF(CF44&gt;=10,5,2))</f>
        <v/>
      </c>
    </row>
    <row r="45">
      <c r="A45" s="31">
        <f>IF(B45=0,"",RANK(B45,$B$2:$B$84,0))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HFCL</t>
        </is>
      </c>
      <c r="D45" s="31" t="inlineStr">
        <is>
          <t>HFCL Ltd</t>
        </is>
      </c>
      <c r="E45" s="31" t="inlineStr">
        <is>
          <t>telecom</t>
        </is>
      </c>
      <c r="F45" s="31" t="inlineStr">
        <is>
          <t>Telecom Services</t>
        </is>
      </c>
      <c r="G45" s="31" t="inlineStr">
        <is>
          <t>largecap</t>
        </is>
      </c>
      <c r="H45" s="32" t="n">
        <v>33359.48</v>
      </c>
      <c r="I45" s="32" t="n">
        <v>217.95</v>
      </c>
      <c r="J45" s="32" t="n">
        <v>-0.01</v>
      </c>
      <c r="K45" s="32" t="n">
        <v>0</v>
      </c>
      <c r="L45" s="31" t="n">
        <v>98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83.16</v>
      </c>
      <c r="P45" s="32" t="n">
        <v>70.84</v>
      </c>
      <c r="Q45" s="32" t="n">
        <v>161.64</v>
      </c>
      <c r="R45" s="31" t="inlineStr">
        <is>
          <t>Near 52W High Breakout</t>
        </is>
      </c>
      <c r="S45" s="31" t="inlineStr">
        <is>
          <t>Nifty Infra</t>
        </is>
      </c>
      <c r="T45" s="32" t="n">
        <v>3.35</v>
      </c>
      <c r="U45" s="32" t="n">
        <v>187.35</v>
      </c>
      <c r="V45" s="32" t="n">
        <v>178.04</v>
      </c>
      <c r="W45" s="32" t="n">
        <v>56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Oligopoly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Negative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22</t>
        </is>
      </c>
      <c r="CG45" s="31">
        <f>IF(CF45&gt;20,10,IF(CF45&gt;=10,5,2))</f>
        <v/>
      </c>
    </row>
    <row r="46">
      <c r="A46" s="31">
        <f>IF(B46=0,"",RANK(B46,$B$2:$B$84,0))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INDOTECH</t>
        </is>
      </c>
      <c r="D46" s="31" t="inlineStr">
        <is>
          <t>Indo Tech Transformers Ltd</t>
        </is>
      </c>
      <c r="E46" s="31" t="inlineStr">
        <is>
          <t>industrials</t>
        </is>
      </c>
      <c r="F46" s="31" t="inlineStr">
        <is>
          <t>Capital Goods - Transformers</t>
        </is>
      </c>
      <c r="G46" s="31" t="inlineStr">
        <is>
          <t>smallcap</t>
        </is>
      </c>
      <c r="H46" s="32" t="n">
        <v>3612.92</v>
      </c>
      <c r="I46" s="32" t="n">
        <v>3402</v>
      </c>
      <c r="J46" s="32" t="n">
        <v>-0.5</v>
      </c>
      <c r="K46" s="32" t="n">
        <v>0</v>
      </c>
      <c r="L46" s="31" t="n">
        <v>89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75.48999999999999</v>
      </c>
      <c r="P46" s="32" t="n">
        <v>48.96</v>
      </c>
      <c r="Q46" s="32" t="n">
        <v>2524.09</v>
      </c>
      <c r="R46" s="31" t="inlineStr">
        <is>
          <t>Near 52W High Breakout</t>
        </is>
      </c>
      <c r="S46" s="31" t="inlineStr">
        <is>
          <t>Nifty 50</t>
        </is>
      </c>
      <c r="T46" s="32" t="n">
        <v>-3.39</v>
      </c>
      <c r="U46" s="32" t="n">
        <v>84.2</v>
      </c>
      <c r="V46" s="32" t="n">
        <v>90.66</v>
      </c>
      <c r="W46" s="32" t="n">
        <v>28.74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Between 12 to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Less than 50%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18</t>
        </is>
      </c>
      <c r="CG46" s="31">
        <f>IF(CF46&gt;20,10,IF(CF46&gt;=10,5,2))</f>
        <v/>
      </c>
    </row>
    <row r="47">
      <c r="A47" s="31">
        <f>IF(B47=0,"",RANK(B47,$B$2:$B$84,0))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BEPL</t>
        </is>
      </c>
      <c r="D47" s="31" t="inlineStr">
        <is>
          <t>Bhansali Engineering Polymers Ltd</t>
        </is>
      </c>
      <c r="E47" s="31" t="inlineStr">
        <is>
          <t>energy</t>
        </is>
      </c>
      <c r="F47" s="31" t="inlineStr">
        <is>
          <t>Petrochem - Polymers</t>
        </is>
      </c>
      <c r="G47" s="31" t="inlineStr">
        <is>
          <t>smallcap</t>
        </is>
      </c>
      <c r="H47" s="32" t="n">
        <v>2998.74</v>
      </c>
      <c r="I47" s="32" t="n">
        <v>120.5</v>
      </c>
      <c r="J47" s="32" t="n">
        <v>-2.38</v>
      </c>
      <c r="K47" s="32" t="n">
        <v>0</v>
      </c>
      <c r="L47" s="31" t="n">
        <v>41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73.44</v>
      </c>
      <c r="P47" s="32" t="n">
        <v>40.38</v>
      </c>
      <c r="Q47" s="32" t="n">
        <v>93.41</v>
      </c>
      <c r="R47" s="31" t="inlineStr">
        <is>
          <t>Volume Spike &amp; Near 52W High Breakout</t>
        </is>
      </c>
      <c r="S47" s="31" t="inlineStr">
        <is>
          <t>Nifty Energy</t>
        </is>
      </c>
      <c r="T47" s="32" t="n">
        <v>11.87</v>
      </c>
      <c r="U47" s="32" t="n">
        <v>15.38</v>
      </c>
      <c r="V47" s="32" t="n">
        <v>3.13</v>
      </c>
      <c r="W47" s="32" t="n">
        <v>8.44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Oligopoly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Cyclical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Volatile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17</t>
        </is>
      </c>
      <c r="CG47" s="31">
        <f>IF(CF47&gt;20,10,IF(CF47&gt;=10,5,2))</f>
        <v/>
      </c>
    </row>
    <row r="48">
      <c r="A48" s="31">
        <f>IF(B48=0,"",RANK(B48,$B$2:$B$84,0))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NOVARTIND</t>
        </is>
      </c>
      <c r="D48" s="31" t="inlineStr">
        <is>
          <t>Novartis India Ltd</t>
        </is>
      </c>
      <c r="E48" s="31" t="inlineStr">
        <is>
          <t>healthcare</t>
        </is>
      </c>
      <c r="F48" s="31" t="inlineStr">
        <is>
          <t>Pharma - MNC bulk Drugs</t>
        </is>
      </c>
      <c r="G48" s="31" t="inlineStr">
        <is>
          <t>smallcap</t>
        </is>
      </c>
      <c r="H48" s="32" t="n">
        <v>4182.62</v>
      </c>
      <c r="I48" s="32" t="n">
        <v>1694</v>
      </c>
      <c r="J48" s="32" t="n">
        <v>-0.46</v>
      </c>
      <c r="K48" s="32" t="n">
        <v>0</v>
      </c>
      <c r="L48" s="31" t="n">
        <v>90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76.23999999999999</v>
      </c>
      <c r="P48" s="32" t="n">
        <v>69.83</v>
      </c>
      <c r="Q48" s="32" t="n">
        <v>1317.75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13.63</v>
      </c>
      <c r="U48" s="32" t="n">
        <v>66.77</v>
      </c>
      <c r="V48" s="32" t="n">
        <v>46.76</v>
      </c>
      <c r="W48" s="32" t="n">
        <v>30.32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Less than 12%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Less than 50%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21</t>
        </is>
      </c>
      <c r="CG48" s="31">
        <f>IF(CF48&gt;20,10,IF(CF48&gt;=10,5,2))</f>
        <v/>
      </c>
    </row>
    <row r="49">
      <c r="A49" s="31">
        <f>IF(B49=0,"",RANK(B49,$B$2:$B$84,0))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4" t="inlineStr">
        <is>
          <t>AVALON</t>
        </is>
      </c>
      <c r="D49" s="34" t="inlineStr">
        <is>
          <t>Avalon Technologies Ltd</t>
        </is>
      </c>
      <c r="E49" s="31" t="inlineStr">
        <is>
          <t>Technology</t>
        </is>
      </c>
      <c r="F49" s="31" t="inlineStr">
        <is>
          <t>Consumer Electronics - EMS</t>
        </is>
      </c>
      <c r="G49" s="31" t="inlineStr">
        <is>
          <t>midcap</t>
        </is>
      </c>
      <c r="H49" s="32" t="n">
        <v>11694.73</v>
      </c>
      <c r="I49" s="32" t="n">
        <v>1750.4</v>
      </c>
      <c r="J49" s="32" t="n">
        <v>0.42</v>
      </c>
      <c r="K49" s="32" t="n">
        <v>0</v>
      </c>
      <c r="L49" s="31" t="n">
        <v>92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73.64</v>
      </c>
      <c r="P49" s="32" t="n">
        <v>55.53</v>
      </c>
      <c r="Q49" s="32" t="n">
        <v>1350.75</v>
      </c>
      <c r="R49" s="31" t="inlineStr">
        <is>
          <t>Near 52W High Breakout</t>
        </is>
      </c>
      <c r="S49" s="31" t="inlineStr">
        <is>
          <t>Nifty 50</t>
        </is>
      </c>
      <c r="T49" s="32" t="n">
        <v>-3.39</v>
      </c>
      <c r="U49" s="32" t="n">
        <v>111.79</v>
      </c>
      <c r="V49" s="32" t="n">
        <v>119.21</v>
      </c>
      <c r="W49" s="32" t="n">
        <v>34.49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Between 1.5 to 2</t>
        </is>
      </c>
      <c r="BU49" s="31">
        <f>IF(BT49="Above 2",0,IF(BT49="Between 1.5 to 2",5,IF(BT49="Less than 1.5",10,0)))</f>
        <v/>
      </c>
      <c r="BV49" s="31" t="inlineStr">
        <is>
          <t>Less than 50%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15</t>
        </is>
      </c>
      <c r="CG49" s="31">
        <f>IF(CF49&gt;20,10,IF(CF49&gt;=10,5,2))</f>
        <v/>
      </c>
    </row>
    <row r="50">
      <c r="A50" s="31">
        <f>IF(B50=0,"",RANK(B50,$B$2:$B$84,0))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4" t="inlineStr">
        <is>
          <t>APOLLO</t>
        </is>
      </c>
      <c r="D50" s="34" t="inlineStr">
        <is>
          <t>Apollo Micro Systems Ltd</t>
        </is>
      </c>
      <c r="E50" s="31" t="inlineStr">
        <is>
          <t>Industrials</t>
        </is>
      </c>
      <c r="F50" s="31" t="inlineStr">
        <is>
          <t>Aerospace &amp; Defence - Equipments</t>
        </is>
      </c>
      <c r="G50" s="31" t="inlineStr">
        <is>
          <t>midcap</t>
        </is>
      </c>
      <c r="H50" s="32" t="n">
        <v>15085.08</v>
      </c>
      <c r="I50" s="32" t="n">
        <v>405.95</v>
      </c>
      <c r="J50" s="32" t="n">
        <v>3.94</v>
      </c>
      <c r="K50" s="32" t="n">
        <v>0</v>
      </c>
      <c r="L50" s="31" t="n">
        <v>91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61.01</v>
      </c>
      <c r="P50" s="32" t="n">
        <v>46.76</v>
      </c>
      <c r="Q50" s="32" t="n">
        <v>318.74</v>
      </c>
      <c r="R50" s="31" t="inlineStr">
        <is>
          <t>Earnings / Momentum Support</t>
        </is>
      </c>
      <c r="S50" s="31" t="inlineStr">
        <is>
          <t>Nifty 50</t>
        </is>
      </c>
      <c r="T50" s="32" t="n">
        <v>-3.39</v>
      </c>
      <c r="U50" s="32" t="n">
        <v>135.74</v>
      </c>
      <c r="V50" s="32" t="n">
        <v>144</v>
      </c>
      <c r="W50" s="32" t="n">
        <v>31.76</v>
      </c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Oligopoly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Cyclical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B2C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Fully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Yes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Between 1.5 to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14</t>
        </is>
      </c>
      <c r="CG50" s="31">
        <f>IF(CF50&gt;20,10,IF(CF50&gt;=10,5,2))</f>
        <v/>
      </c>
    </row>
    <row r="51">
      <c r="A51" s="31">
        <f>IF(B51=0,"",RANK(B51,$B$2:$B$84,0))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SKYGOLD</t>
        </is>
      </c>
      <c r="D51" s="31" t="inlineStr">
        <is>
          <t>Sky Gold &amp; Diamonds Ltd</t>
        </is>
      </c>
      <c r="E51" s="31" t="inlineStr">
        <is>
          <t>consumer discretionary</t>
        </is>
      </c>
      <c r="F51" s="31" t="inlineStr">
        <is>
          <t>Diamond, Gems &amp; Jewellery</t>
        </is>
      </c>
      <c r="G51" s="31" t="inlineStr">
        <is>
          <t>midcap</t>
        </is>
      </c>
      <c r="H51" s="32" t="n">
        <v>10412.17</v>
      </c>
      <c r="I51" s="32" t="n">
        <v>672.3</v>
      </c>
      <c r="J51" s="32" t="n">
        <v>2.52</v>
      </c>
      <c r="K51" s="32" t="n">
        <v>0</v>
      </c>
      <c r="L51" s="31" t="n">
        <v>91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75.59999999999999</v>
      </c>
      <c r="P51" s="32" t="n">
        <v>55.63</v>
      </c>
      <c r="Q51" s="32" t="n">
        <v>503.01</v>
      </c>
      <c r="R51" s="31" t="inlineStr">
        <is>
          <t>Near 52W High Breakout</t>
        </is>
      </c>
      <c r="S51" s="31" t="inlineStr">
        <is>
          <t>Nifty 50</t>
        </is>
      </c>
      <c r="T51" s="32" t="n">
        <v>-3.39</v>
      </c>
      <c r="U51" s="32" t="n">
        <v>122.42</v>
      </c>
      <c r="V51" s="32" t="n">
        <v>130.21</v>
      </c>
      <c r="W51" s="32" t="n">
        <v>33.17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Negative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Between 0.7 to 1.2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26</t>
        </is>
      </c>
      <c r="CG51" s="31">
        <f>IF(CF51&gt;20,10,IF(CF51&gt;=10,5,2))</f>
        <v/>
      </c>
    </row>
    <row r="52">
      <c r="A52" s="31">
        <f>IF(B52=0,"",RANK(B52,$B$2:$B$84,0))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4" t="inlineStr">
        <is>
          <t>CYIENTDLM</t>
        </is>
      </c>
      <c r="D52" s="34" t="inlineStr">
        <is>
          <t>Cyient DLM Ltd</t>
        </is>
      </c>
      <c r="E52" s="31" t="inlineStr">
        <is>
          <t>consumer discretionary</t>
        </is>
      </c>
      <c r="F52" s="31" t="inlineStr">
        <is>
          <t>Consumer Electronics - EMS</t>
        </is>
      </c>
      <c r="G52" s="31" t="inlineStr">
        <is>
          <t>midcap</t>
        </is>
      </c>
      <c r="H52" s="32" t="n">
        <v>5517.14</v>
      </c>
      <c r="I52" s="32" t="n">
        <v>695</v>
      </c>
      <c r="J52" s="32" t="n">
        <v>11.56</v>
      </c>
      <c r="K52" s="32" t="n">
        <v>0</v>
      </c>
      <c r="L52" s="31" t="n">
        <v>90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84.2</v>
      </c>
      <c r="P52" s="32" t="n">
        <v>48.75</v>
      </c>
      <c r="Q52" s="32" t="n">
        <v>535.8</v>
      </c>
      <c r="R52" s="31" t="inlineStr">
        <is>
          <t>Volume Spike &amp; Near 52W High Breakout</t>
        </is>
      </c>
      <c r="S52" s="31" t="inlineStr">
        <is>
          <t>Nifty 50</t>
        </is>
      </c>
      <c r="T52" s="32" t="n">
        <v>-3.39</v>
      </c>
      <c r="U52" s="32" t="n">
        <v>51.97</v>
      </c>
      <c r="V52" s="32" t="n">
        <v>57.29</v>
      </c>
      <c r="W52" s="32" t="n">
        <v>31.19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Less than 12%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Less than 50%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20</t>
        </is>
      </c>
      <c r="CG52" s="31">
        <f>IF(CF52&gt;20,10,IF(CF52&gt;=10,5,2))</f>
        <v/>
      </c>
    </row>
    <row r="53">
      <c r="A53" s="31">
        <f>IF(B53=0,"",RANK(B53,$B$2:$B$84,0))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4" t="inlineStr">
        <is>
          <t>AEGISVOPAK</t>
        </is>
      </c>
      <c r="D53" s="34" t="inlineStr">
        <is>
          <t>Aegis Vopak Terminals Ltd</t>
        </is>
      </c>
      <c r="E53" s="31" t="inlineStr">
        <is>
          <t>transportation</t>
        </is>
      </c>
      <c r="F53" s="31" t="inlineStr">
        <is>
          <t>Miscellaneous</t>
        </is>
      </c>
      <c r="G53" s="31" t="inlineStr">
        <is>
          <t>largecap</t>
        </is>
      </c>
      <c r="H53" s="32" t="n">
        <v>32630.35</v>
      </c>
      <c r="I53" s="32" t="n">
        <v>294.5</v>
      </c>
      <c r="J53" s="32" t="n">
        <v>2.1</v>
      </c>
      <c r="K53" s="32" t="n">
        <v>0</v>
      </c>
      <c r="L53" s="31" t="n">
        <v>73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65.78</v>
      </c>
      <c r="P53" s="32" t="n">
        <v>25.52</v>
      </c>
      <c r="Q53" s="32" t="n">
        <v>213.24</v>
      </c>
      <c r="R53" s="31" t="inlineStr">
        <is>
          <t>Near 52W High Breakout</t>
        </is>
      </c>
      <c r="S53" s="31" t="inlineStr">
        <is>
          <t>Nifty 50</t>
        </is>
      </c>
      <c r="T53" s="32" t="n">
        <v>-3.39</v>
      </c>
      <c r="U53" s="32" t="n">
        <v>15.18</v>
      </c>
      <c r="V53" s="32" t="n">
        <v>19.22</v>
      </c>
      <c r="W53" s="32" t="n">
        <v>17.79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Between 12 to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Between 0.7 to 1.2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18</t>
        </is>
      </c>
      <c r="CG53" s="31">
        <f>IF(CF53&gt;20,10,IF(CF53&gt;=10,5,2))</f>
        <v/>
      </c>
    </row>
    <row r="54">
      <c r="A54" s="31">
        <f>IF(B54=0,"",RANK(B54,$B$2:$B$84,0))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RPTECH</t>
        </is>
      </c>
      <c r="D54" s="31" t="inlineStr">
        <is>
          <t>Rashi Peripherals Ltd</t>
        </is>
      </c>
      <c r="E54" s="31" t="inlineStr">
        <is>
          <t>services</t>
        </is>
      </c>
      <c r="F54" s="31" t="inlineStr">
        <is>
          <t>Trading</t>
        </is>
      </c>
      <c r="G54" s="31" t="inlineStr">
        <is>
          <t>smallcap</t>
        </is>
      </c>
      <c r="H54" s="32" t="n">
        <v>4902.94</v>
      </c>
      <c r="I54" s="32" t="n">
        <v>744</v>
      </c>
      <c r="J54" s="32" t="n">
        <v>0.03</v>
      </c>
      <c r="K54" s="32" t="n">
        <v>0</v>
      </c>
      <c r="L54" s="31" t="n">
        <v>93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76.08</v>
      </c>
      <c r="P54" s="32" t="n">
        <v>73.65000000000001</v>
      </c>
      <c r="Q54" s="32" t="n">
        <v>604.09</v>
      </c>
      <c r="R54" s="31" t="inlineStr">
        <is>
          <t>Near 52W High Breakout</t>
        </is>
      </c>
      <c r="S54" s="31" t="inlineStr">
        <is>
          <t>Nifty 50</t>
        </is>
      </c>
      <c r="T54" s="32" t="n">
        <v>-3.39</v>
      </c>
      <c r="U54" s="32" t="n">
        <v>154</v>
      </c>
      <c r="V54" s="32" t="n">
        <v>162.89</v>
      </c>
      <c r="W54" s="32" t="n">
        <v>34.94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Less than 50%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18</t>
        </is>
      </c>
      <c r="CG54" s="31">
        <f>IF(CF54&gt;20,10,IF(CF54&gt;=10,5,2))</f>
        <v/>
      </c>
    </row>
    <row r="55">
      <c r="A55" s="31">
        <f>IF(B55=0,"",RANK(B55,$B$2:$B$84,0))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KERNEX</t>
        </is>
      </c>
      <c r="D55" s="31" t="inlineStr">
        <is>
          <t>Kernex Microsystems (India) Ltd</t>
        </is>
      </c>
      <c r="E55" s="31" t="inlineStr">
        <is>
          <t>consumer discretionary</t>
        </is>
      </c>
      <c r="F55" s="31" t="inlineStr">
        <is>
          <t>Railways - Kavach/Springs</t>
        </is>
      </c>
      <c r="G55" s="31" t="inlineStr">
        <is>
          <t>smallcap</t>
        </is>
      </c>
      <c r="H55" s="32" t="n">
        <v>3681.67</v>
      </c>
      <c r="I55" s="32" t="n">
        <v>2191</v>
      </c>
      <c r="J55" s="32" t="n">
        <v>2.8</v>
      </c>
      <c r="K55" s="32" t="n">
        <v>0</v>
      </c>
      <c r="L55" s="31" t="n">
        <v>91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67.77</v>
      </c>
      <c r="P55" s="32" t="n">
        <v>52.65</v>
      </c>
      <c r="Q55" s="32" t="n">
        <v>1735.62</v>
      </c>
      <c r="R55" s="31" t="inlineStr">
        <is>
          <t>Earnings / Momentum Support</t>
        </is>
      </c>
      <c r="S55" s="31" t="inlineStr">
        <is>
          <t>Nifty 50</t>
        </is>
      </c>
      <c r="T55" s="32" t="n">
        <v>-3.39</v>
      </c>
      <c r="U55" s="32" t="n">
        <v>113.23</v>
      </c>
      <c r="V55" s="32" t="n">
        <v>120.7</v>
      </c>
      <c r="W55" s="32" t="n">
        <v>32.82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Negative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17</t>
        </is>
      </c>
      <c r="CG55" s="31">
        <f>IF(CF55&gt;20,10,IF(CF55&gt;=10,5,2))</f>
        <v/>
      </c>
    </row>
    <row r="56">
      <c r="A56" s="31">
        <f>IF(B56=0,"",RANK(B56,$B$2:$B$84,0))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LLOYDSENT</t>
        </is>
      </c>
      <c r="D56" s="31" t="inlineStr">
        <is>
          <t>Lloyds Enterprises Ltd</t>
        </is>
      </c>
      <c r="E56" s="31" t="inlineStr">
        <is>
          <t>services</t>
        </is>
      </c>
      <c r="F56" s="31" t="inlineStr">
        <is>
          <t>Trading</t>
        </is>
      </c>
      <c r="G56" s="31" t="inlineStr">
        <is>
          <t>midcap</t>
        </is>
      </c>
      <c r="H56" s="32" t="n">
        <v>11964.24</v>
      </c>
      <c r="I56" s="32" t="n">
        <v>78.5</v>
      </c>
      <c r="J56" s="32" t="n">
        <v>-3.7</v>
      </c>
      <c r="K56" s="32" t="n">
        <v>0</v>
      </c>
      <c r="L56" s="31" t="n">
        <v>24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62.88</v>
      </c>
      <c r="P56" s="32" t="n">
        <v>33.61</v>
      </c>
      <c r="Q56" s="32" t="n">
        <v>57.82</v>
      </c>
      <c r="R56" s="31" t="inlineStr">
        <is>
          <t>Near 52W High Breakout</t>
        </is>
      </c>
      <c r="S56" s="31" t="inlineStr">
        <is>
          <t>Nifty 50</t>
        </is>
      </c>
      <c r="T56" s="32" t="n">
        <v>-3.39</v>
      </c>
      <c r="U56" s="32" t="n">
        <v>-0.75</v>
      </c>
      <c r="V56" s="32" t="n">
        <v>2.72</v>
      </c>
      <c r="W56" s="32" t="n">
        <v>4.82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Negative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15</t>
        </is>
      </c>
      <c r="CG56" s="31">
        <f>IF(CF56&gt;20,10,IF(CF56&gt;=10,5,2))</f>
        <v/>
      </c>
    </row>
    <row r="57">
      <c r="A57" s="31">
        <f>IF(B57=0,"",RANK(B57,$B$2:$B$84,0))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CFF</t>
        </is>
      </c>
      <c r="D57" s="31" t="inlineStr">
        <is>
          <t>CFF Fluid Control Ltd</t>
        </is>
      </c>
      <c r="E57" s="31" t="inlineStr">
        <is>
          <t>Industrials</t>
        </is>
      </c>
      <c r="F57" s="31" t="inlineStr">
        <is>
          <t>Shipping - Proxy</t>
        </is>
      </c>
      <c r="G57" s="31" t="inlineStr">
        <is>
          <t>smallcap</t>
        </is>
      </c>
      <c r="H57" s="32" t="n">
        <v>2018.97</v>
      </c>
      <c r="I57" s="32" t="n">
        <v>962.6</v>
      </c>
      <c r="J57" s="32" t="n">
        <v>-0.37</v>
      </c>
      <c r="K57" s="32" t="n">
        <v>0</v>
      </c>
      <c r="L57" s="31" t="n">
        <v>62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71.8</v>
      </c>
      <c r="P57" s="32" t="n">
        <v>32.89</v>
      </c>
      <c r="Q57" s="32" t="n">
        <v>734.64</v>
      </c>
      <c r="R57" s="31" t="inlineStr">
        <is>
          <t>Near 52W High Breakout</t>
        </is>
      </c>
      <c r="S57" s="31" t="inlineStr">
        <is>
          <t>Nifty 50</t>
        </is>
      </c>
      <c r="T57" s="32" t="n">
        <v>-3.39</v>
      </c>
      <c r="U57" s="32" t="n">
        <v>52.53</v>
      </c>
      <c r="V57" s="32" t="n">
        <v>57.87</v>
      </c>
      <c r="W57" s="32" t="n">
        <v>14.26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Negative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14</t>
        </is>
      </c>
      <c r="CG57" s="31">
        <f>IF(CF57&gt;20,10,IF(CF57&gt;=10,5,2))</f>
        <v/>
      </c>
    </row>
    <row r="58">
      <c r="A58" s="31">
        <f>IF(B58=0,"",RANK(B58,$B$2:$B$84,0))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4" t="inlineStr">
        <is>
          <t>JLHL</t>
        </is>
      </c>
      <c r="D58" s="34" t="inlineStr">
        <is>
          <t>Jupiter Life Line Hospitals Ltd</t>
        </is>
      </c>
      <c r="E58" s="31" t="inlineStr">
        <is>
          <t>healthcare</t>
        </is>
      </c>
      <c r="F58" s="31" t="inlineStr">
        <is>
          <t>Hospitals</t>
        </is>
      </c>
      <c r="G58" s="31" t="inlineStr">
        <is>
          <t>midcap</t>
        </is>
      </c>
      <c r="H58" s="32" t="n">
        <v>10263.05</v>
      </c>
      <c r="I58" s="32" t="n">
        <v>1565.3</v>
      </c>
      <c r="J58" s="32" t="n">
        <v>-0.11</v>
      </c>
      <c r="K58" s="32" t="n">
        <v>0</v>
      </c>
      <c r="L58" s="31" t="n">
        <v>36</v>
      </c>
      <c r="M58" s="31" t="inlineStr">
        <is>
          <t>Underperforming</t>
        </is>
      </c>
      <c r="N58" s="32">
        <f>IF(M58="Underperforming",-5,IF(L58&gt;=95,15,IF(L58&gt;=90,10,IF(L58&gt;=80,5,0))))</f>
        <v/>
      </c>
      <c r="O58" s="32" t="n">
        <v>72.01000000000001</v>
      </c>
      <c r="P58" s="32" t="n">
        <v>24.46</v>
      </c>
      <c r="Q58" s="32" t="n">
        <v>1320.3</v>
      </c>
      <c r="R58" s="31" t="inlineStr">
        <is>
          <t>Near 52W High Breakout</t>
        </is>
      </c>
      <c r="S58" s="31" t="inlineStr">
        <is>
          <t>Nifty Pharma</t>
        </is>
      </c>
      <c r="T58" s="32" t="n">
        <v>13.63</v>
      </c>
      <c r="U58" s="32" t="n">
        <v>7.45</v>
      </c>
      <c r="V58" s="32" t="n">
        <v>-5.44</v>
      </c>
      <c r="W58" s="32" t="n">
        <v>7.26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Between 12 to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17</t>
        </is>
      </c>
      <c r="CG58" s="31">
        <f>IF(CF58&gt;20,10,IF(CF58&gt;=10,5,2))</f>
        <v/>
      </c>
    </row>
    <row r="59">
      <c r="A59" s="31">
        <f>IF(B59=0,"",RANK(B59,$B$2:$B$84,0))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4" t="inlineStr">
        <is>
          <t>BALRAMCHIN</t>
        </is>
      </c>
      <c r="D59" s="34" t="inlineStr">
        <is>
          <t>Balrampur Chini Mills Ltd</t>
        </is>
      </c>
      <c r="E59" s="31" t="inlineStr">
        <is>
          <t>fmcg</t>
        </is>
      </c>
      <c r="F59" s="31" t="inlineStr">
        <is>
          <t>Sugar</t>
        </is>
      </c>
      <c r="G59" s="31" t="inlineStr">
        <is>
          <t>midcap</t>
        </is>
      </c>
      <c r="H59" s="32" t="n">
        <v>13121.81</v>
      </c>
      <c r="I59" s="32" t="n">
        <v>621.1</v>
      </c>
      <c r="J59" s="32" t="n">
        <v>0.53</v>
      </c>
      <c r="K59" s="32" t="n">
        <v>0</v>
      </c>
      <c r="L59" s="31" t="n">
        <v>35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76.95999999999999</v>
      </c>
      <c r="P59" s="32" t="n">
        <v>35.55</v>
      </c>
      <c r="Q59" s="32" t="n">
        <v>514.6799999999999</v>
      </c>
      <c r="R59" s="31" t="inlineStr">
        <is>
          <t>Near 52W High Breakout</t>
        </is>
      </c>
      <c r="S59" s="31" t="inlineStr">
        <is>
          <t>Nifty FMCG</t>
        </is>
      </c>
      <c r="T59" s="32" t="n">
        <v>-9.800000000000001</v>
      </c>
      <c r="U59" s="32" t="n">
        <v>6.84</v>
      </c>
      <c r="V59" s="32" t="n">
        <v>18.44</v>
      </c>
      <c r="W59" s="32" t="n">
        <v>7.1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Less than 12%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Between 0.7 to 1.2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16</t>
        </is>
      </c>
      <c r="CG59" s="31">
        <f>IF(CF59&gt;20,10,IF(CF59&gt;=10,5,2))</f>
        <v/>
      </c>
    </row>
    <row r="60">
      <c r="A60" s="31">
        <f>IF(B60=0,"",RANK(B60,$B$2:$B$84,0))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KALYANKJIL</t>
        </is>
      </c>
      <c r="D60" s="31" t="inlineStr">
        <is>
          <t>Kalyan Jewellers India Ltd</t>
        </is>
      </c>
      <c r="E60" s="31" t="inlineStr">
        <is>
          <t>consumer discretionary</t>
        </is>
      </c>
      <c r="F60" s="31" t="inlineStr">
        <is>
          <t>Diamond, Gems &amp; Jewellery</t>
        </is>
      </c>
      <c r="G60" s="31" t="inlineStr">
        <is>
          <t>largecap</t>
        </is>
      </c>
      <c r="H60" s="32" t="n">
        <v>61437.71</v>
      </c>
      <c r="I60" s="32" t="n">
        <v>594.9</v>
      </c>
      <c r="J60" s="32" t="n">
        <v>3.1</v>
      </c>
      <c r="K60" s="32" t="n">
        <v>0</v>
      </c>
      <c r="L60" s="31" t="n">
        <v>57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71.68000000000001</v>
      </c>
      <c r="P60" s="32" t="n">
        <v>22.92</v>
      </c>
      <c r="Q60" s="32" t="n">
        <v>457.39</v>
      </c>
      <c r="R60" s="31" t="inlineStr">
        <is>
          <t>Near 52W High Breakout</t>
        </is>
      </c>
      <c r="S60" s="31" t="inlineStr">
        <is>
          <t>Nifty 50</t>
        </is>
      </c>
      <c r="T60" s="32" t="n">
        <v>-3.39</v>
      </c>
      <c r="U60" s="32" t="n">
        <v>0.65</v>
      </c>
      <c r="V60" s="32" t="n">
        <v>4.17</v>
      </c>
      <c r="W60" s="32" t="n">
        <v>12.46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Between 50% to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24</t>
        </is>
      </c>
      <c r="CG60" s="31">
        <f>IF(CF60&gt;20,10,IF(CF60&gt;=10,5,2))</f>
        <v/>
      </c>
    </row>
    <row r="61">
      <c r="A61" s="31">
        <f>IF(B61=0,"",RANK(B61,$B$2:$B$84,0))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DIACABS</t>
        </is>
      </c>
      <c r="D61" s="31" t="inlineStr">
        <is>
          <t>Diamond Power Infrastructure Ltd</t>
        </is>
      </c>
      <c r="E61" s="31" t="inlineStr">
        <is>
          <t>industrials</t>
        </is>
      </c>
      <c r="F61" s="31" t="inlineStr">
        <is>
          <t>Cables - Power</t>
        </is>
      </c>
      <c r="G61" s="31" t="inlineStr">
        <is>
          <t>midcap</t>
        </is>
      </c>
      <c r="H61" s="32" t="n">
        <v>14179.74</v>
      </c>
      <c r="I61" s="32" t="n">
        <v>269.08</v>
      </c>
      <c r="J61" s="32" t="n">
        <v>0</v>
      </c>
      <c r="K61" s="32" t="n">
        <v>0</v>
      </c>
      <c r="L61" s="31" t="n">
        <v>87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80.84</v>
      </c>
      <c r="P61" s="32" t="n">
        <v>53.41</v>
      </c>
      <c r="Q61" s="32" t="n">
        <v>202.48</v>
      </c>
      <c r="R61" s="31" t="inlineStr">
        <is>
          <t>Near 52W High Breakout</t>
        </is>
      </c>
      <c r="S61" s="31" t="inlineStr">
        <is>
          <t>Nifty Energy</t>
        </is>
      </c>
      <c r="T61" s="32" t="n">
        <v>11.87</v>
      </c>
      <c r="U61" s="32" t="n">
        <v>65.25</v>
      </c>
      <c r="V61" s="32" t="n">
        <v>47.71</v>
      </c>
      <c r="W61" s="32" t="n">
        <v>27.6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Negative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21</t>
        </is>
      </c>
      <c r="CG61" s="31">
        <f>IF(CF61&gt;20,10,IF(CF61&gt;=10,5,2))</f>
        <v/>
      </c>
    </row>
    <row r="62">
      <c r="A62" s="31">
        <f>IF(B62=0,"",RANK(B62,$B$2:$B$84,0))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TBZ</t>
        </is>
      </c>
      <c r="D62" s="31" t="inlineStr">
        <is>
          <t>Tribhovandas Bhimji Zaveri Ltd</t>
        </is>
      </c>
      <c r="E62" s="31" t="inlineStr">
        <is>
          <t>consumer discretionary</t>
        </is>
      </c>
      <c r="F62" s="31" t="inlineStr">
        <is>
          <t>Diamond, Gems &amp; Jewellery</t>
        </is>
      </c>
      <c r="G62" s="31" t="inlineStr">
        <is>
          <t>smallcap</t>
        </is>
      </c>
      <c r="H62" s="32" t="n">
        <v>1764.36</v>
      </c>
      <c r="I62" s="32" t="n">
        <v>264.4</v>
      </c>
      <c r="J62" s="32" t="n">
        <v>1.8</v>
      </c>
      <c r="K62" s="32" t="n">
        <v>0</v>
      </c>
      <c r="L62" s="31" t="n">
        <v>88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78.98999999999999</v>
      </c>
      <c r="P62" s="32" t="n">
        <v>28.61</v>
      </c>
      <c r="Q62" s="32" t="n">
        <v>198.4</v>
      </c>
      <c r="R62" s="31" t="inlineStr">
        <is>
          <t>Near 52W High Breakout</t>
        </is>
      </c>
      <c r="S62" s="31" t="inlineStr">
        <is>
          <t>Nifty 50</t>
        </is>
      </c>
      <c r="T62" s="32" t="n">
        <v>-3.39</v>
      </c>
      <c r="U62" s="32" t="n">
        <v>41.44</v>
      </c>
      <c r="V62" s="32" t="n">
        <v>46.4</v>
      </c>
      <c r="W62" s="32" t="n">
        <v>27.67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Less than 50% and Borrowings are increasing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20</t>
        </is>
      </c>
      <c r="CG62" s="31">
        <f>IF(CF62&gt;20,10,IF(CF62&gt;=10,5,2))</f>
        <v/>
      </c>
    </row>
    <row r="63">
      <c r="A63" s="31">
        <f>IF(B63=0,"",RANK(B63,$B$2:$B$84,0))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CHENNPETRO</t>
        </is>
      </c>
      <c r="D63" s="34" t="inlineStr">
        <is>
          <t>Chennai Petroleum Corporation Ltd</t>
        </is>
      </c>
      <c r="E63" s="31" t="inlineStr">
        <is>
          <t>energy</t>
        </is>
      </c>
      <c r="F63" s="31" t="inlineStr">
        <is>
          <t>Refineries</t>
        </is>
      </c>
      <c r="G63" s="31" t="inlineStr">
        <is>
          <t>midcap</t>
        </is>
      </c>
      <c r="H63" s="32" t="n">
        <v>19537.18</v>
      </c>
      <c r="I63" s="32" t="n">
        <v>1312</v>
      </c>
      <c r="J63" s="32" t="n">
        <v>4.28</v>
      </c>
      <c r="K63" s="32" t="n">
        <v>0</v>
      </c>
      <c r="L63" s="31" t="n">
        <v>77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68.73</v>
      </c>
      <c r="P63" s="32" t="n">
        <v>48.4</v>
      </c>
      <c r="Q63" s="32" t="n">
        <v>987.78</v>
      </c>
      <c r="R63" s="31" t="inlineStr">
        <is>
          <t>Near 52W High Breakout</t>
        </is>
      </c>
      <c r="S63" s="31" t="inlineStr">
        <is>
          <t>Nifty Energy</t>
        </is>
      </c>
      <c r="T63" s="32" t="n">
        <v>11.87</v>
      </c>
      <c r="U63" s="32" t="n">
        <v>93.12</v>
      </c>
      <c r="V63" s="32" t="n">
        <v>72.62</v>
      </c>
      <c r="W63" s="32" t="n">
        <v>19.76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Oligopoly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Cyclical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Volatile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17</t>
        </is>
      </c>
      <c r="CG63" s="31">
        <f>IF(CF63&gt;20,10,IF(CF63&gt;=10,5,2))</f>
        <v/>
      </c>
    </row>
    <row r="64">
      <c r="A64" s="31">
        <f>IF(B64=0,"",RANK(B64,$B$2:$B$84,0))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4" t="inlineStr">
        <is>
          <t>MAHLOG</t>
        </is>
      </c>
      <c r="D64" s="34" t="inlineStr">
        <is>
          <t>Mahindra Logistics Ltd</t>
        </is>
      </c>
      <c r="E64" s="31" t="inlineStr">
        <is>
          <t>transportation</t>
        </is>
      </c>
      <c r="F64" s="31" t="inlineStr">
        <is>
          <t>Logistics - Warehousing/Supply Chain</t>
        </is>
      </c>
      <c r="G64" s="31" t="inlineStr">
        <is>
          <t>smallcap</t>
        </is>
      </c>
      <c r="H64" s="32" t="n">
        <v>3998.67</v>
      </c>
      <c r="I64" s="32" t="n">
        <v>403</v>
      </c>
      <c r="J64" s="32" t="n">
        <v>3.03</v>
      </c>
      <c r="K64" s="32" t="n">
        <v>0</v>
      </c>
      <c r="L64" s="31" t="n">
        <v>22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59.22</v>
      </c>
      <c r="P64" s="32" t="n">
        <v>19.21</v>
      </c>
      <c r="Q64" s="32" t="n">
        <v>309.48</v>
      </c>
      <c r="R64" s="31" t="inlineStr">
        <is>
          <t>Volume Spike / Accumulation</t>
        </is>
      </c>
      <c r="S64" s="31" t="inlineStr">
        <is>
          <t>Nifty 50</t>
        </is>
      </c>
      <c r="T64" s="32" t="n">
        <v>-3.39</v>
      </c>
      <c r="U64" s="32" t="n">
        <v>15.56</v>
      </c>
      <c r="V64" s="32" t="n">
        <v>19.61</v>
      </c>
      <c r="W64" s="32" t="n">
        <v>4.48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0 to 20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17</t>
        </is>
      </c>
      <c r="CG64" s="31">
        <f>IF(CF64&gt;20,10,IF(CF64&gt;=10,5,2))</f>
        <v/>
      </c>
    </row>
    <row r="65">
      <c r="A65" s="31">
        <f>IF(B65=0,"",RANK(B65,$B$2:$B$84,0))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HUHTAMAKI</t>
        </is>
      </c>
      <c r="D65" s="31" t="inlineStr">
        <is>
          <t>Huhtamaki India Ltd</t>
        </is>
      </c>
      <c r="E65" s="31" t="inlineStr">
        <is>
          <t>industrials</t>
        </is>
      </c>
      <c r="F65" s="31" t="inlineStr">
        <is>
          <t>Packaging - FMCG/Consumers</t>
        </is>
      </c>
      <c r="G65" s="31" t="inlineStr">
        <is>
          <t>smallcap</t>
        </is>
      </c>
      <c r="H65" s="32" t="n">
        <v>2194.37</v>
      </c>
      <c r="I65" s="32" t="n">
        <v>290.56</v>
      </c>
      <c r="J65" s="32" t="n">
        <v>9.98</v>
      </c>
      <c r="K65" s="32" t="n">
        <v>0</v>
      </c>
      <c r="L65" s="31" t="n">
        <v>83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78.79000000000001</v>
      </c>
      <c r="P65" s="32" t="n">
        <v>19.32</v>
      </c>
      <c r="Q65" s="32" t="n">
        <v>229.34</v>
      </c>
      <c r="R65" s="31" t="inlineStr">
        <is>
          <t>Volume Spike &amp; Near 52W High Breakout</t>
        </is>
      </c>
      <c r="S65" s="31" t="inlineStr">
        <is>
          <t>Nifty Infra</t>
        </is>
      </c>
      <c r="T65" s="32" t="n">
        <v>3.35</v>
      </c>
      <c r="U65" s="32" t="n">
        <v>35.01</v>
      </c>
      <c r="V65" s="32" t="n">
        <v>30.64</v>
      </c>
      <c r="W65" s="32" t="n">
        <v>23.6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B2C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0 to 20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Less than 12%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26</t>
        </is>
      </c>
      <c r="CG65" s="31">
        <f>IF(CF65&gt;20,10,IF(CF65&gt;=10,5,2))</f>
        <v/>
      </c>
    </row>
    <row r="66">
      <c r="A66" s="31">
        <f>IF(B66=0,"",RANK(B66,$B$2:$B$84,0))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4" t="inlineStr">
        <is>
          <t>MPSLTD</t>
        </is>
      </c>
      <c r="D66" s="34" t="inlineStr">
        <is>
          <t>MPS Ltd</t>
        </is>
      </c>
      <c r="E66" s="31" t="inlineStr">
        <is>
          <t>i.t</t>
        </is>
      </c>
      <c r="F66" s="31" t="inlineStr">
        <is>
          <t>E-Commerce - Platform - Utility</t>
        </is>
      </c>
      <c r="G66" s="31" t="inlineStr">
        <is>
          <t>smallcap</t>
        </is>
      </c>
      <c r="H66" s="32" t="n">
        <v>4386.79</v>
      </c>
      <c r="I66" s="32" t="n">
        <v>2564.5</v>
      </c>
      <c r="J66" s="32" t="n">
        <v>20</v>
      </c>
      <c r="K66" s="32" t="n">
        <v>0</v>
      </c>
      <c r="L66" s="31" t="n">
        <v>69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75.56999999999999</v>
      </c>
      <c r="P66" s="32" t="n">
        <v>22.09</v>
      </c>
      <c r="Q66" s="32" t="n">
        <v>2013.73</v>
      </c>
      <c r="R66" s="31" t="inlineStr">
        <is>
          <t>Volume Spike &amp; Near 52W High Breakout</t>
        </is>
      </c>
      <c r="S66" s="31" t="inlineStr">
        <is>
          <t>Nifty IT</t>
        </is>
      </c>
      <c r="T66" s="32" t="n">
        <v>-19.86</v>
      </c>
      <c r="U66" s="32" t="n">
        <v>8.949999999999999</v>
      </c>
      <c r="V66" s="32" t="n">
        <v>35.94</v>
      </c>
      <c r="W66" s="32" t="n">
        <v>16.7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Oligopoly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Less than 12%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30</t>
        </is>
      </c>
      <c r="CG66" s="31">
        <f>IF(CF66&gt;20,10,IF(CF66&gt;=10,5,2))</f>
        <v/>
      </c>
    </row>
    <row r="67">
      <c r="A67" s="31">
        <f>IF(B67=0,"",RANK(B67,$B$2:$B$84,0))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GANDHAR</t>
        </is>
      </c>
      <c r="D67" s="31" t="inlineStr">
        <is>
          <t>Gandhar Oil Refinery (India) Ltd</t>
        </is>
      </c>
      <c r="E67" s="31" t="inlineStr">
        <is>
          <t>energy</t>
        </is>
      </c>
      <c r="F67" s="31" t="inlineStr">
        <is>
          <t>Refineries</t>
        </is>
      </c>
      <c r="G67" s="31" t="inlineStr">
        <is>
          <t>smallcap</t>
        </is>
      </c>
      <c r="H67" s="32" t="n">
        <v>2306.04</v>
      </c>
      <c r="I67" s="32" t="n">
        <v>235.6</v>
      </c>
      <c r="J67" s="32" t="n">
        <v>3.71</v>
      </c>
      <c r="K67" s="32" t="n">
        <v>0</v>
      </c>
      <c r="L67" s="31" t="n">
        <v>85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78.59999999999999</v>
      </c>
      <c r="P67" s="32" t="n">
        <v>47.62</v>
      </c>
      <c r="Q67" s="32" t="n">
        <v>183.36</v>
      </c>
      <c r="R67" s="31" t="inlineStr">
        <is>
          <t>Volume Spike &amp; Near 52W High Breakout</t>
        </is>
      </c>
      <c r="S67" s="31" t="inlineStr">
        <is>
          <t>Nifty Energy</t>
        </is>
      </c>
      <c r="T67" s="32" t="n">
        <v>11.87</v>
      </c>
      <c r="U67" s="32" t="n">
        <v>42.2</v>
      </c>
      <c r="V67" s="32" t="n">
        <v>27.11</v>
      </c>
      <c r="W67" s="32" t="n">
        <v>26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Oligopoly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Cyclical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Volatile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Between 50% to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19</t>
        </is>
      </c>
      <c r="CG67" s="31">
        <f>IF(CF67&gt;20,10,IF(CF67&gt;=10,5,2))</f>
        <v/>
      </c>
    </row>
    <row r="68">
      <c r="A68" s="31">
        <f>IF(B68=0,"",RANK(B68,$B$2:$B$84,0))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4" t="inlineStr">
        <is>
          <t>RRKABEL</t>
        </is>
      </c>
      <c r="D68" s="34" t="inlineStr">
        <is>
          <t>R R Kabel Ltd</t>
        </is>
      </c>
      <c r="E68" s="31" t="inlineStr">
        <is>
          <t>industrials</t>
        </is>
      </c>
      <c r="F68" s="31" t="inlineStr">
        <is>
          <t>Cables - Power</t>
        </is>
      </c>
      <c r="G68" s="31" t="inlineStr">
        <is>
          <t>largecap</t>
        </is>
      </c>
      <c r="H68" s="32" t="n">
        <v>27823.95</v>
      </c>
      <c r="I68" s="32" t="n">
        <v>2460</v>
      </c>
      <c r="J68" s="32" t="n">
        <v>4.89</v>
      </c>
      <c r="K68" s="32" t="n">
        <v>0</v>
      </c>
      <c r="L68" s="31" t="n">
        <v>88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70.94</v>
      </c>
      <c r="P68" s="32" t="n">
        <v>60.82</v>
      </c>
      <c r="Q68" s="32" t="n">
        <v>1959.49</v>
      </c>
      <c r="R68" s="31" t="inlineStr">
        <is>
          <t>Near 52W High Breakout</t>
        </is>
      </c>
      <c r="S68" s="31" t="inlineStr">
        <is>
          <t>Nifty Energy</t>
        </is>
      </c>
      <c r="T68" s="32" t="n">
        <v>11.87</v>
      </c>
      <c r="U68" s="32" t="n">
        <v>75.16</v>
      </c>
      <c r="V68" s="32" t="n">
        <v>56.57</v>
      </c>
      <c r="W68" s="32" t="n">
        <v>28.58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Between 1.5 to 2</t>
        </is>
      </c>
      <c r="BU68" s="31">
        <f>IF(BT68="Above 2",0,IF(BT68="Between 1.5 to 2",5,IF(BT68="Less than 1.5",10,0)))</f>
        <v/>
      </c>
      <c r="BV68" s="31" t="inlineStr">
        <is>
          <t>Less than 50%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17</t>
        </is>
      </c>
      <c r="CG68" s="31">
        <f>IF(CF68&gt;20,10,IF(CF68&gt;=10,5,2))</f>
        <v/>
      </c>
    </row>
    <row r="69">
      <c r="A69" s="31">
        <f>IF(B69=0,"",RANK(B69,$B$2:$B$84,0))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MBAPL</t>
        </is>
      </c>
      <c r="D69" s="31" t="inlineStr">
        <is>
          <t>Madhya Bharat Agro Products Ltd</t>
        </is>
      </c>
      <c r="E69" s="31" t="inlineStr">
        <is>
          <t>chemicals</t>
        </is>
      </c>
      <c r="F69" s="31" t="inlineStr">
        <is>
          <t>Fertilisers</t>
        </is>
      </c>
      <c r="G69" s="31" t="inlineStr">
        <is>
          <t>midcap</t>
        </is>
      </c>
      <c r="H69" s="32" t="n">
        <v>6260.94</v>
      </c>
      <c r="I69" s="32" t="n">
        <v>142.9</v>
      </c>
      <c r="J69" s="32" t="n">
        <v>-0.59</v>
      </c>
      <c r="K69" s="32" t="n">
        <v>0</v>
      </c>
      <c r="L69" s="31" t="n">
        <v>75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81.52</v>
      </c>
      <c r="P69" s="32" t="n">
        <v>57.84</v>
      </c>
      <c r="Q69" s="32" t="n">
        <v>108.76</v>
      </c>
      <c r="R69" s="31" t="inlineStr">
        <is>
          <t>Volume Spike &amp; Near 52W High Breakout</t>
        </is>
      </c>
      <c r="S69" s="31" t="inlineStr">
        <is>
          <t>Nifty 50</t>
        </is>
      </c>
      <c r="T69" s="32" t="n">
        <v>-3.39</v>
      </c>
      <c r="U69" s="32" t="n">
        <v>62.36</v>
      </c>
      <c r="V69" s="32" t="n">
        <v>68.05</v>
      </c>
      <c r="W69" s="32" t="n">
        <v>18.85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Between 12 to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More than 1.2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17</t>
        </is>
      </c>
      <c r="CG69" s="31">
        <f>IF(CF69&gt;20,10,IF(CF69&gt;=10,5,2))</f>
        <v/>
      </c>
    </row>
    <row r="70">
      <c r="A70" s="31">
        <f>IF(B70=0,"",RANK(B70,$B$2:$B$84,0))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4" t="inlineStr">
        <is>
          <t>ADANIENSOL</t>
        </is>
      </c>
      <c r="D70" s="34" t="inlineStr">
        <is>
          <t>Adani Energy Solutions Ltd</t>
        </is>
      </c>
      <c r="E70" s="31" t="inlineStr">
        <is>
          <t>power &amp; utilities</t>
        </is>
      </c>
      <c r="F70" s="31" t="inlineStr">
        <is>
          <t>Power - Transmission/Equipment</t>
        </is>
      </c>
      <c r="G70" s="31" t="inlineStr">
        <is>
          <t>largecap</t>
        </is>
      </c>
      <c r="H70" s="32" t="n">
        <v>207689.76</v>
      </c>
      <c r="I70" s="32" t="n">
        <v>1728.9</v>
      </c>
      <c r="J70" s="32" t="n">
        <v>-0.73</v>
      </c>
      <c r="K70" s="32" t="n">
        <v>0</v>
      </c>
      <c r="L70" s="31" t="n">
        <v>84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76.02</v>
      </c>
      <c r="P70" s="32" t="n">
        <v>54.01</v>
      </c>
      <c r="Q70" s="32" t="n">
        <v>1383.99</v>
      </c>
      <c r="R70" s="31" t="inlineStr">
        <is>
          <t>Near 52W High Breakout</t>
        </is>
      </c>
      <c r="S70" s="31" t="inlineStr">
        <is>
          <t>Nifty IT</t>
        </is>
      </c>
      <c r="T70" s="32" t="n">
        <v>-19.86</v>
      </c>
      <c r="U70" s="32" t="n">
        <v>111.03</v>
      </c>
      <c r="V70" s="32" t="n">
        <v>163.31</v>
      </c>
      <c r="W70" s="32" t="n">
        <v>23.92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Less than 12%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More than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16</t>
        </is>
      </c>
      <c r="CG70" s="31">
        <f>IF(CF70&gt;20,10,IF(CF70&gt;=10,5,2))</f>
        <v/>
      </c>
    </row>
    <row r="71">
      <c r="A71" s="31">
        <f>IF(B71=0,"",RANK(B71,$B$2:$B$84,0))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4" t="inlineStr">
        <is>
          <t>TVSMOTOR</t>
        </is>
      </c>
      <c r="D71" s="34" t="inlineStr">
        <is>
          <t>TVS Motor Company Ltd</t>
        </is>
      </c>
      <c r="E71" s="31" t="inlineStr">
        <is>
          <t>auto</t>
        </is>
      </c>
      <c r="F71" s="31" t="inlineStr">
        <is>
          <t>Auto - 2 &amp; 3 Wheelers</t>
        </is>
      </c>
      <c r="G71" s="31" t="inlineStr">
        <is>
          <t>largecap</t>
        </is>
      </c>
      <c r="H71" s="32" t="n">
        <v>185996.61</v>
      </c>
      <c r="I71" s="32" t="n">
        <v>3915</v>
      </c>
      <c r="J71" s="32" t="n">
        <v>3.24</v>
      </c>
      <c r="K71" s="32" t="n">
        <v>0</v>
      </c>
      <c r="L71" s="31" t="n">
        <v>49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62.28</v>
      </c>
      <c r="P71" s="32" t="n">
        <v>10.56</v>
      </c>
      <c r="Q71" s="32" t="n">
        <v>3228.16</v>
      </c>
      <c r="R71" s="31" t="inlineStr">
        <is>
          <t>Near 52W High Breakout</t>
        </is>
      </c>
      <c r="S71" s="31" t="inlineStr">
        <is>
          <t>Nifty Auto</t>
        </is>
      </c>
      <c r="T71" s="32" t="n">
        <v>14.92</v>
      </c>
      <c r="U71" s="32" t="n">
        <v>41.34</v>
      </c>
      <c r="V71" s="32" t="n">
        <v>22.99</v>
      </c>
      <c r="W71" s="32" t="n">
        <v>10.2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0 to 20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More than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15</t>
        </is>
      </c>
      <c r="CG71" s="31">
        <f>IF(CF71&gt;20,10,IF(CF71&gt;=10,5,2))</f>
        <v/>
      </c>
    </row>
    <row r="72">
      <c r="A72" s="31">
        <f>IF(B72=0,"",RANK(B72,$B$2:$B$84,0))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SENCO</t>
        </is>
      </c>
      <c r="D72" s="34" t="inlineStr">
        <is>
          <t>Senco Gold Ltd</t>
        </is>
      </c>
      <c r="E72" s="31" t="inlineStr">
        <is>
          <t>consumer discretionary</t>
        </is>
      </c>
      <c r="F72" s="31" t="inlineStr">
        <is>
          <t>Diamond, Gems &amp; Jewellery</t>
        </is>
      </c>
      <c r="G72" s="31" t="inlineStr">
        <is>
          <t>midcap</t>
        </is>
      </c>
      <c r="H72" s="32" t="n">
        <v>6422.48</v>
      </c>
      <c r="I72" s="32" t="n">
        <v>392</v>
      </c>
      <c r="J72" s="32" t="n">
        <v>3.76</v>
      </c>
      <c r="K72" s="32" t="n">
        <v>0</v>
      </c>
      <c r="L72" s="31" t="n">
        <v>40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64</v>
      </c>
      <c r="P72" s="32" t="n">
        <v>26.31</v>
      </c>
      <c r="Q72" s="32" t="n">
        <v>298.73</v>
      </c>
      <c r="R72" s="31" t="inlineStr">
        <is>
          <t>Near 52W High Breakout</t>
        </is>
      </c>
      <c r="S72" s="31" t="inlineStr">
        <is>
          <t>Nifty 50</t>
        </is>
      </c>
      <c r="T72" s="32" t="n">
        <v>-3.39</v>
      </c>
      <c r="U72" s="32" t="n">
        <v>15.72</v>
      </c>
      <c r="V72" s="32" t="n">
        <v>19.78</v>
      </c>
      <c r="W72" s="32" t="n">
        <v>8.08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Negative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21</t>
        </is>
      </c>
      <c r="CG72" s="31">
        <f>IF(CF72&gt;20,10,IF(CF72&gt;=10,5,2))</f>
        <v/>
      </c>
    </row>
    <row r="73">
      <c r="A73" s="31">
        <f>IF(B73=0,"",RANK(B73,$B$2:$B$84,0))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3" t="inlineStr">
        <is>
          <t>SHYAMMETL</t>
        </is>
      </c>
      <c r="D73" s="33" t="inlineStr">
        <is>
          <t>Shyam Metalics &amp; Energy Ltd</t>
        </is>
      </c>
      <c r="E73" s="31" t="inlineStr">
        <is>
          <t>metals &amp; mining</t>
        </is>
      </c>
      <c r="F73" s="31" t="inlineStr">
        <is>
          <t>Steel Products</t>
        </is>
      </c>
      <c r="G73" s="31" t="inlineStr">
        <is>
          <t>largecap</t>
        </is>
      </c>
      <c r="H73" s="32" t="n">
        <v>28764.54</v>
      </c>
      <c r="I73" s="32" t="n">
        <v>1030.5</v>
      </c>
      <c r="J73" s="32" t="n">
        <v>-3.03</v>
      </c>
      <c r="K73" s="32" t="n">
        <v>0</v>
      </c>
      <c r="L73" s="31" t="n">
        <v>36</v>
      </c>
      <c r="M73" s="31" t="inlineStr">
        <is>
          <t>Underperforming</t>
        </is>
      </c>
      <c r="N73" s="32">
        <f>IF(M73="Underperforming",-5,IF(L73&gt;=95,15,IF(L73&gt;=90,10,IF(L73&gt;=80,5,0))))</f>
        <v/>
      </c>
      <c r="O73" s="32" t="n">
        <v>65.97</v>
      </c>
      <c r="P73" s="32" t="n">
        <v>17.94</v>
      </c>
      <c r="Q73" s="32" t="n">
        <v>841.05</v>
      </c>
      <c r="R73" s="31" t="inlineStr">
        <is>
          <t>Near 52W High Breakout</t>
        </is>
      </c>
      <c r="S73" s="31" t="inlineStr">
        <is>
          <t>Nifty Metal</t>
        </is>
      </c>
      <c r="T73" s="32" t="n">
        <v>33.29</v>
      </c>
      <c r="U73" s="32" t="n">
        <v>6.76</v>
      </c>
      <c r="V73" s="32" t="n">
        <v>-19.91</v>
      </c>
      <c r="W73" s="32" t="n">
        <v>7.25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Cyclical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Volatile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0 to 20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18</t>
        </is>
      </c>
      <c r="CG73" s="31">
        <f>IF(CF73&gt;20,10,IF(CF73&gt;=10,5,2))</f>
        <v/>
      </c>
    </row>
    <row r="74">
      <c r="A74" s="31">
        <f>IF(B74=0,"",RANK(B74,$B$2:$B$84,0))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4" t="inlineStr">
        <is>
          <t>JUBLINGREA</t>
        </is>
      </c>
      <c r="D74" s="34" t="inlineStr">
        <is>
          <t>Jubilant Ingrevia Ltd</t>
        </is>
      </c>
      <c r="E74" s="31" t="inlineStr">
        <is>
          <t>chemicals</t>
        </is>
      </c>
      <c r="F74" s="31" t="inlineStr">
        <is>
          <t>Pesticides/Agrochemicals</t>
        </is>
      </c>
      <c r="G74" s="31" t="inlineStr">
        <is>
          <t>midcap</t>
        </is>
      </c>
      <c r="H74" s="32" t="n">
        <v>11898.3</v>
      </c>
      <c r="I74" s="32" t="n">
        <v>747</v>
      </c>
      <c r="J74" s="32" t="n">
        <v>-2.2</v>
      </c>
      <c r="K74" s="32" t="n">
        <v>0</v>
      </c>
      <c r="L74" s="31" t="n">
        <v>5</v>
      </c>
      <c r="M74" s="31" t="inlineStr">
        <is>
          <t>Underperforming</t>
        </is>
      </c>
      <c r="N74" s="32">
        <f>IF(M74="Underperforming",-5,IF(L74&gt;=95,15,IF(L74&gt;=90,10,IF(L74&gt;=80,5,0))))</f>
        <v/>
      </c>
      <c r="O74" s="32" t="n">
        <v>60.22</v>
      </c>
      <c r="P74" s="32" t="n">
        <v>18.31</v>
      </c>
      <c r="Q74" s="32" t="n">
        <v>567.51</v>
      </c>
      <c r="R74" s="31" t="inlineStr">
        <is>
          <t>Volume Spike &amp; Near 52W High Breakout</t>
        </is>
      </c>
      <c r="S74" s="31" t="inlineStr">
        <is>
          <t>Nifty 50</t>
        </is>
      </c>
      <c r="T74" s="32" t="n">
        <v>-3.39</v>
      </c>
      <c r="U74" s="32" t="n">
        <v>-4.24</v>
      </c>
      <c r="V74" s="32" t="n">
        <v>-0.89</v>
      </c>
      <c r="W74" s="32" t="n">
        <v>-0.27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0 to 20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Between 12 to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17</t>
        </is>
      </c>
      <c r="CG74" s="31">
        <f>IF(CF74&gt;20,10,IF(CF74&gt;=10,5,2))</f>
        <v/>
      </c>
    </row>
    <row r="75">
      <c r="A75" s="31">
        <f>IF(B75=0,"",RANK(B75,$B$2:$B$84,0))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KAPSTON</t>
        </is>
      </c>
      <c r="D75" s="31" t="inlineStr">
        <is>
          <t>Kapston Services Ltd</t>
        </is>
      </c>
      <c r="E75" s="31" t="inlineStr">
        <is>
          <t>miscellaneous</t>
        </is>
      </c>
      <c r="F75" s="31" t="inlineStr">
        <is>
          <t>Services - Others</t>
        </is>
      </c>
      <c r="G75" s="31" t="inlineStr">
        <is>
          <t>smallcap</t>
        </is>
      </c>
      <c r="H75" s="32" t="n">
        <v>1412.05</v>
      </c>
      <c r="I75" s="32" t="n">
        <v>464</v>
      </c>
      <c r="J75" s="32" t="n">
        <v>2.67</v>
      </c>
      <c r="K75" s="32" t="n">
        <v>0</v>
      </c>
      <c r="L75" s="31" t="n">
        <v>83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74.81999999999999</v>
      </c>
      <c r="P75" s="32" t="n">
        <v>21.89</v>
      </c>
      <c r="Q75" s="32" t="n">
        <v>351.96</v>
      </c>
      <c r="R75" s="31" t="inlineStr">
        <is>
          <t>Near 52W High Breakout</t>
        </is>
      </c>
      <c r="S75" s="31" t="inlineStr">
        <is>
          <t>Nifty 50</t>
        </is>
      </c>
      <c r="T75" s="32" t="n">
        <v>-3.39</v>
      </c>
      <c r="U75" s="32" t="n">
        <v>94.19</v>
      </c>
      <c r="V75" s="32" t="n">
        <v>101</v>
      </c>
      <c r="W75" s="32" t="n">
        <v>23.83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Less than 50% and Borrowings are increasing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More than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17</t>
        </is>
      </c>
      <c r="CG75" s="31">
        <f>IF(CF75&gt;20,10,IF(CF75&gt;=10,5,2))</f>
        <v/>
      </c>
    </row>
    <row r="76">
      <c r="A76" s="31">
        <f>IF(B76=0,"",RANK(B76,$B$2:$B$84,0))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RPGLIFE</t>
        </is>
      </c>
      <c r="D76" s="31" t="inlineStr">
        <is>
          <t>RPG Life Sciences Ltd</t>
        </is>
      </c>
      <c r="E76" s="31" t="inlineStr">
        <is>
          <t>healthcare</t>
        </is>
      </c>
      <c r="F76" s="31" t="inlineStr">
        <is>
          <t>Pharma - Formulators</t>
        </is>
      </c>
      <c r="G76" s="31" t="inlineStr">
        <is>
          <t>smallcap</t>
        </is>
      </c>
      <c r="H76" s="32" t="n">
        <v>4936.9</v>
      </c>
      <c r="I76" s="32" t="n">
        <v>2985</v>
      </c>
      <c r="J76" s="32" t="n">
        <v>-0.43</v>
      </c>
      <c r="K76" s="32" t="n">
        <v>0</v>
      </c>
      <c r="L76" s="31" t="n">
        <v>66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77.78</v>
      </c>
      <c r="P76" s="32" t="n">
        <v>26.72</v>
      </c>
      <c r="Q76" s="32" t="n">
        <v>2400.27</v>
      </c>
      <c r="R76" s="31" t="inlineStr">
        <is>
          <t>Volume Spike &amp; Near 52W High Breakout</t>
        </is>
      </c>
      <c r="S76" s="31" t="inlineStr">
        <is>
          <t>Nifty Pharma</t>
        </is>
      </c>
      <c r="T76" s="32" t="n">
        <v>13.63</v>
      </c>
      <c r="U76" s="32" t="n">
        <v>21.78</v>
      </c>
      <c r="V76" s="32" t="n">
        <v>7.17</v>
      </c>
      <c r="W76" s="32" t="n">
        <v>15.78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Less than 12%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Less than 50%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15</t>
        </is>
      </c>
      <c r="CG76" s="31">
        <f>IF(CF76&gt;20,10,IF(CF76&gt;=10,5,2))</f>
        <v/>
      </c>
    </row>
    <row r="77">
      <c r="A77" s="31">
        <f>IF(B77=0,"",RANK(B77,$B$2:$B$84,0))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4" t="inlineStr">
        <is>
          <t>VSSL</t>
        </is>
      </c>
      <c r="D77" s="34" t="inlineStr">
        <is>
          <t>Vardhman Special Steels Ltd</t>
        </is>
      </c>
      <c r="E77" s="31" t="inlineStr">
        <is>
          <t>metals &amp; mining</t>
        </is>
      </c>
      <c r="F77" s="31" t="inlineStr">
        <is>
          <t>Steel Products</t>
        </is>
      </c>
      <c r="G77" s="31" t="inlineStr">
        <is>
          <t>smallcap</t>
        </is>
      </c>
      <c r="H77" s="32" t="n">
        <v>2967.76</v>
      </c>
      <c r="I77" s="32" t="n">
        <v>306.9</v>
      </c>
      <c r="J77" s="32" t="n">
        <v>1.17</v>
      </c>
      <c r="K77" s="32" t="n">
        <v>0</v>
      </c>
      <c r="L77" s="31" t="n">
        <v>37</v>
      </c>
      <c r="M77" s="31" t="inlineStr">
        <is>
          <t>Underperforming</t>
        </is>
      </c>
      <c r="N77" s="32">
        <f>IF(M77="Underperforming",-5,IF(L77&gt;=95,15,IF(L77&gt;=90,10,IF(L77&gt;=80,5,0))))</f>
        <v/>
      </c>
      <c r="O77" s="32" t="n">
        <v>65.17</v>
      </c>
      <c r="P77" s="32" t="n">
        <v>19.01</v>
      </c>
      <c r="Q77" s="32" t="n">
        <v>240.63</v>
      </c>
      <c r="R77" s="31" t="inlineStr">
        <is>
          <t>Volume Spike &amp; Near 52W High Breakout</t>
        </is>
      </c>
      <c r="S77" s="31" t="inlineStr">
        <is>
          <t>Nifty Metal</t>
        </is>
      </c>
      <c r="T77" s="32" t="n">
        <v>33.29</v>
      </c>
      <c r="U77" s="32" t="n">
        <v>18.86</v>
      </c>
      <c r="V77" s="32" t="n">
        <v>-10.83</v>
      </c>
      <c r="W77" s="32" t="n">
        <v>7.41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0 to 20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Between 50% to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15</t>
        </is>
      </c>
      <c r="CG77" s="31">
        <f>IF(CF77&gt;20,10,IF(CF77&gt;=10,5,2))</f>
        <v/>
      </c>
    </row>
    <row r="78">
      <c r="A78" s="31">
        <f>IF(B78=0,"",RANK(B78,$B$2:$B$84,0))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KRISHANA</t>
        </is>
      </c>
      <c r="D78" s="31" t="inlineStr">
        <is>
          <t>Krishana Phoschem Ltd</t>
        </is>
      </c>
      <c r="E78" s="31" t="inlineStr">
        <is>
          <t>chemicals</t>
        </is>
      </c>
      <c r="F78" s="31" t="inlineStr">
        <is>
          <t>Fertilisers</t>
        </is>
      </c>
      <c r="G78" s="31" t="inlineStr">
        <is>
          <t>smallcap</t>
        </is>
      </c>
      <c r="H78" s="32" t="n">
        <v>4480.96</v>
      </c>
      <c r="I78" s="32" t="n">
        <v>144.95</v>
      </c>
      <c r="J78" s="32" t="n">
        <v>1.47</v>
      </c>
      <c r="K78" s="32" t="n">
        <v>0</v>
      </c>
      <c r="L78" s="31" t="n">
        <v>48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64.92</v>
      </c>
      <c r="P78" s="32" t="n">
        <v>43.02</v>
      </c>
      <c r="Q78" s="32" t="n">
        <v>115.34</v>
      </c>
      <c r="R78" s="31" t="inlineStr">
        <is>
          <t>Earnings / Momentum Support</t>
        </is>
      </c>
      <c r="S78" s="31" t="inlineStr">
        <is>
          <t>Nifty 50</t>
        </is>
      </c>
      <c r="T78" s="32" t="n">
        <v>-3.39</v>
      </c>
      <c r="U78" s="32" t="n">
        <v>37.17</v>
      </c>
      <c r="V78" s="32" t="n">
        <v>41.97</v>
      </c>
      <c r="W78" s="32" t="n">
        <v>9.880000000000001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More than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17</t>
        </is>
      </c>
      <c r="CG78" s="31">
        <f>IF(CF78&gt;20,10,IF(CF78&gt;=10,5,2))</f>
        <v/>
      </c>
    </row>
    <row r="79">
      <c r="A79" s="31">
        <f>IF(B79=0,"",RANK(B79,$B$2:$B$84,0))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CNL</t>
        </is>
      </c>
      <c r="D79" s="31" t="inlineStr">
        <is>
          <t>Creative Newtech Ltd</t>
        </is>
      </c>
      <c r="E79" s="31" t="inlineStr">
        <is>
          <t>Technology</t>
        </is>
      </c>
      <c r="F79" s="31" t="inlineStr">
        <is>
          <t>E-Commerce - Platform - Utility</t>
        </is>
      </c>
      <c r="G79" s="31" t="inlineStr">
        <is>
          <t>smallcap</t>
        </is>
      </c>
      <c r="H79" s="32" t="n">
        <v>1357.51</v>
      </c>
      <c r="I79" s="32" t="n">
        <v>904</v>
      </c>
      <c r="J79" s="32" t="n">
        <v>-4.72</v>
      </c>
      <c r="K79" s="32" t="n">
        <v>0</v>
      </c>
      <c r="L79" s="31" t="n">
        <v>78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76.39</v>
      </c>
      <c r="P79" s="32" t="n">
        <v>34.1</v>
      </c>
      <c r="Q79" s="32" t="n">
        <v>696.0599999999999</v>
      </c>
      <c r="R79" s="31" t="inlineStr">
        <is>
          <t>Near 52W High Breakout</t>
        </is>
      </c>
      <c r="S79" s="31" t="inlineStr">
        <is>
          <t>Nifty 50</t>
        </is>
      </c>
      <c r="T79" s="32" t="n">
        <v>-3.39</v>
      </c>
      <c r="U79" s="32" t="n">
        <v>38.49</v>
      </c>
      <c r="V79" s="32" t="n">
        <v>43.34</v>
      </c>
      <c r="W79" s="32" t="n">
        <v>20.07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Oligopoly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Negative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21</t>
        </is>
      </c>
      <c r="CG79" s="31">
        <f>IF(CF79&gt;20,10,IF(CF79&gt;=10,5,2))</f>
        <v/>
      </c>
    </row>
    <row r="80">
      <c r="A80" s="31">
        <f>IF(B80=0,"",RANK(B80,$B$2:$B$84,0))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4" t="inlineStr">
        <is>
          <t>STALLION</t>
        </is>
      </c>
      <c r="D80" s="34" t="inlineStr">
        <is>
          <t>Stallion India Fluorochemicals Ltd</t>
        </is>
      </c>
      <c r="E80" s="31" t="inlineStr">
        <is>
          <t>Basic Materials</t>
        </is>
      </c>
      <c r="F80" s="31" t="inlineStr">
        <is>
          <t>Industrial Gas</t>
        </is>
      </c>
      <c r="G80" s="31" t="inlineStr">
        <is>
          <t>smallcap</t>
        </is>
      </c>
      <c r="H80" s="32" t="n">
        <v>2913.75</v>
      </c>
      <c r="I80" s="32" t="n">
        <v>251</v>
      </c>
      <c r="J80" s="32" t="n">
        <v>2.32</v>
      </c>
      <c r="K80" s="32" t="n">
        <v>0</v>
      </c>
      <c r="L80" s="31" t="n">
        <v>97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67.03</v>
      </c>
      <c r="P80" s="32" t="n">
        <v>15.78</v>
      </c>
      <c r="Q80" s="32" t="n">
        <v>169.45</v>
      </c>
      <c r="R80" s="31" t="inlineStr">
        <is>
          <t>Volume Spike / Accumulation</t>
        </is>
      </c>
      <c r="S80" s="31" t="inlineStr">
        <is>
          <t>Nifty 50</t>
        </is>
      </c>
      <c r="T80" s="32" t="n">
        <v>-3.39</v>
      </c>
      <c r="U80" s="32" t="n">
        <v>104.6</v>
      </c>
      <c r="V80" s="32" t="n">
        <v>111.76</v>
      </c>
      <c r="W80" s="32" t="n">
        <v>44.19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0 to 20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Less than 12%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Between 50% to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15</t>
        </is>
      </c>
      <c r="CG80" s="31">
        <f>IF(CF80&gt;20,10,IF(CF80&gt;=10,5,2))</f>
        <v/>
      </c>
    </row>
    <row r="81">
      <c r="A81" s="31">
        <f>IF(B81=0,"",RANK(B81,$B$2:$B$84,0))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3" t="inlineStr">
        <is>
          <t>LLOYDSME</t>
        </is>
      </c>
      <c r="D81" s="33" t="inlineStr">
        <is>
          <t>Lloyds Metals &amp; Energy Ltd</t>
        </is>
      </c>
      <c r="E81" s="31" t="inlineStr">
        <is>
          <t>metals &amp; mining</t>
        </is>
      </c>
      <c r="F81" s="31" t="inlineStr">
        <is>
          <t>Mining/Minerals - Iron Ore</t>
        </is>
      </c>
      <c r="G81" s="31" t="inlineStr">
        <is>
          <t>largecap</t>
        </is>
      </c>
      <c r="H81" s="32" t="n">
        <v>105044.07</v>
      </c>
      <c r="I81" s="32" t="n">
        <v>1866.1</v>
      </c>
      <c r="J81" s="32" t="n">
        <v>-3.63</v>
      </c>
      <c r="K81" s="32" t="n">
        <v>0</v>
      </c>
      <c r="L81" s="31" t="n">
        <v>43</v>
      </c>
      <c r="M81" s="31" t="inlineStr">
        <is>
          <t>Underperforming</t>
        </is>
      </c>
      <c r="N81" s="32">
        <f>IF(M81="Underperforming",-5,IF(L81&gt;=95,15,IF(L81&gt;=90,10,IF(L81&gt;=80,5,0))))</f>
        <v/>
      </c>
      <c r="O81" s="32" t="n">
        <v>71.89</v>
      </c>
      <c r="P81" s="32" t="n">
        <v>44.69</v>
      </c>
      <c r="Q81" s="32" t="n">
        <v>1534.01</v>
      </c>
      <c r="R81" s="31" t="inlineStr">
        <is>
          <t>Near 52W High Breakout</t>
        </is>
      </c>
      <c r="S81" s="31" t="inlineStr">
        <is>
          <t>Nifty Metal</t>
        </is>
      </c>
      <c r="T81" s="32" t="n">
        <v>33.29</v>
      </c>
      <c r="U81" s="32" t="n">
        <v>24.5</v>
      </c>
      <c r="V81" s="32" t="n">
        <v>-6.6</v>
      </c>
      <c r="W81" s="32" t="n">
        <v>9.039999999999999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Less than 50% and Borrowings are increasing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19</t>
        </is>
      </c>
      <c r="CG81" s="31">
        <f>IF(CF81&gt;20,10,IF(CF81&gt;=10,5,2))</f>
        <v/>
      </c>
    </row>
    <row r="82">
      <c r="A82" s="31">
        <f>IF(B82=0,"",RANK(B82,$B$2:$B$84,0))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JNKINDIA</t>
        </is>
      </c>
      <c r="D82" s="34" t="inlineStr">
        <is>
          <t>JNK India Ltd</t>
        </is>
      </c>
      <c r="E82" s="31" t="inlineStr">
        <is>
          <t>Industrials</t>
        </is>
      </c>
      <c r="F82" s="31" t="inlineStr">
        <is>
          <t>Capital Goods - Engineering Heavy</t>
        </is>
      </c>
      <c r="G82" s="31" t="inlineStr">
        <is>
          <t>smallcap</t>
        </is>
      </c>
      <c r="H82" s="32" t="n">
        <v>2659.21</v>
      </c>
      <c r="I82" s="32" t="n">
        <v>475.25</v>
      </c>
      <c r="J82" s="32" t="n">
        <v>-1.06</v>
      </c>
      <c r="K82" s="32" t="n">
        <v>0</v>
      </c>
      <c r="L82" s="31" t="n">
        <v>76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66.3</v>
      </c>
      <c r="P82" s="32" t="n">
        <v>48.34</v>
      </c>
      <c r="Q82" s="32" t="n">
        <v>352.83</v>
      </c>
      <c r="R82" s="31" t="inlineStr">
        <is>
          <t>Earnings / Momentum Support</t>
        </is>
      </c>
      <c r="S82" s="31" t="inlineStr">
        <is>
          <t>Nifty Infra</t>
        </is>
      </c>
      <c r="T82" s="32" t="n">
        <v>3.35</v>
      </c>
      <c r="U82" s="32" t="n">
        <v>44.66</v>
      </c>
      <c r="V82" s="32" t="n">
        <v>39.98</v>
      </c>
      <c r="W82" s="32" t="n">
        <v>19.31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Negative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15</t>
        </is>
      </c>
      <c r="CG82" s="31">
        <f>IF(CF82&gt;20,10,IF(CF82&gt;=10,5,2))</f>
        <v/>
      </c>
    </row>
    <row r="83">
      <c r="A83" s="31">
        <f>IF(B83=0,"",RANK(B83,$B$2:$B$84,0))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4" t="inlineStr">
        <is>
          <t>PNGJL</t>
        </is>
      </c>
      <c r="D83" s="34" t="inlineStr">
        <is>
          <t>P N Gadgil Jewellers Ltd</t>
        </is>
      </c>
      <c r="E83" s="31" t="inlineStr">
        <is>
          <t>consumer discretionary</t>
        </is>
      </c>
      <c r="F83" s="31" t="inlineStr">
        <is>
          <t>Diamond, Gems &amp; Jewellery</t>
        </is>
      </c>
      <c r="G83" s="31" t="inlineStr">
        <is>
          <t>midcap</t>
        </is>
      </c>
      <c r="H83" s="32" t="n">
        <v>8658.190000000001</v>
      </c>
      <c r="I83" s="32" t="n">
        <v>638</v>
      </c>
      <c r="J83" s="32" t="n">
        <v>6.2</v>
      </c>
      <c r="K83" s="32" t="n">
        <v>0</v>
      </c>
      <c r="L83" s="31" t="n">
        <v>11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56.76</v>
      </c>
      <c r="P83" s="32" t="n">
        <v>11.92</v>
      </c>
      <c r="Q83" s="32" t="n">
        <v>576.85</v>
      </c>
      <c r="R83" s="31" t="inlineStr">
        <is>
          <t>Earnings / Momentum Support</t>
        </is>
      </c>
      <c r="S83" s="31" t="inlineStr">
        <is>
          <t>Nifty 50</t>
        </is>
      </c>
      <c r="T83" s="32" t="n">
        <v>-3.39</v>
      </c>
      <c r="U83" s="32" t="n">
        <v>9.44</v>
      </c>
      <c r="V83" s="32" t="n">
        <v>13.27</v>
      </c>
      <c r="W83" s="32" t="n">
        <v>1.82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0 to 20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1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Negative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Between 0.7 to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15</t>
        </is>
      </c>
      <c r="CG83" s="31">
        <f>IF(CF83&gt;20,10,IF(CF83&gt;=10,5,2))</f>
        <v/>
      </c>
    </row>
    <row r="84">
      <c r="A84" s="31">
        <f>IF(B84=0,"",RANK(B84,$B$2:$B$84,0))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UTSSAV</t>
        </is>
      </c>
      <c r="D84" s="31" t="inlineStr">
        <is>
          <t>Utssav CZ Gold Jewels Ltd</t>
        </is>
      </c>
      <c r="E84" s="31" t="inlineStr">
        <is>
          <t>unknown</t>
        </is>
      </c>
      <c r="F84" s="31" t="inlineStr">
        <is>
          <t>Diamond, Gems &amp; Jewellery</t>
        </is>
      </c>
      <c r="G84" s="31" t="inlineStr">
        <is>
          <t>smallcap</t>
        </is>
      </c>
      <c r="H84" s="32" t="n">
        <v>1296.75</v>
      </c>
      <c r="I84" s="32" t="n">
        <v>537</v>
      </c>
      <c r="J84" s="32" t="n">
        <v>1.42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inlineStr"/>
      <c r="P84" s="32" t="inlineStr"/>
      <c r="Q84" s="32" t="inlineStr"/>
      <c r="R84" s="31" t="inlineStr"/>
      <c r="S84" s="31" t="inlineStr"/>
      <c r="T84" s="32" t="inlineStr"/>
      <c r="U84" s="32" t="inlineStr"/>
      <c r="V84" s="32" t="inlineStr"/>
      <c r="W84" s="32" t="inlineStr"/>
      <c r="X84" s="31" t="n"/>
      <c r="Y84" s="31">
        <f>IF(X84="Growing Industry",10,IF(X84="Cyclical in an Upturn",5,0))</f>
        <v/>
      </c>
      <c r="Z84" s="31" t="n"/>
      <c r="AA84" s="31">
        <f>IF(Z84="Monopoly",10,IF(Z84="Oligopoly",5,IF(Z84="Duopoly that cooperate",10,IF(Z84="Duopoly that compete",5,IF(Z84="Too many players with High ROCE",5,0)))))</f>
        <v/>
      </c>
      <c r="AB84" s="31" t="n"/>
      <c r="AC84" s="31">
        <f>IF(AB84="No",5,0)</f>
        <v/>
      </c>
      <c r="AD84" s="31" t="n"/>
      <c r="AE84" s="31">
        <f>IF(AD84="Tailwind",10,0)</f>
        <v/>
      </c>
      <c r="AF84" s="31" t="n"/>
      <c r="AG84" s="31">
        <f>IF(AF84="Structural (10 Years Consistency)",10,IF(AF84="Shallow Cyclical (2 to 3 years growth)",5,0))</f>
        <v/>
      </c>
      <c r="AH84" s="31" t="n"/>
      <c r="AI84" s="31">
        <f>IF(AH84="Yes due to Product Mix change or Operating Leverage",10,IF(AH84="Yes, these are peak margins",-5,IF(AH84="No",5,0)))</f>
        <v/>
      </c>
      <c r="AJ84" s="31" t="n"/>
      <c r="AK84" s="31">
        <f>IF(AJ84="Stable",10,0)</f>
        <v/>
      </c>
      <c r="AL84" s="31" t="n"/>
      <c r="AM84" s="31">
        <f>IF(AL84="Yes",10,0)</f>
        <v/>
      </c>
      <c r="AN84" s="31" t="n"/>
      <c r="AO84" s="31">
        <f>IF(AN84="B2C",10,IF(AN84="B2B",5,0))</f>
        <v/>
      </c>
      <c r="AP84" s="31" t="n"/>
      <c r="AQ84" s="31">
        <f>IF(AP84="Yes",10,0)</f>
        <v/>
      </c>
      <c r="AR84" s="31" t="n"/>
      <c r="AS84" s="31">
        <f>IF(AR84="Fully Annuity",10,IF(AR84="Higher Annuity, Lower One Time",5,IF(AR84="Higher One Time, Lower Annuity",3,0)))</f>
        <v/>
      </c>
      <c r="AT84" s="31" t="n"/>
      <c r="AU84" s="31">
        <f>IF(AT84="Good",10,0)</f>
        <v/>
      </c>
      <c r="AV84" s="31" t="n"/>
      <c r="AW84" s="31">
        <f>IF(AV84="Yes for more than 2 years",10,IF(AV84="Yes only for next 1 to 2 years",5,0))</f>
        <v/>
      </c>
      <c r="AX84" s="31" t="n"/>
      <c r="AY84" s="31">
        <f>IF(AX84="Above 40",20,IF(AX84="20 to 40",10,IF(AX84="0 to 20",-5,0)))</f>
        <v/>
      </c>
      <c r="AZ84" s="31" t="n"/>
      <c r="BA84" s="31">
        <f>IF(AZ84="Between 50 to 75",10,IF(AZ84="Above 75",0,0))</f>
        <v/>
      </c>
      <c r="BB84" s="31" t="n"/>
      <c r="BC84" s="31">
        <f>IF(BB84="Stage 2",20,IF(BB84="Stage 1",0,IF(BB84="Stage 3",5,IF(BB84="Stage 4",-5,0))))</f>
        <v/>
      </c>
      <c r="BD84" s="31" t="n"/>
      <c r="BE84" s="31">
        <f>IF(BD84="Positive Trend",20,IF(BD84="Negative Trend",-10,0))</f>
        <v/>
      </c>
      <c r="BF84" s="31" t="n"/>
      <c r="BG84" s="31">
        <f>IF(BF84="Uptrend",10,IF(BF84="Sideways",5,0))</f>
        <v/>
      </c>
      <c r="BH84" s="31" t="n"/>
      <c r="BI84" s="31">
        <f>IF(BH84="Uptrend",10,IF(BH84="Sideways",5,0))</f>
        <v/>
      </c>
      <c r="BJ84" s="31" t="n"/>
      <c r="BK84" s="31">
        <f>IF(BJ84="Overhead supply in last 2 years in last 2 years",-5,IF(BJ84="Close to 52 week high or retracement",5,IF(BJ84="Blue sky scenario",10,IF(BJ84="Long term Downtrend",-10,0))))</f>
        <v/>
      </c>
      <c r="BL84" s="31" t="n"/>
      <c r="BM84" s="31">
        <f>IF(BL84="Yes",10,0)</f>
        <v/>
      </c>
      <c r="BN84" s="31" t="n"/>
      <c r="BO84" s="31">
        <f>IF(BN84="More than 20%",10,IF(BN84="Between 12 to 20%",5,IF(BN84="Less than 12%",0,0)))</f>
        <v/>
      </c>
      <c r="BP84" s="31" t="n"/>
      <c r="BQ84" s="31">
        <f>IF(BP84="No",10,0)</f>
        <v/>
      </c>
      <c r="BR84" s="31" t="n"/>
      <c r="BS84" s="31">
        <f>IF(BR84="NO",5,0)</f>
        <v/>
      </c>
      <c r="BT84" s="31" t="n"/>
      <c r="BU84" s="31">
        <f>IF(BT84="Above 2",0,IF(BT84="Between 1.5 to 2",5,IF(BT84="Less than 1.5",10,0)))</f>
        <v/>
      </c>
      <c r="BV84" s="31" t="n"/>
      <c r="BW84" s="31">
        <f>IF(BV84="Above 70%",10,IF(BV84="Between 50% to 70%",5,IF(BV84="Less than 50%",0,IF(BV84="Negative",-10,IF(BV84="Less than 50% and Borrowings are increasing",-5,0)))))</f>
        <v/>
      </c>
      <c r="BX84" s="31" t="n"/>
      <c r="BY84" s="31">
        <f>IF(BX84="More than 1.2",-10,IF(BX84="Between 0.7 to 1.2",0,IF(BX84="Less than 0.7",10,0)))</f>
        <v/>
      </c>
      <c r="BZ84" s="31" t="n"/>
      <c r="CA84" s="31">
        <f>IF(BZ84="Yes",-10,0)</f>
        <v/>
      </c>
      <c r="CB84" s="31" t="n"/>
      <c r="CC84" s="31">
        <f>IF(CB84="More than 15%",-10,IF(CB84="Less than 15%",10,0))</f>
        <v/>
      </c>
      <c r="CD84" s="31" t="n"/>
      <c r="CE84" s="31">
        <f>IF(CD84="Yes, more than 10%",-10,IF(CD84="No",10,0))</f>
        <v/>
      </c>
      <c r="CF84" s="31" t="n"/>
      <c r="CG84" s="31">
        <f>IF(CF84&gt;20,10,IF(CF84&gt;=10,5,2))</f>
        <v/>
      </c>
    </row>
    <row r="88">
      <c r="A88" s="25" t="inlineStr">
        <is>
          <t>❌ REMOVED SCAN MATCH STOCKS (THIS WEEK)</t>
        </is>
      </c>
    </row>
    <row r="89">
      <c r="A89" s="35" t="inlineStr">
        <is>
          <t>Symbol</t>
        </is>
      </c>
      <c r="B89" s="35" t="inlineStr">
        <is>
          <t>Company Name</t>
        </is>
      </c>
      <c r="C89" s="35" t="inlineStr">
        <is>
          <t>Sector</t>
        </is>
      </c>
      <c r="D89" s="35" t="inlineStr">
        <is>
          <t>Date of Removal</t>
        </is>
      </c>
    </row>
    <row r="90">
      <c r="A90" s="36" t="inlineStr">
        <is>
          <t>AEGISLOG</t>
        </is>
      </c>
      <c r="B90" s="37" t="inlineStr">
        <is>
          <t>AEGISLOG</t>
        </is>
      </c>
      <c r="C90" s="37" t="inlineStr">
        <is>
          <t>Energy</t>
        </is>
      </c>
      <c r="D90" s="38" t="inlineStr">
        <is>
          <t>2026-07-21</t>
        </is>
      </c>
    </row>
    <row r="91">
      <c r="A91" s="36" t="inlineStr">
        <is>
          <t>AFCOM</t>
        </is>
      </c>
      <c r="B91" s="37" t="inlineStr">
        <is>
          <t>AFCOM</t>
        </is>
      </c>
      <c r="C91" s="37" t="inlineStr">
        <is>
          <t>unknown</t>
        </is>
      </c>
      <c r="D91" s="38" t="inlineStr">
        <is>
          <t>2026-07-22</t>
        </is>
      </c>
    </row>
    <row r="92">
      <c r="A92" s="36" t="inlineStr">
        <is>
          <t>ATHERENERG</t>
        </is>
      </c>
      <c r="B92" s="37" t="inlineStr">
        <is>
          <t>Ather Energy Limited</t>
        </is>
      </c>
      <c r="C92" s="37" t="inlineStr">
        <is>
          <t>Consumer Cyclical</t>
        </is>
      </c>
      <c r="D92" s="38" t="inlineStr">
        <is>
          <t>2026-07-22</t>
        </is>
      </c>
    </row>
    <row r="93">
      <c r="A93" s="36" t="inlineStr">
        <is>
          <t>AZAD</t>
        </is>
      </c>
      <c r="B93" s="37" t="inlineStr">
        <is>
          <t>AZAD</t>
        </is>
      </c>
      <c r="C93" s="37" t="inlineStr">
        <is>
          <t>Industrials</t>
        </is>
      </c>
      <c r="D93" s="38" t="inlineStr">
        <is>
          <t>2026-07-22</t>
        </is>
      </c>
    </row>
    <row r="94">
      <c r="A94" s="36" t="inlineStr">
        <is>
          <t>BETA</t>
        </is>
      </c>
      <c r="B94" s="37" t="inlineStr">
        <is>
          <t>BETA</t>
        </is>
      </c>
      <c r="C94" s="37" t="inlineStr">
        <is>
          <t>unknown</t>
        </is>
      </c>
      <c r="D94" s="38" t="inlineStr">
        <is>
          <t>2026-07-22</t>
        </is>
      </c>
    </row>
    <row r="95">
      <c r="A95" s="36" t="inlineStr">
        <is>
          <t>DYCL</t>
        </is>
      </c>
      <c r="B95" s="37" t="inlineStr">
        <is>
          <t>DYCL</t>
        </is>
      </c>
      <c r="C95" s="37" t="inlineStr">
        <is>
          <t>unknown</t>
        </is>
      </c>
      <c r="D95" s="38" t="inlineStr">
        <is>
          <t>2026-07-22</t>
        </is>
      </c>
    </row>
    <row r="96">
      <c r="A96" s="36" t="inlineStr">
        <is>
          <t>EMMVEE</t>
        </is>
      </c>
      <c r="B96" s="37" t="inlineStr">
        <is>
          <t>EMMVEE</t>
        </is>
      </c>
      <c r="C96" s="37" t="inlineStr">
        <is>
          <t>unknown</t>
        </is>
      </c>
      <c r="D96" s="38" t="inlineStr">
        <is>
          <t>2026-07-21</t>
        </is>
      </c>
    </row>
    <row r="97">
      <c r="A97" s="36" t="inlineStr">
        <is>
          <t>FERMENTA</t>
        </is>
      </c>
      <c r="B97" s="37" t="inlineStr">
        <is>
          <t>FERMENTA</t>
        </is>
      </c>
      <c r="C97" s="37" t="inlineStr">
        <is>
          <t>unknown</t>
        </is>
      </c>
      <c r="D97" s="38" t="inlineStr">
        <is>
          <t>2026-07-22</t>
        </is>
      </c>
    </row>
    <row r="98">
      <c r="A98" s="36" t="inlineStr">
        <is>
          <t>GABRIEL</t>
        </is>
      </c>
      <c r="B98" s="37" t="inlineStr">
        <is>
          <t>Gabriel India Limited</t>
        </is>
      </c>
      <c r="C98" s="37" t="inlineStr">
        <is>
          <t>Consumer Cyclical</t>
        </is>
      </c>
      <c r="D98" s="38" t="inlineStr">
        <is>
          <t>2026-07-22</t>
        </is>
      </c>
    </row>
    <row r="99">
      <c r="A99" s="36" t="inlineStr">
        <is>
          <t>GALAPREC</t>
        </is>
      </c>
      <c r="B99" s="37" t="inlineStr">
        <is>
          <t>GALAPREC</t>
        </is>
      </c>
      <c r="C99" s="37" t="inlineStr">
        <is>
          <t>Industrials</t>
        </is>
      </c>
      <c r="D99" s="38" t="inlineStr">
        <is>
          <t>2026-07-22</t>
        </is>
      </c>
    </row>
    <row r="100">
      <c r="A100" s="36" t="inlineStr">
        <is>
          <t>GHCLTEXTIL</t>
        </is>
      </c>
      <c r="B100" s="37" t="inlineStr">
        <is>
          <t>GHCL Textiles Limited</t>
        </is>
      </c>
      <c r="C100" s="37" t="inlineStr">
        <is>
          <t>Consumer Cyclical</t>
        </is>
      </c>
      <c r="D100" s="38" t="inlineStr">
        <is>
          <t>2026-07-22</t>
        </is>
      </c>
    </row>
    <row r="101">
      <c r="A101" s="36" t="inlineStr">
        <is>
          <t>HIRECT</t>
        </is>
      </c>
      <c r="B101" s="37" t="inlineStr">
        <is>
          <t>Hind Rectifiers Limited</t>
        </is>
      </c>
      <c r="C101" s="37" t="inlineStr">
        <is>
          <t>Industrials</t>
        </is>
      </c>
      <c r="D101" s="38" t="inlineStr">
        <is>
          <t>2026-07-22</t>
        </is>
      </c>
    </row>
    <row r="102">
      <c r="A102" s="36" t="inlineStr">
        <is>
          <t>IKIO</t>
        </is>
      </c>
      <c r="B102" s="37" t="inlineStr">
        <is>
          <t>IKIO Technologies Limited</t>
        </is>
      </c>
      <c r="C102" s="37" t="inlineStr">
        <is>
          <t>Technology</t>
        </is>
      </c>
      <c r="D102" s="38" t="inlineStr">
        <is>
          <t>2026-07-22</t>
        </is>
      </c>
    </row>
    <row r="103">
      <c r="A103" s="36" t="inlineStr">
        <is>
          <t>IKS</t>
        </is>
      </c>
      <c r="B103" s="37" t="inlineStr">
        <is>
          <t>IKS</t>
        </is>
      </c>
      <c r="C103" s="37" t="inlineStr">
        <is>
          <t>unknown</t>
        </is>
      </c>
      <c r="D103" s="38" t="inlineStr">
        <is>
          <t>2026-07-22</t>
        </is>
      </c>
    </row>
    <row r="104">
      <c r="A104" s="36" t="inlineStr">
        <is>
          <t>INDOBORAX</t>
        </is>
      </c>
      <c r="B104" s="37" t="inlineStr">
        <is>
          <t>INDOBORAX</t>
        </is>
      </c>
      <c r="C104" s="37" t="inlineStr">
        <is>
          <t>unknown</t>
        </is>
      </c>
      <c r="D104" s="38" t="inlineStr">
        <is>
          <t>2026-07-21</t>
        </is>
      </c>
    </row>
    <row r="105">
      <c r="A105" s="36" t="inlineStr">
        <is>
          <t>IOLCP</t>
        </is>
      </c>
      <c r="B105" s="37" t="inlineStr">
        <is>
          <t>IOLCP</t>
        </is>
      </c>
      <c r="C105" s="37" t="inlineStr">
        <is>
          <t>unknown</t>
        </is>
      </c>
      <c r="D105" s="38" t="inlineStr">
        <is>
          <t>2026-07-21</t>
        </is>
      </c>
    </row>
    <row r="106">
      <c r="A106" s="36" t="inlineStr">
        <is>
          <t>ITDC</t>
        </is>
      </c>
      <c r="B106" s="37" t="inlineStr">
        <is>
          <t>India Tourism Development Corporation Limited</t>
        </is>
      </c>
      <c r="C106" s="37" t="inlineStr">
        <is>
          <t>Consumer Cyclical</t>
        </is>
      </c>
      <c r="D106" s="38" t="inlineStr">
        <is>
          <t>2026-07-22</t>
        </is>
      </c>
    </row>
    <row r="107">
      <c r="A107" s="36" t="inlineStr">
        <is>
          <t>JUSTDIAL</t>
        </is>
      </c>
      <c r="B107" s="37" t="inlineStr">
        <is>
          <t>JUSTDIAL</t>
        </is>
      </c>
      <c r="C107" s="37" t="inlineStr">
        <is>
          <t>unknown</t>
        </is>
      </c>
      <c r="D107" s="38" t="inlineStr">
        <is>
          <t>2026-07-21</t>
        </is>
      </c>
    </row>
    <row r="108">
      <c r="A108" s="36" t="inlineStr">
        <is>
          <t>MRPL</t>
        </is>
      </c>
      <c r="B108" s="37" t="inlineStr">
        <is>
          <t>Mangalore Refinery and Petrochemicals Limited</t>
        </is>
      </c>
      <c r="C108" s="37" t="inlineStr">
        <is>
          <t>Energy</t>
        </is>
      </c>
      <c r="D108" s="38" t="inlineStr">
        <is>
          <t>2026-07-22</t>
        </is>
      </c>
    </row>
    <row r="109">
      <c r="A109" s="36" t="inlineStr">
        <is>
          <t>NITTAGELA</t>
        </is>
      </c>
      <c r="B109" s="37" t="inlineStr">
        <is>
          <t>NITTAGELA</t>
        </is>
      </c>
      <c r="C109" s="37" t="inlineStr">
        <is>
          <t>unknown</t>
        </is>
      </c>
      <c r="D109" s="38" t="inlineStr">
        <is>
          <t>2026-07-21</t>
        </is>
      </c>
    </row>
    <row r="110">
      <c r="A110" s="36" t="inlineStr">
        <is>
          <t>OBEROIRLTY</t>
        </is>
      </c>
      <c r="B110" s="37" t="inlineStr">
        <is>
          <t>OBEROIRLTY</t>
        </is>
      </c>
      <c r="C110" s="37" t="inlineStr">
        <is>
          <t>unknown</t>
        </is>
      </c>
      <c r="D110" s="38" t="inlineStr">
        <is>
          <t>2026-07-21</t>
        </is>
      </c>
    </row>
    <row r="111">
      <c r="A111" s="36" t="inlineStr">
        <is>
          <t>OFSS</t>
        </is>
      </c>
      <c r="B111" s="37" t="inlineStr">
        <is>
          <t>OFSS</t>
        </is>
      </c>
      <c r="C111" s="37" t="inlineStr">
        <is>
          <t>unknown</t>
        </is>
      </c>
      <c r="D111" s="38" t="inlineStr">
        <is>
          <t>2026-07-22</t>
        </is>
      </c>
    </row>
    <row r="112">
      <c r="A112" s="36" t="inlineStr">
        <is>
          <t>PGHL</t>
        </is>
      </c>
      <c r="B112" s="37" t="inlineStr">
        <is>
          <t>Procter &amp; Gamble Health Limited</t>
        </is>
      </c>
      <c r="C112" s="37" t="inlineStr">
        <is>
          <t>Healthcare</t>
        </is>
      </c>
      <c r="D112" s="38" t="inlineStr">
        <is>
          <t>2026-07-22</t>
        </is>
      </c>
    </row>
    <row r="113">
      <c r="A113" s="36" t="inlineStr">
        <is>
          <t>PRICOLLTD</t>
        </is>
      </c>
      <c r="B113" s="37" t="inlineStr">
        <is>
          <t>PRICOLLTD</t>
        </is>
      </c>
      <c r="C113" s="37" t="inlineStr">
        <is>
          <t>unknown</t>
        </is>
      </c>
      <c r="D113" s="38" t="inlineStr">
        <is>
          <t>2026-07-21</t>
        </is>
      </c>
    </row>
    <row r="114">
      <c r="A114" s="36" t="inlineStr">
        <is>
          <t>RAMCOSYS</t>
        </is>
      </c>
      <c r="B114" s="37" t="inlineStr">
        <is>
          <t>Ramco Systems Limited</t>
        </is>
      </c>
      <c r="C114" s="37" t="inlineStr">
        <is>
          <t>Technology</t>
        </is>
      </c>
      <c r="D114" s="38" t="inlineStr">
        <is>
          <t>2026-07-21</t>
        </is>
      </c>
    </row>
    <row r="115">
      <c r="A115" s="36" t="inlineStr">
        <is>
          <t>RATEGAIN</t>
        </is>
      </c>
      <c r="B115" s="37" t="inlineStr">
        <is>
          <t>RATEGAIN</t>
        </is>
      </c>
      <c r="C115" s="37" t="inlineStr">
        <is>
          <t>unknown</t>
        </is>
      </c>
      <c r="D115" s="38" t="inlineStr">
        <is>
          <t>2026-07-21</t>
        </is>
      </c>
    </row>
    <row r="116">
      <c r="A116" s="36" t="inlineStr">
        <is>
          <t>RISHABH</t>
        </is>
      </c>
      <c r="B116" s="37" t="inlineStr">
        <is>
          <t>Rishabh Instruments Limited</t>
        </is>
      </c>
      <c r="C116" s="37" t="inlineStr">
        <is>
          <t>Technology</t>
        </is>
      </c>
      <c r="D116" s="38" t="inlineStr">
        <is>
          <t>2026-07-21</t>
        </is>
      </c>
    </row>
    <row r="117">
      <c r="A117" s="36" t="inlineStr">
        <is>
          <t>SACHEEROME</t>
        </is>
      </c>
      <c r="B117" s="37" t="inlineStr">
        <is>
          <t>SACHEEROME</t>
        </is>
      </c>
      <c r="C117" s="37" t="inlineStr">
        <is>
          <t>unknown</t>
        </is>
      </c>
      <c r="D117" s="38" t="inlineStr">
        <is>
          <t>2026-07-22</t>
        </is>
      </c>
    </row>
    <row r="118">
      <c r="A118" s="36" t="inlineStr">
        <is>
          <t>SAKAR</t>
        </is>
      </c>
      <c r="B118" s="37" t="inlineStr">
        <is>
          <t>SAKAR</t>
        </is>
      </c>
      <c r="C118" s="37" t="inlineStr">
        <is>
          <t>unknown</t>
        </is>
      </c>
      <c r="D118" s="38" t="inlineStr">
        <is>
          <t>2026-07-21</t>
        </is>
      </c>
    </row>
    <row r="119">
      <c r="A119" s="36" t="inlineStr">
        <is>
          <t>SANSERA</t>
        </is>
      </c>
      <c r="B119" s="37" t="inlineStr">
        <is>
          <t>Sansera Engineering Limited</t>
        </is>
      </c>
      <c r="C119" s="37" t="inlineStr">
        <is>
          <t>Consumer Cyclical</t>
        </is>
      </c>
      <c r="D119" s="38" t="inlineStr">
        <is>
          <t>2026-07-22</t>
        </is>
      </c>
    </row>
    <row r="120">
      <c r="A120" s="36" t="inlineStr">
        <is>
          <t>SAREGAMA</t>
        </is>
      </c>
      <c r="B120" s="37" t="inlineStr">
        <is>
          <t>SAREGAMA</t>
        </is>
      </c>
      <c r="C120" s="37" t="inlineStr">
        <is>
          <t>unknown</t>
        </is>
      </c>
      <c r="D120" s="38" t="inlineStr">
        <is>
          <t>2026-07-22</t>
        </is>
      </c>
    </row>
    <row r="121">
      <c r="A121" s="36" t="inlineStr">
        <is>
          <t>SEKURITIND</t>
        </is>
      </c>
      <c r="B121" s="37" t="inlineStr">
        <is>
          <t>SEKURITIND</t>
        </is>
      </c>
      <c r="C121" s="37" t="inlineStr">
        <is>
          <t>unknown</t>
        </is>
      </c>
      <c r="D121" s="38" t="inlineStr">
        <is>
          <t>2026-07-21</t>
        </is>
      </c>
    </row>
    <row r="122">
      <c r="A122" s="36" t="inlineStr">
        <is>
          <t>SKMEGGPROD</t>
        </is>
      </c>
      <c r="B122" s="37" t="inlineStr">
        <is>
          <t>SKM Egg Products Export (India) Limited</t>
        </is>
      </c>
      <c r="C122" s="37" t="inlineStr">
        <is>
          <t>Consumer Defensive</t>
        </is>
      </c>
      <c r="D122" s="38" t="inlineStr">
        <is>
          <t>2026-07-21</t>
        </is>
      </c>
    </row>
    <row r="123">
      <c r="A123" s="36" t="inlineStr">
        <is>
          <t>TIPSMUSIC</t>
        </is>
      </c>
      <c r="B123" s="37" t="inlineStr">
        <is>
          <t>TIPSMUSIC</t>
        </is>
      </c>
      <c r="C123" s="37" t="inlineStr">
        <is>
          <t>unknown</t>
        </is>
      </c>
      <c r="D123" s="38" t="inlineStr">
        <is>
          <t>2026-07-22</t>
        </is>
      </c>
    </row>
    <row r="124">
      <c r="A124" s="36" t="inlineStr">
        <is>
          <t>TRIVENI</t>
        </is>
      </c>
      <c r="B124" s="37" t="inlineStr">
        <is>
          <t>TRIVENI</t>
        </is>
      </c>
      <c r="C124" s="37" t="inlineStr">
        <is>
          <t>unknown</t>
        </is>
      </c>
      <c r="D124" s="38" t="inlineStr">
        <is>
          <t>2026-07-22</t>
        </is>
      </c>
    </row>
    <row r="125">
      <c r="A125" s="36" t="inlineStr">
        <is>
          <t>UNIPARTS</t>
        </is>
      </c>
      <c r="B125" s="37" t="inlineStr">
        <is>
          <t>UNIPARTS</t>
        </is>
      </c>
      <c r="C125" s="37" t="inlineStr">
        <is>
          <t>unknown</t>
        </is>
      </c>
      <c r="D125" s="38" t="inlineStr">
        <is>
          <t>2026-07-22</t>
        </is>
      </c>
    </row>
    <row r="126">
      <c r="A126" s="36" t="inlineStr">
        <is>
          <t>VENUSREM</t>
        </is>
      </c>
      <c r="B126" s="37" t="inlineStr">
        <is>
          <t>VENUSREM</t>
        </is>
      </c>
      <c r="C126" s="37" t="inlineStr">
        <is>
          <t>unknown</t>
        </is>
      </c>
      <c r="D126" s="38" t="inlineStr">
        <is>
          <t>2026-07-22</t>
        </is>
      </c>
    </row>
    <row r="127">
      <c r="A127" s="36" t="inlineStr">
        <is>
          <t>WABAG</t>
        </is>
      </c>
      <c r="B127" s="37" t="inlineStr">
        <is>
          <t>WABAG</t>
        </is>
      </c>
      <c r="C127" s="37" t="inlineStr">
        <is>
          <t>unknown</t>
        </is>
      </c>
      <c r="D127" s="38" t="inlineStr">
        <is>
          <t>2026-07-21</t>
        </is>
      </c>
    </row>
  </sheetData>
  <autoFilter ref="A1:CG84"/>
  <conditionalFormatting sqref="B2:B8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4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4">
    <cfRule type="cellIs" priority="37" operator="equal" dxfId="3" stopIfTrue="1">
      <formula>"Underperforming"</formula>
    </cfRule>
  </conditionalFormatting>
  <conditionalFormatting sqref="N2:N84">
    <cfRule type="cellIs" priority="38" operator="equal" dxfId="3" stopIfTrue="1">
      <formula>-5</formula>
    </cfRule>
  </conditionalFormatting>
  <conditionalFormatting sqref="Q2:Q84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4" showDropDown="0" showInputMessage="0" showErrorMessage="0" allowBlank="1" type="list">
      <formula1>"Growing Industry,Stagnant Industry,Cyclical in an Upturn"</formula1>
    </dataValidation>
    <dataValidation sqref="Z2:Z8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4" showDropDown="0" showInputMessage="0" showErrorMessage="0" allowBlank="1" type="list">
      <formula1>"Yes,No"</formula1>
    </dataValidation>
    <dataValidation sqref="AD2:AD84" showDropDown="0" showInputMessage="0" showErrorMessage="0" allowBlank="1" type="list">
      <formula1>"Tailwind,Headwind"</formula1>
    </dataValidation>
    <dataValidation sqref="AF2:AF84" showDropDown="0" showInputMessage="0" showErrorMessage="0" allowBlank="1" type="list">
      <formula1>"Structural (10 Years Consistency),Shallow Cyclical (2 to 3 Years Growth),Cyclical"</formula1>
    </dataValidation>
    <dataValidation sqref="AH2:AH84" showDropDown="0" showInputMessage="0" showErrorMessage="0" allowBlank="1" type="list">
      <formula1>"Yes due to Product Mix change or Operating Leverage,Yes, these are peak margins,No"</formula1>
    </dataValidation>
    <dataValidation sqref="AJ2:AJ84" showDropDown="0" showInputMessage="0" showErrorMessage="0" allowBlank="1" type="list">
      <formula1>"Stable,Volatile"</formula1>
    </dataValidation>
    <dataValidation sqref="AL2:AL84" showDropDown="0" showInputMessage="0" showErrorMessage="0" allowBlank="1" type="list">
      <formula1>"Yes,No"</formula1>
    </dataValidation>
    <dataValidation sqref="AN2:AN84" showDropDown="0" showInputMessage="0" showErrorMessage="0" allowBlank="1" type="list">
      <formula1>"B2C,B2B,B2G"</formula1>
    </dataValidation>
    <dataValidation sqref="AP2:AP84" showDropDown="0" showInputMessage="0" showErrorMessage="0" allowBlank="1" type="list">
      <formula1>"Yes,No"</formula1>
    </dataValidation>
    <dataValidation sqref="AR2:AR84" showDropDown="0" showInputMessage="0" showErrorMessage="0" allowBlank="1" type="list">
      <formula1>"Fully Annuity,Higher Annuity, Lower One time,Higher One Time, Lower Annuity,Fully One Time"</formula1>
    </dataValidation>
    <dataValidation sqref="AT2:AT84" showDropDown="0" showInputMessage="0" showErrorMessage="0" allowBlank="1" type="list">
      <formula1>"Good,Allocated capital in Non-core Areas"</formula1>
    </dataValidation>
    <dataValidation sqref="AV2:AV84" showDropDown="0" showInputMessage="0" showErrorMessage="0" allowBlank="1" type="list">
      <formula1>"Yes for more than 2 years,Yes only for next 1 to 2 years,No"</formula1>
    </dataValidation>
    <dataValidation sqref="AX2:AX84" showDropDown="0" showInputMessage="0" showErrorMessage="0" allowBlank="1" type="list">
      <formula1>"Above 40,20 to 40,0 to 20"</formula1>
    </dataValidation>
    <dataValidation sqref="AZ2:AZ84" showDropDown="0" showInputMessage="0" showErrorMessage="0" allowBlank="1" type="list">
      <formula1>"Between 50 to 75,Above 75,Below 45"</formula1>
    </dataValidation>
    <dataValidation sqref="BB2:BB84" showDropDown="0" showInputMessage="0" showErrorMessage="0" allowBlank="1" type="list">
      <formula1>"Stage 1,Stage 2,Stage 3,Stage 4"</formula1>
    </dataValidation>
    <dataValidation sqref="BD2:BD84" showDropDown="0" showInputMessage="0" showErrorMessage="0" allowBlank="1" type="list">
      <formula1>"Positive Trend,Negative Trend"</formula1>
    </dataValidation>
    <dataValidation sqref="BF2:BF84" showDropDown="0" showInputMessage="0" showErrorMessage="0" allowBlank="1" type="list">
      <formula1>"Uptrend,Sideways,Downtrend"</formula1>
    </dataValidation>
    <dataValidation sqref="BH2:BH84" showDropDown="0" showInputMessage="0" showErrorMessage="0" allowBlank="1" type="list">
      <formula1>"Uptrend,Sideways,Downtrend"</formula1>
    </dataValidation>
    <dataValidation sqref="BJ2:BJ8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4" showDropDown="0" showInputMessage="0" showErrorMessage="0" allowBlank="1" type="list">
      <formula1>"Yes,No"</formula1>
    </dataValidation>
    <dataValidation sqref="BN2:BN84" showDropDown="0" showInputMessage="0" showErrorMessage="0" allowBlank="1" type="list">
      <formula1>"More than 20%,Between 12 to 20%,Less than 12%"</formula1>
    </dataValidation>
    <dataValidation sqref="BP2:BP84" showDropDown="0" showInputMessage="0" showErrorMessage="0" allowBlank="1" type="list">
      <formula1>"Yes,No"</formula1>
    </dataValidation>
    <dataValidation sqref="BR2:BR84" showDropDown="0" showInputMessage="0" showErrorMessage="0" allowBlank="1" type="list">
      <formula1>"Yes,No"</formula1>
    </dataValidation>
    <dataValidation sqref="BT2:BT84" showDropDown="0" showInputMessage="0" showErrorMessage="0" allowBlank="1" type="list">
      <formula1>"Above 2,Between 1.5 to 2,Less than 1.5"</formula1>
    </dataValidation>
    <dataValidation sqref="BV2:BV84" showDropDown="0" showInputMessage="0" showErrorMessage="0" allowBlank="1" type="list">
      <formula1>"Above 70%,Between 50% to 70%,Less than 50%,Less than 50% and Borrowings are increasing,Negative"</formula1>
    </dataValidation>
    <dataValidation sqref="BX2:BX84" showDropDown="0" showInputMessage="0" showErrorMessage="0" allowBlank="1" type="list">
      <formula1>"More than 1.2,Between 0.7 to 1.2,Less than 0.7"</formula1>
    </dataValidation>
    <dataValidation sqref="BZ2:BZ84" showDropDown="0" showInputMessage="0" showErrorMessage="0" allowBlank="1" type="list">
      <formula1>"Yes,No"</formula1>
    </dataValidation>
    <dataValidation sqref="CB2:CB84" showDropDown="0" showInputMessage="0" showErrorMessage="0" allowBlank="1" type="list">
      <formula1>"More than 15%,Less than 15%"</formula1>
    </dataValidation>
    <dataValidation sqref="CD2:CD8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IF(B2=0,"",RANK(B2,$B$2:$B$18,0))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 Services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2794.92</v>
      </c>
      <c r="I2" s="32" t="n">
        <v>253</v>
      </c>
      <c r="J2" s="32" t="n">
        <v>-2.11</v>
      </c>
      <c r="K2" s="32" t="n">
        <v>0</v>
      </c>
      <c r="L2" s="31" t="n">
        <v>81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71.03</v>
      </c>
      <c r="P2" s="32" t="n">
        <v>68.13</v>
      </c>
      <c r="Q2" s="32" t="n">
        <v>201.15</v>
      </c>
      <c r="R2" s="31" t="inlineStr">
        <is>
          <t>Near 52W High Breakout</t>
        </is>
      </c>
      <c r="S2" s="31" t="inlineStr">
        <is>
          <t>Nifty Bank</t>
        </is>
      </c>
      <c r="T2" s="32" t="n">
        <v>1.06</v>
      </c>
      <c r="U2" s="32" t="n">
        <v>67.91</v>
      </c>
      <c r="V2" s="32" t="n">
        <v>66.15000000000001</v>
      </c>
      <c r="W2" s="32" t="n">
        <v>22.49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17</t>
        </is>
      </c>
      <c r="CC2" s="31">
        <f>IF(CB2&gt;20,10,IF(CB2&gt;=10,5,2))</f>
        <v/>
      </c>
    </row>
    <row r="3">
      <c r="A3" s="31">
        <f>IF(B3=0,"",RANK(B3,$B$2:$B$18,0))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PIRAMALFIN</t>
        </is>
      </c>
      <c r="D3" s="31" t="inlineStr">
        <is>
          <t>Piramal Finance Ltd</t>
        </is>
      </c>
      <c r="E3" s="31" t="inlineStr">
        <is>
          <t>Financial Services</t>
        </is>
      </c>
      <c r="F3" s="31" t="inlineStr">
        <is>
          <t>Conglomerate Backed NBFC</t>
        </is>
      </c>
      <c r="G3" s="31" t="inlineStr">
        <is>
          <t>largecap</t>
        </is>
      </c>
      <c r="H3" s="32" t="n">
        <v>48735.71</v>
      </c>
      <c r="I3" s="32" t="n">
        <v>2150</v>
      </c>
      <c r="J3" s="32" t="n">
        <v>-1.49</v>
      </c>
      <c r="K3" s="32" t="n">
        <v>0</v>
      </c>
      <c r="L3" s="31" t="n">
        <v>62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72.84999999999999</v>
      </c>
      <c r="P3" s="32" t="n">
        <v>59.46</v>
      </c>
      <c r="Q3" s="32" t="n">
        <v>1773.66</v>
      </c>
      <c r="R3" s="31" t="inlineStr">
        <is>
          <t>Near 52W High Breakout</t>
        </is>
      </c>
      <c r="S3" s="31" t="inlineStr">
        <is>
          <t>Nifty Bank</t>
        </is>
      </c>
      <c r="T3" s="32" t="n">
        <v>-1.3</v>
      </c>
      <c r="U3" s="32" t="n">
        <v>63.18</v>
      </c>
      <c r="V3" s="32" t="n">
        <v>65.31999999999999</v>
      </c>
      <c r="W3" s="32" t="n">
        <v>14.29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15</t>
        </is>
      </c>
      <c r="CC3" s="31">
        <f>IF(CB3&gt;20,10,IF(CB3&gt;=10,5,2))</f>
        <v/>
      </c>
    </row>
    <row r="4">
      <c r="A4" s="31">
        <f>IF(B4=0,"",RANK(B4,$B$2:$B$18,0))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SURYODAY</t>
        </is>
      </c>
      <c r="D4" s="31" t="inlineStr">
        <is>
          <t>Suryoday Small Finance Bank Ltd</t>
        </is>
      </c>
      <c r="E4" s="31" t="inlineStr">
        <is>
          <t>Financial Services</t>
        </is>
      </c>
      <c r="F4" s="31" t="inlineStr">
        <is>
          <t>Banks - Small Finance</t>
        </is>
      </c>
      <c r="G4" s="31" t="inlineStr">
        <is>
          <t>smallcap</t>
        </is>
      </c>
      <c r="H4" s="32" t="n">
        <v>1933.73</v>
      </c>
      <c r="I4" s="32" t="n">
        <v>181.93</v>
      </c>
      <c r="J4" s="32" t="n">
        <v>-4.45</v>
      </c>
      <c r="K4" s="32" t="n">
        <v>0</v>
      </c>
      <c r="L4" s="31" t="n">
        <v>57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65.56</v>
      </c>
      <c r="P4" s="32" t="n">
        <v>43.03</v>
      </c>
      <c r="Q4" s="32" t="n">
        <v>140.98</v>
      </c>
      <c r="R4" s="31" t="inlineStr">
        <is>
          <t>Near 52W High Breakout</t>
        </is>
      </c>
      <c r="S4" s="31" t="inlineStr">
        <is>
          <t>Nifty Bank</t>
        </is>
      </c>
      <c r="T4" s="32" t="n">
        <v>1.06</v>
      </c>
      <c r="U4" s="32" t="n">
        <v>37.01</v>
      </c>
      <c r="V4" s="32" t="n">
        <v>35.58</v>
      </c>
      <c r="W4" s="32" t="n">
        <v>12.54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16</t>
        </is>
      </c>
      <c r="CC4" s="31">
        <f>IF(CB4&gt;20,10,IF(CB4&gt;=10,5,2))</f>
        <v/>
      </c>
    </row>
    <row r="5">
      <c r="A5" s="31">
        <f>IF(B5=0,"",RANK(B5,$B$2:$B$18,0))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SGFIN</t>
        </is>
      </c>
      <c r="D5" s="31" t="inlineStr">
        <is>
          <t>SG Finserve Ltd</t>
        </is>
      </c>
      <c r="E5" s="31" t="inlineStr">
        <is>
          <t>Financial Services</t>
        </is>
      </c>
      <c r="F5" s="31" t="inlineStr">
        <is>
          <t>Finance &amp; Investments - MSME Lending</t>
        </is>
      </c>
      <c r="G5" s="31" t="inlineStr">
        <is>
          <t>smallcap</t>
        </is>
      </c>
      <c r="H5" s="32" t="n">
        <v>4411.67</v>
      </c>
      <c r="I5" s="32" t="n">
        <v>669.5</v>
      </c>
      <c r="J5" s="32" t="n">
        <v>-0.95</v>
      </c>
      <c r="K5" s="32" t="n">
        <v>0</v>
      </c>
      <c r="L5" s="31" t="n">
        <v>74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70.02</v>
      </c>
      <c r="P5" s="32" t="n">
        <v>58.89</v>
      </c>
      <c r="Q5" s="32" t="n">
        <v>507.63</v>
      </c>
      <c r="R5" s="31" t="inlineStr">
        <is>
          <t>Near 52W High Breakout</t>
        </is>
      </c>
      <c r="S5" s="31" t="inlineStr">
        <is>
          <t>Nifty Bank</t>
        </is>
      </c>
      <c r="T5" s="32" t="n">
        <v>3.86</v>
      </c>
      <c r="U5" s="32" t="n">
        <v>69.94</v>
      </c>
      <c r="V5" s="32" t="n">
        <v>63.63</v>
      </c>
      <c r="W5" s="32" t="n">
        <v>18.36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26</t>
        </is>
      </c>
      <c r="CC5" s="31">
        <f>IF(CB5&gt;20,10,IF(CB5&gt;=10,5,2))</f>
        <v/>
      </c>
    </row>
    <row r="6">
      <c r="A6" s="31">
        <f>IF(B6=0,"",RANK(B6,$B$2:$B$18,0))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PAISALO</t>
        </is>
      </c>
      <c r="D6" s="31" t="inlineStr">
        <is>
          <t>Paisalo Digital Ltd</t>
        </is>
      </c>
      <c r="E6" s="31" t="inlineStr">
        <is>
          <t>financials</t>
        </is>
      </c>
      <c r="F6" s="31" t="inlineStr">
        <is>
          <t>Finance - Capital Markets - Brokers</t>
        </is>
      </c>
      <c r="G6" s="31" t="inlineStr">
        <is>
          <t>midcap</t>
        </is>
      </c>
      <c r="H6" s="32" t="n">
        <v>6649.51</v>
      </c>
      <c r="I6" s="32" t="n">
        <v>73.11</v>
      </c>
      <c r="J6" s="32" t="n">
        <v>1.29</v>
      </c>
      <c r="K6" s="32" t="n">
        <v>0</v>
      </c>
      <c r="L6" s="31" t="n">
        <v>91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81.95</v>
      </c>
      <c r="P6" s="32" t="n">
        <v>54.84</v>
      </c>
      <c r="Q6" s="32" t="n">
        <v>57.13</v>
      </c>
      <c r="R6" s="31" t="inlineStr">
        <is>
          <t>Near 52W High Breakout</t>
        </is>
      </c>
      <c r="S6" s="31" t="inlineStr">
        <is>
          <t>Nifty Bank</t>
        </is>
      </c>
      <c r="T6" s="32" t="n">
        <v>1.06</v>
      </c>
      <c r="U6" s="32" t="n">
        <v>125.76</v>
      </c>
      <c r="V6" s="32" t="n">
        <v>123.4</v>
      </c>
      <c r="W6" s="32" t="n">
        <v>32.24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Above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19</t>
        </is>
      </c>
      <c r="CC6" s="31">
        <f>IF(CB6&gt;20,10,IF(CB6&gt;=10,5,2))</f>
        <v/>
      </c>
    </row>
    <row r="7">
      <c r="A7" s="31">
        <f>IF(B7=0,"",RANK(B7,$B$2:$B$18,0))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UJJIVANSFB</t>
        </is>
      </c>
      <c r="D7" s="31" t="inlineStr">
        <is>
          <t>Ujjivan Small Finance Bank Ltd</t>
        </is>
      </c>
      <c r="E7" s="31" t="inlineStr">
        <is>
          <t>bank</t>
        </is>
      </c>
      <c r="F7" s="31" t="inlineStr">
        <is>
          <t>Banks - Small Finance</t>
        </is>
      </c>
      <c r="G7" s="31" t="inlineStr">
        <is>
          <t>midcap</t>
        </is>
      </c>
      <c r="H7" s="32" t="n">
        <v>12622.59</v>
      </c>
      <c r="I7" s="32" t="n">
        <v>64.87</v>
      </c>
      <c r="J7" s="32" t="n">
        <v>-1.16</v>
      </c>
      <c r="K7" s="32" t="n">
        <v>0</v>
      </c>
      <c r="L7" s="31" t="n">
        <v>55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62.59</v>
      </c>
      <c r="P7" s="32" t="n">
        <v>27.92</v>
      </c>
      <c r="Q7" s="32" t="n">
        <v>51.61</v>
      </c>
      <c r="R7" s="31" t="inlineStr">
        <is>
          <t>Near 52W High Breakout</t>
        </is>
      </c>
      <c r="S7" s="31" t="inlineStr">
        <is>
          <t>Nifty Bank</t>
        </is>
      </c>
      <c r="T7" s="32" t="n">
        <v>1.06</v>
      </c>
      <c r="U7" s="32" t="n">
        <v>50.16</v>
      </c>
      <c r="V7" s="32" t="n">
        <v>48.59</v>
      </c>
      <c r="W7" s="32" t="n">
        <v>12.09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17</t>
        </is>
      </c>
      <c r="CC7" s="31">
        <f>IF(CB7&gt;20,10,IF(CB7&gt;=10,5,2))</f>
        <v/>
      </c>
    </row>
    <row r="8">
      <c r="A8" s="31">
        <f>IF(B8=0,"",RANK(B8,$B$2:$B$18,0))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TFCILTD</t>
        </is>
      </c>
      <c r="D8" s="31" t="inlineStr">
        <is>
          <t>Tourism Finance Corporation of India Ltd</t>
        </is>
      </c>
      <c r="E8" s="31" t="inlineStr">
        <is>
          <t>financials</t>
        </is>
      </c>
      <c r="F8" s="31" t="inlineStr">
        <is>
          <t>Finance - PSU Lending</t>
        </is>
      </c>
      <c r="G8" s="31" t="inlineStr">
        <is>
          <t>smallcap</t>
        </is>
      </c>
      <c r="H8" s="32" t="n">
        <v>3796.41</v>
      </c>
      <c r="I8" s="32" t="n">
        <v>82</v>
      </c>
      <c r="J8" s="32" t="n">
        <v>-1.45</v>
      </c>
      <c r="K8" s="32" t="n">
        <v>0</v>
      </c>
      <c r="L8" s="31" t="n">
        <v>52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59.41</v>
      </c>
      <c r="P8" s="32" t="n">
        <v>41.32</v>
      </c>
      <c r="Q8" s="32" t="n">
        <v>63.79</v>
      </c>
      <c r="R8" s="31" t="inlineStr">
        <is>
          <t>Near 52W High Breakout</t>
        </is>
      </c>
      <c r="S8" s="31" t="inlineStr">
        <is>
          <t>Nifty Bank</t>
        </is>
      </c>
      <c r="T8" s="32" t="n">
        <v>1.06</v>
      </c>
      <c r="U8" s="32" t="n">
        <v>41.75</v>
      </c>
      <c r="V8" s="32" t="n">
        <v>40.27</v>
      </c>
      <c r="W8" s="32" t="n">
        <v>10.75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15</t>
        </is>
      </c>
      <c r="CC8" s="31">
        <f>IF(CB8&gt;20,10,IF(CB8&gt;=10,5,2))</f>
        <v/>
      </c>
    </row>
    <row r="9">
      <c r="A9" s="31">
        <f>IF(B9=0,"",RANK(B9,$B$2:$B$18,0))</f>
        <v/>
      </c>
      <c r="B9" s="32">
        <f>SUM(N9,Y9,AA9,AC9,AE9,AG9,AI9,AK9,AM9,AO9,AQ9,AS9,AU9,AW9,AY9,BA9,BC9,BE9,BG9,BI9,BK9,BM9,BO9,BQ9,BS9,BU9,BW9,BY9,CA9,CC9)</f>
        <v/>
      </c>
      <c r="C9" s="34" t="inlineStr">
        <is>
          <t>TMB</t>
        </is>
      </c>
      <c r="D9" s="34" t="inlineStr">
        <is>
          <t>Tamilnad Mercantile Bank Ltd</t>
        </is>
      </c>
      <c r="E9" s="31" t="inlineStr">
        <is>
          <t>bank</t>
        </is>
      </c>
      <c r="F9" s="31" t="inlineStr">
        <is>
          <t>Banks - Private</t>
        </is>
      </c>
      <c r="G9" s="31" t="inlineStr">
        <is>
          <t>midcap</t>
        </is>
      </c>
      <c r="H9" s="32" t="n">
        <v>12796.38</v>
      </c>
      <c r="I9" s="32" t="n">
        <v>808.1</v>
      </c>
      <c r="J9" s="32" t="n">
        <v>-1.26</v>
      </c>
      <c r="K9" s="32" t="n">
        <v>0</v>
      </c>
      <c r="L9" s="31" t="n">
        <v>76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68.27</v>
      </c>
      <c r="P9" s="32" t="n">
        <v>35.95</v>
      </c>
      <c r="Q9" s="32" t="n">
        <v>649.83</v>
      </c>
      <c r="R9" s="31" t="inlineStr">
        <is>
          <t>Near 52W High Breakout</t>
        </is>
      </c>
      <c r="S9" s="31" t="inlineStr">
        <is>
          <t>Nifty Bank</t>
        </is>
      </c>
      <c r="T9" s="32" t="n">
        <v>1.06</v>
      </c>
      <c r="U9" s="32" t="n">
        <v>85.51000000000001</v>
      </c>
      <c r="V9" s="32" t="n">
        <v>83.56999999999999</v>
      </c>
      <c r="W9" s="32" t="n">
        <v>19.49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14</t>
        </is>
      </c>
      <c r="CC9" s="31">
        <f>IF(CB9&gt;20,10,IF(CB9&gt;=10,5,2))</f>
        <v/>
      </c>
    </row>
    <row r="10">
      <c r="A10" s="31">
        <f>IF(B10=0,"",RANK(B10,$B$2:$B$18,0))</f>
        <v/>
      </c>
      <c r="B10" s="32">
        <f>SUM(N10,Y10,AA10,AC10,AE10,AG10,AI10,AK10,AM10,AO10,AQ10,AS10,AU10,AW10,AY10,BA10,BC10,BE10,BG10,BI10,BK10,BM10,BO10,BQ10,BS10,BU10,BW10,BY10,CA10,CC10)</f>
        <v/>
      </c>
      <c r="C10" s="31" t="inlineStr">
        <is>
          <t>JSFB</t>
        </is>
      </c>
      <c r="D10" s="31" t="inlineStr">
        <is>
          <t>Jana Small Finance Bank Ltd</t>
        </is>
      </c>
      <c r="E10" s="31" t="inlineStr">
        <is>
          <t>bank</t>
        </is>
      </c>
      <c r="F10" s="31" t="inlineStr">
        <is>
          <t>Banks - Small Finance</t>
        </is>
      </c>
      <c r="G10" s="31" t="inlineStr">
        <is>
          <t>midcap</t>
        </is>
      </c>
      <c r="H10" s="32" t="n">
        <v>5877.73</v>
      </c>
      <c r="I10" s="32" t="n">
        <v>556</v>
      </c>
      <c r="J10" s="32" t="n">
        <v>-1</v>
      </c>
      <c r="K10" s="32" t="n">
        <v>0</v>
      </c>
      <c r="L10" s="31" t="n">
        <v>44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69.13</v>
      </c>
      <c r="P10" s="32" t="n">
        <v>33.25</v>
      </c>
      <c r="Q10" s="32" t="n">
        <v>426.49</v>
      </c>
      <c r="R10" s="31" t="inlineStr">
        <is>
          <t>Volume Spike &amp; Near 52W High Breakout</t>
        </is>
      </c>
      <c r="S10" s="31" t="inlineStr">
        <is>
          <t>Nifty Bank</t>
        </is>
      </c>
      <c r="T10" s="32" t="n">
        <v>1.06</v>
      </c>
      <c r="U10" s="32" t="n">
        <v>22.33</v>
      </c>
      <c r="V10" s="32" t="n">
        <v>21.05</v>
      </c>
      <c r="W10" s="32" t="n">
        <v>9.199999999999999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21</t>
        </is>
      </c>
      <c r="CC10" s="31">
        <f>IF(CB10&gt;20,10,IF(CB10&gt;=10,5,2))</f>
        <v/>
      </c>
    </row>
    <row r="11">
      <c r="A11" s="31">
        <f>IF(B11=0,"",RANK(B11,$B$2:$B$18,0))</f>
        <v/>
      </c>
      <c r="B11" s="32">
        <f>SUM(N11,Y11,AA11,AC11,AE11,AG11,AI11,AK11,AM11,AO11,AQ11,AS11,AU11,AW11,AY11,BA11,BC11,BE11,BG11,BI11,BK11,BM11,BO11,BQ11,BS11,BU11,BW11,BY11,CA11,CC11)</f>
        <v/>
      </c>
      <c r="C11" s="34" t="inlineStr">
        <is>
          <t>GODREJIND</t>
        </is>
      </c>
      <c r="D11" s="34" t="inlineStr">
        <is>
          <t>Godrej Industries Ltd</t>
        </is>
      </c>
      <c r="E11" s="31" t="inlineStr">
        <is>
          <t>chemicals</t>
        </is>
      </c>
      <c r="F11" s="31" t="inlineStr">
        <is>
          <t>Finance - Holding Company</t>
        </is>
      </c>
      <c r="G11" s="31" t="inlineStr">
        <is>
          <t>largecap</t>
        </is>
      </c>
      <c r="H11" s="32" t="n">
        <v>45677</v>
      </c>
      <c r="I11" s="32" t="n">
        <v>1356</v>
      </c>
      <c r="J11" s="32" t="n">
        <v>-1.77</v>
      </c>
      <c r="K11" s="32" t="n">
        <v>0</v>
      </c>
      <c r="L11" s="31" t="n">
        <v>56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65.51000000000001</v>
      </c>
      <c r="P11" s="32" t="n">
        <v>35.7</v>
      </c>
      <c r="Q11" s="32" t="n">
        <v>1100.75</v>
      </c>
      <c r="R11" s="31" t="inlineStr">
        <is>
          <t>Near 52W High Breakout</t>
        </is>
      </c>
      <c r="S11" s="31" t="inlineStr">
        <is>
          <t>Nifty 50</t>
        </is>
      </c>
      <c r="T11" s="32" t="n">
        <v>-3.39</v>
      </c>
      <c r="U11" s="32" t="n">
        <v>19.29</v>
      </c>
      <c r="V11" s="32" t="n">
        <v>23.47</v>
      </c>
      <c r="W11" s="32" t="n">
        <v>12.11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15</t>
        </is>
      </c>
      <c r="CC11" s="31">
        <f>IF(CB11&gt;20,10,IF(CB11&gt;=10,5,2))</f>
        <v/>
      </c>
    </row>
    <row r="12">
      <c r="A12" s="31">
        <f>IF(B12=0,"",RANK(B12,$B$2:$B$18,0))</f>
        <v/>
      </c>
      <c r="B12" s="32">
        <f>SUM(N12,Y12,AA12,AC12,AE12,AG12,AI12,AK12,AM12,AO12,AQ12,AS12,AU12,AW12,AY12,BA12,BC12,BE12,BG12,BI12,BK12,BM12,BO12,BQ12,BS12,BU12,BW12,BY12,CA12,CC12)</f>
        <v/>
      </c>
      <c r="C12" s="31" t="inlineStr">
        <is>
          <t>CGCL</t>
        </is>
      </c>
      <c r="D12" s="31" t="inlineStr">
        <is>
          <t>Capri Global Capital Ltd</t>
        </is>
      </c>
      <c r="E12" s="31" t="inlineStr">
        <is>
          <t>financials</t>
        </is>
      </c>
      <c r="F12" s="31" t="inlineStr">
        <is>
          <t>Finance &amp; Investments - Gold Loan</t>
        </is>
      </c>
      <c r="G12" s="31" t="inlineStr">
        <is>
          <t>largecap</t>
        </is>
      </c>
      <c r="H12" s="32" t="n">
        <v>23497.72</v>
      </c>
      <c r="I12" s="32" t="n">
        <v>244.22</v>
      </c>
      <c r="J12" s="32" t="n">
        <v>-2.17</v>
      </c>
      <c r="K12" s="32" t="n">
        <v>0</v>
      </c>
      <c r="L12" s="31" t="n">
        <v>61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69.68000000000001</v>
      </c>
      <c r="P12" s="32" t="n">
        <v>35.15</v>
      </c>
      <c r="Q12" s="32" t="n">
        <v>211.78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1.06</v>
      </c>
      <c r="U12" s="32" t="n">
        <v>33.45</v>
      </c>
      <c r="V12" s="32" t="n">
        <v>32.05</v>
      </c>
      <c r="W12" s="32" t="n">
        <v>13.9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  <c r="CB12" s="31" t="inlineStr">
        <is>
          <t>18</t>
        </is>
      </c>
      <c r="CC12" s="31">
        <f>IF(CB12&gt;20,10,IF(CB12&gt;=10,5,2))</f>
        <v/>
      </c>
    </row>
    <row r="13">
      <c r="A13" s="31">
        <f>IF(B13=0,"",RANK(B13,$B$2:$B$18,0))</f>
        <v/>
      </c>
      <c r="B13" s="32">
        <f>SUM(N13,Y13,AA13,AC13,AE13,AG13,AI13,AK13,AM13,AO13,AQ13,AS13,AU13,AW13,AY13,BA13,BC13,BE13,BG13,BI13,BK13,BM13,BO13,BQ13,BS13,BU13,BW13,BY13,CA13,CC13)</f>
        <v/>
      </c>
      <c r="C13" s="34" t="inlineStr">
        <is>
          <t>KARURVYSYA</t>
        </is>
      </c>
      <c r="D13" s="34" t="inlineStr">
        <is>
          <t>Karur Vysya Bank Ltd</t>
        </is>
      </c>
      <c r="E13" s="31" t="inlineStr">
        <is>
          <t>bank</t>
        </is>
      </c>
      <c r="F13" s="31" t="inlineStr">
        <is>
          <t>Banks - Private</t>
        </is>
      </c>
      <c r="G13" s="31" t="inlineStr">
        <is>
          <t>largecap</t>
        </is>
      </c>
      <c r="H13" s="32" t="n">
        <v>32667.96</v>
      </c>
      <c r="I13" s="32" t="n">
        <v>338</v>
      </c>
      <c r="J13" s="32" t="n">
        <v>-0.68</v>
      </c>
      <c r="K13" s="32" t="n">
        <v>0</v>
      </c>
      <c r="L13" s="31" t="n">
        <v>58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69.05</v>
      </c>
      <c r="P13" s="32" t="n">
        <v>15.29</v>
      </c>
      <c r="Q13" s="32" t="n">
        <v>275.94</v>
      </c>
      <c r="R13" s="31" t="inlineStr">
        <is>
          <t>Volume Spike &amp; Near 52W High Breakout</t>
        </is>
      </c>
      <c r="S13" s="31" t="inlineStr">
        <is>
          <t>Nifty Bank</t>
        </is>
      </c>
      <c r="T13" s="32" t="n">
        <v>1.06</v>
      </c>
      <c r="U13" s="32" t="n">
        <v>57.74</v>
      </c>
      <c r="V13" s="32" t="n">
        <v>56.09</v>
      </c>
      <c r="W13" s="32" t="n">
        <v>12.63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0 to 20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  <c r="CB13" s="31" t="inlineStr">
        <is>
          <t>23</t>
        </is>
      </c>
      <c r="CC13" s="31">
        <f>IF(CB13&gt;20,10,IF(CB13&gt;=10,5,2))</f>
        <v/>
      </c>
    </row>
    <row r="14">
      <c r="A14" s="31">
        <f>IF(B14=0,"",RANK(B14,$B$2:$B$18,0))</f>
        <v/>
      </c>
      <c r="B14" s="32">
        <f>SUM(N14,Y14,AA14,AC14,AE14,AG14,AI14,AK14,AM14,AO14,AQ14,AS14,AU14,AW14,AY14,BA14,BC14,BE14,BG14,BI14,BK14,BM14,BO14,BQ14,BS14,BU14,BW14,BY14,CA14,CC14)</f>
        <v/>
      </c>
      <c r="C14" s="34" t="inlineStr">
        <is>
          <t>M&amp;MFIN</t>
        </is>
      </c>
      <c r="D14" s="34" t="inlineStr">
        <is>
          <t>Mahindra &amp; Mahindra Financial Services Ltd</t>
        </is>
      </c>
      <c r="E14" s="31" t="inlineStr">
        <is>
          <t>financials</t>
        </is>
      </c>
      <c r="F14" s="31" t="inlineStr">
        <is>
          <t>Finance &amp; Investments - CV Finance</t>
        </is>
      </c>
      <c r="G14" s="31" t="inlineStr">
        <is>
          <t>largecap</t>
        </is>
      </c>
      <c r="H14" s="32" t="n">
        <v>52325.46</v>
      </c>
      <c r="I14" s="32" t="n">
        <v>376.45</v>
      </c>
      <c r="J14" s="32" t="n">
        <v>7.6</v>
      </c>
      <c r="K14" s="32" t="n">
        <v>0</v>
      </c>
      <c r="L14" s="31" t="n">
        <v>69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64.89</v>
      </c>
      <c r="P14" s="32" t="n">
        <v>16.79</v>
      </c>
      <c r="Q14" s="32" t="n">
        <v>292.52</v>
      </c>
      <c r="R14" s="31" t="inlineStr">
        <is>
          <t>Volume Spike &amp; Near 52W High Breakout</t>
        </is>
      </c>
      <c r="S14" s="31" t="inlineStr">
        <is>
          <t>Nifty Bank</t>
        </is>
      </c>
      <c r="T14" s="32" t="n">
        <v>1.06</v>
      </c>
      <c r="U14" s="32" t="n">
        <v>52.59</v>
      </c>
      <c r="V14" s="32" t="n">
        <v>50.99</v>
      </c>
      <c r="W14" s="32" t="n">
        <v>16.59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0 to 20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  <c r="CB14" s="31" t="inlineStr">
        <is>
          <t>16</t>
        </is>
      </c>
      <c r="CC14" s="31">
        <f>IF(CB14&gt;20,10,IF(CB14&gt;=10,5,2))</f>
        <v/>
      </c>
    </row>
    <row r="15">
      <c r="A15" s="31">
        <f>IF(B15=0,"",RANK(B15,$B$2:$B$18,0))</f>
        <v/>
      </c>
      <c r="B15" s="32">
        <f>SUM(N15,Y15,AA15,AC15,AE15,AG15,AI15,AK15,AM15,AO15,AQ15,AS15,AU15,AW15,AY15,BA15,BC15,BE15,BG15,BI15,BK15,BM15,BO15,BQ15,BS15,BU15,BW15,BY15,CA15,CC15)</f>
        <v/>
      </c>
      <c r="C15" s="31" t="inlineStr">
        <is>
          <t>SHAREINDIA</t>
        </is>
      </c>
      <c r="D15" s="31" t="inlineStr">
        <is>
          <t>Share India Securities Ltd</t>
        </is>
      </c>
      <c r="E15" s="31" t="inlineStr">
        <is>
          <t>financials</t>
        </is>
      </c>
      <c r="F15" s="31" t="inlineStr">
        <is>
          <t>Finance - Capital Markets - Brokers</t>
        </is>
      </c>
      <c r="G15" s="31" t="inlineStr">
        <is>
          <t>smallcap</t>
        </is>
      </c>
      <c r="H15" s="32" t="n">
        <v>4175.19</v>
      </c>
      <c r="I15" s="32" t="n">
        <v>190.8</v>
      </c>
      <c r="J15" s="32" t="n">
        <v>2.65</v>
      </c>
      <c r="K15" s="32" t="n">
        <v>0</v>
      </c>
      <c r="L15" s="31" t="n">
        <v>52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69.55</v>
      </c>
      <c r="P15" s="32" t="n">
        <v>15.55</v>
      </c>
      <c r="Q15" s="32" t="n">
        <v>142.97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1.06</v>
      </c>
      <c r="U15" s="32" t="n">
        <v>11.71</v>
      </c>
      <c r="V15" s="32" t="n">
        <v>10.54</v>
      </c>
      <c r="W15" s="32" t="n">
        <v>10.72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  <c r="CB15" s="31" t="inlineStr">
        <is>
          <t>16</t>
        </is>
      </c>
      <c r="CC15" s="31">
        <f>IF(CB15&gt;20,10,IF(CB15&gt;=10,5,2))</f>
        <v/>
      </c>
    </row>
    <row r="16">
      <c r="A16" s="31">
        <f>IF(B16=0,"",RANK(B16,$B$2:$B$18,0))</f>
        <v/>
      </c>
      <c r="B16" s="32">
        <f>SUM(N16,Y16,AA16,AC16,AE16,AG16,AI16,AK16,AM16,AO16,AQ16,AS16,AU16,AW16,AY16,BA16,BC16,BE16,BG16,BI16,BK16,BM16,BO16,BQ16,BS16,BU16,BW16,BY16,CA16,CC16)</f>
        <v/>
      </c>
      <c r="C16" s="34" t="inlineStr">
        <is>
          <t>TVSHLTD</t>
        </is>
      </c>
      <c r="D16" s="34" t="inlineStr">
        <is>
          <t>TVS Holdings Ltd</t>
        </is>
      </c>
      <c r="E16" s="31" t="inlineStr">
        <is>
          <t>financials</t>
        </is>
      </c>
      <c r="F16" s="31" t="inlineStr">
        <is>
          <t>Finance - Holding Company</t>
        </is>
      </c>
      <c r="G16" s="31" t="inlineStr">
        <is>
          <t>largecap</t>
        </is>
      </c>
      <c r="H16" s="32" t="n">
        <v>30046.7</v>
      </c>
      <c r="I16" s="32" t="n">
        <v>14851</v>
      </c>
      <c r="J16" s="32" t="n">
        <v>4.32</v>
      </c>
      <c r="K16" s="32" t="n">
        <v>0</v>
      </c>
      <c r="L16" s="31" t="n">
        <v>30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60.23</v>
      </c>
      <c r="P16" s="32" t="n">
        <v>12.8</v>
      </c>
      <c r="Q16" s="32" t="n">
        <v>12095.31</v>
      </c>
      <c r="R16" s="31" t="inlineStr">
        <is>
          <t>Volume Spike &amp; Near 52W High Breakout</t>
        </is>
      </c>
      <c r="S16" s="31" t="inlineStr">
        <is>
          <t>Nifty Bank</t>
        </is>
      </c>
      <c r="T16" s="32" t="n">
        <v>1.06</v>
      </c>
      <c r="U16" s="32" t="n">
        <v>24.79</v>
      </c>
      <c r="V16" s="32" t="n">
        <v>23.48</v>
      </c>
      <c r="W16" s="32" t="n">
        <v>6.09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  <c r="CB16" s="31" t="inlineStr">
        <is>
          <t>23</t>
        </is>
      </c>
      <c r="CC16" s="31">
        <f>IF(CB16&gt;20,10,IF(CB16&gt;=10,5,2))</f>
        <v/>
      </c>
    </row>
    <row r="17">
      <c r="A17" s="31">
        <f>IF(B17=0,"",RANK(B17,$B$2:$B$18,0))</f>
        <v/>
      </c>
      <c r="B17" s="32">
        <f>SUM(N17,Y17,AA17,AC17,AE17,AG17,AI17,AK17,AM17,AO17,AQ17,AS17,AU17,AW17,AY17,BA17,BC17,BE17,BG17,BI17,BK17,BM17,BO17,BQ17,BS17,BU17,BW17,BY17,CA17,CC17)</f>
        <v/>
      </c>
      <c r="C17" s="31" t="inlineStr">
        <is>
          <t>MUTHOOTMF</t>
        </is>
      </c>
      <c r="D17" s="31" t="inlineStr">
        <is>
          <t>Muthoot Microfin Ltd</t>
        </is>
      </c>
      <c r="E17" s="31" t="inlineStr">
        <is>
          <t>financials</t>
        </is>
      </c>
      <c r="F17" s="31" t="inlineStr">
        <is>
          <t>Finance &amp; Investments - Microfinance</t>
        </is>
      </c>
      <c r="G17" s="31" t="inlineStr">
        <is>
          <t>smallcap</t>
        </is>
      </c>
      <c r="H17" s="32" t="n">
        <v>4271</v>
      </c>
      <c r="I17" s="32" t="n">
        <v>250.51</v>
      </c>
      <c r="J17" s="32" t="n">
        <v>-1.49</v>
      </c>
      <c r="K17" s="32" t="n">
        <v>0</v>
      </c>
      <c r="L17" s="31" t="n">
        <v>68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76.31</v>
      </c>
      <c r="P17" s="32" t="n">
        <v>39.47</v>
      </c>
      <c r="Q17" s="32" t="n">
        <v>192.56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1.06</v>
      </c>
      <c r="U17" s="32" t="n">
        <v>49.41</v>
      </c>
      <c r="V17" s="32" t="n">
        <v>47.85</v>
      </c>
      <c r="W17" s="32" t="n">
        <v>16.23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Above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  <c r="CB17" s="31" t="inlineStr">
        <is>
          <t>16</t>
        </is>
      </c>
      <c r="CC17" s="31">
        <f>IF(CB17&gt;20,10,IF(CB17&gt;=10,5,2))</f>
        <v/>
      </c>
    </row>
    <row r="18">
      <c r="A18" s="31">
        <f>IF(B18=0,"",RANK(B18,$B$2:$B$18,0))</f>
        <v/>
      </c>
      <c r="B18" s="32">
        <f>SUM(N18,Y18,AA18,AC18,AE18,AG18,AI18,AK18,AM18,AO18,AQ18,AS18,AU18,AW18,AY18,BA18,BC18,BE18,BG18,BI18,BK18,BM18,BO18,BQ18,BS18,BU18,BW18,BY18,CA18,CC18)</f>
        <v/>
      </c>
      <c r="C18" s="31" t="inlineStr">
        <is>
          <t>POONAWALLA</t>
        </is>
      </c>
      <c r="D18" s="31" t="inlineStr">
        <is>
          <t>Poonawalla Fincorp Ltd</t>
        </is>
      </c>
      <c r="E18" s="31" t="inlineStr">
        <is>
          <t>financials</t>
        </is>
      </c>
      <c r="F18" s="31" t="inlineStr">
        <is>
          <t>Conglomerate Backed NBFC</t>
        </is>
      </c>
      <c r="G18" s="31" t="inlineStr">
        <is>
          <t>largecap</t>
        </is>
      </c>
      <c r="H18" s="32" t="n">
        <v>41472.12</v>
      </c>
      <c r="I18" s="32" t="n">
        <v>471</v>
      </c>
      <c r="J18" s="32" t="n">
        <v>1.68</v>
      </c>
      <c r="K18" s="32" t="n">
        <v>0</v>
      </c>
      <c r="L18" s="31" t="n">
        <v>30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59.34</v>
      </c>
      <c r="P18" s="32" t="n">
        <v>12.35</v>
      </c>
      <c r="Q18" s="32" t="n">
        <v>378.06</v>
      </c>
      <c r="R18" s="31" t="inlineStr">
        <is>
          <t>Earnings / Momentum Support</t>
        </is>
      </c>
      <c r="S18" s="31" t="inlineStr">
        <is>
          <t>Nifty Bank</t>
        </is>
      </c>
      <c r="T18" s="32" t="n">
        <v>1.06</v>
      </c>
      <c r="U18" s="32" t="n">
        <v>14.44</v>
      </c>
      <c r="V18" s="32" t="n">
        <v>13.25</v>
      </c>
      <c r="W18" s="32" t="n">
        <v>6.08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0 to 20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  <c r="CB18" s="31" t="inlineStr">
        <is>
          <t>19</t>
        </is>
      </c>
      <c r="CC18" s="31">
        <f>IF(CB18&gt;20,10,IF(CB18&gt;=10,5,2))</f>
        <v/>
      </c>
    </row>
    <row r="22">
      <c r="A22" s="25" t="inlineStr">
        <is>
          <t>❌ REMOVED SCAN MATCH STOCKS (THIS WEEK)</t>
        </is>
      </c>
    </row>
    <row r="23">
      <c r="A23" s="35" t="inlineStr">
        <is>
          <t>Symbol</t>
        </is>
      </c>
      <c r="B23" s="35" t="inlineStr">
        <is>
          <t>Company Name</t>
        </is>
      </c>
      <c r="C23" s="35" t="inlineStr">
        <is>
          <t>Sector</t>
        </is>
      </c>
      <c r="D23" s="35" t="inlineStr">
        <is>
          <t>Date of Removal</t>
        </is>
      </c>
    </row>
    <row r="24">
      <c r="A24" s="36" t="inlineStr">
        <is>
          <t>CHOICEIN</t>
        </is>
      </c>
      <c r="B24" s="37" t="inlineStr">
        <is>
          <t>Choice International Limited</t>
        </is>
      </c>
      <c r="C24" s="37" t="inlineStr">
        <is>
          <t>Financial Services</t>
        </is>
      </c>
      <c r="D24" s="38" t="inlineStr">
        <is>
          <t>2026-07-21</t>
        </is>
      </c>
    </row>
    <row r="25">
      <c r="A25" s="36" t="inlineStr">
        <is>
          <t>J&amp;KBANK</t>
        </is>
      </c>
      <c r="B25" s="37" t="inlineStr">
        <is>
          <t>Jammu and Kashmir Bank Limited</t>
        </is>
      </c>
      <c r="C25" s="37" t="inlineStr">
        <is>
          <t>Financial Services</t>
        </is>
      </c>
      <c r="D25" s="38" t="inlineStr">
        <is>
          <t>2026-07-22</t>
        </is>
      </c>
    </row>
  </sheetData>
  <autoFilter ref="A1:CC18"/>
  <conditionalFormatting sqref="B2:B1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8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8">
    <cfRule type="cellIs" priority="35" operator="equal" dxfId="3" stopIfTrue="1">
      <formula>"Underperforming"</formula>
    </cfRule>
  </conditionalFormatting>
  <conditionalFormatting sqref="N2:N18">
    <cfRule type="cellIs" priority="36" operator="equal" dxfId="3" stopIfTrue="1">
      <formula>-5</formula>
    </cfRule>
  </conditionalFormatting>
  <conditionalFormatting sqref="Q2:Q18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8" showDropDown="0" showInputMessage="0" showErrorMessage="0" allowBlank="1" type="list">
      <formula1>"Growing Industry,Stagnant Industry,Cyclical in an Upturn"</formula1>
    </dataValidation>
    <dataValidation sqref="Z2:Z18" showDropDown="0" showInputMessage="0" showErrorMessage="0" allowBlank="1" type="list">
      <formula1>"Fragmented with Low ROE,Fragmented with High ROE,Highly Cyclical"</formula1>
    </dataValidation>
    <dataValidation sqref="AB2:AB18" showDropDown="0" showInputMessage="0" showErrorMessage="0" allowBlank="1" type="list">
      <formula1>"Yes,No"</formula1>
    </dataValidation>
    <dataValidation sqref="AD2:AD18" showDropDown="0" showInputMessage="0" showErrorMessage="0" allowBlank="1" type="list">
      <formula1>"Tailwind,Headwind"</formula1>
    </dataValidation>
    <dataValidation sqref="AF2:AF1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8" showDropDown="0" showInputMessage="0" showErrorMessage="0" allowBlank="1" type="list">
      <formula1>"Yes,No"</formula1>
    </dataValidation>
    <dataValidation sqref="AJ2:AJ18" showDropDown="0" showInputMessage="0" showErrorMessage="0" allowBlank="1" type="list">
      <formula1>"Yes,No,Not Applicable"</formula1>
    </dataValidation>
    <dataValidation sqref="AL2:AL18" showDropDown="0" showInputMessage="0" showErrorMessage="0" allowBlank="1" type="list">
      <formula1>"Yes,No"</formula1>
    </dataValidation>
    <dataValidation sqref="AN2:AN18" showDropDown="0" showInputMessage="0" showErrorMessage="0" allowBlank="1" type="list">
      <formula1>"Yes,No"</formula1>
    </dataValidation>
    <dataValidation sqref="AP2:AP18" showDropDown="0" showInputMessage="0" showErrorMessage="0" allowBlank="1" type="list">
      <formula1>"Yes,No"</formula1>
    </dataValidation>
    <dataValidation sqref="AR2:AR18" showDropDown="0" showInputMessage="0" showErrorMessage="0" allowBlank="1" type="list">
      <formula1>"Yes,No"</formula1>
    </dataValidation>
    <dataValidation sqref="AT2:AT18" showDropDown="0" showInputMessage="0" showErrorMessage="0" allowBlank="1" type="list">
      <formula1>"No,Yes"</formula1>
    </dataValidation>
    <dataValidation sqref="AV2:AV18" showDropDown="0" showInputMessage="0" showErrorMessage="0" allowBlank="1" type="list">
      <formula1>"No,Yes"</formula1>
    </dataValidation>
    <dataValidation sqref="AX2:AX18" showDropDown="0" showInputMessage="0" showErrorMessage="0" allowBlank="1" type="list">
      <formula1>"No,Yes CEO Resignation,Yes CEO Retirement"</formula1>
    </dataValidation>
    <dataValidation sqref="AZ2:AZ18" showDropDown="0" showInputMessage="0" showErrorMessage="0" allowBlank="1" type="list">
      <formula1>"No,Yes"</formula1>
    </dataValidation>
    <dataValidation sqref="BB2:BB18" showDropDown="0" showInputMessage="0" showErrorMessage="0" allowBlank="1" type="list">
      <formula1>"No,Yes"</formula1>
    </dataValidation>
    <dataValidation sqref="BD2:BD18" showDropDown="0" showInputMessage="0" showErrorMessage="0" allowBlank="1" type="list">
      <formula1>"Yes,No"</formula1>
    </dataValidation>
    <dataValidation sqref="BF2:BF18" showDropDown="0" showInputMessage="0" showErrorMessage="0" allowBlank="1" type="list">
      <formula1>"Yes,No"</formula1>
    </dataValidation>
    <dataValidation sqref="BH2:BH18" showDropDown="0" showInputMessage="0" showErrorMessage="0" allowBlank="1" type="list">
      <formula1>"Yes,No"</formula1>
    </dataValidation>
    <dataValidation sqref="BJ2:BJ1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8" showDropDown="0" showInputMessage="0" showErrorMessage="0" allowBlank="1" type="list">
      <formula1>"Above 40,20 to 40,0 to 20"</formula1>
    </dataValidation>
    <dataValidation sqref="BN2:BN18" showDropDown="0" showInputMessage="0" showErrorMessage="0" allowBlank="1" type="list">
      <formula1>"Between 50 to 75,Above 75,Below 45"</formula1>
    </dataValidation>
    <dataValidation sqref="BP2:BP18" showDropDown="0" showInputMessage="0" showErrorMessage="0" allowBlank="1" type="list">
      <formula1>"Stage 1,Stage 2,Stage 3,Stage 4"</formula1>
    </dataValidation>
    <dataValidation sqref="BR2:BR18" showDropDown="0" showInputMessage="0" showErrorMessage="0" allowBlank="1" type="list">
      <formula1>"Positive Trend,Negative Trend"</formula1>
    </dataValidation>
    <dataValidation sqref="BT2:BT18" showDropDown="0" showInputMessage="0" showErrorMessage="0" allowBlank="1" type="list">
      <formula1>"Uptrend,Sideways,Downtrend"</formula1>
    </dataValidation>
    <dataValidation sqref="BV2:BV18" showDropDown="0" showInputMessage="0" showErrorMessage="0" allowBlank="1" type="list">
      <formula1>"Uptrend,Sideways,Downtrend"</formula1>
    </dataValidation>
    <dataValidation sqref="BX2:BX1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2026-07-22T12:09:15Z</dcterms:created>
  <dcterms:modified xmlns:dcterms="http://purl.org/dc/terms/" xmlns:xsi="http://www.w3.org/2001/XMLSchema-instance" xsi:type="dcterms:W3CDTF">2026-07-22T12:13:22Z</dcterms:modified>
</cp:coreProperties>
</file>